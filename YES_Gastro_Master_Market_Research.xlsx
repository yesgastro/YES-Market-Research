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comments/comment1.xml" ContentType="application/vnd.openxmlformats-officedocument.spreadsheetml.comments+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worksheets/sheet10.xml" ContentType="application/vnd.openxmlformats-officedocument.spreadsheetml.worksheet+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worksheets/sheet11.xml" ContentType="application/vnd.openxmlformats-officedocument.spreadsheetml.worksheet+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worksheets/sheet12.xml" ContentType="application/vnd.openxmlformats-officedocument.spreadsheetml.worksheet+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mpare" sheetId="1" state="visible" r:id="rId1"/>
    <sheet name="Review" sheetId="2" state="visible" r:id="rId2"/>
    <sheet name="Offers" sheetId="3" state="visible" r:id="rId3"/>
    <sheet name="Benchmarks" sheetId="4" state="visible" r:id="rId4"/>
    <sheet name="Sources" sheetId="5" state="visible" r:id="rId5"/>
    <sheet name="Change log" sheetId="6" state="visible" r:id="rId6"/>
    <sheet name="Source HU" sheetId="7" state="visible" r:id="rId7"/>
    <sheet name="Source RO" sheetId="8" state="visible" r:id="rId8"/>
    <sheet name="Source AT" sheetId="9" state="visible" r:id="rId9"/>
    <sheet name="Source DE" sheetId="10" state="visible" r:id="rId10"/>
    <sheet name="Source CZ" sheetId="11" state="visible" r:id="rId11"/>
    <sheet name="Source SK" sheetId="12" state="visible" r:id="rId12"/>
  </sheets>
  <definedNames/>
  <calcPr calcId="124519" fullCalcOnLoad="1"/>
</workbook>
</file>

<file path=xl/styles.xml><?xml version="1.0" encoding="utf-8"?>
<styleSheet xmlns="http://schemas.openxmlformats.org/spreadsheetml/2006/main">
  <numFmts count="7">
    <numFmt numFmtId="164" formatCode="0.########"/>
    <numFmt numFmtId="165" formatCode="0.0000"/>
    <numFmt numFmtId="166" formatCode="dd mmm yyyy hh:mm"/>
    <numFmt numFmtId="167" formatCode="0.000000"/>
    <numFmt numFmtId="168" formatCode="&quot;€&quot;#,##0.00"/>
    <numFmt numFmtId="169" formatCode="0.0%"/>
    <numFmt numFmtId="170" formatCode="dd mmm yyyy"/>
  </numFmts>
  <fonts count="10">
    <font>
      <name val="Carlito"/>
      <sz val="11"/>
    </font>
    <font>
      <name val="Arial"/>
      <color rgb="FF233548"/>
      <sz val="10"/>
    </font>
    <font>
      <name val="Arial"/>
      <b val="1"/>
      <color rgb="FF16324F"/>
      <sz val="16"/>
    </font>
    <font>
      <name val="Arial"/>
      <i val="1"/>
      <color rgb="FF68798B"/>
      <sz val="10"/>
    </font>
    <font>
      <name val="Arial"/>
      <color rgb="FF68798B"/>
      <sz val="10"/>
    </font>
    <font>
      <name val="Arial"/>
      <b val="1"/>
      <color rgb="FF245A81"/>
      <sz val="10"/>
    </font>
    <font>
      <name val="Arial"/>
      <b val="1"/>
      <color rgb="FFFFFFFF"/>
      <sz val="10"/>
    </font>
    <font>
      <name val="Arial"/>
      <color rgb="FF245A81"/>
      <sz val="10"/>
    </font>
    <font>
      <name val="Arial"/>
      <b val="1"/>
      <color rgb="FF16324F"/>
      <sz val="13"/>
    </font>
    <font>
      <name val="Arial"/>
      <color rgb="FF936218"/>
      <sz val="10"/>
    </font>
  </fonts>
  <fills count="6">
    <fill>
      <patternFill/>
    </fill>
    <fill>
      <patternFill patternType="gray125"/>
    </fill>
    <fill>
      <patternFill patternType="solid">
        <fgColor rgb="FF16324F"/>
      </patternFill>
    </fill>
    <fill>
      <patternFill patternType="solid">
        <fgColor rgb="FFF4F7FA"/>
      </patternFill>
    </fill>
    <fill>
      <patternFill patternType="solid">
        <fgColor rgb="FFFFF1CD"/>
      </patternFill>
    </fill>
    <fill>
      <patternFill patternType="solid">
        <fgColor rgb="FFEAF1F8"/>
      </patternFill>
    </fill>
  </fills>
  <borders count="6">
    <border/>
    <border>
      <bottom style="thin">
        <color rgb="FF245A81"/>
      </bottom>
    </border>
    <border>
      <right style="thin">
        <color rgb="FFFFFFFF"/>
      </right>
    </border>
    <border>
      <left style="thin">
        <color rgb="FFFFFFFF"/>
      </left>
      <right style="thin">
        <color rgb="FFFFFFFF"/>
      </right>
    </border>
    <border>
      <left style="thin">
        <color rgb="FFFFFFFF"/>
      </left>
    </border>
    <border>
      <top style="thin">
        <color rgb="FF245A81"/>
      </top>
    </border>
  </borders>
  <cellStyleXfs count="1">
    <xf numFmtId="0" fontId="0" fillId="0" borderId="0"/>
  </cellStyleXfs>
  <cellXfs count="124">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1" fillId="0" borderId="1" applyAlignment="1" pivotButton="0" quotePrefix="0" xfId="0">
      <alignment vertical="center"/>
    </xf>
    <xf numFmtId="0" fontId="4" fillId="0" borderId="0" applyAlignment="1" pivotButton="0" quotePrefix="0" xfId="0">
      <alignment vertical="center"/>
    </xf>
    <xf numFmtId="0" fontId="5" fillId="0" borderId="0" applyAlignment="1" pivotButton="0" quotePrefix="0" xfId="0">
      <alignment vertical="center"/>
    </xf>
    <xf numFmtId="0" fontId="1" fillId="2" borderId="0" applyAlignment="1" pivotButton="0" quotePrefix="0" xfId="0">
      <alignment vertical="center"/>
    </xf>
    <xf numFmtId="0" fontId="6" fillId="2" borderId="0" applyAlignment="1" pivotButton="0" quotePrefix="0" xfId="0">
      <alignment vertical="center"/>
    </xf>
    <xf numFmtId="0" fontId="6" fillId="2" borderId="2" applyAlignment="1" pivotButton="0" quotePrefix="0" xfId="0">
      <alignment vertical="center"/>
    </xf>
    <xf numFmtId="0" fontId="6" fillId="2" borderId="3" applyAlignment="1" pivotButton="0" quotePrefix="0" xfId="0">
      <alignment vertical="center"/>
    </xf>
    <xf numFmtId="0" fontId="6" fillId="2" borderId="4" applyAlignment="1" pivotButton="0" quotePrefix="0" xfId="0">
      <alignment vertical="center"/>
    </xf>
    <xf numFmtId="0" fontId="6" fillId="2" borderId="2" applyAlignment="1" pivotButton="0" quotePrefix="0" xfId="0">
      <alignment vertical="center" wrapText="1"/>
    </xf>
    <xf numFmtId="0" fontId="6" fillId="2" borderId="3" applyAlignment="1" pivotButton="0" quotePrefix="0" xfId="0">
      <alignment vertical="center" wrapText="1"/>
    </xf>
    <xf numFmtId="0" fontId="6" fillId="2" borderId="4" applyAlignment="1" pivotButton="0" quotePrefix="0" xfId="0">
      <alignment vertical="center" wrapText="1"/>
    </xf>
    <xf numFmtId="0" fontId="6" fillId="2" borderId="2" applyAlignment="1" pivotButton="0" quotePrefix="0" xfId="0">
      <alignment horizontal="center" vertical="center" wrapText="1"/>
    </xf>
    <xf numFmtId="0" fontId="6" fillId="2" borderId="3" applyAlignment="1" pivotButton="0" quotePrefix="0" xfId="0">
      <alignment horizontal="center" vertical="center" wrapText="1"/>
    </xf>
    <xf numFmtId="0" fontId="6" fillId="2" borderId="4" applyAlignment="1" pivotButton="0" quotePrefix="0" xfId="0">
      <alignment horizontal="center" vertical="center" wrapText="1"/>
    </xf>
    <xf numFmtId="0" fontId="1" fillId="3" borderId="0" applyAlignment="1" pivotButton="0" quotePrefix="0" xfId="0">
      <alignment vertical="center"/>
    </xf>
    <xf numFmtId="0" fontId="7" fillId="0" borderId="0" applyAlignment="1" pivotButton="0" quotePrefix="0" xfId="0">
      <alignment vertical="center"/>
    </xf>
    <xf numFmtId="1" fontId="1" fillId="0" borderId="0" applyAlignment="1" pivotButton="0" quotePrefix="0" xfId="0">
      <alignment vertical="center"/>
    </xf>
    <xf numFmtId="0" fontId="7" fillId="3" borderId="0" applyAlignment="1" pivotButton="0" quotePrefix="0" xfId="0">
      <alignment vertical="center"/>
    </xf>
    <xf numFmtId="1" fontId="1" fillId="3" borderId="0" applyAlignment="1" pivotButton="0" quotePrefix="0" xfId="0">
      <alignment vertical="center"/>
    </xf>
    <xf numFmtId="0" fontId="1" fillId="0" borderId="0" applyAlignment="1" pivotButton="0" quotePrefix="0" xfId="0">
      <alignment vertical="center" wrapText="1"/>
    </xf>
    <xf numFmtId="0" fontId="7" fillId="0" borderId="0" applyAlignment="1" pivotButton="0" quotePrefix="0" xfId="0">
      <alignment vertical="center" wrapText="1"/>
    </xf>
    <xf numFmtId="1" fontId="1" fillId="0" borderId="0" applyAlignment="1" pivotButton="0" quotePrefix="0" xfId="0">
      <alignment vertical="center" wrapText="1"/>
    </xf>
    <xf numFmtId="0" fontId="1" fillId="3" borderId="0" applyAlignment="1" pivotButton="0" quotePrefix="0" xfId="0">
      <alignment vertical="center" wrapText="1"/>
    </xf>
    <xf numFmtId="0" fontId="7" fillId="3" borderId="0" applyAlignment="1" pivotButton="0" quotePrefix="0" xfId="0">
      <alignment vertical="center" wrapText="1"/>
    </xf>
    <xf numFmtId="1" fontId="1" fillId="3" borderId="0" applyAlignment="1" pivotButton="0" quotePrefix="0" xfId="0">
      <alignment vertical="center" wrapText="1"/>
    </xf>
    <xf numFmtId="164" fontId="1" fillId="0" borderId="0" applyAlignment="1" pivotButton="0" quotePrefix="0" xfId="0">
      <alignment vertical="center"/>
    </xf>
    <xf numFmtId="164" fontId="1" fillId="3" borderId="0" applyAlignment="1" pivotButton="0" quotePrefix="0" xfId="0">
      <alignment vertical="center"/>
    </xf>
    <xf numFmtId="0" fontId="3" fillId="3" borderId="0" applyAlignment="1" pivotButton="0" quotePrefix="0" xfId="0">
      <alignment vertical="center"/>
    </xf>
    <xf numFmtId="14" fontId="1" fillId="3" borderId="0" applyAlignment="1" pivotButton="0" quotePrefix="0" xfId="0">
      <alignment vertical="center"/>
    </xf>
    <xf numFmtId="14" fontId="1" fillId="0" borderId="0" applyAlignment="1" pivotButton="0" quotePrefix="0" xfId="0">
      <alignment vertical="center"/>
    </xf>
    <xf numFmtId="164" fontId="1" fillId="0" borderId="0" applyAlignment="1" pivotButton="0" quotePrefix="0" xfId="0">
      <alignment vertical="center" wrapText="1"/>
    </xf>
    <xf numFmtId="0" fontId="3" fillId="0" borderId="0" applyAlignment="1" pivotButton="0" quotePrefix="0" xfId="0">
      <alignment vertical="center" wrapText="1"/>
    </xf>
    <xf numFmtId="164" fontId="1" fillId="3" borderId="0" applyAlignment="1" pivotButton="0" quotePrefix="0" xfId="0">
      <alignment vertical="center" wrapText="1"/>
    </xf>
    <xf numFmtId="0" fontId="3" fillId="3" borderId="0" applyAlignment="1" pivotButton="0" quotePrefix="0" xfId="0">
      <alignment vertical="center" wrapText="1"/>
    </xf>
    <xf numFmtId="14" fontId="1" fillId="3" borderId="0" applyAlignment="1" pivotButton="0" quotePrefix="0" xfId="0">
      <alignment vertical="center" wrapText="1"/>
    </xf>
    <xf numFmtId="14" fontId="1" fillId="0" borderId="0" applyAlignment="1" pivotButton="0" quotePrefix="0" xfId="0">
      <alignment vertical="center" wrapText="1"/>
    </xf>
    <xf numFmtId="2" fontId="1" fillId="0" borderId="0" applyAlignment="1" pivotButton="0" quotePrefix="0" xfId="0">
      <alignment vertical="center"/>
    </xf>
    <xf numFmtId="2" fontId="1" fillId="3" borderId="0" applyAlignment="1" pivotButton="0" quotePrefix="0" xfId="0">
      <alignment vertical="center"/>
    </xf>
    <xf numFmtId="2" fontId="1" fillId="0" borderId="0" applyAlignment="1" pivotButton="0" quotePrefix="0" xfId="0">
      <alignment vertical="center" wrapText="1"/>
    </xf>
    <xf numFmtId="2" fontId="1" fillId="3" borderId="0" applyAlignment="1" pivotButton="0" quotePrefix="0" xfId="0">
      <alignment vertical="center" wrapText="1"/>
    </xf>
    <xf numFmtId="0" fontId="8" fillId="0" borderId="0" applyAlignment="1" pivotButton="0" quotePrefix="0" xfId="0">
      <alignment vertical="center"/>
    </xf>
    <xf numFmtId="4" fontId="1" fillId="0" borderId="0" applyAlignment="1" pivotButton="0" quotePrefix="0" xfId="0">
      <alignment vertical="center"/>
    </xf>
    <xf numFmtId="9" fontId="1" fillId="0" borderId="0" applyAlignment="1" pivotButton="0" quotePrefix="0" xfId="0">
      <alignment vertical="center"/>
    </xf>
    <xf numFmtId="4" fontId="1" fillId="3" borderId="0" applyAlignment="1" pivotButton="0" quotePrefix="0" xfId="0">
      <alignment vertical="center"/>
    </xf>
    <xf numFmtId="9" fontId="1" fillId="3" borderId="0" applyAlignment="1" pivotButton="0" quotePrefix="0" xfId="0">
      <alignment vertical="center"/>
    </xf>
    <xf numFmtId="4" fontId="1" fillId="0" borderId="0" applyAlignment="1" pivotButton="0" quotePrefix="0" xfId="0">
      <alignment vertical="center" wrapText="1"/>
    </xf>
    <xf numFmtId="9" fontId="1" fillId="0" borderId="0" applyAlignment="1" pivotButton="0" quotePrefix="0" xfId="0">
      <alignment vertical="center" wrapText="1"/>
    </xf>
    <xf numFmtId="4" fontId="1" fillId="3" borderId="0" applyAlignment="1" pivotButton="0" quotePrefix="0" xfId="0">
      <alignment vertical="center" wrapText="1"/>
    </xf>
    <xf numFmtId="9" fontId="1" fillId="3" borderId="0" applyAlignment="1" pivotButton="0" quotePrefix="0" xfId="0">
      <alignment vertical="center" wrapText="1"/>
    </xf>
    <xf numFmtId="0" fontId="1" fillId="4" borderId="0" applyAlignment="1" pivotButton="0" quotePrefix="0" xfId="0">
      <alignment vertical="center"/>
    </xf>
    <xf numFmtId="0" fontId="9" fillId="4" borderId="0" applyAlignment="1" pivotButton="0" quotePrefix="0" xfId="0">
      <alignment vertical="center"/>
    </xf>
    <xf numFmtId="165" fontId="9" fillId="4" borderId="0" applyAlignment="1" pivotButton="0" quotePrefix="0" xfId="0">
      <alignment vertical="center"/>
    </xf>
    <xf numFmtId="165" fontId="1" fillId="0" borderId="0" applyAlignment="1" pivotButton="0" quotePrefix="0" xfId="0">
      <alignment vertical="center"/>
    </xf>
    <xf numFmtId="165" fontId="1" fillId="3" borderId="0" applyAlignment="1" pivotButton="0" quotePrefix="0" xfId="0">
      <alignment vertical="center"/>
    </xf>
    <xf numFmtId="166" fontId="1" fillId="0" borderId="0" applyAlignment="1" pivotButton="0" quotePrefix="0" xfId="0">
      <alignment vertical="center"/>
    </xf>
    <xf numFmtId="166" fontId="1" fillId="3" borderId="0" applyAlignment="1" pivotButton="0" quotePrefix="0" xfId="0">
      <alignment vertical="center"/>
    </xf>
    <xf numFmtId="167" fontId="1" fillId="0" borderId="0" applyAlignment="1" pivotButton="0" quotePrefix="0" xfId="0">
      <alignment vertical="center"/>
    </xf>
    <xf numFmtId="167" fontId="1" fillId="3" borderId="0" applyAlignment="1" pivotButton="0" quotePrefix="0" xfId="0">
      <alignment vertical="center"/>
    </xf>
    <xf numFmtId="0" fontId="4" fillId="0" borderId="0" applyAlignment="1" pivotButton="0" quotePrefix="0" xfId="0">
      <alignment vertical="center" wrapText="1"/>
    </xf>
    <xf numFmtId="168" fontId="1" fillId="0" borderId="0" applyAlignment="1" pivotButton="0" quotePrefix="0" xfId="0">
      <alignment vertical="center" wrapText="1"/>
    </xf>
    <xf numFmtId="168" fontId="1" fillId="3" borderId="0" applyAlignment="1" pivotButton="0" quotePrefix="0" xfId="0">
      <alignment vertical="center" wrapText="1"/>
    </xf>
    <xf numFmtId="169" fontId="1" fillId="0" borderId="0" applyAlignment="1" pivotButton="0" quotePrefix="0" xfId="0">
      <alignment vertical="center" wrapText="1"/>
    </xf>
    <xf numFmtId="169" fontId="1" fillId="3" borderId="0" applyAlignment="1" pivotButton="0" quotePrefix="0" xfId="0">
      <alignment vertical="center" wrapText="1"/>
    </xf>
    <xf numFmtId="170" fontId="1" fillId="0" borderId="0" applyAlignment="1" pivotButton="0" quotePrefix="0" xfId="0">
      <alignment vertical="center" wrapText="1"/>
    </xf>
    <xf numFmtId="170" fontId="1" fillId="3" borderId="0" applyAlignment="1" pivotButton="0" quotePrefix="0" xfId="0">
      <alignment vertical="center" wrapText="1"/>
    </xf>
    <xf numFmtId="0" fontId="1" fillId="4" borderId="0" applyAlignment="1" pivotButton="0" quotePrefix="0" xfId="0">
      <alignment vertical="center" wrapText="1"/>
    </xf>
    <xf numFmtId="0" fontId="9" fillId="4" borderId="0" applyAlignment="1" pivotButton="0" quotePrefix="0" xfId="0">
      <alignment vertical="center" wrapText="1"/>
    </xf>
    <xf numFmtId="168" fontId="1" fillId="0" borderId="0" applyAlignment="1" pivotButton="0" quotePrefix="0" xfId="0">
      <alignment vertical="center"/>
    </xf>
    <xf numFmtId="168" fontId="1" fillId="3" borderId="0" applyAlignment="1" pivotButton="0" quotePrefix="0" xfId="0">
      <alignment vertical="center"/>
    </xf>
    <xf numFmtId="0" fontId="1" fillId="5" borderId="0" applyAlignment="1" pivotButton="0" quotePrefix="0" xfId="0">
      <alignment vertical="center"/>
    </xf>
    <xf numFmtId="0" fontId="7" fillId="5" borderId="0" applyAlignment="1" pivotButton="0" quotePrefix="0" xfId="0">
      <alignment vertical="center"/>
    </xf>
    <xf numFmtId="0" fontId="7" fillId="5" borderId="0" applyAlignment="1" pivotButton="0" quotePrefix="0" xfId="0">
      <alignment horizontal="right" vertical="center"/>
    </xf>
    <xf numFmtId="4" fontId="1" fillId="0" borderId="0" applyAlignment="1" pivotButton="0" quotePrefix="0" xfId="0">
      <alignment horizontal="right" vertical="center"/>
    </xf>
    <xf numFmtId="4" fontId="1" fillId="3" borderId="0" applyAlignment="1" pivotButton="0" quotePrefix="0" xfId="0">
      <alignment horizontal="right" vertical="center"/>
    </xf>
    <xf numFmtId="0" fontId="1" fillId="3" borderId="5" applyAlignment="1" pivotButton="0" quotePrefix="0" xfId="0">
      <alignment vertical="center" wrapText="1"/>
    </xf>
    <xf numFmtId="4" fontId="1" fillId="3" borderId="5" applyAlignment="1" pivotButton="0" quotePrefix="0" xfId="0">
      <alignment horizontal="right" vertical="center"/>
    </xf>
    <xf numFmtId="0" fontId="1" fillId="0" borderId="0" applyAlignment="1" pivotButton="0" quotePrefix="0" xfId="0">
      <alignment horizontal="right" vertical="center"/>
    </xf>
    <xf numFmtId="0" fontId="1" fillId="3" borderId="0" applyAlignment="1" pivotButton="0" quotePrefix="0" xfId="0">
      <alignment horizontal="right" vertical="center"/>
    </xf>
    <xf numFmtId="168" fontId="1" fillId="0" borderId="0" applyAlignment="1" pivotButton="0" quotePrefix="0" xfId="0">
      <alignment horizontal="right" vertical="center"/>
    </xf>
    <xf numFmtId="168" fontId="1" fillId="3" borderId="0" applyAlignment="1" pivotButton="0" quotePrefix="0" xfId="0">
      <alignment horizontal="right" vertical="center"/>
    </xf>
    <xf numFmtId="170" fontId="1" fillId="0" borderId="0" applyAlignment="1" pivotButton="0" quotePrefix="0" xfId="0">
      <alignment vertical="center"/>
    </xf>
    <xf numFmtId="170" fontId="1" fillId="3" borderId="0" applyAlignment="1" pivotButton="0" quotePrefix="0" xfId="0">
      <alignment vertical="center"/>
    </xf>
    <xf numFmtId="4" fontId="1" fillId="0" borderId="0" applyAlignment="1" pivotButton="0" quotePrefix="0" xfId="0">
      <alignment horizontal="right" vertical="center"/>
    </xf>
    <xf numFmtId="168" fontId="1" fillId="0" borderId="0" applyAlignment="1" pivotButton="0" quotePrefix="0" xfId="0">
      <alignment horizontal="right" vertical="center"/>
    </xf>
    <xf numFmtId="4" fontId="1" fillId="3" borderId="0" applyAlignment="1" pivotButton="0" quotePrefix="0" xfId="0">
      <alignment horizontal="right" vertical="center"/>
    </xf>
    <xf numFmtId="168" fontId="1" fillId="3" borderId="0" applyAlignment="1" pivotButton="0" quotePrefix="0" xfId="0">
      <alignment horizontal="right" vertical="center"/>
    </xf>
    <xf numFmtId="4" fontId="1" fillId="3" borderId="5" applyAlignment="1" pivotButton="0" quotePrefix="0" xfId="0">
      <alignment horizontal="right" vertical="center"/>
    </xf>
    <xf numFmtId="170" fontId="1" fillId="0" borderId="0" applyAlignment="1" pivotButton="0" quotePrefix="0" xfId="0">
      <alignment vertical="center"/>
    </xf>
    <xf numFmtId="170" fontId="1" fillId="3" borderId="0" applyAlignment="1" pivotButton="0" quotePrefix="0" xfId="0">
      <alignment vertical="center"/>
    </xf>
    <xf numFmtId="4" fontId="1" fillId="0" borderId="0" applyAlignment="1" pivotButton="0" quotePrefix="0" xfId="0">
      <alignment vertical="center"/>
    </xf>
    <xf numFmtId="168" fontId="1" fillId="0" borderId="0" applyAlignment="1" pivotButton="0" quotePrefix="0" xfId="0">
      <alignment vertical="center"/>
    </xf>
    <xf numFmtId="4" fontId="1" fillId="3" borderId="0" applyAlignment="1" pivotButton="0" quotePrefix="0" xfId="0">
      <alignment vertical="center"/>
    </xf>
    <xf numFmtId="168" fontId="1" fillId="3" borderId="0" applyAlignment="1" pivotButton="0" quotePrefix="0" xfId="0">
      <alignment vertical="center"/>
    </xf>
    <xf numFmtId="4" fontId="1" fillId="0" borderId="0" applyAlignment="1" pivotButton="0" quotePrefix="0" xfId="0">
      <alignment vertical="center" wrapText="1"/>
    </xf>
    <xf numFmtId="168" fontId="1" fillId="0" borderId="0" applyAlignment="1" pivotButton="0" quotePrefix="0" xfId="0">
      <alignment vertical="center" wrapText="1"/>
    </xf>
    <xf numFmtId="169" fontId="1" fillId="0" borderId="0" applyAlignment="1" pivotButton="0" quotePrefix="0" xfId="0">
      <alignment vertical="center" wrapText="1"/>
    </xf>
    <xf numFmtId="170" fontId="1" fillId="0" borderId="0" applyAlignment="1" pivotButton="0" quotePrefix="0" xfId="0">
      <alignment vertical="center" wrapText="1"/>
    </xf>
    <xf numFmtId="4" fontId="1" fillId="3" borderId="0" applyAlignment="1" pivotButton="0" quotePrefix="0" xfId="0">
      <alignment vertical="center" wrapText="1"/>
    </xf>
    <xf numFmtId="168" fontId="1" fillId="3" borderId="0" applyAlignment="1" pivotButton="0" quotePrefix="0" xfId="0">
      <alignment vertical="center" wrapText="1"/>
    </xf>
    <xf numFmtId="169" fontId="1" fillId="3" borderId="0" applyAlignment="1" pivotButton="0" quotePrefix="0" xfId="0">
      <alignment vertical="center" wrapText="1"/>
    </xf>
    <xf numFmtId="170" fontId="1" fillId="3" borderId="0" applyAlignment="1" pivotButton="0" quotePrefix="0" xfId="0">
      <alignment vertical="center" wrapText="1"/>
    </xf>
    <xf numFmtId="165" fontId="9" fillId="4" borderId="0" applyAlignment="1" pivotButton="0" quotePrefix="0" xfId="0">
      <alignment vertical="center"/>
    </xf>
    <xf numFmtId="165" fontId="1" fillId="0" borderId="0" applyAlignment="1" pivotButton="0" quotePrefix="0" xfId="0">
      <alignment vertical="center"/>
    </xf>
    <xf numFmtId="166" fontId="1" fillId="0" borderId="0" applyAlignment="1" pivotButton="0" quotePrefix="0" xfId="0">
      <alignment vertical="center"/>
    </xf>
    <xf numFmtId="167" fontId="1" fillId="0" borderId="0" applyAlignment="1" pivotButton="0" quotePrefix="0" xfId="0">
      <alignment vertical="center"/>
    </xf>
    <xf numFmtId="165" fontId="1" fillId="3" borderId="0" applyAlignment="1" pivotButton="0" quotePrefix="0" xfId="0">
      <alignment vertical="center"/>
    </xf>
    <xf numFmtId="166" fontId="1" fillId="3" borderId="0" applyAlignment="1" pivotButton="0" quotePrefix="0" xfId="0">
      <alignment vertical="center"/>
    </xf>
    <xf numFmtId="167" fontId="1" fillId="3" borderId="0" applyAlignment="1" pivotButton="0" quotePrefix="0" xfId="0">
      <alignment vertical="center"/>
    </xf>
    <xf numFmtId="0" fontId="1" fillId="0" borderId="0" applyAlignment="1" pivotButton="0" quotePrefix="0" xfId="0">
      <alignment vertical="top" wrapText="1"/>
    </xf>
    <xf numFmtId="1" fontId="1" fillId="0" borderId="0" applyAlignment="1" pivotButton="0" quotePrefix="0" xfId="0">
      <alignment vertical="center" wrapText="1"/>
    </xf>
    <xf numFmtId="1" fontId="1" fillId="3" borderId="0" applyAlignment="1" pivotButton="0" quotePrefix="0" xfId="0">
      <alignment vertical="center" wrapText="1"/>
    </xf>
    <xf numFmtId="164" fontId="1" fillId="0" borderId="0" applyAlignment="1" pivotButton="0" quotePrefix="0" xfId="0">
      <alignment vertical="center" wrapText="1"/>
    </xf>
    <xf numFmtId="164" fontId="1" fillId="3" borderId="0" applyAlignment="1" pivotButton="0" quotePrefix="0" xfId="0">
      <alignment vertical="center" wrapText="1"/>
    </xf>
    <xf numFmtId="14" fontId="1" fillId="3" borderId="0" applyAlignment="1" pivotButton="0" quotePrefix="0" xfId="0">
      <alignment vertical="center" wrapText="1"/>
    </xf>
    <xf numFmtId="14" fontId="1" fillId="0" borderId="0" applyAlignment="1" pivotButton="0" quotePrefix="0" xfId="0">
      <alignment vertical="center" wrapText="1"/>
    </xf>
    <xf numFmtId="2" fontId="1" fillId="0" borderId="0" applyAlignment="1" pivotButton="0" quotePrefix="0" xfId="0">
      <alignment vertical="center" wrapText="1"/>
    </xf>
    <xf numFmtId="2" fontId="1" fillId="3" borderId="0" applyAlignment="1" pivotButton="0" quotePrefix="0" xfId="0">
      <alignment vertical="center" wrapText="1"/>
    </xf>
    <xf numFmtId="9" fontId="1" fillId="0" borderId="0" applyAlignment="1" pivotButton="0" quotePrefix="0" xfId="0">
      <alignment vertical="center" wrapText="1"/>
    </xf>
    <xf numFmtId="9" fontId="1" fillId="3" borderId="0" applyAlignment="1" pivotButton="0" quotePrefix="0" xfId="0">
      <alignment vertical="center" wrapText="1"/>
    </xf>
  </cellXfs>
  <cellStyles count="1">
    <cellStyle name="Normal" xfId="0"/>
  </cellStyles>
  <dxfs count="40">
    <dxf>
      <font>
        <color rgb="FF936218"/>
      </font>
      <fill>
        <patternFill patternType="solid">
          <bgColor rgb="FFFFF1CD"/>
        </patternFill>
      </fill>
    </dxf>
    <dxf>
      <font>
        <color rgb="FFAD3E39"/>
      </font>
      <fill>
        <patternFill patternType="solid">
          <bgColor rgb="FFFBE8E7"/>
        </patternFill>
      </fill>
    </dxf>
    <dxf>
      <font>
        <color rgb="FF2B6741"/>
      </font>
      <fill>
        <patternFill patternType="solid">
          <bgColor rgb="FFE4F2E7"/>
        </patternFill>
      </fill>
    </dxf>
    <dxf>
      <font>
        <b val="1"/>
        <color rgb="FFAD3E39"/>
      </font>
      <fill>
        <patternFill patternType="solid">
          <bgColor rgb="FFFBE8E7"/>
        </patternFill>
      </fill>
    </dxf>
    <dxf>
      <font>
        <b val="1"/>
        <color rgb="FFAD3E39"/>
      </font>
      <fill>
        <patternFill patternType="solid">
          <bgColor rgb="FFFBE8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2B6741"/>
      </font>
      <fill>
        <patternFill patternType="solid">
          <bgColor rgb="FFE4F2E7"/>
        </patternFill>
      </fill>
    </dxf>
    <dxf>
      <font>
        <b val="1"/>
        <color rgb="FFAD3E39"/>
      </font>
      <fill>
        <patternFill patternType="solid">
          <bgColor rgb="FFFBE8E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Live check 30 Sep 2026</author>
  </authors>
  <commentList>
    <comment ref="F15" authorId="0" shapeId="0">
      <text>
        <t>Was 132.98 RON (VAT-inclusive: 109.90 x 1.21). Live net price 91.90 lei fără TVA on 30 Sep 2026. See Change log.</t>
      </text>
    </comment>
    <comment ref="G18" authorId="0" shapeId="0">
      <text>
        <t>Was 42.05 RON. Lancom lists this item at 8.00 € / buc fara TVA (30 Sep 2026). Converted to RON/EUR with the Erste rates in Sources. See Change log.</t>
      </text>
    </comment>
    <comment ref="G19" authorId="0" shapeId="0">
      <text>
        <t>Was 42.05 RON. Lancom lists this item at 8.00 € / buc fara TVA (30 Sep 2026). Converted to RON/EUR with the Erste rates in Sources. See Change log.</t>
      </text>
    </comment>
    <comment ref="K51" authorId="0" shapeId="0">
      <text>
        <t>Was 30.06.2028 (impossible date) with 85.27 RON. Re-checked live on 30 Sep 2026: 102.90 lei incl. TVA = 85.04 lei net. See Change log.</t>
      </text>
    </comment>
    <comment ref="G55" authorId="0" shapeId="0">
      <text>
        <t>Was 26.28 RON. Lancom lists this item at 5.00 € / buc fara TVA (discounted from 6.24 €) (30 Sep 2026). Converted to RON/EUR with the Erste rates in Sources. See Change log.</t>
      </text>
    </comment>
    <comment ref="B591" authorId="0" shapeId="0">
      <text>
        <t>Row added 30 Sep 2026: present in the current research_AT.xlsx but missing from the master. Listed price 46.99 EUR confirmed on the live page. See Change log.</t>
      </text>
    </comment>
    <comment ref="B592" authorId="0" shapeId="0">
      <text>
        <t>Row added 30 Sep 2026: present in the current research_AT.xlsx but missing from the master. Listed price 23.00 EUR confirmed on the live page. See Change log.</t>
      </text>
    </comment>
    <comment ref="B593" authorId="0" shapeId="0">
      <text>
        <t>Row added 30 Sep 2026: present in the current research_AT.xlsx but missing from the master. Listed price 60.99 EUR confirmed on the live page. See Change log.</t>
      </text>
    </comment>
    <comment ref="B594" authorId="0" shapeId="0">
      <text>
        <t>Row added 30 Sep 2026: present in the current research_AT.xlsx but missing from the master. Listed price 21.00 EUR confirmed on the live page. See Change log.</t>
      </text>
    </comment>
    <comment ref="B595" authorId="0" shapeId="0">
      <text>
        <t>Row added 30 Sep 2026: present in the current research_AT.xlsx but missing from the master. Listed price 39.99 EUR confirmed on the live page. See Change log.</t>
      </text>
    </comment>
    <comment ref="B596" authorId="0" shapeId="0">
      <text>
        <t>Row added 30 Sep 2026: present in the current research_AT.xlsx but missing from the master. Listed price 4.75 EUR confirmed on the live page. See Change log.</t>
      </text>
    </comment>
    <comment ref="B597" authorId="0" shapeId="0">
      <text>
        <t>Row added 30 Sep 2026: present in the current research_AT.xlsx but missing from the master. Listed price 29.49 EUR confirmed on the live page. See Change log.</t>
      </text>
    </comment>
    <comment ref="B598" authorId="0" shapeId="0">
      <text>
        <t>Row added 30 Sep 2026: present in the current research_AT.xlsx but missing from the master. Listed price 5.55 EUR confirmed on the live page. See Change log.</t>
      </text>
    </comment>
    <comment ref="B599" authorId="0" shapeId="0">
      <text>
        <t>Row added 30 Sep 2026: present in the current research_AT.xlsx but missing from the master. Listed price 51.99 EUR confirmed on the live page. See Change log.</t>
      </text>
    </comment>
    <comment ref="B600" authorId="0" shapeId="0">
      <text>
        <t>Row added 30 Sep 2026: present in the current research_AT.xlsx but missing from the master. Listed price 35.99 EUR confirmed on the live page. See Change log.</t>
      </text>
    </comment>
    <comment ref="B601" authorId="0" shapeId="0">
      <text>
        <t>Row added 30 Sep 2026: present in the current research_AT.xlsx but missing from the master. Listed price 28.99 EUR confirmed on the live page. See Change log.</t>
      </text>
    </comment>
    <comment ref="B602" authorId="0" shapeId="0">
      <text>
        <t>Row added 30 Sep 2026: present in the current research_AT.xlsx but missing from the master. Listed price 26.49 EUR confirmed on the live page. See Change log.</t>
      </text>
    </comment>
    <comment ref="B603" authorId="0" shapeId="0">
      <text>
        <t>Row added 30 Sep 2026: present in the current research_AT.xlsx but missing from the master. Listed price 29.49 EUR confirmed on the live page. See Change log.</t>
      </text>
    </comment>
    <comment ref="B604" authorId="0" shapeId="0">
      <text>
        <t>Row added 30 Sep 2026: present in the current research_AT.xlsx but missing from the master. Listed price 88.99 EUR confirmed on the live page. See Change log.</t>
      </text>
    </comment>
    <comment ref="B605" authorId="0" shapeId="0">
      <text>
        <t>Row added 30 Sep 2026: present in the current research_AT.xlsx but missing from the master. Listed price 76.99 EUR confirmed on the live page. See Change log.</t>
      </text>
    </comment>
    <comment ref="B606" authorId="0" shapeId="0">
      <text>
        <t>Row added 30 Sep 2026: present in the current research_AT.xlsx but missing from the master. Listed price 289.99 EUR confirmed on the live page. See Change log.</t>
      </text>
    </comment>
    <comment ref="B607" authorId="0" shapeId="0">
      <text>
        <t>Row added 30 Sep 2026: present in the current research_AT.xlsx but missing from the master. Listed price 561.00 EUR confirmed on the live page. See Change log.</t>
      </text>
    </comment>
    <comment ref="B608" authorId="0" shapeId="0">
      <text>
        <t>Row added 30 Sep 2026: present in the current research_AT.xlsx but missing from the master. Listed price 43.99 EUR confirmed on the live page. See Change log.</t>
      </text>
    </comment>
  </commentList>
</comments>
</file>

<file path=xl/tables/table1.xml><?xml version="1.0" encoding="utf-8"?>
<table xmlns="http://schemas.openxmlformats.org/spreadsheetml/2006/main" id="1" name="CountryReview" displayName="CountryReview" ref="B6:O210" headerRowCount="1" totalsRowCount="0" totalsRowShown="0">
  <autoFilter ref="B6:O210"/>
  <tableColumns count="14">
    <tableColumn id="1" name="Product"/>
    <tableColumn id="2" name="Country"/>
    <tableColumn id="3" name="Currency"/>
    <tableColumn id="4" name="Price basis"/>
    <tableColumn id="5" name="Min local"/>
    <tableColumn id="6" name="Median local"/>
    <tableColumn id="7" name="Max local"/>
    <tableColumn id="8" name="Min EUR"/>
    <tableColumn id="9" name="Median EUR"/>
    <tableColumn id="10" name="Max EUR"/>
    <tableColumn id="11" name="Your decision"/>
    <tableColumn id="12" name="Priority"/>
    <tableColumn id="13" name="Your comments"/>
    <tableColumn id="14" name="Selected statistic"/>
  </tableColumns>
  <tableStyleInfo name="TableStyleLight9" showFirstColumn="0" showLastColumn="0" showRowStripes="0" showColumnStripes="0"/>
</table>
</file>

<file path=xl/tables/table2.xml><?xml version="1.0" encoding="utf-8"?>
<table xmlns="http://schemas.openxmlformats.org/spreadsheetml/2006/main" id="2" name="BenchmarkOffers" displayName="BenchmarkOffers" ref="B6:AK608" headerRowCount="1" totalsRowCount="0" totalsRowShown="0">
  <autoFilter ref="B6:AK608"/>
  <tableColumns count="36">
    <tableColumn id="1" name="Product"/>
    <tableColumn id="2" name="Country"/>
    <tableColumn id="3" name="Competitor"/>
    <tableColumn id="4" name="Product name (source)"/>
    <tableColumn id="5" name="Listed price (source)"/>
    <tableColumn id="6" name="Currency (source)"/>
    <tableColumn id="7" name="Selected net/pc local"/>
    <tableColumn id="8" name="Selected net/pc EUR"/>
    <tableColumn id="9" name="Master match"/>
    <tableColumn id="10" name="Date checked (source)"/>
    <tableColumn id="11" name="Your comment"/>
    <tableColumn id="12" name="Notes (source)"/>
    <tableColumn id="13" name="URL (source)"/>
    <tableColumn id="14" name="Brand (source)"/>
    <tableColumn id="15" name="VAT (source)"/>
    <tableColumn id="16" name="VAT rate (source)"/>
    <tableColumn id="17" name="Pack size (source)"/>
    <tableColumn id="18" name="Price basis (source)"/>
    <tableColumn id="19" name="Match (source)"/>
    <tableColumn id="20" name="Matching note"/>
    <tableColumn id="21" name="Net/pc saved (source)"/>
    <tableColumn id="22" name="Historical FX saved (source)"/>
    <tableColumn id="23" name="Source file"/>
    <tableColumn id="24" name="Checked by (source)"/>
    <tableColumn id="25" name="In stock? (source)"/>
    <tableColumn id="26" name="Reliability (source)"/>
    <tableColumn id="27" name="Native currency"/>
    <tableColumn id="28" name="Source eligible"/>
    <tableColumn id="29" name="Net/pc local calculation"/>
    <tableColumn id="30" name="Included by filter"/>
    <tableColumn id="31" name="Local calculation order"/>
    <tableColumn id="32" name="EUR calculation order"/>
    <tableColumn id="33" name="Local price available"/>
    <tableColumn id="34" name="EUR price available"/>
    <tableColumn id="35" name="Research date calculation"/>
    <tableColumn id="36" name="Date issue"/>
  </tableColumns>
  <tableStyleInfo name="TableStyleLight9" showFirstColumn="0" showLastColumn="0" showRowStripes="0" showColumnStripes="0"/>
</table>
</file>

<file path=xl/tables/table3.xml><?xml version="1.0" encoding="utf-8"?>
<table xmlns="http://schemas.openxmlformats.org/spreadsheetml/2006/main" id="3" name="BenchmarkSpecifications" displayName="BenchmarkSpecifications" ref="B6:D40" headerRowCount="1" totalsRowCount="0" totalsRowShown="0">
  <autoFilter ref="B6:D40"/>
  <tableColumns count="3">
    <tableColumn id="1" name="Product"/>
    <tableColumn id="2" name="Full benchmark specification"/>
    <tableColumn id="3" name="Matching requirements"/>
  </tableColumns>
  <tableStyleInfo name="TableStyleLight9" showFirstColumn="0" showLastColumn="0" showRowStripes="0" showColumnStripes="0"/>
</table>
</file>

<file path=xl/tables/table4.xml><?xml version="1.0" encoding="utf-8"?>
<table xmlns="http://schemas.openxmlformats.org/spreadsheetml/2006/main" id="4" name="ChangeLog" displayName="ChangeLog" ref="B5:L28" headerRowCount="1">
  <autoFilter ref="B5:L28"/>
  <tableColumns count="11">
    <tableColumn id="2" name="Date"/>
    <tableColumn id="3" name="Sheet"/>
    <tableColumn id="4" name="Row"/>
    <tableColumn id="5" name="Market"/>
    <tableColumn id="6" name="Competitor"/>
    <tableColumn id="7" name="Product"/>
    <tableColumn id="8" name="Field(s)"/>
    <tableColumn id="9" name="Old value"/>
    <tableColumn id="10" name="New value"/>
    <tableColumn id="11" name="Evidence (live page)"/>
    <tableColumn id="12" name="Reason"/>
  </tableColumns>
  <tableStyleInfo name="TableStyleLight9" showFirstColumn="0" showLastColumn="0" showRowStripes="0" showColumnStripes="0"/>
</table>
</file>

<file path=xl/tables/table5.xml><?xml version="1.0" encoding="utf-8"?>
<table xmlns="http://schemas.openxmlformats.org/spreadsheetml/2006/main" id="5" name="SrcHUDATA" displayName="SrcHUDATA" ref="B8:M53" headerRowCount="1" totalsRowCount="0" totalsRowShown="0">
  <autoFilter ref="B8:M53"/>
  <tableColumns count="12">
    <tableColumn id="1" name="Country"/>
    <tableColumn id="2" name="Product Type"/>
    <tableColumn id="3" name="Product Name_x000a_(as listed on site)"/>
    <tableColumn id="4" name="Competitor / Shop"/>
    <tableColumn id="5" name="Competitor URL"/>
    <tableColumn id="6" name="Price"/>
    <tableColumn id="7" name="Currency"/>
    <tableColumn id="8" name="Price (HUF equiv.)"/>
    <tableColumn id="9" name="Date Checked"/>
    <tableColumn id="10" name="Notes / Variant details"/>
    <tableColumn id="11" name="Checked by"/>
    <tableColumn id="12" name="Source reliability"/>
  </tableColumns>
  <tableStyleInfo name="TableStyleLight9" showFirstColumn="0" showLastColumn="0" showRowStripes="0" showColumnStripes="0"/>
</table>
</file>

<file path=xl/tables/table6.xml><?xml version="1.0" encoding="utf-8"?>
<table xmlns="http://schemas.openxmlformats.org/spreadsheetml/2006/main" id="6" name="SrcRODATA" displayName="SrcRODATA" ref="B8:N58" headerRowCount="1" totalsRowCount="0" totalsRowShown="0">
  <autoFilter ref="B8:N58"/>
  <tableColumns count="13">
    <tableColumn id="1" name="Country"/>
    <tableColumn id="2" name="Product Type"/>
    <tableColumn id="3" name="Product Name_x000a_(as listed on site)"/>
    <tableColumn id="4" name="Competitor / Shop"/>
    <tableColumn id="5" name="Competitor URL"/>
    <tableColumn id="6" name="Price (local currency)"/>
    <tableColumn id="7" name="Currency"/>
    <tableColumn id="8" name="Price (EUR equiv.)"/>
    <tableColumn id="9" name="Date Checked"/>
    <tableColumn id="10" name="Notes / Variant details"/>
    <tableColumn id="11" name="Brand"/>
    <tableColumn id="12" name="Checked by"/>
    <tableColumn id="13" name="Price (EUR equiv.) (saved value)"/>
  </tableColumns>
  <tableStyleInfo name="TableStyleLight9" showFirstColumn="0" showLastColumn="0" showRowStripes="0" showColumnStripes="0"/>
</table>
</file>

<file path=xl/tables/table7.xml><?xml version="1.0" encoding="utf-8"?>
<table xmlns="http://schemas.openxmlformats.org/spreadsheetml/2006/main" id="7" name="SrcATPrices" displayName="SrcATPrices" ref="B8:N103" headerRowCount="1" totalsRowCount="0" totalsRowShown="0">
  <autoFilter ref="B8:N103"/>
  <tableColumns count="13">
    <tableColumn id="1" name="Basket item"/>
    <tableColumn id="2" name="Competitor"/>
    <tableColumn id="3" name="Product name"/>
    <tableColumn id="4" name="Brand"/>
    <tableColumn id="5" name="Product URL"/>
    <tableColumn id="6" name="Listed price EUR"/>
    <tableColumn id="7" name="Incl./excl. VAT"/>
    <tableColumn id="8" name="Pack size (pcs)"/>
    <tableColumn id="9" name="Pack description"/>
    <tableColumn id="10" name="Net price per piece EUR"/>
    <tableColumn id="11" name="Match quality"/>
    <tableColumn id="12" name="Notes"/>
    <tableColumn id="13" name="Date checked"/>
  </tableColumns>
  <tableStyleInfo name="TableStyleLight9" showFirstColumn="0" showLastColumn="0" showRowStripes="0" showColumnStripes="0"/>
</table>
</file>

<file path=xl/tables/table8.xml><?xml version="1.0" encoding="utf-8"?>
<table xmlns="http://schemas.openxmlformats.org/spreadsheetml/2006/main" id="8" name="SrcATCompetitors" displayName="SrcATCompetitors" ref="B108:I115" headerRowCount="1" totalsRowCount="0" totalsRowShown="0">
  <autoFilter ref="B108:I115"/>
  <tableColumns count="8">
    <tableColumn id="1" name="Name"/>
    <tableColumn id="2" name="URL"/>
    <tableColumn id="3" name="Type"/>
    <tableColumn id="4" name="B2B / B2C focus"/>
    <tableColumn id="5" name="Prices shown"/>
    <tableColumn id="6" name="Shipping to AT"/>
    <tableColumn id="7" name="Min. order"/>
    <tableColumn id="8" name="Notes"/>
  </tableColumns>
  <tableStyleInfo name="TableStyleLight9" showFirstColumn="0" showLastColumn="0" showRowStripes="0" showColumnStripes="0"/>
</table>
</file>

<file path=xl/tables/table9.xml><?xml version="1.0" encoding="utf-8"?>
<table xmlns="http://schemas.openxmlformats.org/spreadsheetml/2006/main" id="9" name="SrcATSummary" displayName="SrcATSummary" ref="B120:F138" headerRowCount="1" totalsRowCount="0" totalsRowShown="0">
  <autoFilter ref="B120:F138"/>
  <tableColumns count="5">
    <tableColumn id="1" name="Basket item"/>
    <tableColumn id="2" name="Min net/pc EUR"/>
    <tableColumn id="3" name="Median net/pc EUR"/>
    <tableColumn id="4" name="Max net/pc EUR"/>
    <tableColumn id="5" name="Competitors with price"/>
  </tableColumns>
  <tableStyleInfo name="TableStyleLight9" showFirstColumn="0" showLastColumn="0" showRowStripes="0" showColumnStripes="0"/>
</table>
</file>

<file path=xl/tables/table10.xml><?xml version="1.0" encoding="utf-8"?>
<table xmlns="http://schemas.openxmlformats.org/spreadsheetml/2006/main" id="10" name="SrcATNotaccessible" displayName="SrcATNotaccessible" ref="B143:F159" headerRowCount="1" totalsRowCount="0" totalsRowShown="0">
  <autoFilter ref="B143:F159"/>
  <tableColumns count="5">
    <tableColumn id="1" name="Name"/>
    <tableColumn id="2" name="URL"/>
    <tableColumn id="3" name="Type"/>
    <tableColumn id="4" name="Reason prices not counted"/>
    <tableColumn id="5" name="Notes"/>
  </tableColumns>
  <tableStyleInfo name="TableStyleLight9" showFirstColumn="0" showLastColumn="0" showRowStripes="0" showColumnStripes="0"/>
</table>
</file>

<file path=xl/tables/table11.xml><?xml version="1.0" encoding="utf-8"?>
<table xmlns="http://schemas.openxmlformats.org/spreadsheetml/2006/main" id="11" name="SrcATAdditionalPrices" displayName="SrcATAdditionalPrices" ref="B167:N278" headerRowCount="1" totalsRowCount="0" totalsRowShown="0">
  <autoFilter ref="B167:N278"/>
  <tableColumns count="13">
    <tableColumn id="1" name="Basket item"/>
    <tableColumn id="2" name="Competitor"/>
    <tableColumn id="3" name="Product name"/>
    <tableColumn id="4" name="Brand"/>
    <tableColumn id="5" name="Product URL"/>
    <tableColumn id="6" name="Listed price EUR"/>
    <tableColumn id="7" name="Incl./excl. VAT"/>
    <tableColumn id="8" name="Pack size (pcs)"/>
    <tableColumn id="9" name="Pack description"/>
    <tableColumn id="10" name="Net price per piece EUR"/>
    <tableColumn id="11" name="Match quality"/>
    <tableColumn id="12" name="Notes"/>
    <tableColumn id="13" name="Date checked"/>
  </tableColumns>
  <tableStyleInfo name="TableStyleLight9" showFirstColumn="0" showLastColumn="0" showRowStripes="0" showColumnStripes="0"/>
</table>
</file>

<file path=xl/tables/table12.xml><?xml version="1.0" encoding="utf-8"?>
<table xmlns="http://schemas.openxmlformats.org/spreadsheetml/2006/main" id="12" name="SrcATAdditionalCompetitors" displayName="SrcATAdditionalCompetitors" ref="B283:I292" headerRowCount="1" totalsRowCount="0" totalsRowShown="0">
  <autoFilter ref="B283:I292"/>
  <tableColumns count="8">
    <tableColumn id="1" name="Name"/>
    <tableColumn id="2" name="URL"/>
    <tableColumn id="3" name="Type"/>
    <tableColumn id="4" name="B2B / B2C focus"/>
    <tableColumn id="5" name="Prices shown"/>
    <tableColumn id="6" name="Shipping to AT"/>
    <tableColumn id="7" name="Min. order"/>
    <tableColumn id="8" name="Notes"/>
  </tableColumns>
  <tableStyleInfo name="TableStyleLight9" showFirstColumn="0" showLastColumn="0" showRowStripes="0" showColumnStripes="0"/>
</table>
</file>

<file path=xl/tables/table13.xml><?xml version="1.0" encoding="utf-8"?>
<table xmlns="http://schemas.openxmlformats.org/spreadsheetml/2006/main" id="13" name="SrcATAdditionalSummary" displayName="SrcATAdditionalSummary" ref="B297:F315" headerRowCount="1" totalsRowCount="0" totalsRowShown="0">
  <autoFilter ref="B297:F315"/>
  <tableColumns count="5">
    <tableColumn id="1" name="Basket item"/>
    <tableColumn id="2" name="Min net/pc EUR"/>
    <tableColumn id="3" name="Median net/pc EUR"/>
    <tableColumn id="4" name="Max net/pc EUR"/>
    <tableColumn id="5" name="Competitors with price"/>
  </tableColumns>
  <tableStyleInfo name="TableStyleLight9" showFirstColumn="0" showLastColumn="0" showRowStripes="0" showColumnStripes="0"/>
</table>
</file>

<file path=xl/tables/table14.xml><?xml version="1.0" encoding="utf-8"?>
<table xmlns="http://schemas.openxmlformats.org/spreadsheetml/2006/main" id="14" name="SrcATAdditionalNotaccessible" displayName="SrcATAdditionalNotaccessible" ref="B320:F334" headerRowCount="1" totalsRowCount="0" totalsRowShown="0">
  <autoFilter ref="B320:F334"/>
  <tableColumns count="5">
    <tableColumn id="1" name="Name"/>
    <tableColumn id="2" name="URL"/>
    <tableColumn id="3" name="Type"/>
    <tableColumn id="4" name="Reason prices not counted"/>
    <tableColumn id="5" name="Notes"/>
  </tableColumns>
  <tableStyleInfo name="TableStyleLight9" showFirstColumn="0" showLastColumn="0" showRowStripes="0" showColumnStripes="0"/>
</table>
</file>

<file path=xl/tables/table15.xml><?xml version="1.0" encoding="utf-8"?>
<table xmlns="http://schemas.openxmlformats.org/spreadsheetml/2006/main" id="15" name="SrcATLiveAdditions" displayName="SrcATLiveAdditions" ref="B344:N362" headerRowCount="1">
  <autoFilter ref="B344:N362"/>
  <tableColumns count="13">
    <tableColumn id="2" name="Basket item"/>
    <tableColumn id="3" name="Competitor"/>
    <tableColumn id="4" name="Product name"/>
    <tableColumn id="5" name="Brand"/>
    <tableColumn id="6" name="Product URL"/>
    <tableColumn id="7" name="Listed price EUR"/>
    <tableColumn id="8" name="Incl./excl. VAT"/>
    <tableColumn id="9" name="Pack size (pcs)"/>
    <tableColumn id="10" name="Pack description"/>
    <tableColumn id="11" name="Net price per piece EUR"/>
    <tableColumn id="12" name="Match quality"/>
    <tableColumn id="13" name="Notes"/>
    <tableColumn id="14" name="Date checked"/>
  </tableColumns>
  <tableStyleInfo name="TableStyleLight9" showFirstColumn="0" showLastColumn="0" showRowStripes="0" showColumnStripes="0"/>
</table>
</file>

<file path=xl/tables/table16.xml><?xml version="1.0" encoding="utf-8"?>
<table xmlns="http://schemas.openxmlformats.org/spreadsheetml/2006/main" id="16" name="SrcDEPrices" displayName="SrcDEPrices" ref="B8:N116" headerRowCount="1" totalsRowCount="0" totalsRowShown="0">
  <autoFilter ref="B8:N116"/>
  <tableColumns count="13">
    <tableColumn id="1" name="Basket item"/>
    <tableColumn id="2" name="Competitor"/>
    <tableColumn id="3" name="Product name"/>
    <tableColumn id="4" name="Brand"/>
    <tableColumn id="5" name="Product URL"/>
    <tableColumn id="6" name="Listed price EUR"/>
    <tableColumn id="7" name="Incl./excl. VAT"/>
    <tableColumn id="8" name="Pack size (pcs)"/>
    <tableColumn id="9" name="Pack description"/>
    <tableColumn id="10" name="Net price per piece EUR"/>
    <tableColumn id="11" name="Match quality"/>
    <tableColumn id="12" name="Notes"/>
    <tableColumn id="13" name="Date checked"/>
  </tableColumns>
  <tableStyleInfo name="TableStyleLight9" showFirstColumn="0" showLastColumn="0" showRowStripes="0" showColumnStripes="0"/>
</table>
</file>

<file path=xl/tables/table17.xml><?xml version="1.0" encoding="utf-8"?>
<table xmlns="http://schemas.openxmlformats.org/spreadsheetml/2006/main" id="17" name="SrcDECompetitors" displayName="SrcDECompetitors" ref="B121:I128" headerRowCount="1" totalsRowCount="0" totalsRowShown="0">
  <autoFilter ref="B121:I128"/>
  <tableColumns count="8">
    <tableColumn id="1" name="Name"/>
    <tableColumn id="2" name="URL"/>
    <tableColumn id="3" name="Type"/>
    <tableColumn id="4" name="B2B / B2C focus"/>
    <tableColumn id="5" name="Prices shown"/>
    <tableColumn id="6" name="Shipping to DE"/>
    <tableColumn id="7" name="Min. order"/>
    <tableColumn id="8" name="Notes"/>
  </tableColumns>
  <tableStyleInfo name="TableStyleLight9" showFirstColumn="0" showLastColumn="0" showRowStripes="0" showColumnStripes="0"/>
</table>
</file>

<file path=xl/tables/table18.xml><?xml version="1.0" encoding="utf-8"?>
<table xmlns="http://schemas.openxmlformats.org/spreadsheetml/2006/main" id="18" name="SrcDESummary" displayName="SrcDESummary" ref="B133:F151" headerRowCount="1" totalsRowCount="0" totalsRowShown="0">
  <autoFilter ref="B133:F151"/>
  <tableColumns count="5">
    <tableColumn id="1" name="Basket item"/>
    <tableColumn id="2" name="Min net/pc EUR"/>
    <tableColumn id="3" name="Median net/pc EUR"/>
    <tableColumn id="4" name="Max net/pc EUR"/>
    <tableColumn id="5" name="Competitors with price"/>
  </tableColumns>
  <tableStyleInfo name="TableStyleLight9" showFirstColumn="0" showLastColumn="0" showRowStripes="0" showColumnStripes="0"/>
</table>
</file>

<file path=xl/tables/table19.xml><?xml version="1.0" encoding="utf-8"?>
<table xmlns="http://schemas.openxmlformats.org/spreadsheetml/2006/main" id="19" name="SrcDENotaccessible" displayName="SrcDENotaccessible" ref="B156:F158" headerRowCount="1" totalsRowCount="0" totalsRowShown="0">
  <autoFilter ref="B156:F158"/>
  <tableColumns count="5">
    <tableColumn id="1" name="Name"/>
    <tableColumn id="2" name="URL"/>
    <tableColumn id="3" name="Type"/>
    <tableColumn id="4" name="Reason prices not counted"/>
    <tableColumn id="5" name="Notes"/>
  </tableColumns>
  <tableStyleInfo name="TableStyleLight9" showFirstColumn="0" showLastColumn="0" showRowStripes="0" showColumnStripes="0"/>
</table>
</file>

<file path=xl/tables/table20.xml><?xml version="1.0" encoding="utf-8"?>
<table xmlns="http://schemas.openxmlformats.org/spreadsheetml/2006/main" id="20" name="SrcCZPrices" displayName="SrcCZPrices" ref="B8:U80" headerRowCount="1" totalsRowCount="0" totalsRowShown="0">
  <autoFilter ref="B8:U80"/>
  <tableColumns count="20">
    <tableColumn id="1" name="Basket item"/>
    <tableColumn id="2" name="Competitor"/>
    <tableColumn id="3" name="Product name"/>
    <tableColumn id="4" name="Brand"/>
    <tableColumn id="5" name="Product URL"/>
    <tableColumn id="6" name="Listed price"/>
    <tableColumn id="7" name="Currency"/>
    <tableColumn id="8" name="Incl./excl. VAT"/>
    <tableColumn id="9" name="VAT rate used"/>
    <tableColumn id="10" name="Pack size (pcs)"/>
    <tableColumn id="11" name="Price basis (per pack / per piece)"/>
    <tableColumn id="12" name="Net price per piece CZK"/>
    <tableColumn id="13" name="Match quality"/>
    <tableColumn id="14" name="Notes"/>
    <tableColumn id="15" name="Date checked"/>
    <tableColumn id="16" name="Competitor counted?"/>
    <tableColumn id="17" name="Used in Summary?"/>
    <tableColumn id="18" name="Net price per piece CZK (saved value)"/>
    <tableColumn id="19" name="Competitor counted? (saved value)"/>
    <tableColumn id="20" name="Used in Summary? (saved value)"/>
  </tableColumns>
  <tableStyleInfo name="TableStyleLight9" showFirstColumn="0" showLastColumn="0" showRowStripes="0" showColumnStripes="0"/>
</table>
</file>

<file path=xl/tables/table21.xml><?xml version="1.0" encoding="utf-8"?>
<table xmlns="http://schemas.openxmlformats.org/spreadsheetml/2006/main" id="21" name="SrcCZCompetitors" displayName="SrcCZCompetitors" ref="B85:O92" headerRowCount="1" totalsRowCount="0" totalsRowShown="0">
  <autoFilter ref="B85:O92"/>
  <tableColumns count="14">
    <tableColumn id="1" name="Name"/>
    <tableColumn id="2" name="URL"/>
    <tableColumn id="3" name="Type (local / pan-EU / marketplace)"/>
    <tableColumn id="4" name="B2B / B2C focus"/>
    <tableColumn id="5" name="Prices shown incl./excl. VAT"/>
    <tableColumn id="6" name="Shipping to Czechia"/>
    <tableColumn id="7" name="Shipping to Austria (business address)"/>
    <tableColumn id="8" name="Shipping VAT treatment"/>
    <tableColumn id="9" name="Free-shipping threshold"/>
    <tableColumn id="10" name="Minimum order value"/>
    <tableColumn id="11" name="Shipping / terms source URL(s)"/>
    <tableColumn id="12" name="Counted (yes/no)"/>
    <tableColumn id="13" name="Notes"/>
    <tableColumn id="14" name="Counted (yes/no) (saved value)"/>
  </tableColumns>
  <tableStyleInfo name="TableStyleLight9" showFirstColumn="0" showLastColumn="0" showRowStripes="0" showColumnStripes="0"/>
</table>
</file>

<file path=xl/tables/table22.xml><?xml version="1.0" encoding="utf-8"?>
<table xmlns="http://schemas.openxmlformats.org/spreadsheetml/2006/main" id="22" name="SrcCZSummary" displayName="SrcCZSummary" ref="B97:J114" headerRowCount="1" totalsRowCount="0" totalsRowShown="0">
  <autoFilter ref="B97:J114"/>
  <tableColumns count="9">
    <tableColumn id="1" name="Item description"/>
    <tableColumn id="2" name="Min net/pc CZK"/>
    <tableColumn id="3" name="Median net/pc CZK"/>
    <tableColumn id="4" name="Max net/pc CZK"/>
    <tableColumn id="5" name="Competitors in statistics"/>
    <tableColumn id="6" name="Min net/pc CZK (saved value)"/>
    <tableColumn id="7" name="Median net/pc CZK (saved value)"/>
    <tableColumn id="8" name="Max net/pc CZK (saved value)"/>
    <tableColumn id="9" name="Competitors in statistics (saved value)"/>
  </tableColumns>
  <tableStyleInfo name="TableStyleLight9" showFirstColumn="0" showLastColumn="0" showRowStripes="0" showColumnStripes="0"/>
</table>
</file>

<file path=xl/tables/table23.xml><?xml version="1.0" encoding="utf-8"?>
<table xmlns="http://schemas.openxmlformats.org/spreadsheetml/2006/main" id="23" name="SrcCZNotaccessible" displayName="SrcCZNotaccessible" ref="B126:F133" headerRowCount="1" totalsRowCount="0" totalsRowShown="0">
  <autoFilter ref="B126:F133"/>
  <tableColumns count="5">
    <tableColumn id="1" name="Competitor"/>
    <tableColumn id="2" name="URL"/>
    <tableColumn id="3" name="Reason"/>
    <tableColumn id="4" name="Date checked"/>
    <tableColumn id="5" name="Notes"/>
  </tableColumns>
  <tableStyleInfo name="TableStyleLight9" showFirstColumn="0" showLastColumn="0" showRowStripes="0" showColumnStripes="0"/>
</table>
</file>

<file path=xl/tables/table24.xml><?xml version="1.0" encoding="utf-8"?>
<table xmlns="http://schemas.openxmlformats.org/spreadsheetml/2006/main" id="24" name="SrcCZAdditionalPrices" displayName="SrcCZAdditionalPrices" ref="B141:U210" headerRowCount="1" totalsRowCount="0" totalsRowShown="0">
  <autoFilter ref="B141:U210"/>
  <tableColumns count="20">
    <tableColumn id="1" name="Basket item"/>
    <tableColumn id="2" name="Competitor"/>
    <tableColumn id="3" name="Product name"/>
    <tableColumn id="4" name="Brand"/>
    <tableColumn id="5" name="Product URL"/>
    <tableColumn id="6" name="Listed price"/>
    <tableColumn id="7" name="Currency"/>
    <tableColumn id="8" name="Incl./excl. VAT"/>
    <tableColumn id="9" name="VAT rate used"/>
    <tableColumn id="10" name="Pack size (pcs)"/>
    <tableColumn id="11" name="Price basis (per pack / per piece)"/>
    <tableColumn id="12" name="Net price per piece CZK"/>
    <tableColumn id="13" name="Match quality"/>
    <tableColumn id="14" name="Notes"/>
    <tableColumn id="15" name="Date checked"/>
    <tableColumn id="16" name="Competitor counted?"/>
    <tableColumn id="17" name="Used in Summary?"/>
    <tableColumn id="18" name="Net price per piece CZK (saved value)"/>
    <tableColumn id="19" name="Competitor counted? (saved value)"/>
    <tableColumn id="20" name="Used in Summary? (saved value)"/>
  </tableColumns>
  <tableStyleInfo name="TableStyleLight9" showFirstColumn="0" showLastColumn="0" showRowStripes="0" showColumnStripes="0"/>
</table>
</file>

<file path=xl/tables/table25.xml><?xml version="1.0" encoding="utf-8"?>
<table xmlns="http://schemas.openxmlformats.org/spreadsheetml/2006/main" id="25" name="SrcCZAdditionalCompetitors" displayName="SrcCZAdditionalCompetitors" ref="B215:O222" headerRowCount="1" totalsRowCount="0" totalsRowShown="0">
  <autoFilter ref="B215:O222"/>
  <tableColumns count="14">
    <tableColumn id="1" name="Name"/>
    <tableColumn id="2" name="URL"/>
    <tableColumn id="3" name="Type (local / pan-EU / marketplace)"/>
    <tableColumn id="4" name="B2B / B2C focus"/>
    <tableColumn id="5" name="Prices shown incl./excl. VAT"/>
    <tableColumn id="6" name="Shipping to Czechia"/>
    <tableColumn id="7" name="Shipping to Austria (business address)"/>
    <tableColumn id="8" name="Shipping VAT treatment"/>
    <tableColumn id="9" name="Free-shipping threshold"/>
    <tableColumn id="10" name="Minimum order value"/>
    <tableColumn id="11" name="Shipping / terms source URL(s)"/>
    <tableColumn id="12" name="Counted (yes/no)"/>
    <tableColumn id="13" name="Notes"/>
    <tableColumn id="14" name="Counted (yes/no) (saved value)"/>
  </tableColumns>
  <tableStyleInfo name="TableStyleLight9" showFirstColumn="0" showLastColumn="0" showRowStripes="0" showColumnStripes="0"/>
</table>
</file>

<file path=xl/tables/table26.xml><?xml version="1.0" encoding="utf-8"?>
<table xmlns="http://schemas.openxmlformats.org/spreadsheetml/2006/main" id="26" name="SrcCZAdditionalSummary" displayName="SrcCZAdditionalSummary" ref="B227:J244" headerRowCount="1" totalsRowCount="0" totalsRowShown="0">
  <autoFilter ref="B227:J244"/>
  <tableColumns count="9">
    <tableColumn id="1" name="Item description"/>
    <tableColumn id="2" name="Min net/pc CZK"/>
    <tableColumn id="3" name="Median net/pc CZK"/>
    <tableColumn id="4" name="Max net/pc CZK"/>
    <tableColumn id="5" name="Competitors in statistics"/>
    <tableColumn id="6" name="Min net/pc CZK (saved value)"/>
    <tableColumn id="7" name="Median net/pc CZK (saved value)"/>
    <tableColumn id="8" name="Max net/pc CZK (saved value)"/>
    <tableColumn id="9" name="Competitors in statistics (saved value)"/>
  </tableColumns>
  <tableStyleInfo name="TableStyleLight9" showFirstColumn="0" showLastColumn="0" showRowStripes="0" showColumnStripes="0"/>
</table>
</file>

<file path=xl/tables/table27.xml><?xml version="1.0" encoding="utf-8"?>
<table xmlns="http://schemas.openxmlformats.org/spreadsheetml/2006/main" id="27" name="SrcCZAdditionalNotaccessible" displayName="SrcCZAdditionalNotaccessible" ref="B257:F264" headerRowCount="1" totalsRowCount="0" totalsRowShown="0">
  <autoFilter ref="B257:F264"/>
  <tableColumns count="5">
    <tableColumn id="1" name="Competitor"/>
    <tableColumn id="2" name="URL"/>
    <tableColumn id="3" name="Reason"/>
    <tableColumn id="4" name="Date checked"/>
    <tableColumn id="5" name="Notes"/>
  </tableColumns>
  <tableStyleInfo name="TableStyleLight9" showFirstColumn="0" showLastColumn="0" showRowStripes="0" showColumnStripes="0"/>
</table>
</file>

<file path=xl/tables/table28.xml><?xml version="1.0" encoding="utf-8"?>
<table xmlns="http://schemas.openxmlformats.org/spreadsheetml/2006/main" id="28" name="SrcSKPrices" displayName="SrcSKPrices" ref="B8:R42" headerRowCount="1" totalsRowCount="0" totalsRowShown="0">
  <autoFilter ref="B8:R42"/>
  <tableColumns count="17">
    <tableColumn id="1" name="Competitor"/>
    <tableColumn id="2" name="Product name"/>
    <tableColumn id="3" name="Brand"/>
    <tableColumn id="4" name="Product URL"/>
    <tableColumn id="5" name="Listed price"/>
    <tableColumn id="6" name="Currency"/>
    <tableColumn id="7" name="Incl./excl. VAT"/>
    <tableColumn id="8" name="VAT rate used"/>
    <tableColumn id="9" name="Pack size"/>
    <tableColumn id="10" name="Price basis (per pack / per piece)"/>
    <tableColumn id="11" name="Net price per piece EUR"/>
    <tableColumn id="12" name="Match quality"/>
    <tableColumn id="13" name="Notes"/>
    <tableColumn id="14" name="Date checked"/>
    <tableColumn id="15" name="Summary value (EXACT/CLOSE from counted competitor)"/>
    <tableColumn id="16" name="Net price per piece EUR (saved value)"/>
    <tableColumn id="17" name="Summary value (EXACT/CLOSE from counted competitor) (saved value)"/>
  </tableColumns>
  <tableStyleInfo name="TableStyleLight9" showFirstColumn="0" showLastColumn="0" showRowStripes="0" showColumnStripes="0"/>
</table>
</file>

<file path=xl/tables/table29.xml><?xml version="1.0" encoding="utf-8"?>
<table xmlns="http://schemas.openxmlformats.org/spreadsheetml/2006/main" id="29" name="SrcSKCompetitors" displayName="SrcSKCompetitors" ref="B47:O51" headerRowCount="1" totalsRowCount="0" totalsRowShown="0">
  <autoFilter ref="B47:O51"/>
  <tableColumns count="14">
    <tableColumn id="1" name="Name"/>
    <tableColumn id="2" name="URL"/>
    <tableColumn id="3" name="Type (local / pan-EU / marketplace)"/>
    <tableColumn id="4" name="B2B or B2C focus"/>
    <tableColumn id="5" name="Prices shown incl./excl. VAT"/>
    <tableColumn id="6" name="Shipping to Slovakia"/>
    <tableColumn id="7" name="Shipping to Austria"/>
    <tableColumn id="8" name="Shipping VAT treatment"/>
    <tableColumn id="9" name="Free-shipping threshold"/>
    <tableColumn id="10" name="Minimum order value"/>
    <tableColumn id="11" name="Shipping/terms source URL"/>
    <tableColumn id="12" name="Counted (yes/no)"/>
    <tableColumn id="13" name="Notes"/>
    <tableColumn id="14" name="Counted (yes/no) (saved value)"/>
  </tableColumns>
  <tableStyleInfo name="TableStyleLight9" showFirstColumn="0" showLastColumn="0" showRowStripes="0" showColumnStripes="0"/>
</table>
</file>

<file path=xl/tables/table30.xml><?xml version="1.0" encoding="utf-8"?>
<table xmlns="http://schemas.openxmlformats.org/spreadsheetml/2006/main" id="30" name="SrcSKSummary" displayName="SrcSKSummary" ref="B56:H73" headerRowCount="1" totalsRowCount="0" totalsRowShown="0">
  <autoFilter ref="B56:H73"/>
  <tableColumns count="7">
    <tableColumn id="1" name="Item description"/>
    <tableColumn id="2" name="Min net price per piece EUR"/>
    <tableColumn id="3" name="Median net price per piece EUR"/>
    <tableColumn id="4" name="Max net price per piece EUR"/>
    <tableColumn id="5" name="Min net price per piece EUR (saved value)"/>
    <tableColumn id="6" name="Median net price per piece EUR (saved value)"/>
    <tableColumn id="7" name="Max net price per piece EUR (saved value)"/>
  </tableColumns>
  <tableStyleInfo name="TableStyleLight9" showFirstColumn="0" showLastColumn="0" showRowStripes="0" showColumnStripes="0"/>
</table>
</file>

<file path=xl/tables/table31.xml><?xml version="1.0" encoding="utf-8"?>
<table xmlns="http://schemas.openxmlformats.org/spreadsheetml/2006/main" id="31" name="SrcSKNotaccessible" displayName="SrcSKNotaccessible" ref="B81:F84" headerRowCount="1" totalsRowCount="0" totalsRowShown="0">
  <autoFilter ref="B81:F84"/>
  <tableColumns count="5">
    <tableColumn id="1" name="Competitor / page"/>
    <tableColumn id="2" name="URL"/>
    <tableColumn id="3" name="Reason"/>
    <tableColumn id="4" name="Date checked"/>
    <tableColumn id="5" name="Notes"/>
  </tableColumns>
  <tableStyleInfo name="TableStyleLight9" showFirstColumn="0" showLastColumn="0" showRowStripes="0"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 Type="http://schemas.openxmlformats.org/officeDocument/2006/relationships/table" Target="/xl/tables/table8.xml" Id="rId2" /><Relationship Type="http://schemas.openxmlformats.org/officeDocument/2006/relationships/table" Target="/xl/tables/table9.xml" Id="rId3" /><Relationship Type="http://schemas.openxmlformats.org/officeDocument/2006/relationships/table" Target="/xl/tables/table10.xml" Id="rId4" /><Relationship Type="http://schemas.openxmlformats.org/officeDocument/2006/relationships/table" Target="/xl/tables/table11.xml" Id="rId5" /><Relationship Type="http://schemas.openxmlformats.org/officeDocument/2006/relationships/table" Target="/xl/tables/table12.xml" Id="rId6" /><Relationship Type="http://schemas.openxmlformats.org/officeDocument/2006/relationships/table" Target="/xl/tables/table13.xml" Id="rId7" /><Relationship Type="http://schemas.openxmlformats.org/officeDocument/2006/relationships/table" Target="/xl/tables/table14.xml" Id="rId8" /><Relationship Type="http://schemas.openxmlformats.org/officeDocument/2006/relationships/table" Target="/xl/tables/table15.xml" Id="rId9" /></Relationships>
</file>

<file path=xl/worksheets/_rels/sheet10.xml.rels><Relationships xmlns="http://schemas.openxmlformats.org/package/2006/relationships"><Relationship Type="http://schemas.openxmlformats.org/officeDocument/2006/relationships/table" Target="/xl/tables/table16.xml" Id="rId1" /><Relationship Type="http://schemas.openxmlformats.org/officeDocument/2006/relationships/table" Target="/xl/tables/table17.xml" Id="rId2" /><Relationship Type="http://schemas.openxmlformats.org/officeDocument/2006/relationships/table" Target="/xl/tables/table18.xml" Id="rId3" /><Relationship Type="http://schemas.openxmlformats.org/officeDocument/2006/relationships/table" Target="/xl/tables/table19.xml" Id="rId4" /></Relationships>
</file>

<file path=xl/worksheets/_rels/sheet11.xml.rels><Relationships xmlns="http://schemas.openxmlformats.org/package/2006/relationships"><Relationship Type="http://schemas.openxmlformats.org/officeDocument/2006/relationships/table" Target="/xl/tables/table20.xml" Id="rId1" /><Relationship Type="http://schemas.openxmlformats.org/officeDocument/2006/relationships/table" Target="/xl/tables/table21.xml" Id="rId2" /><Relationship Type="http://schemas.openxmlformats.org/officeDocument/2006/relationships/table" Target="/xl/tables/table22.xml" Id="rId3" /><Relationship Type="http://schemas.openxmlformats.org/officeDocument/2006/relationships/table" Target="/xl/tables/table23.xml" Id="rId4" /><Relationship Type="http://schemas.openxmlformats.org/officeDocument/2006/relationships/table" Target="/xl/tables/table24.xml" Id="rId5" /><Relationship Type="http://schemas.openxmlformats.org/officeDocument/2006/relationships/table" Target="/xl/tables/table25.xml" Id="rId6" /><Relationship Type="http://schemas.openxmlformats.org/officeDocument/2006/relationships/table" Target="/xl/tables/table26.xml" Id="rId7" /><Relationship Type="http://schemas.openxmlformats.org/officeDocument/2006/relationships/table" Target="/xl/tables/table27.xml" Id="rId8" /></Relationships>
</file>

<file path=xl/worksheets/_rels/sheet12.xml.rels><Relationships xmlns="http://schemas.openxmlformats.org/package/2006/relationships"><Relationship Type="http://schemas.openxmlformats.org/officeDocument/2006/relationships/table" Target="/xl/tables/table28.xml" Id="rId1" /><Relationship Type="http://schemas.openxmlformats.org/officeDocument/2006/relationships/table" Target="/xl/tables/table29.xml" Id="rId2" /><Relationship Type="http://schemas.openxmlformats.org/officeDocument/2006/relationships/table" Target="/xl/tables/table30.xml" Id="rId3" /><Relationship Type="http://schemas.openxmlformats.org/officeDocument/2006/relationships/table" Target="/xl/tables/table31.xml" Id="rId4" /></Relationships>
</file>

<file path=xl/worksheets/sheet1.xml><?xml version="1.0" encoding="utf-8"?>
<worksheet xmlns="http://schemas.openxmlformats.org/spreadsheetml/2006/main">
  <sheetPr>
    <tabColor rgb="FF16324F"/>
    <outlinePr summaryBelow="1" summaryRight="1"/>
    <pageSetUpPr/>
  </sheetPr>
  <dimension ref="A1:N60"/>
  <sheetViews>
    <sheetView showGridLines="0" workbookViewId="0">
      <pane xSplit="2" ySplit="11" topLeftCell="C12" activePane="bottomRight" state="frozen"/>
      <selection activeCell="A1" sqref="A1"/>
    </sheetView>
  </sheetViews>
  <sheetFormatPr baseColWidth="8" defaultRowHeight="15"/>
  <cols>
    <col width="3" customWidth="1" min="1" max="1"/>
    <col width="48" customWidth="1" min="2" max="2"/>
    <col width="19" customWidth="1" min="3" max="3"/>
    <col width="17" customWidth="1" min="4" max="4"/>
    <col width="22" customWidth="1" min="5" max="5"/>
    <col width="18" customWidth="1" min="6" max="6"/>
    <col width="18" customWidth="1" min="7" max="7"/>
    <col width="22" customWidth="1" min="8" max="8"/>
    <col width="3" customWidth="1" min="9" max="9"/>
    <col width="18" customWidth="1" min="10" max="10"/>
    <col width="18" customWidth="1" min="11" max="11"/>
    <col width="18" customWidth="1" min="12" max="12"/>
    <col width="18" customWidth="1" min="13" max="13"/>
    <col width="9" customWidth="1" min="14" max="14"/>
  </cols>
  <sheetData>
    <row r="1" ht="22" customHeight="1">
      <c r="A1" s="2" t="n"/>
      <c r="B1" s="2" t="n"/>
      <c r="C1" s="2" t="n"/>
      <c r="D1" s="2" t="n"/>
      <c r="E1" s="2" t="n"/>
      <c r="F1" s="2" t="n"/>
      <c r="G1" s="2" t="n"/>
      <c r="H1" s="2" t="n"/>
      <c r="I1" s="2" t="n"/>
      <c r="J1" s="2" t="n"/>
      <c r="K1" s="2" t="n"/>
      <c r="L1" s="2" t="n"/>
      <c r="M1" s="2" t="n"/>
      <c r="N1" s="2" t="n"/>
    </row>
    <row r="2" ht="28" customHeight="1">
      <c r="A2" s="2" t="n"/>
      <c r="B2" s="3" t="inlineStr">
        <is>
          <t>YES Gastro market comparison</t>
        </is>
      </c>
      <c r="C2" s="2" t="n"/>
      <c r="D2" s="2" t="n"/>
      <c r="E2" s="2" t="n"/>
      <c r="F2" s="2" t="n"/>
      <c r="G2" s="2" t="n"/>
      <c r="H2" s="2" t="n"/>
      <c r="I2" s="2" t="n"/>
      <c r="J2" s="2" t="n"/>
      <c r="K2" s="2" t="n"/>
      <c r="L2" s="2" t="n"/>
      <c r="M2" s="2" t="n"/>
      <c r="N2" s="2" t="n"/>
    </row>
    <row r="3" ht="22" customHeight="1">
      <c r="A3" s="2" t="n"/>
      <c r="B3" s="4" t="inlineStr">
        <is>
          <t>Original benchmark basket plus Austria and Czechia additions. Net prices per piece.</t>
        </is>
      </c>
      <c r="C3" s="2" t="n"/>
      <c r="D3" s="2" t="n"/>
      <c r="E3" s="2" t="n"/>
      <c r="F3" s="2" t="n"/>
      <c r="G3" s="2" t="n"/>
      <c r="H3" s="2" t="n"/>
      <c r="I3" s="2" t="n"/>
      <c r="J3" s="2" t="n"/>
      <c r="K3" s="2" t="n"/>
      <c r="L3" s="2" t="n"/>
      <c r="M3" s="2" t="n"/>
      <c r="N3" s="2" t="n"/>
    </row>
    <row r="4" ht="22" customHeight="1">
      <c r="A4" s="2" t="n"/>
      <c r="B4" s="5" t="n"/>
      <c r="C4" s="5" t="n"/>
      <c r="D4" s="5" t="n"/>
      <c r="E4" s="5" t="n"/>
      <c r="F4" s="5" t="n"/>
      <c r="G4" s="5" t="n"/>
      <c r="H4" s="5" t="n"/>
      <c r="I4" s="5" t="n"/>
      <c r="J4" s="5" t="n"/>
      <c r="K4" s="5" t="n"/>
      <c r="L4" s="5" t="n"/>
      <c r="M4" s="5" t="n"/>
      <c r="N4" s="5" t="n"/>
    </row>
    <row r="5" ht="22" customHeight="1">
      <c r="A5" s="2" t="n"/>
      <c r="B5" s="2" t="inlineStr">
        <is>
          <t>Statistic</t>
        </is>
      </c>
      <c r="C5" s="55" t="inlineStr">
        <is>
          <t>Median</t>
        </is>
      </c>
      <c r="D5" s="2" t="inlineStr">
        <is>
          <t>View</t>
        </is>
      </c>
      <c r="E5" s="55" t="inlineStr">
        <is>
          <t>Net per piece EUR</t>
        </is>
      </c>
      <c r="F5" s="2" t="n"/>
      <c r="G5" s="2" t="inlineStr">
        <is>
          <t>Match</t>
        </is>
      </c>
      <c r="H5" s="55" t="inlineStr">
        <is>
          <t>EXACT + CLOSE</t>
        </is>
      </c>
      <c r="I5" s="2" t="n"/>
      <c r="J5" s="2" t="inlineStr">
        <is>
          <t>Product detail</t>
        </is>
      </c>
      <c r="K5" s="2" t="n"/>
      <c r="L5" s="2" t="n"/>
      <c r="M5" s="2" t="n"/>
      <c r="N5" s="2" t="n"/>
    </row>
    <row r="6" ht="22" customHeight="1">
      <c r="A6" s="2" t="n"/>
      <c r="B6" s="2" t="n"/>
      <c r="C6" s="2" t="n"/>
      <c r="D6" s="2" t="n"/>
      <c r="E6" s="2" t="n"/>
      <c r="F6" s="2" t="n"/>
      <c r="G6" s="2" t="n"/>
      <c r="H6" s="2" t="n"/>
      <c r="I6" s="2" t="n"/>
      <c r="J6" s="71" t="inlineStr">
        <is>
          <t>GN 1/1 PC container, 65 mm</t>
        </is>
      </c>
      <c r="N6" s="2" t="n"/>
    </row>
    <row r="7" ht="22" customHeight="1">
      <c r="A7" s="2" t="n"/>
      <c r="B7" s="4">
        <f>IF(E5="Local prices","Local net prices per piece. Currency differs by country.","EUR net prices per piece. Erste Bank mid-rates published 30 Sep 2026 at 18:00 CEST.")</f>
        <v/>
      </c>
      <c r="I7" s="2" t="n"/>
      <c r="N7" s="2" t="n"/>
    </row>
    <row r="8" ht="22" customHeight="1">
      <c r="A8" s="2" t="n"/>
      <c r="B8" s="6" t="inlineStr">
        <is>
          <t>A dash means no qualifying price. Green marks the lowest available EUR price for each product.</t>
        </is>
      </c>
      <c r="C8" s="2" t="n"/>
      <c r="D8" s="2" t="n"/>
      <c r="E8" s="2" t="n"/>
      <c r="F8" s="2" t="n"/>
      <c r="G8" s="2" t="n"/>
      <c r="H8" s="2" t="n"/>
      <c r="I8" s="2" t="n"/>
      <c r="J8" s="2" t="n"/>
      <c r="K8" s="2" t="n"/>
      <c r="L8" s="2" t="n"/>
      <c r="M8" s="2" t="n"/>
      <c r="N8" s="2" t="n"/>
    </row>
    <row r="9" ht="22" customHeight="1">
      <c r="A9" s="2" t="n"/>
      <c r="B9" s="2" t="n"/>
      <c r="C9" s="2" t="n"/>
      <c r="D9" s="2" t="n"/>
      <c r="E9" s="2" t="n"/>
      <c r="F9" s="2" t="n"/>
      <c r="G9" s="2" t="n"/>
      <c r="H9" s="2" t="n"/>
      <c r="I9" s="2" t="n"/>
      <c r="J9" s="7" t="inlineStr">
        <is>
          <t>Net price per piece in EUR</t>
        </is>
      </c>
      <c r="K9" s="2" t="n"/>
      <c r="L9" s="2" t="n"/>
      <c r="M9" s="2" t="n"/>
      <c r="N9" s="2" t="n"/>
    </row>
    <row r="10" ht="38" customHeight="1">
      <c r="A10" s="2" t="n"/>
      <c r="B10" s="16" t="inlineStr">
        <is>
          <t>Product</t>
        </is>
      </c>
      <c r="C10" s="17" t="inlineStr">
        <is>
          <t>Hungary</t>
        </is>
      </c>
      <c r="D10" s="17" t="inlineStr">
        <is>
          <t>Romania</t>
        </is>
      </c>
      <c r="E10" s="17" t="inlineStr">
        <is>
          <t>Austria</t>
        </is>
      </c>
      <c r="F10" s="17" t="inlineStr">
        <is>
          <t>Germany</t>
        </is>
      </c>
      <c r="G10" s="17" t="inlineStr">
        <is>
          <t>Czech</t>
        </is>
      </c>
      <c r="H10" s="18" t="inlineStr">
        <is>
          <t>Slovakia</t>
        </is>
      </c>
      <c r="I10" s="2" t="n"/>
      <c r="J10" s="2" t="n"/>
      <c r="K10" s="2" t="n"/>
      <c r="L10" s="2" t="n"/>
      <c r="M10" s="2" t="n"/>
      <c r="N10" s="2" t="n"/>
    </row>
    <row r="11" ht="38" customHeight="1">
      <c r="A11" s="2" t="n"/>
      <c r="B11" s="76" t="n"/>
      <c r="C11" s="76">
        <f>IF($E$5="Local prices","HUF net/pc","EUR net/pc")</f>
        <v/>
      </c>
      <c r="D11" s="76">
        <f>IF($E$5="Local prices","RON net/pc","EUR net/pc")</f>
        <v/>
      </c>
      <c r="E11" s="76">
        <f>IF($E$5="Local prices","EUR net/pc","EUR net/pc")</f>
        <v/>
      </c>
      <c r="F11" s="76">
        <f>IF($E$5="Local prices","EUR net/pc","EUR net/pc")</f>
        <v/>
      </c>
      <c r="G11" s="76">
        <f>IF($E$5="Local prices","CZK net/pc","EUR net/pc")</f>
        <v/>
      </c>
      <c r="H11" s="76">
        <f>IF($E$5="Local prices","EUR net/pc","EUR net/pc")</f>
        <v/>
      </c>
      <c r="I11" s="2" t="n"/>
      <c r="J11" s="16" t="inlineStr">
        <is>
          <t>Market</t>
        </is>
      </c>
      <c r="K11" s="17" t="inlineStr">
        <is>
          <t>Minimum</t>
        </is>
      </c>
      <c r="L11" s="17" t="inlineStr">
        <is>
          <t>Median</t>
        </is>
      </c>
      <c r="M11" s="18" t="inlineStr">
        <is>
          <t>Maximum</t>
        </is>
      </c>
      <c r="N11" s="2" t="n"/>
    </row>
    <row r="12" ht="36" customHeight="1">
      <c r="A12" s="2" t="n"/>
      <c r="B12" s="24" t="inlineStr">
        <is>
          <t>GN 1/1 PC container, 65 mm</t>
        </is>
      </c>
      <c r="C12" s="87">
        <f>IF(IF($E$5="Local prices",COUNTIFS('Offers'!$B$7:$B$608,$B12,'Offers'!$C$7:$C$608,C$10,'Offers'!$AH$7:$AH$608,"yes"),COUNTIFS('Offers'!$B$7:$B$608,$B12,'Offers'!$C$7:$C$608,C$10,'Offers'!$AI$7:$AI$608,"yes"))=0,"—",SUMIFS('Review'!$O$7:$O$210,'Review'!$B$7:$B$210,$B12,'Review'!$C$7:$C$210,C$10))</f>
        <v/>
      </c>
      <c r="D12" s="87">
        <f>IF(IF($E$5="Local prices",COUNTIFS('Offers'!$B$7:$B$608,$B12,'Offers'!$C$7:$C$608,D$10,'Offers'!$AH$7:$AH$608,"yes"),COUNTIFS('Offers'!$B$7:$B$608,$B12,'Offers'!$C$7:$C$608,D$10,'Offers'!$AI$7:$AI$608,"yes"))=0,"—",SUMIFS('Review'!$O$7:$O$210,'Review'!$B$7:$B$210,$B12,'Review'!$C$7:$C$210,D$10))</f>
        <v/>
      </c>
      <c r="E12" s="87">
        <f>IF(IF($E$5="Local prices",COUNTIFS('Offers'!$B$7:$B$608,$B12,'Offers'!$C$7:$C$608,E$10,'Offers'!$AH$7:$AH$608,"yes"),COUNTIFS('Offers'!$B$7:$B$608,$B12,'Offers'!$C$7:$C$608,E$10,'Offers'!$AI$7:$AI$608,"yes"))=0,"—",SUMIFS('Review'!$O$7:$O$210,'Review'!$B$7:$B$210,$B12,'Review'!$C$7:$C$210,E$10))</f>
        <v/>
      </c>
      <c r="F12" s="87">
        <f>IF(IF($E$5="Local prices",COUNTIFS('Offers'!$B$7:$B$608,$B12,'Offers'!$C$7:$C$608,F$10,'Offers'!$AH$7:$AH$608,"yes"),COUNTIFS('Offers'!$B$7:$B$608,$B12,'Offers'!$C$7:$C$608,F$10,'Offers'!$AI$7:$AI$608,"yes"))=0,"—",SUMIFS('Review'!$O$7:$O$210,'Review'!$B$7:$B$210,$B12,'Review'!$C$7:$C$210,F$10))</f>
        <v/>
      </c>
      <c r="G12" s="87">
        <f>IF(IF($E$5="Local prices",COUNTIFS('Offers'!$B$7:$B$608,$B12,'Offers'!$C$7:$C$608,G$10,'Offers'!$AH$7:$AH$608,"yes"),COUNTIFS('Offers'!$B$7:$B$608,$B12,'Offers'!$C$7:$C$608,G$10,'Offers'!$AI$7:$AI$608,"yes"))=0,"—",SUMIFS('Review'!$O$7:$O$210,'Review'!$B$7:$B$210,$B12,'Review'!$C$7:$C$210,G$10))</f>
        <v/>
      </c>
      <c r="H12" s="87">
        <f>IF(IF($E$5="Local prices",COUNTIFS('Offers'!$B$7:$B$608,$B12,'Offers'!$C$7:$C$608,H$10,'Offers'!$AH$7:$AH$608,"yes"),COUNTIFS('Offers'!$B$7:$B$608,$B12,'Offers'!$C$7:$C$608,H$10,'Offers'!$AI$7:$AI$608,"yes"))=0,"—",SUMIFS('Review'!$O$7:$O$210,'Review'!$B$7:$B$210,$B12,'Review'!$C$7:$C$210,H$10))</f>
        <v/>
      </c>
      <c r="I12" s="2" t="n"/>
      <c r="J12" s="2" t="inlineStr">
        <is>
          <t>Hungary</t>
        </is>
      </c>
      <c r="K12" s="88">
        <f>IF(COUNTIFS('Offers'!$B$7:$B$608,$J$6,'Offers'!$C$7:$C$608,$J12,'Offers'!$AI$7:$AI$608,"yes")=0,"—",SUMIFS('Review'!$I$7:$I$210,'Review'!$B$7:$B$210,$J$6,'Review'!$C$7:$C$210,$J12))</f>
        <v/>
      </c>
      <c r="L12" s="88">
        <f>IF(COUNTIFS('Offers'!$B$7:$B$608,$J$6,'Offers'!$C$7:$C$608,$J12,'Offers'!$AI$7:$AI$608,"yes")=0,"—",SUMIFS('Review'!$J$7:$J$210,'Review'!$B$7:$B$210,$J$6,'Review'!$C$7:$C$210,$J12))</f>
        <v/>
      </c>
      <c r="M12" s="88">
        <f>IF(COUNTIFS('Offers'!$B$7:$B$608,$J$6,'Offers'!$C$7:$C$608,$J12,'Offers'!$AI$7:$AI$608,"yes")=0,"—",SUMIFS('Review'!$K$7:$K$210,'Review'!$B$7:$B$210,$J$6,'Review'!$C$7:$C$210,$J12))</f>
        <v/>
      </c>
      <c r="N12" s="2" t="n"/>
    </row>
    <row r="13" ht="36" customHeight="1">
      <c r="A13" s="2" t="n"/>
      <c r="B13" s="27" t="inlineStr">
        <is>
          <t>GN 1/2 PC container, 150 mm</t>
        </is>
      </c>
      <c r="C13" s="89">
        <f>IF(IF($E$5="Local prices",COUNTIFS('Offers'!$B$7:$B$608,$B13,'Offers'!$C$7:$C$608,C$10,'Offers'!$AH$7:$AH$608,"yes"),COUNTIFS('Offers'!$B$7:$B$608,$B13,'Offers'!$C$7:$C$608,C$10,'Offers'!$AI$7:$AI$608,"yes"))=0,"—",SUMIFS('Review'!$O$7:$O$210,'Review'!$B$7:$B$210,$B13,'Review'!$C$7:$C$210,C$10))</f>
        <v/>
      </c>
      <c r="D13" s="89">
        <f>IF(IF($E$5="Local prices",COUNTIFS('Offers'!$B$7:$B$608,$B13,'Offers'!$C$7:$C$608,D$10,'Offers'!$AH$7:$AH$608,"yes"),COUNTIFS('Offers'!$B$7:$B$608,$B13,'Offers'!$C$7:$C$608,D$10,'Offers'!$AI$7:$AI$608,"yes"))=0,"—",SUMIFS('Review'!$O$7:$O$210,'Review'!$B$7:$B$210,$B13,'Review'!$C$7:$C$210,D$10))</f>
        <v/>
      </c>
      <c r="E13" s="89">
        <f>IF(IF($E$5="Local prices",COUNTIFS('Offers'!$B$7:$B$608,$B13,'Offers'!$C$7:$C$608,E$10,'Offers'!$AH$7:$AH$608,"yes"),COUNTIFS('Offers'!$B$7:$B$608,$B13,'Offers'!$C$7:$C$608,E$10,'Offers'!$AI$7:$AI$608,"yes"))=0,"—",SUMIFS('Review'!$O$7:$O$210,'Review'!$B$7:$B$210,$B13,'Review'!$C$7:$C$210,E$10))</f>
        <v/>
      </c>
      <c r="F13" s="89">
        <f>IF(IF($E$5="Local prices",COUNTIFS('Offers'!$B$7:$B$608,$B13,'Offers'!$C$7:$C$608,F$10,'Offers'!$AH$7:$AH$608,"yes"),COUNTIFS('Offers'!$B$7:$B$608,$B13,'Offers'!$C$7:$C$608,F$10,'Offers'!$AI$7:$AI$608,"yes"))=0,"—",SUMIFS('Review'!$O$7:$O$210,'Review'!$B$7:$B$210,$B13,'Review'!$C$7:$C$210,F$10))</f>
        <v/>
      </c>
      <c r="G13" s="89">
        <f>IF(IF($E$5="Local prices",COUNTIFS('Offers'!$B$7:$B$608,$B13,'Offers'!$C$7:$C$608,G$10,'Offers'!$AH$7:$AH$608,"yes"),COUNTIFS('Offers'!$B$7:$B$608,$B13,'Offers'!$C$7:$C$608,G$10,'Offers'!$AI$7:$AI$608,"yes"))=0,"—",SUMIFS('Review'!$O$7:$O$210,'Review'!$B$7:$B$210,$B13,'Review'!$C$7:$C$210,G$10))</f>
        <v/>
      </c>
      <c r="H13" s="89">
        <f>IF(IF($E$5="Local prices",COUNTIFS('Offers'!$B$7:$B$608,$B13,'Offers'!$C$7:$C$608,H$10,'Offers'!$AH$7:$AH$608,"yes"),COUNTIFS('Offers'!$B$7:$B$608,$B13,'Offers'!$C$7:$C$608,H$10,'Offers'!$AI$7:$AI$608,"yes"))=0,"—",SUMIFS('Review'!$O$7:$O$210,'Review'!$B$7:$B$210,$B13,'Review'!$C$7:$C$210,H$10))</f>
        <v/>
      </c>
      <c r="I13" s="2" t="n"/>
      <c r="J13" s="19" t="inlineStr">
        <is>
          <t>Romania</t>
        </is>
      </c>
      <c r="K13" s="90">
        <f>IF(COUNTIFS('Offers'!$B$7:$B$608,$J$6,'Offers'!$C$7:$C$608,$J13,'Offers'!$AI$7:$AI$608,"yes")=0,"—",SUMIFS('Review'!$I$7:$I$210,'Review'!$B$7:$B$210,$J$6,'Review'!$C$7:$C$210,$J13))</f>
        <v/>
      </c>
      <c r="L13" s="90">
        <f>IF(COUNTIFS('Offers'!$B$7:$B$608,$J$6,'Offers'!$C$7:$C$608,$J13,'Offers'!$AI$7:$AI$608,"yes")=0,"—",SUMIFS('Review'!$J$7:$J$210,'Review'!$B$7:$B$210,$J$6,'Review'!$C$7:$C$210,$J13))</f>
        <v/>
      </c>
      <c r="M13" s="90">
        <f>IF(COUNTIFS('Offers'!$B$7:$B$608,$J$6,'Offers'!$C$7:$C$608,$J13,'Offers'!$AI$7:$AI$608,"yes")=0,"—",SUMIFS('Review'!$K$7:$K$210,'Review'!$B$7:$B$210,$J$6,'Review'!$C$7:$C$210,$J13))</f>
        <v/>
      </c>
      <c r="N13" s="2" t="n"/>
    </row>
    <row r="14" ht="36" customHeight="1">
      <c r="A14" s="2" t="n"/>
      <c r="B14" s="24" t="inlineStr">
        <is>
          <t>GN 1/3 PP container, 100 mm</t>
        </is>
      </c>
      <c r="C14" s="87">
        <f>IF(IF($E$5="Local prices",COUNTIFS('Offers'!$B$7:$B$608,$B14,'Offers'!$C$7:$C$608,C$10,'Offers'!$AH$7:$AH$608,"yes"),COUNTIFS('Offers'!$B$7:$B$608,$B14,'Offers'!$C$7:$C$608,C$10,'Offers'!$AI$7:$AI$608,"yes"))=0,"—",SUMIFS('Review'!$O$7:$O$210,'Review'!$B$7:$B$210,$B14,'Review'!$C$7:$C$210,C$10))</f>
        <v/>
      </c>
      <c r="D14" s="87">
        <f>IF(IF($E$5="Local prices",COUNTIFS('Offers'!$B$7:$B$608,$B14,'Offers'!$C$7:$C$608,D$10,'Offers'!$AH$7:$AH$608,"yes"),COUNTIFS('Offers'!$B$7:$B$608,$B14,'Offers'!$C$7:$C$608,D$10,'Offers'!$AI$7:$AI$608,"yes"))=0,"—",SUMIFS('Review'!$O$7:$O$210,'Review'!$B$7:$B$210,$B14,'Review'!$C$7:$C$210,D$10))</f>
        <v/>
      </c>
      <c r="E14" s="87">
        <f>IF(IF($E$5="Local prices",COUNTIFS('Offers'!$B$7:$B$608,$B14,'Offers'!$C$7:$C$608,E$10,'Offers'!$AH$7:$AH$608,"yes"),COUNTIFS('Offers'!$B$7:$B$608,$B14,'Offers'!$C$7:$C$608,E$10,'Offers'!$AI$7:$AI$608,"yes"))=0,"—",SUMIFS('Review'!$O$7:$O$210,'Review'!$B$7:$B$210,$B14,'Review'!$C$7:$C$210,E$10))</f>
        <v/>
      </c>
      <c r="F14" s="87">
        <f>IF(IF($E$5="Local prices",COUNTIFS('Offers'!$B$7:$B$608,$B14,'Offers'!$C$7:$C$608,F$10,'Offers'!$AH$7:$AH$608,"yes"),COUNTIFS('Offers'!$B$7:$B$608,$B14,'Offers'!$C$7:$C$608,F$10,'Offers'!$AI$7:$AI$608,"yes"))=0,"—",SUMIFS('Review'!$O$7:$O$210,'Review'!$B$7:$B$210,$B14,'Review'!$C$7:$C$210,F$10))</f>
        <v/>
      </c>
      <c r="G14" s="87">
        <f>IF(IF($E$5="Local prices",COUNTIFS('Offers'!$B$7:$B$608,$B14,'Offers'!$C$7:$C$608,G$10,'Offers'!$AH$7:$AH$608,"yes"),COUNTIFS('Offers'!$B$7:$B$608,$B14,'Offers'!$C$7:$C$608,G$10,'Offers'!$AI$7:$AI$608,"yes"))=0,"—",SUMIFS('Review'!$O$7:$O$210,'Review'!$B$7:$B$210,$B14,'Review'!$C$7:$C$210,G$10))</f>
        <v/>
      </c>
      <c r="H14" s="87">
        <f>IF(IF($E$5="Local prices",COUNTIFS('Offers'!$B$7:$B$608,$B14,'Offers'!$C$7:$C$608,H$10,'Offers'!$AH$7:$AH$608,"yes"),COUNTIFS('Offers'!$B$7:$B$608,$B14,'Offers'!$C$7:$C$608,H$10,'Offers'!$AI$7:$AI$608,"yes"))=0,"—",SUMIFS('Review'!$O$7:$O$210,'Review'!$B$7:$B$210,$B14,'Review'!$C$7:$C$210,H$10))</f>
        <v/>
      </c>
      <c r="I14" s="2" t="n"/>
      <c r="J14" s="2" t="inlineStr">
        <is>
          <t>Austria</t>
        </is>
      </c>
      <c r="K14" s="88">
        <f>IF(COUNTIFS('Offers'!$B$7:$B$608,$J$6,'Offers'!$C$7:$C$608,$J14,'Offers'!$AI$7:$AI$608,"yes")=0,"—",SUMIFS('Review'!$I$7:$I$210,'Review'!$B$7:$B$210,$J$6,'Review'!$C$7:$C$210,$J14))</f>
        <v/>
      </c>
      <c r="L14" s="88">
        <f>IF(COUNTIFS('Offers'!$B$7:$B$608,$J$6,'Offers'!$C$7:$C$608,$J14,'Offers'!$AI$7:$AI$608,"yes")=0,"—",SUMIFS('Review'!$J$7:$J$210,'Review'!$B$7:$B$210,$J$6,'Review'!$C$7:$C$210,$J14))</f>
        <v/>
      </c>
      <c r="M14" s="88">
        <f>IF(COUNTIFS('Offers'!$B$7:$B$608,$J$6,'Offers'!$C$7:$C$608,$J14,'Offers'!$AI$7:$AI$608,"yes")=0,"—",SUMIFS('Review'!$K$7:$K$210,'Review'!$B$7:$B$210,$J$6,'Review'!$C$7:$C$210,$J14))</f>
        <v/>
      </c>
      <c r="N14" s="2" t="n"/>
    </row>
    <row r="15" ht="36" customHeight="1">
      <c r="A15" s="2" t="n"/>
      <c r="B15" s="27" t="inlineStr">
        <is>
          <t>GN 1/1 PP lid</t>
        </is>
      </c>
      <c r="C15" s="89">
        <f>IF(IF($E$5="Local prices",COUNTIFS('Offers'!$B$7:$B$608,$B15,'Offers'!$C$7:$C$608,C$10,'Offers'!$AH$7:$AH$608,"yes"),COUNTIFS('Offers'!$B$7:$B$608,$B15,'Offers'!$C$7:$C$608,C$10,'Offers'!$AI$7:$AI$608,"yes"))=0,"—",SUMIFS('Review'!$O$7:$O$210,'Review'!$B$7:$B$210,$B15,'Review'!$C$7:$C$210,C$10))</f>
        <v/>
      </c>
      <c r="D15" s="89">
        <f>IF(IF($E$5="Local prices",COUNTIFS('Offers'!$B$7:$B$608,$B15,'Offers'!$C$7:$C$608,D$10,'Offers'!$AH$7:$AH$608,"yes"),COUNTIFS('Offers'!$B$7:$B$608,$B15,'Offers'!$C$7:$C$608,D$10,'Offers'!$AI$7:$AI$608,"yes"))=0,"—",SUMIFS('Review'!$O$7:$O$210,'Review'!$B$7:$B$210,$B15,'Review'!$C$7:$C$210,D$10))</f>
        <v/>
      </c>
      <c r="E15" s="89">
        <f>IF(IF($E$5="Local prices",COUNTIFS('Offers'!$B$7:$B$608,$B15,'Offers'!$C$7:$C$608,E$10,'Offers'!$AH$7:$AH$608,"yes"),COUNTIFS('Offers'!$B$7:$B$608,$B15,'Offers'!$C$7:$C$608,E$10,'Offers'!$AI$7:$AI$608,"yes"))=0,"—",SUMIFS('Review'!$O$7:$O$210,'Review'!$B$7:$B$210,$B15,'Review'!$C$7:$C$210,E$10))</f>
        <v/>
      </c>
      <c r="F15" s="89">
        <f>IF(IF($E$5="Local prices",COUNTIFS('Offers'!$B$7:$B$608,$B15,'Offers'!$C$7:$C$608,F$10,'Offers'!$AH$7:$AH$608,"yes"),COUNTIFS('Offers'!$B$7:$B$608,$B15,'Offers'!$C$7:$C$608,F$10,'Offers'!$AI$7:$AI$608,"yes"))=0,"—",SUMIFS('Review'!$O$7:$O$210,'Review'!$B$7:$B$210,$B15,'Review'!$C$7:$C$210,F$10))</f>
        <v/>
      </c>
      <c r="G15" s="89">
        <f>IF(IF($E$5="Local prices",COUNTIFS('Offers'!$B$7:$B$608,$B15,'Offers'!$C$7:$C$608,G$10,'Offers'!$AH$7:$AH$608,"yes"),COUNTIFS('Offers'!$B$7:$B$608,$B15,'Offers'!$C$7:$C$608,G$10,'Offers'!$AI$7:$AI$608,"yes"))=0,"—",SUMIFS('Review'!$O$7:$O$210,'Review'!$B$7:$B$210,$B15,'Review'!$C$7:$C$210,G$10))</f>
        <v/>
      </c>
      <c r="H15" s="89">
        <f>IF(IF($E$5="Local prices",COUNTIFS('Offers'!$B$7:$B$608,$B15,'Offers'!$C$7:$C$608,H$10,'Offers'!$AH$7:$AH$608,"yes"),COUNTIFS('Offers'!$B$7:$B$608,$B15,'Offers'!$C$7:$C$608,H$10,'Offers'!$AI$7:$AI$608,"yes"))=0,"—",SUMIFS('Review'!$O$7:$O$210,'Review'!$B$7:$B$210,$B15,'Review'!$C$7:$C$210,H$10))</f>
        <v/>
      </c>
      <c r="I15" s="2" t="n"/>
      <c r="J15" s="19" t="inlineStr">
        <is>
          <t>Germany</t>
        </is>
      </c>
      <c r="K15" s="90">
        <f>IF(COUNTIFS('Offers'!$B$7:$B$608,$J$6,'Offers'!$C$7:$C$608,$J15,'Offers'!$AI$7:$AI$608,"yes")=0,"—",SUMIFS('Review'!$I$7:$I$210,'Review'!$B$7:$B$210,$J$6,'Review'!$C$7:$C$210,$J15))</f>
        <v/>
      </c>
      <c r="L15" s="90">
        <f>IF(COUNTIFS('Offers'!$B$7:$B$608,$J$6,'Offers'!$C$7:$C$608,$J15,'Offers'!$AI$7:$AI$608,"yes")=0,"—",SUMIFS('Review'!$J$7:$J$210,'Review'!$B$7:$B$210,$J$6,'Review'!$C$7:$C$210,$J15))</f>
        <v/>
      </c>
      <c r="M15" s="90">
        <f>IF(COUNTIFS('Offers'!$B$7:$B$608,$J$6,'Offers'!$C$7:$C$608,$J15,'Offers'!$AI$7:$AI$608,"yes")=0,"—",SUMIFS('Review'!$K$7:$K$210,'Review'!$B$7:$B$210,$J$6,'Review'!$C$7:$C$210,$J15))</f>
        <v/>
      </c>
      <c r="N15" s="2" t="n"/>
    </row>
    <row r="16" ht="36" customHeight="1">
      <c r="A16" s="2" t="n"/>
      <c r="B16" s="24" t="inlineStr">
        <is>
          <t>Squeeze bottle 500 ml, PP, single tip</t>
        </is>
      </c>
      <c r="C16" s="87">
        <f>IF(IF($E$5="Local prices",COUNTIFS('Offers'!$B$7:$B$608,$B16,'Offers'!$C$7:$C$608,C$10,'Offers'!$AH$7:$AH$608,"yes"),COUNTIFS('Offers'!$B$7:$B$608,$B16,'Offers'!$C$7:$C$608,C$10,'Offers'!$AI$7:$AI$608,"yes"))=0,"—",SUMIFS('Review'!$O$7:$O$210,'Review'!$B$7:$B$210,$B16,'Review'!$C$7:$C$210,C$10))</f>
        <v/>
      </c>
      <c r="D16" s="87">
        <f>IF(IF($E$5="Local prices",COUNTIFS('Offers'!$B$7:$B$608,$B16,'Offers'!$C$7:$C$608,D$10,'Offers'!$AH$7:$AH$608,"yes"),COUNTIFS('Offers'!$B$7:$B$608,$B16,'Offers'!$C$7:$C$608,D$10,'Offers'!$AI$7:$AI$608,"yes"))=0,"—",SUMIFS('Review'!$O$7:$O$210,'Review'!$B$7:$B$210,$B16,'Review'!$C$7:$C$210,D$10))</f>
        <v/>
      </c>
      <c r="E16" s="87">
        <f>IF(IF($E$5="Local prices",COUNTIFS('Offers'!$B$7:$B$608,$B16,'Offers'!$C$7:$C$608,E$10,'Offers'!$AH$7:$AH$608,"yes"),COUNTIFS('Offers'!$B$7:$B$608,$B16,'Offers'!$C$7:$C$608,E$10,'Offers'!$AI$7:$AI$608,"yes"))=0,"—",SUMIFS('Review'!$O$7:$O$210,'Review'!$B$7:$B$210,$B16,'Review'!$C$7:$C$210,E$10))</f>
        <v/>
      </c>
      <c r="F16" s="87">
        <f>IF(IF($E$5="Local prices",COUNTIFS('Offers'!$B$7:$B$608,$B16,'Offers'!$C$7:$C$608,F$10,'Offers'!$AH$7:$AH$608,"yes"),COUNTIFS('Offers'!$B$7:$B$608,$B16,'Offers'!$C$7:$C$608,F$10,'Offers'!$AI$7:$AI$608,"yes"))=0,"—",SUMIFS('Review'!$O$7:$O$210,'Review'!$B$7:$B$210,$B16,'Review'!$C$7:$C$210,F$10))</f>
        <v/>
      </c>
      <c r="G16" s="87">
        <f>IF(IF($E$5="Local prices",COUNTIFS('Offers'!$B$7:$B$608,$B16,'Offers'!$C$7:$C$608,G$10,'Offers'!$AH$7:$AH$608,"yes"),COUNTIFS('Offers'!$B$7:$B$608,$B16,'Offers'!$C$7:$C$608,G$10,'Offers'!$AI$7:$AI$608,"yes"))=0,"—",SUMIFS('Review'!$O$7:$O$210,'Review'!$B$7:$B$210,$B16,'Review'!$C$7:$C$210,G$10))</f>
        <v/>
      </c>
      <c r="H16" s="87">
        <f>IF(IF($E$5="Local prices",COUNTIFS('Offers'!$B$7:$B$608,$B16,'Offers'!$C$7:$C$608,H$10,'Offers'!$AH$7:$AH$608,"yes"),COUNTIFS('Offers'!$B$7:$B$608,$B16,'Offers'!$C$7:$C$608,H$10,'Offers'!$AI$7:$AI$608,"yes"))=0,"—",SUMIFS('Review'!$O$7:$O$210,'Review'!$B$7:$B$210,$B16,'Review'!$C$7:$C$210,H$10))</f>
        <v/>
      </c>
      <c r="I16" s="2" t="n"/>
      <c r="J16" s="2" t="inlineStr">
        <is>
          <t>Czech</t>
        </is>
      </c>
      <c r="K16" s="88">
        <f>IF(COUNTIFS('Offers'!$B$7:$B$608,$J$6,'Offers'!$C$7:$C$608,$J16,'Offers'!$AI$7:$AI$608,"yes")=0,"—",SUMIFS('Review'!$I$7:$I$210,'Review'!$B$7:$B$210,$J$6,'Review'!$C$7:$C$210,$J16))</f>
        <v/>
      </c>
      <c r="L16" s="88">
        <f>IF(COUNTIFS('Offers'!$B$7:$B$608,$J$6,'Offers'!$C$7:$C$608,$J16,'Offers'!$AI$7:$AI$608,"yes")=0,"—",SUMIFS('Review'!$J$7:$J$210,'Review'!$B$7:$B$210,$J$6,'Review'!$C$7:$C$210,$J16))</f>
        <v/>
      </c>
      <c r="M16" s="88">
        <f>IF(COUNTIFS('Offers'!$B$7:$B$608,$J$6,'Offers'!$C$7:$C$608,$J16,'Offers'!$AI$7:$AI$608,"yes")=0,"—",SUMIFS('Review'!$K$7:$K$210,'Review'!$B$7:$B$210,$J$6,'Review'!$C$7:$C$210,$J16))</f>
        <v/>
      </c>
      <c r="N16" s="2" t="n"/>
    </row>
    <row r="17" ht="36" customHeight="1">
      <c r="A17" s="2" t="n"/>
      <c r="B17" s="27" t="inlineStr">
        <is>
          <t>Squeeze bottle 1,000 ml, PP, single tip</t>
        </is>
      </c>
      <c r="C17" s="89">
        <f>IF(IF($E$5="Local prices",COUNTIFS('Offers'!$B$7:$B$608,$B17,'Offers'!$C$7:$C$608,C$10,'Offers'!$AH$7:$AH$608,"yes"),COUNTIFS('Offers'!$B$7:$B$608,$B17,'Offers'!$C$7:$C$608,C$10,'Offers'!$AI$7:$AI$608,"yes"))=0,"—",SUMIFS('Review'!$O$7:$O$210,'Review'!$B$7:$B$210,$B17,'Review'!$C$7:$C$210,C$10))</f>
        <v/>
      </c>
      <c r="D17" s="89">
        <f>IF(IF($E$5="Local prices",COUNTIFS('Offers'!$B$7:$B$608,$B17,'Offers'!$C$7:$C$608,D$10,'Offers'!$AH$7:$AH$608,"yes"),COUNTIFS('Offers'!$B$7:$B$608,$B17,'Offers'!$C$7:$C$608,D$10,'Offers'!$AI$7:$AI$608,"yes"))=0,"—",SUMIFS('Review'!$O$7:$O$210,'Review'!$B$7:$B$210,$B17,'Review'!$C$7:$C$210,D$10))</f>
        <v/>
      </c>
      <c r="E17" s="89">
        <f>IF(IF($E$5="Local prices",COUNTIFS('Offers'!$B$7:$B$608,$B17,'Offers'!$C$7:$C$608,E$10,'Offers'!$AH$7:$AH$608,"yes"),COUNTIFS('Offers'!$B$7:$B$608,$B17,'Offers'!$C$7:$C$608,E$10,'Offers'!$AI$7:$AI$608,"yes"))=0,"—",SUMIFS('Review'!$O$7:$O$210,'Review'!$B$7:$B$210,$B17,'Review'!$C$7:$C$210,E$10))</f>
        <v/>
      </c>
      <c r="F17" s="89">
        <f>IF(IF($E$5="Local prices",COUNTIFS('Offers'!$B$7:$B$608,$B17,'Offers'!$C$7:$C$608,F$10,'Offers'!$AH$7:$AH$608,"yes"),COUNTIFS('Offers'!$B$7:$B$608,$B17,'Offers'!$C$7:$C$608,F$10,'Offers'!$AI$7:$AI$608,"yes"))=0,"—",SUMIFS('Review'!$O$7:$O$210,'Review'!$B$7:$B$210,$B17,'Review'!$C$7:$C$210,F$10))</f>
        <v/>
      </c>
      <c r="G17" s="89">
        <f>IF(IF($E$5="Local prices",COUNTIFS('Offers'!$B$7:$B$608,$B17,'Offers'!$C$7:$C$608,G$10,'Offers'!$AH$7:$AH$608,"yes"),COUNTIFS('Offers'!$B$7:$B$608,$B17,'Offers'!$C$7:$C$608,G$10,'Offers'!$AI$7:$AI$608,"yes"))=0,"—",SUMIFS('Review'!$O$7:$O$210,'Review'!$B$7:$B$210,$B17,'Review'!$C$7:$C$210,G$10))</f>
        <v/>
      </c>
      <c r="H17" s="89">
        <f>IF(IF($E$5="Local prices",COUNTIFS('Offers'!$B$7:$B$608,$B17,'Offers'!$C$7:$C$608,H$10,'Offers'!$AH$7:$AH$608,"yes"),COUNTIFS('Offers'!$B$7:$B$608,$B17,'Offers'!$C$7:$C$608,H$10,'Offers'!$AI$7:$AI$608,"yes"))=0,"—",SUMIFS('Review'!$O$7:$O$210,'Review'!$B$7:$B$210,$B17,'Review'!$C$7:$C$210,H$10))</f>
        <v/>
      </c>
      <c r="I17" s="2" t="n"/>
      <c r="J17" s="19" t="inlineStr">
        <is>
          <t>Slovakia</t>
        </is>
      </c>
      <c r="K17" s="90">
        <f>IF(COUNTIFS('Offers'!$B$7:$B$608,$J$6,'Offers'!$C$7:$C$608,$J17,'Offers'!$AI$7:$AI$608,"yes")=0,"—",SUMIFS('Review'!$I$7:$I$210,'Review'!$B$7:$B$210,$J$6,'Review'!$C$7:$C$210,$J17))</f>
        <v/>
      </c>
      <c r="L17" s="90">
        <f>IF(COUNTIFS('Offers'!$B$7:$B$608,$J$6,'Offers'!$C$7:$C$608,$J17,'Offers'!$AI$7:$AI$608,"yes")=0,"—",SUMIFS('Review'!$J$7:$J$210,'Review'!$B$7:$B$210,$J$6,'Review'!$C$7:$C$210,$J17))</f>
        <v/>
      </c>
      <c r="M17" s="90">
        <f>IF(COUNTIFS('Offers'!$B$7:$B$608,$J$6,'Offers'!$C$7:$C$608,$J17,'Offers'!$AI$7:$AI$608,"yes")=0,"—",SUMIFS('Review'!$K$7:$K$210,'Review'!$B$7:$B$210,$J$6,'Review'!$C$7:$C$210,$J17))</f>
        <v/>
      </c>
      <c r="N17" s="2" t="n"/>
    </row>
    <row r="18" ht="36" customHeight="1">
      <c r="A18" s="2" t="n"/>
      <c r="B18" s="24" t="inlineStr">
        <is>
          <t>Squeeze bottle 500 ml, triple tip</t>
        </is>
      </c>
      <c r="C18" s="87">
        <f>IF(IF($E$5="Local prices",COUNTIFS('Offers'!$B$7:$B$608,$B18,'Offers'!$C$7:$C$608,C$10,'Offers'!$AH$7:$AH$608,"yes"),COUNTIFS('Offers'!$B$7:$B$608,$B18,'Offers'!$C$7:$C$608,C$10,'Offers'!$AI$7:$AI$608,"yes"))=0,"—",SUMIFS('Review'!$O$7:$O$210,'Review'!$B$7:$B$210,$B18,'Review'!$C$7:$C$210,C$10))</f>
        <v/>
      </c>
      <c r="D18" s="87">
        <f>IF(IF($E$5="Local prices",COUNTIFS('Offers'!$B$7:$B$608,$B18,'Offers'!$C$7:$C$608,D$10,'Offers'!$AH$7:$AH$608,"yes"),COUNTIFS('Offers'!$B$7:$B$608,$B18,'Offers'!$C$7:$C$608,D$10,'Offers'!$AI$7:$AI$608,"yes"))=0,"—",SUMIFS('Review'!$O$7:$O$210,'Review'!$B$7:$B$210,$B18,'Review'!$C$7:$C$210,D$10))</f>
        <v/>
      </c>
      <c r="E18" s="87">
        <f>IF(IF($E$5="Local prices",COUNTIFS('Offers'!$B$7:$B$608,$B18,'Offers'!$C$7:$C$608,E$10,'Offers'!$AH$7:$AH$608,"yes"),COUNTIFS('Offers'!$B$7:$B$608,$B18,'Offers'!$C$7:$C$608,E$10,'Offers'!$AI$7:$AI$608,"yes"))=0,"—",SUMIFS('Review'!$O$7:$O$210,'Review'!$B$7:$B$210,$B18,'Review'!$C$7:$C$210,E$10))</f>
        <v/>
      </c>
      <c r="F18" s="87">
        <f>IF(IF($E$5="Local prices",COUNTIFS('Offers'!$B$7:$B$608,$B18,'Offers'!$C$7:$C$608,F$10,'Offers'!$AH$7:$AH$608,"yes"),COUNTIFS('Offers'!$B$7:$B$608,$B18,'Offers'!$C$7:$C$608,F$10,'Offers'!$AI$7:$AI$608,"yes"))=0,"—",SUMIFS('Review'!$O$7:$O$210,'Review'!$B$7:$B$210,$B18,'Review'!$C$7:$C$210,F$10))</f>
        <v/>
      </c>
      <c r="G18" s="87">
        <f>IF(IF($E$5="Local prices",COUNTIFS('Offers'!$B$7:$B$608,$B18,'Offers'!$C$7:$C$608,G$10,'Offers'!$AH$7:$AH$608,"yes"),COUNTIFS('Offers'!$B$7:$B$608,$B18,'Offers'!$C$7:$C$608,G$10,'Offers'!$AI$7:$AI$608,"yes"))=0,"—",SUMIFS('Review'!$O$7:$O$210,'Review'!$B$7:$B$210,$B18,'Review'!$C$7:$C$210,G$10))</f>
        <v/>
      </c>
      <c r="H18" s="87">
        <f>IF(IF($E$5="Local prices",COUNTIFS('Offers'!$B$7:$B$608,$B18,'Offers'!$C$7:$C$608,H$10,'Offers'!$AH$7:$AH$608,"yes"),COUNTIFS('Offers'!$B$7:$B$608,$B18,'Offers'!$C$7:$C$608,H$10,'Offers'!$AI$7:$AI$608,"yes"))=0,"—",SUMIFS('Review'!$O$7:$O$210,'Review'!$B$7:$B$210,$B18,'Review'!$C$7:$C$210,H$10))</f>
        <v/>
      </c>
      <c r="I18" s="2" t="n"/>
      <c r="J18" s="2" t="n"/>
      <c r="K18" s="2" t="n"/>
      <c r="L18" s="2" t="n"/>
      <c r="M18" s="2" t="n"/>
      <c r="N18" s="2" t="n"/>
    </row>
    <row r="19" ht="36" customHeight="1">
      <c r="A19" s="2" t="n"/>
      <c r="B19" s="27" t="inlineStr">
        <is>
          <t>Sauce pump dispenser with stand</t>
        </is>
      </c>
      <c r="C19" s="89">
        <f>IF(IF($E$5="Local prices",COUNTIFS('Offers'!$B$7:$B$608,$B19,'Offers'!$C$7:$C$608,C$10,'Offers'!$AH$7:$AH$608,"yes"),COUNTIFS('Offers'!$B$7:$B$608,$B19,'Offers'!$C$7:$C$608,C$10,'Offers'!$AI$7:$AI$608,"yes"))=0,"—",SUMIFS('Review'!$O$7:$O$210,'Review'!$B$7:$B$210,$B19,'Review'!$C$7:$C$210,C$10))</f>
        <v/>
      </c>
      <c r="D19" s="89">
        <f>IF(IF($E$5="Local prices",COUNTIFS('Offers'!$B$7:$B$608,$B19,'Offers'!$C$7:$C$608,D$10,'Offers'!$AH$7:$AH$608,"yes"),COUNTIFS('Offers'!$B$7:$B$608,$B19,'Offers'!$C$7:$C$608,D$10,'Offers'!$AI$7:$AI$608,"yes"))=0,"—",SUMIFS('Review'!$O$7:$O$210,'Review'!$B$7:$B$210,$B19,'Review'!$C$7:$C$210,D$10))</f>
        <v/>
      </c>
      <c r="E19" s="89">
        <f>IF(IF($E$5="Local prices",COUNTIFS('Offers'!$B$7:$B$608,$B19,'Offers'!$C$7:$C$608,E$10,'Offers'!$AH$7:$AH$608,"yes"),COUNTIFS('Offers'!$B$7:$B$608,$B19,'Offers'!$C$7:$C$608,E$10,'Offers'!$AI$7:$AI$608,"yes"))=0,"—",SUMIFS('Review'!$O$7:$O$210,'Review'!$B$7:$B$210,$B19,'Review'!$C$7:$C$210,E$10))</f>
        <v/>
      </c>
      <c r="F19" s="89">
        <f>IF(IF($E$5="Local prices",COUNTIFS('Offers'!$B$7:$B$608,$B19,'Offers'!$C$7:$C$608,F$10,'Offers'!$AH$7:$AH$608,"yes"),COUNTIFS('Offers'!$B$7:$B$608,$B19,'Offers'!$C$7:$C$608,F$10,'Offers'!$AI$7:$AI$608,"yes"))=0,"—",SUMIFS('Review'!$O$7:$O$210,'Review'!$B$7:$B$210,$B19,'Review'!$C$7:$C$210,F$10))</f>
        <v/>
      </c>
      <c r="G19" s="89">
        <f>IF(IF($E$5="Local prices",COUNTIFS('Offers'!$B$7:$B$608,$B19,'Offers'!$C$7:$C$608,G$10,'Offers'!$AH$7:$AH$608,"yes"),COUNTIFS('Offers'!$B$7:$B$608,$B19,'Offers'!$C$7:$C$608,G$10,'Offers'!$AI$7:$AI$608,"yes"))=0,"—",SUMIFS('Review'!$O$7:$O$210,'Review'!$B$7:$B$210,$B19,'Review'!$C$7:$C$210,G$10))</f>
        <v/>
      </c>
      <c r="H19" s="89">
        <f>IF(IF($E$5="Local prices",COUNTIFS('Offers'!$B$7:$B$608,$B19,'Offers'!$C$7:$C$608,H$10,'Offers'!$AH$7:$AH$608,"yes"),COUNTIFS('Offers'!$B$7:$B$608,$B19,'Offers'!$C$7:$C$608,H$10,'Offers'!$AI$7:$AI$608,"yes"))=0,"—",SUMIFS('Review'!$O$7:$O$210,'Review'!$B$7:$B$210,$B19,'Review'!$C$7:$C$210,H$10))</f>
        <v/>
      </c>
      <c r="I19" s="2" t="n"/>
      <c r="J19" s="2" t="n"/>
      <c r="K19" s="2" t="n"/>
      <c r="L19" s="2" t="n"/>
      <c r="M19" s="2" t="n"/>
      <c r="N19" s="2" t="n"/>
    </row>
    <row r="20" ht="36" customHeight="1">
      <c r="A20" s="2" t="n"/>
      <c r="B20" s="24" t="inlineStr">
        <is>
          <t>PE cutting board 530 × 325 × 20 mm</t>
        </is>
      </c>
      <c r="C20" s="87">
        <f>IF(IF($E$5="Local prices",COUNTIFS('Offers'!$B$7:$B$608,$B20,'Offers'!$C$7:$C$608,C$10,'Offers'!$AH$7:$AH$608,"yes"),COUNTIFS('Offers'!$B$7:$B$608,$B20,'Offers'!$C$7:$C$608,C$10,'Offers'!$AI$7:$AI$608,"yes"))=0,"—",SUMIFS('Review'!$O$7:$O$210,'Review'!$B$7:$B$210,$B20,'Review'!$C$7:$C$210,C$10))</f>
        <v/>
      </c>
      <c r="D20" s="87">
        <f>IF(IF($E$5="Local prices",COUNTIFS('Offers'!$B$7:$B$608,$B20,'Offers'!$C$7:$C$608,D$10,'Offers'!$AH$7:$AH$608,"yes"),COUNTIFS('Offers'!$B$7:$B$608,$B20,'Offers'!$C$7:$C$608,D$10,'Offers'!$AI$7:$AI$608,"yes"))=0,"—",SUMIFS('Review'!$O$7:$O$210,'Review'!$B$7:$B$210,$B20,'Review'!$C$7:$C$210,D$10))</f>
        <v/>
      </c>
      <c r="E20" s="87">
        <f>IF(IF($E$5="Local prices",COUNTIFS('Offers'!$B$7:$B$608,$B20,'Offers'!$C$7:$C$608,E$10,'Offers'!$AH$7:$AH$608,"yes"),COUNTIFS('Offers'!$B$7:$B$608,$B20,'Offers'!$C$7:$C$608,E$10,'Offers'!$AI$7:$AI$608,"yes"))=0,"—",SUMIFS('Review'!$O$7:$O$210,'Review'!$B$7:$B$210,$B20,'Review'!$C$7:$C$210,E$10))</f>
        <v/>
      </c>
      <c r="F20" s="87">
        <f>IF(IF($E$5="Local prices",COUNTIFS('Offers'!$B$7:$B$608,$B20,'Offers'!$C$7:$C$608,F$10,'Offers'!$AH$7:$AH$608,"yes"),COUNTIFS('Offers'!$B$7:$B$608,$B20,'Offers'!$C$7:$C$608,F$10,'Offers'!$AI$7:$AI$608,"yes"))=0,"—",SUMIFS('Review'!$O$7:$O$210,'Review'!$B$7:$B$210,$B20,'Review'!$C$7:$C$210,F$10))</f>
        <v/>
      </c>
      <c r="G20" s="87">
        <f>IF(IF($E$5="Local prices",COUNTIFS('Offers'!$B$7:$B$608,$B20,'Offers'!$C$7:$C$608,G$10,'Offers'!$AH$7:$AH$608,"yes"),COUNTIFS('Offers'!$B$7:$B$608,$B20,'Offers'!$C$7:$C$608,G$10,'Offers'!$AI$7:$AI$608,"yes"))=0,"—",SUMIFS('Review'!$O$7:$O$210,'Review'!$B$7:$B$210,$B20,'Review'!$C$7:$C$210,G$10))</f>
        <v/>
      </c>
      <c r="H20" s="87">
        <f>IF(IF($E$5="Local prices",COUNTIFS('Offers'!$B$7:$B$608,$B20,'Offers'!$C$7:$C$608,H$10,'Offers'!$AH$7:$AH$608,"yes"),COUNTIFS('Offers'!$B$7:$B$608,$B20,'Offers'!$C$7:$C$608,H$10,'Offers'!$AI$7:$AI$608,"yes"))=0,"—",SUMIFS('Review'!$O$7:$O$210,'Review'!$B$7:$B$210,$B20,'Review'!$C$7:$C$210,H$10))</f>
        <v/>
      </c>
      <c r="I20" s="2" t="n"/>
      <c r="J20" s="7" t="inlineStr">
        <is>
          <t>Price basis</t>
        </is>
      </c>
      <c r="K20" s="2" t="n"/>
      <c r="L20" s="2" t="n"/>
      <c r="M20" s="2" t="n"/>
      <c r="N20" s="2" t="n"/>
    </row>
    <row r="21" ht="36" customHeight="1">
      <c r="A21" s="2" t="n"/>
      <c r="B21" s="27" t="inlineStr">
        <is>
          <t>PE cutting board 600 × 400 × 20 mm</t>
        </is>
      </c>
      <c r="C21" s="89">
        <f>IF(IF($E$5="Local prices",COUNTIFS('Offers'!$B$7:$B$608,$B21,'Offers'!$C$7:$C$608,C$10,'Offers'!$AH$7:$AH$608,"yes"),COUNTIFS('Offers'!$B$7:$B$608,$B21,'Offers'!$C$7:$C$608,C$10,'Offers'!$AI$7:$AI$608,"yes"))=0,"—",SUMIFS('Review'!$O$7:$O$210,'Review'!$B$7:$B$210,$B21,'Review'!$C$7:$C$210,C$10))</f>
        <v/>
      </c>
      <c r="D21" s="89">
        <f>IF(IF($E$5="Local prices",COUNTIFS('Offers'!$B$7:$B$608,$B21,'Offers'!$C$7:$C$608,D$10,'Offers'!$AH$7:$AH$608,"yes"),COUNTIFS('Offers'!$B$7:$B$608,$B21,'Offers'!$C$7:$C$608,D$10,'Offers'!$AI$7:$AI$608,"yes"))=0,"—",SUMIFS('Review'!$O$7:$O$210,'Review'!$B$7:$B$210,$B21,'Review'!$C$7:$C$210,D$10))</f>
        <v/>
      </c>
      <c r="E21" s="89">
        <f>IF(IF($E$5="Local prices",COUNTIFS('Offers'!$B$7:$B$608,$B21,'Offers'!$C$7:$C$608,E$10,'Offers'!$AH$7:$AH$608,"yes"),COUNTIFS('Offers'!$B$7:$B$608,$B21,'Offers'!$C$7:$C$608,E$10,'Offers'!$AI$7:$AI$608,"yes"))=0,"—",SUMIFS('Review'!$O$7:$O$210,'Review'!$B$7:$B$210,$B21,'Review'!$C$7:$C$210,E$10))</f>
        <v/>
      </c>
      <c r="F21" s="89">
        <f>IF(IF($E$5="Local prices",COUNTIFS('Offers'!$B$7:$B$608,$B21,'Offers'!$C$7:$C$608,F$10,'Offers'!$AH$7:$AH$608,"yes"),COUNTIFS('Offers'!$B$7:$B$608,$B21,'Offers'!$C$7:$C$608,F$10,'Offers'!$AI$7:$AI$608,"yes"))=0,"—",SUMIFS('Review'!$O$7:$O$210,'Review'!$B$7:$B$210,$B21,'Review'!$C$7:$C$210,F$10))</f>
        <v/>
      </c>
      <c r="G21" s="89">
        <f>IF(IF($E$5="Local prices",COUNTIFS('Offers'!$B$7:$B$608,$B21,'Offers'!$C$7:$C$608,G$10,'Offers'!$AH$7:$AH$608,"yes"),COUNTIFS('Offers'!$B$7:$B$608,$B21,'Offers'!$C$7:$C$608,G$10,'Offers'!$AI$7:$AI$608,"yes"))=0,"—",SUMIFS('Review'!$O$7:$O$210,'Review'!$B$7:$B$210,$B21,'Review'!$C$7:$C$210,G$10))</f>
        <v/>
      </c>
      <c r="H21" s="89">
        <f>IF(IF($E$5="Local prices",COUNTIFS('Offers'!$B$7:$B$608,$B21,'Offers'!$C$7:$C$608,H$10,'Offers'!$AH$7:$AH$608,"yes"),COUNTIFS('Offers'!$B$7:$B$608,$B21,'Offers'!$C$7:$C$608,H$10,'Offers'!$AI$7:$AI$608,"yes"))=0,"—",SUMIFS('Review'!$O$7:$O$210,'Review'!$B$7:$B$210,$B21,'Review'!$C$7:$C$210,H$10))</f>
        <v/>
      </c>
      <c r="I21" s="2" t="n"/>
      <c r="J21" s="63" t="inlineStr">
        <is>
          <t>Hungary and Romania prices are net per piece, as confirmed by you.</t>
        </is>
      </c>
      <c r="N21" s="2" t="n"/>
    </row>
    <row r="22" ht="36" customHeight="1">
      <c r="A22" s="2" t="n"/>
      <c r="B22" s="24" t="inlineStr">
        <is>
          <t>PE cutting board 300 × 200 × 10 mm</t>
        </is>
      </c>
      <c r="C22" s="87">
        <f>IF(IF($E$5="Local prices",COUNTIFS('Offers'!$B$7:$B$608,$B22,'Offers'!$C$7:$C$608,C$10,'Offers'!$AH$7:$AH$608,"yes"),COUNTIFS('Offers'!$B$7:$B$608,$B22,'Offers'!$C$7:$C$608,C$10,'Offers'!$AI$7:$AI$608,"yes"))=0,"—",SUMIFS('Review'!$O$7:$O$210,'Review'!$B$7:$B$210,$B22,'Review'!$C$7:$C$210,C$10))</f>
        <v/>
      </c>
      <c r="D22" s="87">
        <f>IF(IF($E$5="Local prices",COUNTIFS('Offers'!$B$7:$B$608,$B22,'Offers'!$C$7:$C$608,D$10,'Offers'!$AH$7:$AH$608,"yes"),COUNTIFS('Offers'!$B$7:$B$608,$B22,'Offers'!$C$7:$C$608,D$10,'Offers'!$AI$7:$AI$608,"yes"))=0,"—",SUMIFS('Review'!$O$7:$O$210,'Review'!$B$7:$B$210,$B22,'Review'!$C$7:$C$210,D$10))</f>
        <v/>
      </c>
      <c r="E22" s="87">
        <f>IF(IF($E$5="Local prices",COUNTIFS('Offers'!$B$7:$B$608,$B22,'Offers'!$C$7:$C$608,E$10,'Offers'!$AH$7:$AH$608,"yes"),COUNTIFS('Offers'!$B$7:$B$608,$B22,'Offers'!$C$7:$C$608,E$10,'Offers'!$AI$7:$AI$608,"yes"))=0,"—",SUMIFS('Review'!$O$7:$O$210,'Review'!$B$7:$B$210,$B22,'Review'!$C$7:$C$210,E$10))</f>
        <v/>
      </c>
      <c r="F22" s="87">
        <f>IF(IF($E$5="Local prices",COUNTIFS('Offers'!$B$7:$B$608,$B22,'Offers'!$C$7:$C$608,F$10,'Offers'!$AH$7:$AH$608,"yes"),COUNTIFS('Offers'!$B$7:$B$608,$B22,'Offers'!$C$7:$C$608,F$10,'Offers'!$AI$7:$AI$608,"yes"))=0,"—",SUMIFS('Review'!$O$7:$O$210,'Review'!$B$7:$B$210,$B22,'Review'!$C$7:$C$210,F$10))</f>
        <v/>
      </c>
      <c r="G22" s="87">
        <f>IF(IF($E$5="Local prices",COUNTIFS('Offers'!$B$7:$B$608,$B22,'Offers'!$C$7:$C$608,G$10,'Offers'!$AH$7:$AH$608,"yes"),COUNTIFS('Offers'!$B$7:$B$608,$B22,'Offers'!$C$7:$C$608,G$10,'Offers'!$AI$7:$AI$608,"yes"))=0,"—",SUMIFS('Review'!$O$7:$O$210,'Review'!$B$7:$B$210,$B22,'Review'!$C$7:$C$210,G$10))</f>
        <v/>
      </c>
      <c r="H22" s="87">
        <f>IF(IF($E$5="Local prices",COUNTIFS('Offers'!$B$7:$B$608,$B22,'Offers'!$C$7:$C$608,H$10,'Offers'!$AH$7:$AH$608,"yes"),COUNTIFS('Offers'!$B$7:$B$608,$B22,'Offers'!$C$7:$C$608,H$10,'Offers'!$AI$7:$AI$608,"yes"))=0,"—",SUMIFS('Review'!$O$7:$O$210,'Review'!$B$7:$B$210,$B22,'Review'!$C$7:$C$210,H$10))</f>
        <v/>
      </c>
      <c r="I22" s="2" t="n"/>
      <c r="N22" s="2" t="n"/>
    </row>
    <row r="23" ht="36" customHeight="1">
      <c r="A23" s="2" t="n"/>
      <c r="B23" s="27" t="inlineStr">
        <is>
          <t>PP dough box 600 × 400 × 100 mm</t>
        </is>
      </c>
      <c r="C23" s="89">
        <f>IF(IF($E$5="Local prices",COUNTIFS('Offers'!$B$7:$B$608,$B23,'Offers'!$C$7:$C$608,C$10,'Offers'!$AH$7:$AH$608,"yes"),COUNTIFS('Offers'!$B$7:$B$608,$B23,'Offers'!$C$7:$C$608,C$10,'Offers'!$AI$7:$AI$608,"yes"))=0,"—",SUMIFS('Review'!$O$7:$O$210,'Review'!$B$7:$B$210,$B23,'Review'!$C$7:$C$210,C$10))</f>
        <v/>
      </c>
      <c r="D23" s="89">
        <f>IF(IF($E$5="Local prices",COUNTIFS('Offers'!$B$7:$B$608,$B23,'Offers'!$C$7:$C$608,D$10,'Offers'!$AH$7:$AH$608,"yes"),COUNTIFS('Offers'!$B$7:$B$608,$B23,'Offers'!$C$7:$C$608,D$10,'Offers'!$AI$7:$AI$608,"yes"))=0,"—",SUMIFS('Review'!$O$7:$O$210,'Review'!$B$7:$B$210,$B23,'Review'!$C$7:$C$210,D$10))</f>
        <v/>
      </c>
      <c r="E23" s="89">
        <f>IF(IF($E$5="Local prices",COUNTIFS('Offers'!$B$7:$B$608,$B23,'Offers'!$C$7:$C$608,E$10,'Offers'!$AH$7:$AH$608,"yes"),COUNTIFS('Offers'!$B$7:$B$608,$B23,'Offers'!$C$7:$C$608,E$10,'Offers'!$AI$7:$AI$608,"yes"))=0,"—",SUMIFS('Review'!$O$7:$O$210,'Review'!$B$7:$B$210,$B23,'Review'!$C$7:$C$210,E$10))</f>
        <v/>
      </c>
      <c r="F23" s="89">
        <f>IF(IF($E$5="Local prices",COUNTIFS('Offers'!$B$7:$B$608,$B23,'Offers'!$C$7:$C$608,F$10,'Offers'!$AH$7:$AH$608,"yes"),COUNTIFS('Offers'!$B$7:$B$608,$B23,'Offers'!$C$7:$C$608,F$10,'Offers'!$AI$7:$AI$608,"yes"))=0,"—",SUMIFS('Review'!$O$7:$O$210,'Review'!$B$7:$B$210,$B23,'Review'!$C$7:$C$210,F$10))</f>
        <v/>
      </c>
      <c r="G23" s="89">
        <f>IF(IF($E$5="Local prices",COUNTIFS('Offers'!$B$7:$B$608,$B23,'Offers'!$C$7:$C$608,G$10,'Offers'!$AH$7:$AH$608,"yes"),COUNTIFS('Offers'!$B$7:$B$608,$B23,'Offers'!$C$7:$C$608,G$10,'Offers'!$AI$7:$AI$608,"yes"))=0,"—",SUMIFS('Review'!$O$7:$O$210,'Review'!$B$7:$B$210,$B23,'Review'!$C$7:$C$210,G$10))</f>
        <v/>
      </c>
      <c r="H23" s="89">
        <f>IF(IF($E$5="Local prices",COUNTIFS('Offers'!$B$7:$B$608,$B23,'Offers'!$C$7:$C$608,H$10,'Offers'!$AH$7:$AH$608,"yes"),COUNTIFS('Offers'!$B$7:$B$608,$B23,'Offers'!$C$7:$C$608,H$10,'Offers'!$AI$7:$AI$608,"yes"))=0,"—",SUMIFS('Review'!$O$7:$O$210,'Review'!$B$7:$B$210,$B23,'Review'!$C$7:$C$210,H$10))</f>
        <v/>
      </c>
      <c r="I23" s="2" t="n"/>
      <c r="J23" s="2" t="n"/>
      <c r="K23" s="2" t="n"/>
      <c r="L23" s="2" t="n"/>
      <c r="M23" s="2" t="n"/>
      <c r="N23" s="2" t="n"/>
    </row>
    <row r="24" ht="36" customHeight="1">
      <c r="A24" s="2" t="n"/>
      <c r="B24" s="24" t="inlineStr">
        <is>
          <t>Lid for 600 × 400 mm dough box</t>
        </is>
      </c>
      <c r="C24" s="87">
        <f>IF(IF($E$5="Local prices",COUNTIFS('Offers'!$B$7:$B$608,$B24,'Offers'!$C$7:$C$608,C$10,'Offers'!$AH$7:$AH$608,"yes"),COUNTIFS('Offers'!$B$7:$B$608,$B24,'Offers'!$C$7:$C$608,C$10,'Offers'!$AI$7:$AI$608,"yes"))=0,"—",SUMIFS('Review'!$O$7:$O$210,'Review'!$B$7:$B$210,$B24,'Review'!$C$7:$C$210,C$10))</f>
        <v/>
      </c>
      <c r="D24" s="87">
        <f>IF(IF($E$5="Local prices",COUNTIFS('Offers'!$B$7:$B$608,$B24,'Offers'!$C$7:$C$608,D$10,'Offers'!$AH$7:$AH$608,"yes"),COUNTIFS('Offers'!$B$7:$B$608,$B24,'Offers'!$C$7:$C$608,D$10,'Offers'!$AI$7:$AI$608,"yes"))=0,"—",SUMIFS('Review'!$O$7:$O$210,'Review'!$B$7:$B$210,$B24,'Review'!$C$7:$C$210,D$10))</f>
        <v/>
      </c>
      <c r="E24" s="87">
        <f>IF(IF($E$5="Local prices",COUNTIFS('Offers'!$B$7:$B$608,$B24,'Offers'!$C$7:$C$608,E$10,'Offers'!$AH$7:$AH$608,"yes"),COUNTIFS('Offers'!$B$7:$B$608,$B24,'Offers'!$C$7:$C$608,E$10,'Offers'!$AI$7:$AI$608,"yes"))=0,"—",SUMIFS('Review'!$O$7:$O$210,'Review'!$B$7:$B$210,$B24,'Review'!$C$7:$C$210,E$10))</f>
        <v/>
      </c>
      <c r="F24" s="87">
        <f>IF(IF($E$5="Local prices",COUNTIFS('Offers'!$B$7:$B$608,$B24,'Offers'!$C$7:$C$608,F$10,'Offers'!$AH$7:$AH$608,"yes"),COUNTIFS('Offers'!$B$7:$B$608,$B24,'Offers'!$C$7:$C$608,F$10,'Offers'!$AI$7:$AI$608,"yes"))=0,"—",SUMIFS('Review'!$O$7:$O$210,'Review'!$B$7:$B$210,$B24,'Review'!$C$7:$C$210,F$10))</f>
        <v/>
      </c>
      <c r="G24" s="87">
        <f>IF(IF($E$5="Local prices",COUNTIFS('Offers'!$B$7:$B$608,$B24,'Offers'!$C$7:$C$608,G$10,'Offers'!$AH$7:$AH$608,"yes"),COUNTIFS('Offers'!$B$7:$B$608,$B24,'Offers'!$C$7:$C$608,G$10,'Offers'!$AI$7:$AI$608,"yes"))=0,"—",SUMIFS('Review'!$O$7:$O$210,'Review'!$B$7:$B$210,$B24,'Review'!$C$7:$C$210,G$10))</f>
        <v/>
      </c>
      <c r="H24" s="87">
        <f>IF(IF($E$5="Local prices",COUNTIFS('Offers'!$B$7:$B$608,$B24,'Offers'!$C$7:$C$608,H$10,'Offers'!$AH$7:$AH$608,"yes"),COUNTIFS('Offers'!$B$7:$B$608,$B24,'Offers'!$C$7:$C$608,H$10,'Offers'!$AI$7:$AI$608,"yes"))=0,"—",SUMIFS('Review'!$O$7:$O$210,'Review'!$B$7:$B$210,$B24,'Review'!$C$7:$C$210,H$10))</f>
        <v/>
      </c>
      <c r="I24" s="2" t="n"/>
      <c r="J24" s="7" t="inlineStr">
        <is>
          <t>Current FX</t>
        </is>
      </c>
      <c r="K24" s="2" t="n"/>
      <c r="L24" s="2" t="n"/>
      <c r="M24" s="2" t="n"/>
      <c r="N24" s="2" t="n"/>
    </row>
    <row r="25" ht="36" customHeight="1">
      <c r="A25" s="2" t="n"/>
      <c r="B25" s="27" t="inlineStr">
        <is>
          <t>PE dough box 600 × 400 × 75 mm</t>
        </is>
      </c>
      <c r="C25" s="89">
        <f>IF(IF($E$5="Local prices",COUNTIFS('Offers'!$B$7:$B$608,$B25,'Offers'!$C$7:$C$608,C$10,'Offers'!$AH$7:$AH$608,"yes"),COUNTIFS('Offers'!$B$7:$B$608,$B25,'Offers'!$C$7:$C$608,C$10,'Offers'!$AI$7:$AI$608,"yes"))=0,"—",SUMIFS('Review'!$O$7:$O$210,'Review'!$B$7:$B$210,$B25,'Review'!$C$7:$C$210,C$10))</f>
        <v/>
      </c>
      <c r="D25" s="89">
        <f>IF(IF($E$5="Local prices",COUNTIFS('Offers'!$B$7:$B$608,$B25,'Offers'!$C$7:$C$608,D$10,'Offers'!$AH$7:$AH$608,"yes"),COUNTIFS('Offers'!$B$7:$B$608,$B25,'Offers'!$C$7:$C$608,D$10,'Offers'!$AI$7:$AI$608,"yes"))=0,"—",SUMIFS('Review'!$O$7:$O$210,'Review'!$B$7:$B$210,$B25,'Review'!$C$7:$C$210,D$10))</f>
        <v/>
      </c>
      <c r="E25" s="89">
        <f>IF(IF($E$5="Local prices",COUNTIFS('Offers'!$B$7:$B$608,$B25,'Offers'!$C$7:$C$608,E$10,'Offers'!$AH$7:$AH$608,"yes"),COUNTIFS('Offers'!$B$7:$B$608,$B25,'Offers'!$C$7:$C$608,E$10,'Offers'!$AI$7:$AI$608,"yes"))=0,"—",SUMIFS('Review'!$O$7:$O$210,'Review'!$B$7:$B$210,$B25,'Review'!$C$7:$C$210,E$10))</f>
        <v/>
      </c>
      <c r="F25" s="89">
        <f>IF(IF($E$5="Local prices",COUNTIFS('Offers'!$B$7:$B$608,$B25,'Offers'!$C$7:$C$608,F$10,'Offers'!$AH$7:$AH$608,"yes"),COUNTIFS('Offers'!$B$7:$B$608,$B25,'Offers'!$C$7:$C$608,F$10,'Offers'!$AI$7:$AI$608,"yes"))=0,"—",SUMIFS('Review'!$O$7:$O$210,'Review'!$B$7:$B$210,$B25,'Review'!$C$7:$C$210,F$10))</f>
        <v/>
      </c>
      <c r="G25" s="89">
        <f>IF(IF($E$5="Local prices",COUNTIFS('Offers'!$B$7:$B$608,$B25,'Offers'!$C$7:$C$608,G$10,'Offers'!$AH$7:$AH$608,"yes"),COUNTIFS('Offers'!$B$7:$B$608,$B25,'Offers'!$C$7:$C$608,G$10,'Offers'!$AI$7:$AI$608,"yes"))=0,"—",SUMIFS('Review'!$O$7:$O$210,'Review'!$B$7:$B$210,$B25,'Review'!$C$7:$C$210,G$10))</f>
        <v/>
      </c>
      <c r="H25" s="89">
        <f>IF(IF($E$5="Local prices",COUNTIFS('Offers'!$B$7:$B$608,$B25,'Offers'!$C$7:$C$608,H$10,'Offers'!$AH$7:$AH$608,"yes"),COUNTIFS('Offers'!$B$7:$B$608,$B25,'Offers'!$C$7:$C$608,H$10,'Offers'!$AI$7:$AI$608,"yes"))=0,"—",SUMIFS('Review'!$O$7:$O$210,'Review'!$B$7:$B$210,$B25,'Review'!$C$7:$C$210,H$10))</f>
        <v/>
      </c>
      <c r="I25" s="2" t="n"/>
      <c r="J25" s="63" t="inlineStr">
        <is>
          <t>Erste rates are applied to analytical conversions. Historical prices and research dates remain unchanged.</t>
        </is>
      </c>
      <c r="N25" s="2" t="n"/>
    </row>
    <row r="26" ht="36" customHeight="1">
      <c r="A26" s="2" t="n"/>
      <c r="B26" s="24" t="inlineStr">
        <is>
          <t>Front-load GN 1/1 thermobox, 80–90 L</t>
        </is>
      </c>
      <c r="C26" s="87">
        <f>IF(IF($E$5="Local prices",COUNTIFS('Offers'!$B$7:$B$608,$B26,'Offers'!$C$7:$C$608,C$10,'Offers'!$AH$7:$AH$608,"yes"),COUNTIFS('Offers'!$B$7:$B$608,$B26,'Offers'!$C$7:$C$608,C$10,'Offers'!$AI$7:$AI$608,"yes"))=0,"—",SUMIFS('Review'!$O$7:$O$210,'Review'!$B$7:$B$210,$B26,'Review'!$C$7:$C$210,C$10))</f>
        <v/>
      </c>
      <c r="D26" s="87">
        <f>IF(IF($E$5="Local prices",COUNTIFS('Offers'!$B$7:$B$608,$B26,'Offers'!$C$7:$C$608,D$10,'Offers'!$AH$7:$AH$608,"yes"),COUNTIFS('Offers'!$B$7:$B$608,$B26,'Offers'!$C$7:$C$608,D$10,'Offers'!$AI$7:$AI$608,"yes"))=0,"—",SUMIFS('Review'!$O$7:$O$210,'Review'!$B$7:$B$210,$B26,'Review'!$C$7:$C$210,D$10))</f>
        <v/>
      </c>
      <c r="E26" s="87">
        <f>IF(IF($E$5="Local prices",COUNTIFS('Offers'!$B$7:$B$608,$B26,'Offers'!$C$7:$C$608,E$10,'Offers'!$AH$7:$AH$608,"yes"),COUNTIFS('Offers'!$B$7:$B$608,$B26,'Offers'!$C$7:$C$608,E$10,'Offers'!$AI$7:$AI$608,"yes"))=0,"—",SUMIFS('Review'!$O$7:$O$210,'Review'!$B$7:$B$210,$B26,'Review'!$C$7:$C$210,E$10))</f>
        <v/>
      </c>
      <c r="F26" s="87">
        <f>IF(IF($E$5="Local prices",COUNTIFS('Offers'!$B$7:$B$608,$B26,'Offers'!$C$7:$C$608,F$10,'Offers'!$AH$7:$AH$608,"yes"),COUNTIFS('Offers'!$B$7:$B$608,$B26,'Offers'!$C$7:$C$608,F$10,'Offers'!$AI$7:$AI$608,"yes"))=0,"—",SUMIFS('Review'!$O$7:$O$210,'Review'!$B$7:$B$210,$B26,'Review'!$C$7:$C$210,F$10))</f>
        <v/>
      </c>
      <c r="G26" s="87">
        <f>IF(IF($E$5="Local prices",COUNTIFS('Offers'!$B$7:$B$608,$B26,'Offers'!$C$7:$C$608,G$10,'Offers'!$AH$7:$AH$608,"yes"),COUNTIFS('Offers'!$B$7:$B$608,$B26,'Offers'!$C$7:$C$608,G$10,'Offers'!$AI$7:$AI$608,"yes"))=0,"—",SUMIFS('Review'!$O$7:$O$210,'Review'!$B$7:$B$210,$B26,'Review'!$C$7:$C$210,G$10))</f>
        <v/>
      </c>
      <c r="H26" s="87">
        <f>IF(IF($E$5="Local prices",COUNTIFS('Offers'!$B$7:$B$608,$B26,'Offers'!$C$7:$C$608,H$10,'Offers'!$AH$7:$AH$608,"yes"),COUNTIFS('Offers'!$B$7:$B$608,$B26,'Offers'!$C$7:$C$608,H$10,'Offers'!$AI$7:$AI$608,"yes"))=0,"—",SUMIFS('Review'!$O$7:$O$210,'Review'!$B$7:$B$210,$B26,'Review'!$C$7:$C$210,H$10))</f>
        <v/>
      </c>
      <c r="I26" s="2" t="n"/>
      <c r="N26" s="2" t="n"/>
    </row>
    <row r="27" ht="36" customHeight="1">
      <c r="A27" s="2" t="n"/>
      <c r="B27" s="27" t="inlineStr">
        <is>
          <t>Service tray approx. 370 × 530 mm</t>
        </is>
      </c>
      <c r="C27" s="89">
        <f>IF(IF($E$5="Local prices",COUNTIFS('Offers'!$B$7:$B$608,$B27,'Offers'!$C$7:$C$608,C$10,'Offers'!$AH$7:$AH$608,"yes"),COUNTIFS('Offers'!$B$7:$B$608,$B27,'Offers'!$C$7:$C$608,C$10,'Offers'!$AI$7:$AI$608,"yes"))=0,"—",SUMIFS('Review'!$O$7:$O$210,'Review'!$B$7:$B$210,$B27,'Review'!$C$7:$C$210,C$10))</f>
        <v/>
      </c>
      <c r="D27" s="89">
        <f>IF(IF($E$5="Local prices",COUNTIFS('Offers'!$B$7:$B$608,$B27,'Offers'!$C$7:$C$608,D$10,'Offers'!$AH$7:$AH$608,"yes"),COUNTIFS('Offers'!$B$7:$B$608,$B27,'Offers'!$C$7:$C$608,D$10,'Offers'!$AI$7:$AI$608,"yes"))=0,"—",SUMIFS('Review'!$O$7:$O$210,'Review'!$B$7:$B$210,$B27,'Review'!$C$7:$C$210,D$10))</f>
        <v/>
      </c>
      <c r="E27" s="89">
        <f>IF(IF($E$5="Local prices",COUNTIFS('Offers'!$B$7:$B$608,$B27,'Offers'!$C$7:$C$608,E$10,'Offers'!$AH$7:$AH$608,"yes"),COUNTIFS('Offers'!$B$7:$B$608,$B27,'Offers'!$C$7:$C$608,E$10,'Offers'!$AI$7:$AI$608,"yes"))=0,"—",SUMIFS('Review'!$O$7:$O$210,'Review'!$B$7:$B$210,$B27,'Review'!$C$7:$C$210,E$10))</f>
        <v/>
      </c>
      <c r="F27" s="89">
        <f>IF(IF($E$5="Local prices",COUNTIFS('Offers'!$B$7:$B$608,$B27,'Offers'!$C$7:$C$608,F$10,'Offers'!$AH$7:$AH$608,"yes"),COUNTIFS('Offers'!$B$7:$B$608,$B27,'Offers'!$C$7:$C$608,F$10,'Offers'!$AI$7:$AI$608,"yes"))=0,"—",SUMIFS('Review'!$O$7:$O$210,'Review'!$B$7:$B$210,$B27,'Review'!$C$7:$C$210,F$10))</f>
        <v/>
      </c>
      <c r="G27" s="89">
        <f>IF(IF($E$5="Local prices",COUNTIFS('Offers'!$B$7:$B$608,$B27,'Offers'!$C$7:$C$608,G$10,'Offers'!$AH$7:$AH$608,"yes"),COUNTIFS('Offers'!$B$7:$B$608,$B27,'Offers'!$C$7:$C$608,G$10,'Offers'!$AI$7:$AI$608,"yes"))=0,"—",SUMIFS('Review'!$O$7:$O$210,'Review'!$B$7:$B$210,$B27,'Review'!$C$7:$C$210,G$10))</f>
        <v/>
      </c>
      <c r="H27" s="89">
        <f>IF(IF($E$5="Local prices",COUNTIFS('Offers'!$B$7:$B$608,$B27,'Offers'!$C$7:$C$608,H$10,'Offers'!$AH$7:$AH$608,"yes"),COUNTIFS('Offers'!$B$7:$B$608,$B27,'Offers'!$C$7:$C$608,H$10,'Offers'!$AI$7:$AI$608,"yes"))=0,"—",SUMIFS('Review'!$O$7:$O$210,'Review'!$B$7:$B$210,$B27,'Review'!$C$7:$C$210,H$10))</f>
        <v/>
      </c>
      <c r="I27" s="2" t="n"/>
      <c r="J27" s="2" t="n"/>
      <c r="K27" s="2" t="n"/>
      <c r="L27" s="2" t="n"/>
      <c r="M27" s="2" t="n"/>
      <c r="N27" s="2" t="n"/>
    </row>
    <row r="28" ht="36" customHeight="1">
      <c r="A28" s="2" t="n"/>
      <c r="B28" s="24" t="inlineStr">
        <is>
          <t>Thermo tray + lid, 5–6 compartments</t>
        </is>
      </c>
      <c r="C28" s="87">
        <f>IF(IF($E$5="Local prices",COUNTIFS('Offers'!$B$7:$B$608,$B28,'Offers'!$C$7:$C$608,C$10,'Offers'!$AH$7:$AH$608,"yes"),COUNTIFS('Offers'!$B$7:$B$608,$B28,'Offers'!$C$7:$C$608,C$10,'Offers'!$AI$7:$AI$608,"yes"))=0,"—",SUMIFS('Review'!$O$7:$O$210,'Review'!$B$7:$B$210,$B28,'Review'!$C$7:$C$210,C$10))</f>
        <v/>
      </c>
      <c r="D28" s="87">
        <f>IF(IF($E$5="Local prices",COUNTIFS('Offers'!$B$7:$B$608,$B28,'Offers'!$C$7:$C$608,D$10,'Offers'!$AH$7:$AH$608,"yes"),COUNTIFS('Offers'!$B$7:$B$608,$B28,'Offers'!$C$7:$C$608,D$10,'Offers'!$AI$7:$AI$608,"yes"))=0,"—",SUMIFS('Review'!$O$7:$O$210,'Review'!$B$7:$B$210,$B28,'Review'!$C$7:$C$210,D$10))</f>
        <v/>
      </c>
      <c r="E28" s="87">
        <f>IF(IF($E$5="Local prices",COUNTIFS('Offers'!$B$7:$B$608,$B28,'Offers'!$C$7:$C$608,E$10,'Offers'!$AH$7:$AH$608,"yes"),COUNTIFS('Offers'!$B$7:$B$608,$B28,'Offers'!$C$7:$C$608,E$10,'Offers'!$AI$7:$AI$608,"yes"))=0,"—",SUMIFS('Review'!$O$7:$O$210,'Review'!$B$7:$B$210,$B28,'Review'!$C$7:$C$210,E$10))</f>
        <v/>
      </c>
      <c r="F28" s="87">
        <f>IF(IF($E$5="Local prices",COUNTIFS('Offers'!$B$7:$B$608,$B28,'Offers'!$C$7:$C$608,F$10,'Offers'!$AH$7:$AH$608,"yes"),COUNTIFS('Offers'!$B$7:$B$608,$B28,'Offers'!$C$7:$C$608,F$10,'Offers'!$AI$7:$AI$608,"yes"))=0,"—",SUMIFS('Review'!$O$7:$O$210,'Review'!$B$7:$B$210,$B28,'Review'!$C$7:$C$210,F$10))</f>
        <v/>
      </c>
      <c r="G28" s="87">
        <f>IF(IF($E$5="Local prices",COUNTIFS('Offers'!$B$7:$B$608,$B28,'Offers'!$C$7:$C$608,G$10,'Offers'!$AH$7:$AH$608,"yes"),COUNTIFS('Offers'!$B$7:$B$608,$B28,'Offers'!$C$7:$C$608,G$10,'Offers'!$AI$7:$AI$608,"yes"))=0,"—",SUMIFS('Review'!$O$7:$O$210,'Review'!$B$7:$B$210,$B28,'Review'!$C$7:$C$210,G$10))</f>
        <v/>
      </c>
      <c r="H28" s="87">
        <f>IF(IF($E$5="Local prices",COUNTIFS('Offers'!$B$7:$B$608,$B28,'Offers'!$C$7:$C$608,H$10,'Offers'!$AH$7:$AH$608,"yes"),COUNTIFS('Offers'!$B$7:$B$608,$B28,'Offers'!$C$7:$C$608,H$10,'Offers'!$AI$7:$AI$608,"yes"))=0,"—",SUMIFS('Review'!$O$7:$O$210,'Review'!$B$7:$B$210,$B28,'Review'!$C$7:$C$210,H$10))</f>
        <v/>
      </c>
      <c r="I28" s="2" t="n"/>
      <c r="J28" s="7" t="inlineStr">
        <is>
          <t>Your review</t>
        </is>
      </c>
      <c r="K28" s="2" t="n"/>
      <c r="L28" s="2" t="n"/>
      <c r="M28" s="2" t="n"/>
      <c r="N28" s="2" t="n"/>
    </row>
    <row r="29" ht="36" customHeight="1">
      <c r="A29" s="2" t="n"/>
      <c r="B29" s="79" t="inlineStr">
        <is>
          <t>GN 1/1 PP container, 65 mm</t>
        </is>
      </c>
      <c r="C29" s="91">
        <f>IF(IF($E$5="Local prices",COUNTIFS('Offers'!$B$7:$B$608,$B29,'Offers'!$C$7:$C$608,C$10,'Offers'!$AH$7:$AH$608,"yes"),COUNTIFS('Offers'!$B$7:$B$608,$B29,'Offers'!$C$7:$C$608,C$10,'Offers'!$AI$7:$AI$608,"yes"))=0,"—",SUMIFS('Review'!$O$7:$O$210,'Review'!$B$7:$B$210,$B29,'Review'!$C$7:$C$210,C$10))</f>
        <v/>
      </c>
      <c r="D29" s="91">
        <f>IF(IF($E$5="Local prices",COUNTIFS('Offers'!$B$7:$B$608,$B29,'Offers'!$C$7:$C$608,D$10,'Offers'!$AH$7:$AH$608,"yes"),COUNTIFS('Offers'!$B$7:$B$608,$B29,'Offers'!$C$7:$C$608,D$10,'Offers'!$AI$7:$AI$608,"yes"))=0,"—",SUMIFS('Review'!$O$7:$O$210,'Review'!$B$7:$B$210,$B29,'Review'!$C$7:$C$210,D$10))</f>
        <v/>
      </c>
      <c r="E29" s="91">
        <f>IF(IF($E$5="Local prices",COUNTIFS('Offers'!$B$7:$B$608,$B29,'Offers'!$C$7:$C$608,E$10,'Offers'!$AH$7:$AH$608,"yes"),COUNTIFS('Offers'!$B$7:$B$608,$B29,'Offers'!$C$7:$C$608,E$10,'Offers'!$AI$7:$AI$608,"yes"))=0,"—",SUMIFS('Review'!$O$7:$O$210,'Review'!$B$7:$B$210,$B29,'Review'!$C$7:$C$210,E$10))</f>
        <v/>
      </c>
      <c r="F29" s="91">
        <f>IF(IF($E$5="Local prices",COUNTIFS('Offers'!$B$7:$B$608,$B29,'Offers'!$C$7:$C$608,F$10,'Offers'!$AH$7:$AH$608,"yes"),COUNTIFS('Offers'!$B$7:$B$608,$B29,'Offers'!$C$7:$C$608,F$10,'Offers'!$AI$7:$AI$608,"yes"))=0,"—",SUMIFS('Review'!$O$7:$O$210,'Review'!$B$7:$B$210,$B29,'Review'!$C$7:$C$210,F$10))</f>
        <v/>
      </c>
      <c r="G29" s="91">
        <f>IF(IF($E$5="Local prices",COUNTIFS('Offers'!$B$7:$B$608,$B29,'Offers'!$C$7:$C$608,G$10,'Offers'!$AH$7:$AH$608,"yes"),COUNTIFS('Offers'!$B$7:$B$608,$B29,'Offers'!$C$7:$C$608,G$10,'Offers'!$AI$7:$AI$608,"yes"))=0,"—",SUMIFS('Review'!$O$7:$O$210,'Review'!$B$7:$B$210,$B29,'Review'!$C$7:$C$210,G$10))</f>
        <v/>
      </c>
      <c r="H29" s="91">
        <f>IF(IF($E$5="Local prices",COUNTIFS('Offers'!$B$7:$B$608,$B29,'Offers'!$C$7:$C$608,H$10,'Offers'!$AH$7:$AH$608,"yes"),COUNTIFS('Offers'!$B$7:$B$608,$B29,'Offers'!$C$7:$C$608,H$10,'Offers'!$AI$7:$AI$608,"yes"))=0,"—",SUMIFS('Review'!$O$7:$O$210,'Review'!$B$7:$B$210,$B29,'Review'!$C$7:$C$210,H$10))</f>
        <v/>
      </c>
      <c r="I29" s="2" t="n"/>
      <c r="J29" s="63" t="inlineStr">
        <is>
          <t>Record decisions, priorities and comments in Review. Add offer-specific comments in Offers.</t>
        </is>
      </c>
      <c r="N29" s="2" t="n"/>
    </row>
    <row r="30" ht="36" customHeight="1">
      <c r="A30" s="2" t="n"/>
      <c r="B30" s="24" t="inlineStr">
        <is>
          <t>GN 1/3 PC container, 100 mm</t>
        </is>
      </c>
      <c r="C30" s="87">
        <f>IF(IF($E$5="Local prices",COUNTIFS('Offers'!$B$7:$B$608,$B30,'Offers'!$C$7:$C$608,C$10,'Offers'!$AH$7:$AH$608,"yes"),COUNTIFS('Offers'!$B$7:$B$608,$B30,'Offers'!$C$7:$C$608,C$10,'Offers'!$AI$7:$AI$608,"yes"))=0,"—",SUMIFS('Review'!$O$7:$O$210,'Review'!$B$7:$B$210,$B30,'Review'!$C$7:$C$210,C$10))</f>
        <v/>
      </c>
      <c r="D30" s="87">
        <f>IF(IF($E$5="Local prices",COUNTIFS('Offers'!$B$7:$B$608,$B30,'Offers'!$C$7:$C$608,D$10,'Offers'!$AH$7:$AH$608,"yes"),COUNTIFS('Offers'!$B$7:$B$608,$B30,'Offers'!$C$7:$C$608,D$10,'Offers'!$AI$7:$AI$608,"yes"))=0,"—",SUMIFS('Review'!$O$7:$O$210,'Review'!$B$7:$B$210,$B30,'Review'!$C$7:$C$210,D$10))</f>
        <v/>
      </c>
      <c r="E30" s="87">
        <f>IF(IF($E$5="Local prices",COUNTIFS('Offers'!$B$7:$B$608,$B30,'Offers'!$C$7:$C$608,E$10,'Offers'!$AH$7:$AH$608,"yes"),COUNTIFS('Offers'!$B$7:$B$608,$B30,'Offers'!$C$7:$C$608,E$10,'Offers'!$AI$7:$AI$608,"yes"))=0,"—",SUMIFS('Review'!$O$7:$O$210,'Review'!$B$7:$B$210,$B30,'Review'!$C$7:$C$210,E$10))</f>
        <v/>
      </c>
      <c r="F30" s="87">
        <f>IF(IF($E$5="Local prices",COUNTIFS('Offers'!$B$7:$B$608,$B30,'Offers'!$C$7:$C$608,F$10,'Offers'!$AH$7:$AH$608,"yes"),COUNTIFS('Offers'!$B$7:$B$608,$B30,'Offers'!$C$7:$C$608,F$10,'Offers'!$AI$7:$AI$608,"yes"))=0,"—",SUMIFS('Review'!$O$7:$O$210,'Review'!$B$7:$B$210,$B30,'Review'!$C$7:$C$210,F$10))</f>
        <v/>
      </c>
      <c r="G30" s="87">
        <f>IF(IF($E$5="Local prices",COUNTIFS('Offers'!$B$7:$B$608,$B30,'Offers'!$C$7:$C$608,G$10,'Offers'!$AH$7:$AH$608,"yes"),COUNTIFS('Offers'!$B$7:$B$608,$B30,'Offers'!$C$7:$C$608,G$10,'Offers'!$AI$7:$AI$608,"yes"))=0,"—",SUMIFS('Review'!$O$7:$O$210,'Review'!$B$7:$B$210,$B30,'Review'!$C$7:$C$210,G$10))</f>
        <v/>
      </c>
      <c r="H30" s="87">
        <f>IF(IF($E$5="Local prices",COUNTIFS('Offers'!$B$7:$B$608,$B30,'Offers'!$C$7:$C$608,H$10,'Offers'!$AH$7:$AH$608,"yes"),COUNTIFS('Offers'!$B$7:$B$608,$B30,'Offers'!$C$7:$C$608,H$10,'Offers'!$AI$7:$AI$608,"yes"))=0,"—",SUMIFS('Review'!$O$7:$O$210,'Review'!$B$7:$B$210,$B30,'Review'!$C$7:$C$210,H$10))</f>
        <v/>
      </c>
      <c r="I30" s="2" t="n"/>
      <c r="N30" s="2" t="n"/>
    </row>
    <row r="31" ht="36" customHeight="1">
      <c r="A31" s="2" t="n"/>
      <c r="B31" s="27" t="inlineStr">
        <is>
          <t>GN 1/2 PP container, 150 mm</t>
        </is>
      </c>
      <c r="C31" s="89">
        <f>IF(IF($E$5="Local prices",COUNTIFS('Offers'!$B$7:$B$608,$B31,'Offers'!$C$7:$C$608,C$10,'Offers'!$AH$7:$AH$608,"yes"),COUNTIFS('Offers'!$B$7:$B$608,$B31,'Offers'!$C$7:$C$608,C$10,'Offers'!$AI$7:$AI$608,"yes"))=0,"—",SUMIFS('Review'!$O$7:$O$210,'Review'!$B$7:$B$210,$B31,'Review'!$C$7:$C$210,C$10))</f>
        <v/>
      </c>
      <c r="D31" s="89">
        <f>IF(IF($E$5="Local prices",COUNTIFS('Offers'!$B$7:$B$608,$B31,'Offers'!$C$7:$C$608,D$10,'Offers'!$AH$7:$AH$608,"yes"),COUNTIFS('Offers'!$B$7:$B$608,$B31,'Offers'!$C$7:$C$608,D$10,'Offers'!$AI$7:$AI$608,"yes"))=0,"—",SUMIFS('Review'!$O$7:$O$210,'Review'!$B$7:$B$210,$B31,'Review'!$C$7:$C$210,D$10))</f>
        <v/>
      </c>
      <c r="E31" s="89">
        <f>IF(IF($E$5="Local prices",COUNTIFS('Offers'!$B$7:$B$608,$B31,'Offers'!$C$7:$C$608,E$10,'Offers'!$AH$7:$AH$608,"yes"),COUNTIFS('Offers'!$B$7:$B$608,$B31,'Offers'!$C$7:$C$608,E$10,'Offers'!$AI$7:$AI$608,"yes"))=0,"—",SUMIFS('Review'!$O$7:$O$210,'Review'!$B$7:$B$210,$B31,'Review'!$C$7:$C$210,E$10))</f>
        <v/>
      </c>
      <c r="F31" s="89">
        <f>IF(IF($E$5="Local prices",COUNTIFS('Offers'!$B$7:$B$608,$B31,'Offers'!$C$7:$C$608,F$10,'Offers'!$AH$7:$AH$608,"yes"),COUNTIFS('Offers'!$B$7:$B$608,$B31,'Offers'!$C$7:$C$608,F$10,'Offers'!$AI$7:$AI$608,"yes"))=0,"—",SUMIFS('Review'!$O$7:$O$210,'Review'!$B$7:$B$210,$B31,'Review'!$C$7:$C$210,F$10))</f>
        <v/>
      </c>
      <c r="G31" s="89">
        <f>IF(IF($E$5="Local prices",COUNTIFS('Offers'!$B$7:$B$608,$B31,'Offers'!$C$7:$C$608,G$10,'Offers'!$AH$7:$AH$608,"yes"),COUNTIFS('Offers'!$B$7:$B$608,$B31,'Offers'!$C$7:$C$608,G$10,'Offers'!$AI$7:$AI$608,"yes"))=0,"—",SUMIFS('Review'!$O$7:$O$210,'Review'!$B$7:$B$210,$B31,'Review'!$C$7:$C$210,G$10))</f>
        <v/>
      </c>
      <c r="H31" s="89">
        <f>IF(IF($E$5="Local prices",COUNTIFS('Offers'!$B$7:$B$608,$B31,'Offers'!$C$7:$C$608,H$10,'Offers'!$AH$7:$AH$608,"yes"),COUNTIFS('Offers'!$B$7:$B$608,$B31,'Offers'!$C$7:$C$608,H$10,'Offers'!$AI$7:$AI$608,"yes"))=0,"—",SUMIFS('Review'!$O$7:$O$210,'Review'!$B$7:$B$210,$B31,'Review'!$C$7:$C$210,H$10))</f>
        <v/>
      </c>
      <c r="I31" s="2" t="n"/>
      <c r="J31" s="2" t="n"/>
      <c r="K31" s="2" t="n"/>
      <c r="L31" s="2" t="n"/>
      <c r="M31" s="2" t="n"/>
      <c r="N31" s="2" t="n"/>
    </row>
    <row r="32" ht="36" customHeight="1">
      <c r="A32" s="2" t="n"/>
      <c r="B32" s="24" t="inlineStr">
        <is>
          <t>GN 1/1 PC lid</t>
        </is>
      </c>
      <c r="C32" s="87">
        <f>IF(IF($E$5="Local prices",COUNTIFS('Offers'!$B$7:$B$608,$B32,'Offers'!$C$7:$C$608,C$10,'Offers'!$AH$7:$AH$608,"yes"),COUNTIFS('Offers'!$B$7:$B$608,$B32,'Offers'!$C$7:$C$608,C$10,'Offers'!$AI$7:$AI$608,"yes"))=0,"—",SUMIFS('Review'!$O$7:$O$210,'Review'!$B$7:$B$210,$B32,'Review'!$C$7:$C$210,C$10))</f>
        <v/>
      </c>
      <c r="D32" s="87">
        <f>IF(IF($E$5="Local prices",COUNTIFS('Offers'!$B$7:$B$608,$B32,'Offers'!$C$7:$C$608,D$10,'Offers'!$AH$7:$AH$608,"yes"),COUNTIFS('Offers'!$B$7:$B$608,$B32,'Offers'!$C$7:$C$608,D$10,'Offers'!$AI$7:$AI$608,"yes"))=0,"—",SUMIFS('Review'!$O$7:$O$210,'Review'!$B$7:$B$210,$B32,'Review'!$C$7:$C$210,D$10))</f>
        <v/>
      </c>
      <c r="E32" s="87">
        <f>IF(IF($E$5="Local prices",COUNTIFS('Offers'!$B$7:$B$608,$B32,'Offers'!$C$7:$C$608,E$10,'Offers'!$AH$7:$AH$608,"yes"),COUNTIFS('Offers'!$B$7:$B$608,$B32,'Offers'!$C$7:$C$608,E$10,'Offers'!$AI$7:$AI$608,"yes"))=0,"—",SUMIFS('Review'!$O$7:$O$210,'Review'!$B$7:$B$210,$B32,'Review'!$C$7:$C$210,E$10))</f>
        <v/>
      </c>
      <c r="F32" s="87">
        <f>IF(IF($E$5="Local prices",COUNTIFS('Offers'!$B$7:$B$608,$B32,'Offers'!$C$7:$C$608,F$10,'Offers'!$AH$7:$AH$608,"yes"),COUNTIFS('Offers'!$B$7:$B$608,$B32,'Offers'!$C$7:$C$608,F$10,'Offers'!$AI$7:$AI$608,"yes"))=0,"—",SUMIFS('Review'!$O$7:$O$210,'Review'!$B$7:$B$210,$B32,'Review'!$C$7:$C$210,F$10))</f>
        <v/>
      </c>
      <c r="G32" s="87">
        <f>IF(IF($E$5="Local prices",COUNTIFS('Offers'!$B$7:$B$608,$B32,'Offers'!$C$7:$C$608,G$10,'Offers'!$AH$7:$AH$608,"yes"),COUNTIFS('Offers'!$B$7:$B$608,$B32,'Offers'!$C$7:$C$608,G$10,'Offers'!$AI$7:$AI$608,"yes"))=0,"—",SUMIFS('Review'!$O$7:$O$210,'Review'!$B$7:$B$210,$B32,'Review'!$C$7:$C$210,G$10))</f>
        <v/>
      </c>
      <c r="H32" s="87">
        <f>IF(IF($E$5="Local prices",COUNTIFS('Offers'!$B$7:$B$608,$B32,'Offers'!$C$7:$C$608,H$10,'Offers'!$AH$7:$AH$608,"yes"),COUNTIFS('Offers'!$B$7:$B$608,$B32,'Offers'!$C$7:$C$608,H$10,'Offers'!$AI$7:$AI$608,"yes"))=0,"—",SUMIFS('Review'!$O$7:$O$210,'Review'!$B$7:$B$210,$B32,'Review'!$C$7:$C$210,H$10))</f>
        <v/>
      </c>
      <c r="I32" s="2" t="n"/>
      <c r="J32" s="7" t="inlineStr">
        <is>
          <t>Match scope</t>
        </is>
      </c>
      <c r="K32" s="2" t="n"/>
      <c r="L32" s="2" t="n"/>
      <c r="M32" s="2" t="n"/>
      <c r="N32" s="2" t="n"/>
    </row>
    <row r="33" ht="36" customHeight="1">
      <c r="A33" s="2" t="n"/>
      <c r="B33" s="27" t="inlineStr">
        <is>
          <t>GN 1/6 PP container, 100 mm</t>
        </is>
      </c>
      <c r="C33" s="89">
        <f>IF(IF($E$5="Local prices",COUNTIFS('Offers'!$B$7:$B$608,$B33,'Offers'!$C$7:$C$608,C$10,'Offers'!$AH$7:$AH$608,"yes"),COUNTIFS('Offers'!$B$7:$B$608,$B33,'Offers'!$C$7:$C$608,C$10,'Offers'!$AI$7:$AI$608,"yes"))=0,"—",SUMIFS('Review'!$O$7:$O$210,'Review'!$B$7:$B$210,$B33,'Review'!$C$7:$C$210,C$10))</f>
        <v/>
      </c>
      <c r="D33" s="89">
        <f>IF(IF($E$5="Local prices",COUNTIFS('Offers'!$B$7:$B$608,$B33,'Offers'!$C$7:$C$608,D$10,'Offers'!$AH$7:$AH$608,"yes"),COUNTIFS('Offers'!$B$7:$B$608,$B33,'Offers'!$C$7:$C$608,D$10,'Offers'!$AI$7:$AI$608,"yes"))=0,"—",SUMIFS('Review'!$O$7:$O$210,'Review'!$B$7:$B$210,$B33,'Review'!$C$7:$C$210,D$10))</f>
        <v/>
      </c>
      <c r="E33" s="89">
        <f>IF(IF($E$5="Local prices",COUNTIFS('Offers'!$B$7:$B$608,$B33,'Offers'!$C$7:$C$608,E$10,'Offers'!$AH$7:$AH$608,"yes"),COUNTIFS('Offers'!$B$7:$B$608,$B33,'Offers'!$C$7:$C$608,E$10,'Offers'!$AI$7:$AI$608,"yes"))=0,"—",SUMIFS('Review'!$O$7:$O$210,'Review'!$B$7:$B$210,$B33,'Review'!$C$7:$C$210,E$10))</f>
        <v/>
      </c>
      <c r="F33" s="89">
        <f>IF(IF($E$5="Local prices",COUNTIFS('Offers'!$B$7:$B$608,$B33,'Offers'!$C$7:$C$608,F$10,'Offers'!$AH$7:$AH$608,"yes"),COUNTIFS('Offers'!$B$7:$B$608,$B33,'Offers'!$C$7:$C$608,F$10,'Offers'!$AI$7:$AI$608,"yes"))=0,"—",SUMIFS('Review'!$O$7:$O$210,'Review'!$B$7:$B$210,$B33,'Review'!$C$7:$C$210,F$10))</f>
        <v/>
      </c>
      <c r="G33" s="89">
        <f>IF(IF($E$5="Local prices",COUNTIFS('Offers'!$B$7:$B$608,$B33,'Offers'!$C$7:$C$608,G$10,'Offers'!$AH$7:$AH$608,"yes"),COUNTIFS('Offers'!$B$7:$B$608,$B33,'Offers'!$C$7:$C$608,G$10,'Offers'!$AI$7:$AI$608,"yes"))=0,"—",SUMIFS('Review'!$O$7:$O$210,'Review'!$B$7:$B$210,$B33,'Review'!$C$7:$C$210,G$10))</f>
        <v/>
      </c>
      <c r="H33" s="89">
        <f>IF(IF($E$5="Local prices",COUNTIFS('Offers'!$B$7:$B$608,$B33,'Offers'!$C$7:$C$608,H$10,'Offers'!$AH$7:$AH$608,"yes"),COUNTIFS('Offers'!$B$7:$B$608,$B33,'Offers'!$C$7:$C$608,H$10,'Offers'!$AI$7:$AI$608,"yes"))=0,"—",SUMIFS('Review'!$O$7:$O$210,'Review'!$B$7:$B$210,$B33,'Review'!$C$7:$C$210,H$10))</f>
        <v/>
      </c>
      <c r="I33" s="2" t="n"/>
      <c r="J33" s="63" t="inlineStr">
        <is>
          <t>All mapped includes near matches and incomplete specifications. Check their notes before deciding.</t>
        </is>
      </c>
      <c r="N33" s="2" t="n"/>
    </row>
    <row r="34" ht="36" customHeight="1">
      <c r="A34" s="2" t="n"/>
      <c r="B34" s="24" t="inlineStr">
        <is>
          <t>GN 1/9 PP container, 100 mm</t>
        </is>
      </c>
      <c r="C34" s="87">
        <f>IF(IF($E$5="Local prices",COUNTIFS('Offers'!$B$7:$B$608,$B34,'Offers'!$C$7:$C$608,C$10,'Offers'!$AH$7:$AH$608,"yes"),COUNTIFS('Offers'!$B$7:$B$608,$B34,'Offers'!$C$7:$C$608,C$10,'Offers'!$AI$7:$AI$608,"yes"))=0,"—",SUMIFS('Review'!$O$7:$O$210,'Review'!$B$7:$B$210,$B34,'Review'!$C$7:$C$210,C$10))</f>
        <v/>
      </c>
      <c r="D34" s="87">
        <f>IF(IF($E$5="Local prices",COUNTIFS('Offers'!$B$7:$B$608,$B34,'Offers'!$C$7:$C$608,D$10,'Offers'!$AH$7:$AH$608,"yes"),COUNTIFS('Offers'!$B$7:$B$608,$B34,'Offers'!$C$7:$C$608,D$10,'Offers'!$AI$7:$AI$608,"yes"))=0,"—",SUMIFS('Review'!$O$7:$O$210,'Review'!$B$7:$B$210,$B34,'Review'!$C$7:$C$210,D$10))</f>
        <v/>
      </c>
      <c r="E34" s="87">
        <f>IF(IF($E$5="Local prices",COUNTIFS('Offers'!$B$7:$B$608,$B34,'Offers'!$C$7:$C$608,E$10,'Offers'!$AH$7:$AH$608,"yes"),COUNTIFS('Offers'!$B$7:$B$608,$B34,'Offers'!$C$7:$C$608,E$10,'Offers'!$AI$7:$AI$608,"yes"))=0,"—",SUMIFS('Review'!$O$7:$O$210,'Review'!$B$7:$B$210,$B34,'Review'!$C$7:$C$210,E$10))</f>
        <v/>
      </c>
      <c r="F34" s="87">
        <f>IF(IF($E$5="Local prices",COUNTIFS('Offers'!$B$7:$B$608,$B34,'Offers'!$C$7:$C$608,F$10,'Offers'!$AH$7:$AH$608,"yes"),COUNTIFS('Offers'!$B$7:$B$608,$B34,'Offers'!$C$7:$C$608,F$10,'Offers'!$AI$7:$AI$608,"yes"))=0,"—",SUMIFS('Review'!$O$7:$O$210,'Review'!$B$7:$B$210,$B34,'Review'!$C$7:$C$210,F$10))</f>
        <v/>
      </c>
      <c r="G34" s="87">
        <f>IF(IF($E$5="Local prices",COUNTIFS('Offers'!$B$7:$B$608,$B34,'Offers'!$C$7:$C$608,G$10,'Offers'!$AH$7:$AH$608,"yes"),COUNTIFS('Offers'!$B$7:$B$608,$B34,'Offers'!$C$7:$C$608,G$10,'Offers'!$AI$7:$AI$608,"yes"))=0,"—",SUMIFS('Review'!$O$7:$O$210,'Review'!$B$7:$B$210,$B34,'Review'!$C$7:$C$210,G$10))</f>
        <v/>
      </c>
      <c r="H34" s="87">
        <f>IF(IF($E$5="Local prices",COUNTIFS('Offers'!$B$7:$B$608,$B34,'Offers'!$C$7:$C$608,H$10,'Offers'!$AH$7:$AH$608,"yes"),COUNTIFS('Offers'!$B$7:$B$608,$B34,'Offers'!$C$7:$C$608,H$10,'Offers'!$AI$7:$AI$608,"yes"))=0,"—",SUMIFS('Review'!$O$7:$O$210,'Review'!$B$7:$B$210,$B34,'Review'!$C$7:$C$210,H$10))</f>
        <v/>
      </c>
      <c r="I34" s="2" t="n"/>
      <c r="N34" s="2" t="n"/>
    </row>
    <row r="35" ht="36" customHeight="1">
      <c r="A35" s="2" t="n"/>
      <c r="B35" s="27" t="inlineStr">
        <is>
          <t>Squeeze bottle 250 ml, PP, single tip</t>
        </is>
      </c>
      <c r="C35" s="89">
        <f>IF(IF($E$5="Local prices",COUNTIFS('Offers'!$B$7:$B$608,$B35,'Offers'!$C$7:$C$608,C$10,'Offers'!$AH$7:$AH$608,"yes"),COUNTIFS('Offers'!$B$7:$B$608,$B35,'Offers'!$C$7:$C$608,C$10,'Offers'!$AI$7:$AI$608,"yes"))=0,"—",SUMIFS('Review'!$O$7:$O$210,'Review'!$B$7:$B$210,$B35,'Review'!$C$7:$C$210,C$10))</f>
        <v/>
      </c>
      <c r="D35" s="89">
        <f>IF(IF($E$5="Local prices",COUNTIFS('Offers'!$B$7:$B$608,$B35,'Offers'!$C$7:$C$608,D$10,'Offers'!$AH$7:$AH$608,"yes"),COUNTIFS('Offers'!$B$7:$B$608,$B35,'Offers'!$C$7:$C$608,D$10,'Offers'!$AI$7:$AI$608,"yes"))=0,"—",SUMIFS('Review'!$O$7:$O$210,'Review'!$B$7:$B$210,$B35,'Review'!$C$7:$C$210,D$10))</f>
        <v/>
      </c>
      <c r="E35" s="89">
        <f>IF(IF($E$5="Local prices",COUNTIFS('Offers'!$B$7:$B$608,$B35,'Offers'!$C$7:$C$608,E$10,'Offers'!$AH$7:$AH$608,"yes"),COUNTIFS('Offers'!$B$7:$B$608,$B35,'Offers'!$C$7:$C$608,E$10,'Offers'!$AI$7:$AI$608,"yes"))=0,"—",SUMIFS('Review'!$O$7:$O$210,'Review'!$B$7:$B$210,$B35,'Review'!$C$7:$C$210,E$10))</f>
        <v/>
      </c>
      <c r="F35" s="89">
        <f>IF(IF($E$5="Local prices",COUNTIFS('Offers'!$B$7:$B$608,$B35,'Offers'!$C$7:$C$608,F$10,'Offers'!$AH$7:$AH$608,"yes"),COUNTIFS('Offers'!$B$7:$B$608,$B35,'Offers'!$C$7:$C$608,F$10,'Offers'!$AI$7:$AI$608,"yes"))=0,"—",SUMIFS('Review'!$O$7:$O$210,'Review'!$B$7:$B$210,$B35,'Review'!$C$7:$C$210,F$10))</f>
        <v/>
      </c>
      <c r="G35" s="89">
        <f>IF(IF($E$5="Local prices",COUNTIFS('Offers'!$B$7:$B$608,$B35,'Offers'!$C$7:$C$608,G$10,'Offers'!$AH$7:$AH$608,"yes"),COUNTIFS('Offers'!$B$7:$B$608,$B35,'Offers'!$C$7:$C$608,G$10,'Offers'!$AI$7:$AI$608,"yes"))=0,"—",SUMIFS('Review'!$O$7:$O$210,'Review'!$B$7:$B$210,$B35,'Review'!$C$7:$C$210,G$10))</f>
        <v/>
      </c>
      <c r="H35" s="89">
        <f>IF(IF($E$5="Local prices",COUNTIFS('Offers'!$B$7:$B$608,$B35,'Offers'!$C$7:$C$608,H$10,'Offers'!$AH$7:$AH$608,"yes"),COUNTIFS('Offers'!$B$7:$B$608,$B35,'Offers'!$C$7:$C$608,H$10,'Offers'!$AI$7:$AI$608,"yes"))=0,"—",SUMIFS('Review'!$O$7:$O$210,'Review'!$B$7:$B$210,$B35,'Review'!$C$7:$C$210,H$10))</f>
        <v/>
      </c>
      <c r="I35" s="2" t="n"/>
      <c r="J35" s="2" t="n"/>
      <c r="K35" s="2" t="n"/>
      <c r="L35" s="2" t="n"/>
      <c r="M35" s="2" t="n"/>
      <c r="N35" s="2" t="n"/>
    </row>
    <row r="36" ht="36" customHeight="1">
      <c r="A36" s="2" t="n"/>
      <c r="B36" s="24" t="inlineStr">
        <is>
          <t>Squeeze bottle 750 ml, PP, single tip</t>
        </is>
      </c>
      <c r="C36" s="87">
        <f>IF(IF($E$5="Local prices",COUNTIFS('Offers'!$B$7:$B$608,$B36,'Offers'!$C$7:$C$608,C$10,'Offers'!$AH$7:$AH$608,"yes"),COUNTIFS('Offers'!$B$7:$B$608,$B36,'Offers'!$C$7:$C$608,C$10,'Offers'!$AI$7:$AI$608,"yes"))=0,"—",SUMIFS('Review'!$O$7:$O$210,'Review'!$B$7:$B$210,$B36,'Review'!$C$7:$C$210,C$10))</f>
        <v/>
      </c>
      <c r="D36" s="87">
        <f>IF(IF($E$5="Local prices",COUNTIFS('Offers'!$B$7:$B$608,$B36,'Offers'!$C$7:$C$608,D$10,'Offers'!$AH$7:$AH$608,"yes"),COUNTIFS('Offers'!$B$7:$B$608,$B36,'Offers'!$C$7:$C$608,D$10,'Offers'!$AI$7:$AI$608,"yes"))=0,"—",SUMIFS('Review'!$O$7:$O$210,'Review'!$B$7:$B$210,$B36,'Review'!$C$7:$C$210,D$10))</f>
        <v/>
      </c>
      <c r="E36" s="87">
        <f>IF(IF($E$5="Local prices",COUNTIFS('Offers'!$B$7:$B$608,$B36,'Offers'!$C$7:$C$608,E$10,'Offers'!$AH$7:$AH$608,"yes"),COUNTIFS('Offers'!$B$7:$B$608,$B36,'Offers'!$C$7:$C$608,E$10,'Offers'!$AI$7:$AI$608,"yes"))=0,"—",SUMIFS('Review'!$O$7:$O$210,'Review'!$B$7:$B$210,$B36,'Review'!$C$7:$C$210,E$10))</f>
        <v/>
      </c>
      <c r="F36" s="87">
        <f>IF(IF($E$5="Local prices",COUNTIFS('Offers'!$B$7:$B$608,$B36,'Offers'!$C$7:$C$608,F$10,'Offers'!$AH$7:$AH$608,"yes"),COUNTIFS('Offers'!$B$7:$B$608,$B36,'Offers'!$C$7:$C$608,F$10,'Offers'!$AI$7:$AI$608,"yes"))=0,"—",SUMIFS('Review'!$O$7:$O$210,'Review'!$B$7:$B$210,$B36,'Review'!$C$7:$C$210,F$10))</f>
        <v/>
      </c>
      <c r="G36" s="87">
        <f>IF(IF($E$5="Local prices",COUNTIFS('Offers'!$B$7:$B$608,$B36,'Offers'!$C$7:$C$608,G$10,'Offers'!$AH$7:$AH$608,"yes"),COUNTIFS('Offers'!$B$7:$B$608,$B36,'Offers'!$C$7:$C$608,G$10,'Offers'!$AI$7:$AI$608,"yes"))=0,"—",SUMIFS('Review'!$O$7:$O$210,'Review'!$B$7:$B$210,$B36,'Review'!$C$7:$C$210,G$10))</f>
        <v/>
      </c>
      <c r="H36" s="87">
        <f>IF(IF($E$5="Local prices",COUNTIFS('Offers'!$B$7:$B$608,$B36,'Offers'!$C$7:$C$608,H$10,'Offers'!$AH$7:$AH$608,"yes"),COUNTIFS('Offers'!$B$7:$B$608,$B36,'Offers'!$C$7:$C$608,H$10,'Offers'!$AI$7:$AI$608,"yes"))=0,"—",SUMIFS('Review'!$O$7:$O$210,'Review'!$B$7:$B$210,$B36,'Review'!$C$7:$C$210,H$10))</f>
        <v/>
      </c>
      <c r="I36" s="2" t="n"/>
      <c r="J36" s="7" t="inlineStr">
        <is>
          <t>Additional variants</t>
        </is>
      </c>
      <c r="K36" s="2" t="n"/>
      <c r="L36" s="2" t="n"/>
      <c r="M36" s="2" t="n"/>
      <c r="N36" s="2" t="n"/>
    </row>
    <row r="37" ht="36" customHeight="1">
      <c r="A37" s="2" t="n"/>
      <c r="B37" s="27" t="inlineStr">
        <is>
          <t>Red PE cutting board 400 × 300 × 20 mm</t>
        </is>
      </c>
      <c r="C37" s="89">
        <f>IF(IF($E$5="Local prices",COUNTIFS('Offers'!$B$7:$B$608,$B37,'Offers'!$C$7:$C$608,C$10,'Offers'!$AH$7:$AH$608,"yes"),COUNTIFS('Offers'!$B$7:$B$608,$B37,'Offers'!$C$7:$C$608,C$10,'Offers'!$AI$7:$AI$608,"yes"))=0,"—",SUMIFS('Review'!$O$7:$O$210,'Review'!$B$7:$B$210,$B37,'Review'!$C$7:$C$210,C$10))</f>
        <v/>
      </c>
      <c r="D37" s="89">
        <f>IF(IF($E$5="Local prices",COUNTIFS('Offers'!$B$7:$B$608,$B37,'Offers'!$C$7:$C$608,D$10,'Offers'!$AH$7:$AH$608,"yes"),COUNTIFS('Offers'!$B$7:$B$608,$B37,'Offers'!$C$7:$C$608,D$10,'Offers'!$AI$7:$AI$608,"yes"))=0,"—",SUMIFS('Review'!$O$7:$O$210,'Review'!$B$7:$B$210,$B37,'Review'!$C$7:$C$210,D$10))</f>
        <v/>
      </c>
      <c r="E37" s="89">
        <f>IF(IF($E$5="Local prices",COUNTIFS('Offers'!$B$7:$B$608,$B37,'Offers'!$C$7:$C$608,E$10,'Offers'!$AH$7:$AH$608,"yes"),COUNTIFS('Offers'!$B$7:$B$608,$B37,'Offers'!$C$7:$C$608,E$10,'Offers'!$AI$7:$AI$608,"yes"))=0,"—",SUMIFS('Review'!$O$7:$O$210,'Review'!$B$7:$B$210,$B37,'Review'!$C$7:$C$210,E$10))</f>
        <v/>
      </c>
      <c r="F37" s="89">
        <f>IF(IF($E$5="Local prices",COUNTIFS('Offers'!$B$7:$B$608,$B37,'Offers'!$C$7:$C$608,F$10,'Offers'!$AH$7:$AH$608,"yes"),COUNTIFS('Offers'!$B$7:$B$608,$B37,'Offers'!$C$7:$C$608,F$10,'Offers'!$AI$7:$AI$608,"yes"))=0,"—",SUMIFS('Review'!$O$7:$O$210,'Review'!$B$7:$B$210,$B37,'Review'!$C$7:$C$210,F$10))</f>
        <v/>
      </c>
      <c r="G37" s="89">
        <f>IF(IF($E$5="Local prices",COUNTIFS('Offers'!$B$7:$B$608,$B37,'Offers'!$C$7:$C$608,G$10,'Offers'!$AH$7:$AH$608,"yes"),COUNTIFS('Offers'!$B$7:$B$608,$B37,'Offers'!$C$7:$C$608,G$10,'Offers'!$AI$7:$AI$608,"yes"))=0,"—",SUMIFS('Review'!$O$7:$O$210,'Review'!$B$7:$B$210,$B37,'Review'!$C$7:$C$210,G$10))</f>
        <v/>
      </c>
      <c r="H37" s="89">
        <f>IF(IF($E$5="Local prices",COUNTIFS('Offers'!$B$7:$B$608,$B37,'Offers'!$C$7:$C$608,H$10,'Offers'!$AH$7:$AH$608,"yes"),COUNTIFS('Offers'!$B$7:$B$608,$B37,'Offers'!$C$7:$C$608,H$10,'Offers'!$AI$7:$AI$608,"yes"))=0,"—",SUMIFS('Review'!$O$7:$O$210,'Review'!$B$7:$B$210,$B37,'Review'!$C$7:$C$210,H$10))</f>
        <v/>
      </c>
      <c r="I37" s="2" t="n"/>
      <c r="J37" s="63" t="inlineStr">
        <is>
          <t>New variants have research for Austria and Czechia. A dash in the other markets means no offer has been imported.</t>
        </is>
      </c>
      <c r="N37" s="2" t="n"/>
    </row>
    <row r="38" ht="36" customHeight="1">
      <c r="A38" s="2" t="n"/>
      <c r="B38" s="24" t="inlineStr">
        <is>
          <t>PP dough box 600 × 400 × 75 mm, no lid</t>
        </is>
      </c>
      <c r="C38" s="87">
        <f>IF(IF($E$5="Local prices",COUNTIFS('Offers'!$B$7:$B$608,$B38,'Offers'!$C$7:$C$608,C$10,'Offers'!$AH$7:$AH$608,"yes"),COUNTIFS('Offers'!$B$7:$B$608,$B38,'Offers'!$C$7:$C$608,C$10,'Offers'!$AI$7:$AI$608,"yes"))=0,"—",SUMIFS('Review'!$O$7:$O$210,'Review'!$B$7:$B$210,$B38,'Review'!$C$7:$C$210,C$10))</f>
        <v/>
      </c>
      <c r="D38" s="87">
        <f>IF(IF($E$5="Local prices",COUNTIFS('Offers'!$B$7:$B$608,$B38,'Offers'!$C$7:$C$608,D$10,'Offers'!$AH$7:$AH$608,"yes"),COUNTIFS('Offers'!$B$7:$B$608,$B38,'Offers'!$C$7:$C$608,D$10,'Offers'!$AI$7:$AI$608,"yes"))=0,"—",SUMIFS('Review'!$O$7:$O$210,'Review'!$B$7:$B$210,$B38,'Review'!$C$7:$C$210,D$10))</f>
        <v/>
      </c>
      <c r="E38" s="87">
        <f>IF(IF($E$5="Local prices",COUNTIFS('Offers'!$B$7:$B$608,$B38,'Offers'!$C$7:$C$608,E$10,'Offers'!$AH$7:$AH$608,"yes"),COUNTIFS('Offers'!$B$7:$B$608,$B38,'Offers'!$C$7:$C$608,E$10,'Offers'!$AI$7:$AI$608,"yes"))=0,"—",SUMIFS('Review'!$O$7:$O$210,'Review'!$B$7:$B$210,$B38,'Review'!$C$7:$C$210,E$10))</f>
        <v/>
      </c>
      <c r="F38" s="87">
        <f>IF(IF($E$5="Local prices",COUNTIFS('Offers'!$B$7:$B$608,$B38,'Offers'!$C$7:$C$608,F$10,'Offers'!$AH$7:$AH$608,"yes"),COUNTIFS('Offers'!$B$7:$B$608,$B38,'Offers'!$C$7:$C$608,F$10,'Offers'!$AI$7:$AI$608,"yes"))=0,"—",SUMIFS('Review'!$O$7:$O$210,'Review'!$B$7:$B$210,$B38,'Review'!$C$7:$C$210,F$10))</f>
        <v/>
      </c>
      <c r="G38" s="87">
        <f>IF(IF($E$5="Local prices",COUNTIFS('Offers'!$B$7:$B$608,$B38,'Offers'!$C$7:$C$608,G$10,'Offers'!$AH$7:$AH$608,"yes"),COUNTIFS('Offers'!$B$7:$B$608,$B38,'Offers'!$C$7:$C$608,G$10,'Offers'!$AI$7:$AI$608,"yes"))=0,"—",SUMIFS('Review'!$O$7:$O$210,'Review'!$B$7:$B$210,$B38,'Review'!$C$7:$C$210,G$10))</f>
        <v/>
      </c>
      <c r="H38" s="87">
        <f>IF(IF($E$5="Local prices",COUNTIFS('Offers'!$B$7:$B$608,$B38,'Offers'!$C$7:$C$608,H$10,'Offers'!$AH$7:$AH$608,"yes"),COUNTIFS('Offers'!$B$7:$B$608,$B38,'Offers'!$C$7:$C$608,H$10,'Offers'!$AI$7:$AI$608,"yes"))=0,"—",SUMIFS('Review'!$O$7:$O$210,'Review'!$B$7:$B$210,$B38,'Review'!$C$7:$C$210,H$10))</f>
        <v/>
      </c>
      <c r="I38" s="2" t="n"/>
      <c r="N38" s="2" t="n"/>
    </row>
    <row r="39" ht="36" customHeight="1">
      <c r="A39" s="2" t="n"/>
      <c r="B39" s="27" t="inlineStr">
        <is>
          <t>GN 1/1 PC container, 100 mm</t>
        </is>
      </c>
      <c r="C39" s="89">
        <f>IF(IF($E$5="Local prices",COUNTIFS('Offers'!$B$7:$B$608,$B39,'Offers'!$C$7:$C$608,C$10,'Offers'!$AH$7:$AH$608,"yes"),COUNTIFS('Offers'!$B$7:$B$608,$B39,'Offers'!$C$7:$C$608,C$10,'Offers'!$AI$7:$AI$608,"yes"))=0,"—",SUMIFS('Review'!$O$7:$O$210,'Review'!$B$7:$B$210,$B39,'Review'!$C$7:$C$210,C$10))</f>
        <v/>
      </c>
      <c r="D39" s="89">
        <f>IF(IF($E$5="Local prices",COUNTIFS('Offers'!$B$7:$B$608,$B39,'Offers'!$C$7:$C$608,D$10,'Offers'!$AH$7:$AH$608,"yes"),COUNTIFS('Offers'!$B$7:$B$608,$B39,'Offers'!$C$7:$C$608,D$10,'Offers'!$AI$7:$AI$608,"yes"))=0,"—",SUMIFS('Review'!$O$7:$O$210,'Review'!$B$7:$B$210,$B39,'Review'!$C$7:$C$210,D$10))</f>
        <v/>
      </c>
      <c r="E39" s="89">
        <f>IF(IF($E$5="Local prices",COUNTIFS('Offers'!$B$7:$B$608,$B39,'Offers'!$C$7:$C$608,E$10,'Offers'!$AH$7:$AH$608,"yes"),COUNTIFS('Offers'!$B$7:$B$608,$B39,'Offers'!$C$7:$C$608,E$10,'Offers'!$AI$7:$AI$608,"yes"))=0,"—",SUMIFS('Review'!$O$7:$O$210,'Review'!$B$7:$B$210,$B39,'Review'!$C$7:$C$210,E$10))</f>
        <v/>
      </c>
      <c r="F39" s="89">
        <f>IF(IF($E$5="Local prices",COUNTIFS('Offers'!$B$7:$B$608,$B39,'Offers'!$C$7:$C$608,F$10,'Offers'!$AH$7:$AH$608,"yes"),COUNTIFS('Offers'!$B$7:$B$608,$B39,'Offers'!$C$7:$C$608,F$10,'Offers'!$AI$7:$AI$608,"yes"))=0,"—",SUMIFS('Review'!$O$7:$O$210,'Review'!$B$7:$B$210,$B39,'Review'!$C$7:$C$210,F$10))</f>
        <v/>
      </c>
      <c r="G39" s="89">
        <f>IF(IF($E$5="Local prices",COUNTIFS('Offers'!$B$7:$B$608,$B39,'Offers'!$C$7:$C$608,G$10,'Offers'!$AH$7:$AH$608,"yes"),COUNTIFS('Offers'!$B$7:$B$608,$B39,'Offers'!$C$7:$C$608,G$10,'Offers'!$AI$7:$AI$608,"yes"))=0,"—",SUMIFS('Review'!$O$7:$O$210,'Review'!$B$7:$B$210,$B39,'Review'!$C$7:$C$210,G$10))</f>
        <v/>
      </c>
      <c r="H39" s="89">
        <f>IF(IF($E$5="Local prices",COUNTIFS('Offers'!$B$7:$B$608,$B39,'Offers'!$C$7:$C$608,H$10,'Offers'!$AH$7:$AH$608,"yes"),COUNTIFS('Offers'!$B$7:$B$608,$B39,'Offers'!$C$7:$C$608,H$10,'Offers'!$AI$7:$AI$608,"yes"))=0,"—",SUMIFS('Review'!$O$7:$O$210,'Review'!$B$7:$B$210,$B39,'Review'!$C$7:$C$210,H$10))</f>
        <v/>
      </c>
      <c r="I39" s="2" t="n"/>
      <c r="J39" s="2" t="n"/>
      <c r="K39" s="2" t="n"/>
      <c r="L39" s="2" t="n"/>
      <c r="M39" s="2" t="n"/>
      <c r="N39" s="2" t="n"/>
    </row>
    <row r="40" ht="36" customHeight="1">
      <c r="A40" s="2" t="n"/>
      <c r="B40" s="24" t="inlineStr">
        <is>
          <t>GN 1/6 PC container, 100 mm</t>
        </is>
      </c>
      <c r="C40" s="87">
        <f>IF(IF($E$5="Local prices",COUNTIFS('Offers'!$B$7:$B$608,$B40,'Offers'!$C$7:$C$608,C$10,'Offers'!$AH$7:$AH$608,"yes"),COUNTIFS('Offers'!$B$7:$B$608,$B40,'Offers'!$C$7:$C$608,C$10,'Offers'!$AI$7:$AI$608,"yes"))=0,"—",SUMIFS('Review'!$O$7:$O$210,'Review'!$B$7:$B$210,$B40,'Review'!$C$7:$C$210,C$10))</f>
        <v/>
      </c>
      <c r="D40" s="87">
        <f>IF(IF($E$5="Local prices",COUNTIFS('Offers'!$B$7:$B$608,$B40,'Offers'!$C$7:$C$608,D$10,'Offers'!$AH$7:$AH$608,"yes"),COUNTIFS('Offers'!$B$7:$B$608,$B40,'Offers'!$C$7:$C$608,D$10,'Offers'!$AI$7:$AI$608,"yes"))=0,"—",SUMIFS('Review'!$O$7:$O$210,'Review'!$B$7:$B$210,$B40,'Review'!$C$7:$C$210,D$10))</f>
        <v/>
      </c>
      <c r="E40" s="87">
        <f>IF(IF($E$5="Local prices",COUNTIFS('Offers'!$B$7:$B$608,$B40,'Offers'!$C$7:$C$608,E$10,'Offers'!$AH$7:$AH$608,"yes"),COUNTIFS('Offers'!$B$7:$B$608,$B40,'Offers'!$C$7:$C$608,E$10,'Offers'!$AI$7:$AI$608,"yes"))=0,"—",SUMIFS('Review'!$O$7:$O$210,'Review'!$B$7:$B$210,$B40,'Review'!$C$7:$C$210,E$10))</f>
        <v/>
      </c>
      <c r="F40" s="87">
        <f>IF(IF($E$5="Local prices",COUNTIFS('Offers'!$B$7:$B$608,$B40,'Offers'!$C$7:$C$608,F$10,'Offers'!$AH$7:$AH$608,"yes"),COUNTIFS('Offers'!$B$7:$B$608,$B40,'Offers'!$C$7:$C$608,F$10,'Offers'!$AI$7:$AI$608,"yes"))=0,"—",SUMIFS('Review'!$O$7:$O$210,'Review'!$B$7:$B$210,$B40,'Review'!$C$7:$C$210,F$10))</f>
        <v/>
      </c>
      <c r="G40" s="87">
        <f>IF(IF($E$5="Local prices",COUNTIFS('Offers'!$B$7:$B$608,$B40,'Offers'!$C$7:$C$608,G$10,'Offers'!$AH$7:$AH$608,"yes"),COUNTIFS('Offers'!$B$7:$B$608,$B40,'Offers'!$C$7:$C$608,G$10,'Offers'!$AI$7:$AI$608,"yes"))=0,"—",SUMIFS('Review'!$O$7:$O$210,'Review'!$B$7:$B$210,$B40,'Review'!$C$7:$C$210,G$10))</f>
        <v/>
      </c>
      <c r="H40" s="87">
        <f>IF(IF($E$5="Local prices",COUNTIFS('Offers'!$B$7:$B$608,$B40,'Offers'!$C$7:$C$608,H$10,'Offers'!$AH$7:$AH$608,"yes"),COUNTIFS('Offers'!$B$7:$B$608,$B40,'Offers'!$C$7:$C$608,H$10,'Offers'!$AI$7:$AI$608,"yes"))=0,"—",SUMIFS('Review'!$O$7:$O$210,'Review'!$B$7:$B$210,$B40,'Review'!$C$7:$C$210,H$10))</f>
        <v/>
      </c>
      <c r="I40" s="2" t="n"/>
      <c r="J40" s="2" t="n"/>
      <c r="K40" s="2" t="n"/>
      <c r="L40" s="2" t="n"/>
      <c r="M40" s="2" t="n"/>
      <c r="N40" s="2" t="n"/>
    </row>
    <row r="41" ht="36" customHeight="1">
      <c r="A41" s="2" t="n"/>
      <c r="B41" s="27" t="inlineStr">
        <is>
          <t>Red PE cutting board 530 × 325 × 15 mm</t>
        </is>
      </c>
      <c r="C41" s="89">
        <f>IF(IF($E$5="Local prices",COUNTIFS('Offers'!$B$7:$B$608,$B41,'Offers'!$C$7:$C$608,C$10,'Offers'!$AH$7:$AH$608,"yes"),COUNTIFS('Offers'!$B$7:$B$608,$B41,'Offers'!$C$7:$C$608,C$10,'Offers'!$AI$7:$AI$608,"yes"))=0,"—",SUMIFS('Review'!$O$7:$O$210,'Review'!$B$7:$B$210,$B41,'Review'!$C$7:$C$210,C$10))</f>
        <v/>
      </c>
      <c r="D41" s="89">
        <f>IF(IF($E$5="Local prices",COUNTIFS('Offers'!$B$7:$B$608,$B41,'Offers'!$C$7:$C$608,D$10,'Offers'!$AH$7:$AH$608,"yes"),COUNTIFS('Offers'!$B$7:$B$608,$B41,'Offers'!$C$7:$C$608,D$10,'Offers'!$AI$7:$AI$608,"yes"))=0,"—",SUMIFS('Review'!$O$7:$O$210,'Review'!$B$7:$B$210,$B41,'Review'!$C$7:$C$210,D$10))</f>
        <v/>
      </c>
      <c r="E41" s="89">
        <f>IF(IF($E$5="Local prices",COUNTIFS('Offers'!$B$7:$B$608,$B41,'Offers'!$C$7:$C$608,E$10,'Offers'!$AH$7:$AH$608,"yes"),COUNTIFS('Offers'!$B$7:$B$608,$B41,'Offers'!$C$7:$C$608,E$10,'Offers'!$AI$7:$AI$608,"yes"))=0,"—",SUMIFS('Review'!$O$7:$O$210,'Review'!$B$7:$B$210,$B41,'Review'!$C$7:$C$210,E$10))</f>
        <v/>
      </c>
      <c r="F41" s="89">
        <f>IF(IF($E$5="Local prices",COUNTIFS('Offers'!$B$7:$B$608,$B41,'Offers'!$C$7:$C$608,F$10,'Offers'!$AH$7:$AH$608,"yes"),COUNTIFS('Offers'!$B$7:$B$608,$B41,'Offers'!$C$7:$C$608,F$10,'Offers'!$AI$7:$AI$608,"yes"))=0,"—",SUMIFS('Review'!$O$7:$O$210,'Review'!$B$7:$B$210,$B41,'Review'!$C$7:$C$210,F$10))</f>
        <v/>
      </c>
      <c r="G41" s="89">
        <f>IF(IF($E$5="Local prices",COUNTIFS('Offers'!$B$7:$B$608,$B41,'Offers'!$C$7:$C$608,G$10,'Offers'!$AH$7:$AH$608,"yes"),COUNTIFS('Offers'!$B$7:$B$608,$B41,'Offers'!$C$7:$C$608,G$10,'Offers'!$AI$7:$AI$608,"yes"))=0,"—",SUMIFS('Review'!$O$7:$O$210,'Review'!$B$7:$B$210,$B41,'Review'!$C$7:$C$210,G$10))</f>
        <v/>
      </c>
      <c r="H41" s="89">
        <f>IF(IF($E$5="Local prices",COUNTIFS('Offers'!$B$7:$B$608,$B41,'Offers'!$C$7:$C$608,H$10,'Offers'!$AH$7:$AH$608,"yes"),COUNTIFS('Offers'!$B$7:$B$608,$B41,'Offers'!$C$7:$C$608,H$10,'Offers'!$AI$7:$AI$608,"yes"))=0,"—",SUMIFS('Review'!$O$7:$O$210,'Review'!$B$7:$B$210,$B41,'Review'!$C$7:$C$210,H$10))</f>
        <v/>
      </c>
      <c r="I41" s="2" t="n"/>
      <c r="J41" s="2" t="n"/>
      <c r="K41" s="2" t="n"/>
      <c r="L41" s="2" t="n"/>
      <c r="M41" s="2" t="n"/>
      <c r="N41" s="2" t="n"/>
    </row>
    <row r="42" ht="36" customHeight="1">
      <c r="A42" s="2" t="n"/>
      <c r="B42" s="24" t="inlineStr">
        <is>
          <t>GN 1/3 PP lid</t>
        </is>
      </c>
      <c r="C42" s="87">
        <f>IF(IF($E$5="Local prices",COUNTIFS('Offers'!$B$7:$B$608,$B42,'Offers'!$C$7:$C$608,C$10,'Offers'!$AH$7:$AH$608,"yes"),COUNTIFS('Offers'!$B$7:$B$608,$B42,'Offers'!$C$7:$C$608,C$10,'Offers'!$AI$7:$AI$608,"yes"))=0,"—",SUMIFS('Review'!$O$7:$O$210,'Review'!$B$7:$B$210,$B42,'Review'!$C$7:$C$210,C$10))</f>
        <v/>
      </c>
      <c r="D42" s="87">
        <f>IF(IF($E$5="Local prices",COUNTIFS('Offers'!$B$7:$B$608,$B42,'Offers'!$C$7:$C$608,D$10,'Offers'!$AH$7:$AH$608,"yes"),COUNTIFS('Offers'!$B$7:$B$608,$B42,'Offers'!$C$7:$C$608,D$10,'Offers'!$AI$7:$AI$608,"yes"))=0,"—",SUMIFS('Review'!$O$7:$O$210,'Review'!$B$7:$B$210,$B42,'Review'!$C$7:$C$210,D$10))</f>
        <v/>
      </c>
      <c r="E42" s="87">
        <f>IF(IF($E$5="Local prices",COUNTIFS('Offers'!$B$7:$B$608,$B42,'Offers'!$C$7:$C$608,E$10,'Offers'!$AH$7:$AH$608,"yes"),COUNTIFS('Offers'!$B$7:$B$608,$B42,'Offers'!$C$7:$C$608,E$10,'Offers'!$AI$7:$AI$608,"yes"))=0,"—",SUMIFS('Review'!$O$7:$O$210,'Review'!$B$7:$B$210,$B42,'Review'!$C$7:$C$210,E$10))</f>
        <v/>
      </c>
      <c r="F42" s="87">
        <f>IF(IF($E$5="Local prices",COUNTIFS('Offers'!$B$7:$B$608,$B42,'Offers'!$C$7:$C$608,F$10,'Offers'!$AH$7:$AH$608,"yes"),COUNTIFS('Offers'!$B$7:$B$608,$B42,'Offers'!$C$7:$C$608,F$10,'Offers'!$AI$7:$AI$608,"yes"))=0,"—",SUMIFS('Review'!$O$7:$O$210,'Review'!$B$7:$B$210,$B42,'Review'!$C$7:$C$210,F$10))</f>
        <v/>
      </c>
      <c r="G42" s="87">
        <f>IF(IF($E$5="Local prices",COUNTIFS('Offers'!$B$7:$B$608,$B42,'Offers'!$C$7:$C$608,G$10,'Offers'!$AH$7:$AH$608,"yes"),COUNTIFS('Offers'!$B$7:$B$608,$B42,'Offers'!$C$7:$C$608,G$10,'Offers'!$AI$7:$AI$608,"yes"))=0,"—",SUMIFS('Review'!$O$7:$O$210,'Review'!$B$7:$B$210,$B42,'Review'!$C$7:$C$210,G$10))</f>
        <v/>
      </c>
      <c r="H42" s="87">
        <f>IF(IF($E$5="Local prices",COUNTIFS('Offers'!$B$7:$B$608,$B42,'Offers'!$C$7:$C$608,H$10,'Offers'!$AH$7:$AH$608,"yes"),COUNTIFS('Offers'!$B$7:$B$608,$B42,'Offers'!$C$7:$C$608,H$10,'Offers'!$AI$7:$AI$608,"yes"))=0,"—",SUMIFS('Review'!$O$7:$O$210,'Review'!$B$7:$B$210,$B42,'Review'!$C$7:$C$210,H$10))</f>
        <v/>
      </c>
      <c r="I42" s="2" t="n"/>
      <c r="J42" s="2" t="n"/>
      <c r="K42" s="2" t="n"/>
      <c r="L42" s="2" t="n"/>
      <c r="M42" s="2" t="n"/>
      <c r="N42" s="2" t="n"/>
    </row>
    <row r="43" ht="36" customHeight="1">
      <c r="A43" s="2" t="n"/>
      <c r="B43" s="27" t="inlineStr">
        <is>
          <t>Squeeze bottle 750 ml, PP/PE, wide covered tip</t>
        </is>
      </c>
      <c r="C43" s="89">
        <f>IF(IF($E$5="Local prices",COUNTIFS('Offers'!$B$7:$B$608,$B43,'Offers'!$C$7:$C$608,C$10,'Offers'!$AH$7:$AH$608,"yes"),COUNTIFS('Offers'!$B$7:$B$608,$B43,'Offers'!$C$7:$C$608,C$10,'Offers'!$AI$7:$AI$608,"yes"))=0,"—",SUMIFS('Review'!$O$7:$O$210,'Review'!$B$7:$B$210,$B43,'Review'!$C$7:$C$210,C$10))</f>
        <v/>
      </c>
      <c r="D43" s="89">
        <f>IF(IF($E$5="Local prices",COUNTIFS('Offers'!$B$7:$B$608,$B43,'Offers'!$C$7:$C$608,D$10,'Offers'!$AH$7:$AH$608,"yes"),COUNTIFS('Offers'!$B$7:$B$608,$B43,'Offers'!$C$7:$C$608,D$10,'Offers'!$AI$7:$AI$608,"yes"))=0,"—",SUMIFS('Review'!$O$7:$O$210,'Review'!$B$7:$B$210,$B43,'Review'!$C$7:$C$210,D$10))</f>
        <v/>
      </c>
      <c r="E43" s="89">
        <f>IF(IF($E$5="Local prices",COUNTIFS('Offers'!$B$7:$B$608,$B43,'Offers'!$C$7:$C$608,E$10,'Offers'!$AH$7:$AH$608,"yes"),COUNTIFS('Offers'!$B$7:$B$608,$B43,'Offers'!$C$7:$C$608,E$10,'Offers'!$AI$7:$AI$608,"yes"))=0,"—",SUMIFS('Review'!$O$7:$O$210,'Review'!$B$7:$B$210,$B43,'Review'!$C$7:$C$210,E$10))</f>
        <v/>
      </c>
      <c r="F43" s="89">
        <f>IF(IF($E$5="Local prices",COUNTIFS('Offers'!$B$7:$B$608,$B43,'Offers'!$C$7:$C$608,F$10,'Offers'!$AH$7:$AH$608,"yes"),COUNTIFS('Offers'!$B$7:$B$608,$B43,'Offers'!$C$7:$C$608,F$10,'Offers'!$AI$7:$AI$608,"yes"))=0,"—",SUMIFS('Review'!$O$7:$O$210,'Review'!$B$7:$B$210,$B43,'Review'!$C$7:$C$210,F$10))</f>
        <v/>
      </c>
      <c r="G43" s="89">
        <f>IF(IF($E$5="Local prices",COUNTIFS('Offers'!$B$7:$B$608,$B43,'Offers'!$C$7:$C$608,G$10,'Offers'!$AH$7:$AH$608,"yes"),COUNTIFS('Offers'!$B$7:$B$608,$B43,'Offers'!$C$7:$C$608,G$10,'Offers'!$AI$7:$AI$608,"yes"))=0,"—",SUMIFS('Review'!$O$7:$O$210,'Review'!$B$7:$B$210,$B43,'Review'!$C$7:$C$210,G$10))</f>
        <v/>
      </c>
      <c r="H43" s="89">
        <f>IF(IF($E$5="Local prices",COUNTIFS('Offers'!$B$7:$B$608,$B43,'Offers'!$C$7:$C$608,H$10,'Offers'!$AH$7:$AH$608,"yes"),COUNTIFS('Offers'!$B$7:$B$608,$B43,'Offers'!$C$7:$C$608,H$10,'Offers'!$AI$7:$AI$608,"yes"))=0,"—",SUMIFS('Review'!$O$7:$O$210,'Review'!$B$7:$B$210,$B43,'Review'!$C$7:$C$210,H$10))</f>
        <v/>
      </c>
      <c r="I43" s="2" t="n"/>
      <c r="J43" s="2" t="n"/>
      <c r="K43" s="2" t="n"/>
      <c r="L43" s="2" t="n"/>
      <c r="M43" s="2" t="n"/>
      <c r="N43" s="2" t="n"/>
    </row>
    <row r="44" ht="36" customHeight="1">
      <c r="A44" s="2" t="n"/>
      <c r="B44" s="24" t="inlineStr">
        <is>
          <t>Red PE cutting board 300 × 200 × 20 mm</t>
        </is>
      </c>
      <c r="C44" s="87">
        <f>IF(IF($E$5="Local prices",COUNTIFS('Offers'!$B$7:$B$608,$B44,'Offers'!$C$7:$C$608,C$10,'Offers'!$AH$7:$AH$608,"yes"),COUNTIFS('Offers'!$B$7:$B$608,$B44,'Offers'!$C$7:$C$608,C$10,'Offers'!$AI$7:$AI$608,"yes"))=0,"—",SUMIFS('Review'!$O$7:$O$210,'Review'!$B$7:$B$210,$B44,'Review'!$C$7:$C$210,C$10))</f>
        <v/>
      </c>
      <c r="D44" s="87">
        <f>IF(IF($E$5="Local prices",COUNTIFS('Offers'!$B$7:$B$608,$B44,'Offers'!$C$7:$C$608,D$10,'Offers'!$AH$7:$AH$608,"yes"),COUNTIFS('Offers'!$B$7:$B$608,$B44,'Offers'!$C$7:$C$608,D$10,'Offers'!$AI$7:$AI$608,"yes"))=0,"—",SUMIFS('Review'!$O$7:$O$210,'Review'!$B$7:$B$210,$B44,'Review'!$C$7:$C$210,D$10))</f>
        <v/>
      </c>
      <c r="E44" s="87">
        <f>IF(IF($E$5="Local prices",COUNTIFS('Offers'!$B$7:$B$608,$B44,'Offers'!$C$7:$C$608,E$10,'Offers'!$AH$7:$AH$608,"yes"),COUNTIFS('Offers'!$B$7:$B$608,$B44,'Offers'!$C$7:$C$608,E$10,'Offers'!$AI$7:$AI$608,"yes"))=0,"—",SUMIFS('Review'!$O$7:$O$210,'Review'!$B$7:$B$210,$B44,'Review'!$C$7:$C$210,E$10))</f>
        <v/>
      </c>
      <c r="F44" s="87">
        <f>IF(IF($E$5="Local prices",COUNTIFS('Offers'!$B$7:$B$608,$B44,'Offers'!$C$7:$C$608,F$10,'Offers'!$AH$7:$AH$608,"yes"),COUNTIFS('Offers'!$B$7:$B$608,$B44,'Offers'!$C$7:$C$608,F$10,'Offers'!$AI$7:$AI$608,"yes"))=0,"—",SUMIFS('Review'!$O$7:$O$210,'Review'!$B$7:$B$210,$B44,'Review'!$C$7:$C$210,F$10))</f>
        <v/>
      </c>
      <c r="G44" s="87">
        <f>IF(IF($E$5="Local prices",COUNTIFS('Offers'!$B$7:$B$608,$B44,'Offers'!$C$7:$C$608,G$10,'Offers'!$AH$7:$AH$608,"yes"),COUNTIFS('Offers'!$B$7:$B$608,$B44,'Offers'!$C$7:$C$608,G$10,'Offers'!$AI$7:$AI$608,"yes"))=0,"—",SUMIFS('Review'!$O$7:$O$210,'Review'!$B$7:$B$210,$B44,'Review'!$C$7:$C$210,G$10))</f>
        <v/>
      </c>
      <c r="H44" s="87">
        <f>IF(IF($E$5="Local prices",COUNTIFS('Offers'!$B$7:$B$608,$B44,'Offers'!$C$7:$C$608,H$10,'Offers'!$AH$7:$AH$608,"yes"),COUNTIFS('Offers'!$B$7:$B$608,$B44,'Offers'!$C$7:$C$608,H$10,'Offers'!$AI$7:$AI$608,"yes"))=0,"—",SUMIFS('Review'!$O$7:$O$210,'Review'!$B$7:$B$210,$B44,'Review'!$C$7:$C$210,H$10))</f>
        <v/>
      </c>
      <c r="I44" s="2" t="n"/>
      <c r="J44" s="2" t="n"/>
      <c r="K44" s="2" t="n"/>
      <c r="L44" s="2" t="n"/>
      <c r="M44" s="2" t="n"/>
      <c r="N44" s="2" t="n"/>
    </row>
    <row r="45" ht="36" customHeight="1">
      <c r="A45" s="2" t="n"/>
      <c r="B45" s="27" t="inlineStr">
        <is>
          <t>PP dough box 400 × 300 × 100 mm, no lid</t>
        </is>
      </c>
      <c r="C45" s="89">
        <f>IF(IF($E$5="Local prices",COUNTIFS('Offers'!$B$7:$B$608,$B45,'Offers'!$C$7:$C$608,C$10,'Offers'!$AH$7:$AH$608,"yes"),COUNTIFS('Offers'!$B$7:$B$608,$B45,'Offers'!$C$7:$C$608,C$10,'Offers'!$AI$7:$AI$608,"yes"))=0,"—",SUMIFS('Review'!$O$7:$O$210,'Review'!$B$7:$B$210,$B45,'Review'!$C$7:$C$210,C$10))</f>
        <v/>
      </c>
      <c r="D45" s="89">
        <f>IF(IF($E$5="Local prices",COUNTIFS('Offers'!$B$7:$B$608,$B45,'Offers'!$C$7:$C$608,D$10,'Offers'!$AH$7:$AH$608,"yes"),COUNTIFS('Offers'!$B$7:$B$608,$B45,'Offers'!$C$7:$C$608,D$10,'Offers'!$AI$7:$AI$608,"yes"))=0,"—",SUMIFS('Review'!$O$7:$O$210,'Review'!$B$7:$B$210,$B45,'Review'!$C$7:$C$210,D$10))</f>
        <v/>
      </c>
      <c r="E45" s="89">
        <f>IF(IF($E$5="Local prices",COUNTIFS('Offers'!$B$7:$B$608,$B45,'Offers'!$C$7:$C$608,E$10,'Offers'!$AH$7:$AH$608,"yes"),COUNTIFS('Offers'!$B$7:$B$608,$B45,'Offers'!$C$7:$C$608,E$10,'Offers'!$AI$7:$AI$608,"yes"))=0,"—",SUMIFS('Review'!$O$7:$O$210,'Review'!$B$7:$B$210,$B45,'Review'!$C$7:$C$210,E$10))</f>
        <v/>
      </c>
      <c r="F45" s="89">
        <f>IF(IF($E$5="Local prices",COUNTIFS('Offers'!$B$7:$B$608,$B45,'Offers'!$C$7:$C$608,F$10,'Offers'!$AH$7:$AH$608,"yes"),COUNTIFS('Offers'!$B$7:$B$608,$B45,'Offers'!$C$7:$C$608,F$10,'Offers'!$AI$7:$AI$608,"yes"))=0,"—",SUMIFS('Review'!$O$7:$O$210,'Review'!$B$7:$B$210,$B45,'Review'!$C$7:$C$210,F$10))</f>
        <v/>
      </c>
      <c r="G45" s="89">
        <f>IF(IF($E$5="Local prices",COUNTIFS('Offers'!$B$7:$B$608,$B45,'Offers'!$C$7:$C$608,G$10,'Offers'!$AH$7:$AH$608,"yes"),COUNTIFS('Offers'!$B$7:$B$608,$B45,'Offers'!$C$7:$C$608,G$10,'Offers'!$AI$7:$AI$608,"yes"))=0,"—",SUMIFS('Review'!$O$7:$O$210,'Review'!$B$7:$B$210,$B45,'Review'!$C$7:$C$210,G$10))</f>
        <v/>
      </c>
      <c r="H45" s="89">
        <f>IF(IF($E$5="Local prices",COUNTIFS('Offers'!$B$7:$B$608,$B45,'Offers'!$C$7:$C$608,H$10,'Offers'!$AH$7:$AH$608,"yes"),COUNTIFS('Offers'!$B$7:$B$608,$B45,'Offers'!$C$7:$C$608,H$10,'Offers'!$AI$7:$AI$608,"yes"))=0,"—",SUMIFS('Review'!$O$7:$O$210,'Review'!$B$7:$B$210,$B45,'Review'!$C$7:$C$210,H$10))</f>
        <v/>
      </c>
      <c r="I45" s="2" t="n"/>
      <c r="J45" s="2" t="n"/>
      <c r="K45" s="2" t="n"/>
      <c r="L45" s="2" t="n"/>
      <c r="M45" s="2" t="n"/>
      <c r="N45" s="2" t="n"/>
    </row>
    <row r="46" ht="22" customHeight="1">
      <c r="A46" s="2" t="n"/>
      <c r="B46" s="2" t="n"/>
      <c r="C46" s="2" t="n"/>
      <c r="D46" s="2" t="n"/>
      <c r="E46" s="2" t="n"/>
      <c r="F46" s="2" t="n"/>
      <c r="G46" s="2" t="n"/>
      <c r="H46" s="2" t="n"/>
      <c r="I46" s="2" t="n"/>
      <c r="J46" s="2" t="n"/>
      <c r="K46" s="2" t="n"/>
      <c r="L46" s="2" t="n"/>
      <c r="M46" s="2" t="n"/>
      <c r="N46" s="2" t="n"/>
    </row>
    <row r="47" ht="22" customHeight="1">
      <c r="A47" s="2" t="n"/>
      <c r="B47" s="2" t="n"/>
      <c r="C47" s="2" t="n"/>
      <c r="D47" s="2" t="n"/>
      <c r="E47" s="2" t="n"/>
      <c r="F47" s="2" t="n"/>
      <c r="G47" s="2" t="n"/>
      <c r="H47" s="2" t="n"/>
      <c r="I47" s="2" t="n"/>
      <c r="J47" s="2" t="n"/>
      <c r="K47" s="2" t="n"/>
      <c r="L47" s="2" t="n"/>
      <c r="M47" s="2" t="n"/>
      <c r="N47" s="2" t="n"/>
    </row>
    <row r="48" ht="22" customHeight="1">
      <c r="A48" s="2" t="n"/>
      <c r="B48" s="7" t="inlineStr">
        <is>
          <t>Research dates</t>
        </is>
      </c>
      <c r="C48" s="2" t="n"/>
      <c r="D48" s="2" t="n"/>
      <c r="E48" s="2" t="n"/>
      <c r="F48" s="2" t="n"/>
      <c r="G48" s="2" t="n"/>
      <c r="H48" s="2" t="n"/>
      <c r="I48" s="2" t="n"/>
      <c r="J48" s="2" t="n"/>
      <c r="K48" s="2" t="n"/>
      <c r="L48" s="2" t="n"/>
      <c r="M48" s="2" t="n"/>
      <c r="N48" s="2" t="n"/>
    </row>
    <row r="49" ht="38" customHeight="1">
      <c r="A49" s="2" t="n"/>
      <c r="B49" s="16" t="inlineStr">
        <is>
          <t>Market</t>
        </is>
      </c>
      <c r="C49" s="17" t="inlineStr">
        <is>
          <t>Oldest date</t>
        </is>
      </c>
      <c r="D49" s="18" t="inlineStr">
        <is>
          <t>Newest date</t>
        </is>
      </c>
      <c r="E49" s="2" t="n"/>
      <c r="F49" s="2" t="n"/>
      <c r="G49" s="2" t="n"/>
      <c r="H49" s="2" t="n"/>
      <c r="I49" s="2" t="n"/>
      <c r="J49" s="2" t="n"/>
      <c r="K49" s="2" t="n"/>
      <c r="L49" s="2" t="n"/>
      <c r="M49" s="2" t="n"/>
      <c r="N49" s="2" t="n"/>
    </row>
    <row r="50" ht="29" customHeight="1">
      <c r="A50" s="2" t="n"/>
      <c r="B50" s="2" t="inlineStr">
        <is>
          <t>Hungary</t>
        </is>
      </c>
      <c r="C50" s="92">
        <f>_xlfn.MINIFS('Offers'!$AJ$7:$AJ$608,'Offers'!$C$7:$C$608,B50,'Offers'!$AJ$7:$AJ$608,"&gt;0")</f>
        <v/>
      </c>
      <c r="D50" s="92">
        <f>_xlfn.MAXIFS('Offers'!$AJ$7:$AJ$608,'Offers'!$C$7:$C$608,B50)</f>
        <v/>
      </c>
      <c r="E50" s="2" t="n"/>
      <c r="F50" s="2" t="n"/>
      <c r="G50" s="2" t="n"/>
      <c r="H50" s="2" t="n"/>
      <c r="I50" s="2" t="n"/>
      <c r="J50" s="2" t="n"/>
      <c r="K50" s="2" t="n"/>
      <c r="L50" s="2" t="n"/>
      <c r="M50" s="2" t="n"/>
      <c r="N50" s="2" t="n"/>
    </row>
    <row r="51" ht="29" customHeight="1">
      <c r="A51" s="2" t="n"/>
      <c r="B51" s="19" t="inlineStr">
        <is>
          <t>Romania</t>
        </is>
      </c>
      <c r="C51" s="93">
        <f>_xlfn.MINIFS('Offers'!$AJ$7:$AJ$608,'Offers'!$C$7:$C$608,B51,'Offers'!$AJ$7:$AJ$608,"&gt;0")</f>
        <v/>
      </c>
      <c r="D51" s="93">
        <f>_xlfn.MAXIFS('Offers'!$AJ$7:$AJ$608,'Offers'!$C$7:$C$608,B51)</f>
        <v/>
      </c>
      <c r="E51" s="2" t="n"/>
      <c r="F51" s="2" t="n"/>
      <c r="G51" s="2" t="n"/>
      <c r="H51" s="2" t="n"/>
      <c r="I51" s="2" t="n"/>
      <c r="J51" s="2" t="n"/>
      <c r="K51" s="2" t="n"/>
      <c r="L51" s="2" t="n"/>
      <c r="M51" s="2" t="n"/>
      <c r="N51" s="2" t="n"/>
    </row>
    <row r="52" ht="29" customHeight="1">
      <c r="A52" s="2" t="n"/>
      <c r="B52" s="2" t="inlineStr">
        <is>
          <t>Austria</t>
        </is>
      </c>
      <c r="C52" s="92">
        <f>_xlfn.MINIFS('Offers'!$AJ$7:$AJ$608,'Offers'!$C$7:$C$608,B52,'Offers'!$AJ$7:$AJ$608,"&gt;0")</f>
        <v/>
      </c>
      <c r="D52" s="92">
        <f>_xlfn.MAXIFS('Offers'!$AJ$7:$AJ$608,'Offers'!$C$7:$C$608,B52)</f>
        <v/>
      </c>
      <c r="E52" s="2" t="n"/>
      <c r="F52" s="2" t="n"/>
      <c r="G52" s="2" t="n"/>
      <c r="H52" s="2" t="n"/>
      <c r="I52" s="2" t="n"/>
      <c r="J52" s="2" t="n"/>
      <c r="K52" s="2" t="n"/>
      <c r="L52" s="2" t="n"/>
      <c r="M52" s="2" t="n"/>
      <c r="N52" s="2" t="n"/>
    </row>
    <row r="53" ht="29" customHeight="1">
      <c r="A53" s="2" t="n"/>
      <c r="B53" s="19" t="inlineStr">
        <is>
          <t>Germany</t>
        </is>
      </c>
      <c r="C53" s="93">
        <f>_xlfn.MINIFS('Offers'!$AJ$7:$AJ$608,'Offers'!$C$7:$C$608,B53,'Offers'!$AJ$7:$AJ$608,"&gt;0")</f>
        <v/>
      </c>
      <c r="D53" s="93">
        <f>_xlfn.MAXIFS('Offers'!$AJ$7:$AJ$608,'Offers'!$C$7:$C$608,B53)</f>
        <v/>
      </c>
      <c r="E53" s="2" t="n"/>
      <c r="F53" s="2" t="n"/>
      <c r="G53" s="2" t="n"/>
      <c r="H53" s="2" t="n"/>
      <c r="I53" s="2" t="n"/>
      <c r="J53" s="2" t="n"/>
      <c r="K53" s="2" t="n"/>
      <c r="L53" s="2" t="n"/>
      <c r="M53" s="2" t="n"/>
      <c r="N53" s="2" t="n"/>
    </row>
    <row r="54" ht="29" customHeight="1">
      <c r="A54" s="2" t="n"/>
      <c r="B54" s="2" t="inlineStr">
        <is>
          <t>Czech</t>
        </is>
      </c>
      <c r="C54" s="92">
        <f>_xlfn.MINIFS('Offers'!$AJ$7:$AJ$608,'Offers'!$C$7:$C$608,B54,'Offers'!$AJ$7:$AJ$608,"&gt;0")</f>
        <v/>
      </c>
      <c r="D54" s="92">
        <f>_xlfn.MAXIFS('Offers'!$AJ$7:$AJ$608,'Offers'!$C$7:$C$608,B54)</f>
        <v/>
      </c>
      <c r="E54" s="2" t="n"/>
      <c r="F54" s="2" t="n"/>
      <c r="G54" s="2" t="n"/>
      <c r="H54" s="2" t="n"/>
      <c r="I54" s="2" t="n"/>
      <c r="J54" s="2" t="n"/>
      <c r="K54" s="2" t="n"/>
      <c r="L54" s="2" t="n"/>
      <c r="M54" s="2" t="n"/>
      <c r="N54" s="2" t="n"/>
    </row>
    <row r="55" ht="29" customHeight="1">
      <c r="A55" s="2" t="n"/>
      <c r="B55" s="19" t="inlineStr">
        <is>
          <t>Slovakia</t>
        </is>
      </c>
      <c r="C55" s="93">
        <f>_xlfn.MINIFS('Offers'!$AJ$7:$AJ$608,'Offers'!$C$7:$C$608,B55,'Offers'!$AJ$7:$AJ$608,"&gt;0")</f>
        <v/>
      </c>
      <c r="D55" s="93">
        <f>_xlfn.MAXIFS('Offers'!$AJ$7:$AJ$608,'Offers'!$C$7:$C$608,B55)</f>
        <v/>
      </c>
      <c r="E55" s="2" t="n"/>
      <c r="F55" s="2" t="n"/>
      <c r="G55" s="2" t="n"/>
      <c r="H55" s="2" t="n"/>
      <c r="I55" s="2" t="n"/>
      <c r="J55" s="2" t="n"/>
      <c r="K55" s="2" t="n"/>
      <c r="L55" s="2" t="n"/>
      <c r="M55" s="2" t="n"/>
      <c r="N55" s="2" t="n"/>
    </row>
    <row r="56" ht="22" customHeight="1">
      <c r="A56" s="2" t="n"/>
      <c r="B56" s="2" t="n"/>
      <c r="C56" s="2" t="n"/>
      <c r="D56" s="2" t="n"/>
      <c r="E56" s="2" t="n"/>
      <c r="F56" s="2" t="n"/>
      <c r="G56" s="2" t="n"/>
      <c r="H56" s="2" t="n"/>
      <c r="I56" s="2" t="n"/>
      <c r="J56" s="2" t="n"/>
      <c r="K56" s="2" t="n"/>
      <c r="L56" s="2" t="n"/>
      <c r="M56" s="2" t="n"/>
      <c r="N56" s="2" t="n"/>
    </row>
    <row r="57" ht="22" customHeight="1">
      <c r="A57" s="2" t="n"/>
      <c r="B57" s="63" t="inlineStr">
        <is>
          <t>Research dates come from the supplied files, except rows re-checked live on 30 Sep 2026 (see Change log). The remaining future date in the Romania source is unchanged and highlighted.</t>
        </is>
      </c>
      <c r="I57" s="2" t="n"/>
      <c r="J57" s="2" t="n"/>
      <c r="K57" s="2" t="n"/>
      <c r="L57" s="2" t="n"/>
      <c r="M57" s="2" t="n"/>
      <c r="N57" s="2" t="n"/>
    </row>
    <row r="58" ht="22" customHeight="1">
      <c r="A58" s="2" t="n"/>
      <c r="I58" s="2" t="n"/>
      <c r="J58" s="2" t="n"/>
      <c r="K58" s="2" t="n"/>
      <c r="L58" s="2" t="n"/>
      <c r="M58" s="2" t="n"/>
      <c r="N58" s="2" t="n"/>
    </row>
    <row r="59" ht="22" customHeight="1">
      <c r="A59" s="2" t="n"/>
      <c r="B59" s="2" t="n"/>
      <c r="C59" s="2" t="n"/>
      <c r="D59" s="2" t="n"/>
      <c r="E59" s="2" t="n"/>
      <c r="F59" s="2" t="n"/>
      <c r="G59" s="2" t="n"/>
      <c r="H59" s="2" t="n"/>
      <c r="I59" s="2" t="n"/>
      <c r="J59" s="2" t="n"/>
      <c r="K59" s="2" t="n"/>
      <c r="L59" s="2" t="n"/>
      <c r="M59" s="2" t="n"/>
      <c r="N59" s="2" t="n"/>
    </row>
    <row r="60" ht="22" customHeight="1">
      <c r="A60" s="2" t="n"/>
      <c r="B60" s="2" t="n"/>
      <c r="C60" s="2" t="n"/>
      <c r="D60" s="2" t="n"/>
      <c r="E60" s="2" t="n"/>
      <c r="F60" s="2" t="n"/>
      <c r="G60" s="2" t="n"/>
      <c r="H60" s="2" t="n"/>
      <c r="I60" s="2" t="n"/>
      <c r="J60" s="2" t="n"/>
      <c r="K60" s="2" t="n"/>
      <c r="L60" s="2" t="n"/>
      <c r="M60" s="2" t="n"/>
      <c r="N60" s="2" t="n"/>
    </row>
  </sheetData>
  <mergeCells count="8">
    <mergeCell ref="B57:H58"/>
    <mergeCell ref="J25:M26"/>
    <mergeCell ref="J21:M22"/>
    <mergeCell ref="J37:M38"/>
    <mergeCell ref="J33:M34"/>
    <mergeCell ref="B7:H7"/>
    <mergeCell ref="J6:M7"/>
    <mergeCell ref="J29:M30"/>
  </mergeCells>
  <conditionalFormatting sqref="C12:H12">
    <cfRule type="expression" priority="1" dxfId="5">
      <formula>AND($E$5="Net per piece EUR",ISNUMBER(C12),C12=MIN($C12:$H12))</formula>
    </cfRule>
  </conditionalFormatting>
  <conditionalFormatting sqref="C13:H13">
    <cfRule type="expression" priority="2" dxfId="5">
      <formula>AND($E$5="Net per piece EUR",ISNUMBER(C13),C13=MIN($C13:$H13))</formula>
    </cfRule>
  </conditionalFormatting>
  <conditionalFormatting sqref="C14:H14">
    <cfRule type="expression" priority="3" dxfId="5">
      <formula>AND($E$5="Net per piece EUR",ISNUMBER(C14),C14=MIN($C14:$H14))</formula>
    </cfRule>
  </conditionalFormatting>
  <conditionalFormatting sqref="C15:H15">
    <cfRule type="expression" priority="4" dxfId="5">
      <formula>AND($E$5="Net per piece EUR",ISNUMBER(C15),C15=MIN($C15:$H15))</formula>
    </cfRule>
  </conditionalFormatting>
  <conditionalFormatting sqref="C16:H16">
    <cfRule type="expression" priority="5" dxfId="5">
      <formula>AND($E$5="Net per piece EUR",ISNUMBER(C16),C16=MIN($C16:$H16))</formula>
    </cfRule>
  </conditionalFormatting>
  <conditionalFormatting sqref="C17:H17">
    <cfRule type="expression" priority="6" dxfId="5">
      <formula>AND($E$5="Net per piece EUR",ISNUMBER(C17),C17=MIN($C17:$H17))</formula>
    </cfRule>
  </conditionalFormatting>
  <conditionalFormatting sqref="C18:H18">
    <cfRule type="expression" priority="7" dxfId="5">
      <formula>AND($E$5="Net per piece EUR",ISNUMBER(C18),C18=MIN($C18:$H18))</formula>
    </cfRule>
  </conditionalFormatting>
  <conditionalFormatting sqref="C19:H19">
    <cfRule type="expression" priority="8" dxfId="5">
      <formula>AND($E$5="Net per piece EUR",ISNUMBER(C19),C19=MIN($C19:$H19))</formula>
    </cfRule>
  </conditionalFormatting>
  <conditionalFormatting sqref="C20:H20">
    <cfRule type="expression" priority="9" dxfId="5">
      <formula>AND($E$5="Net per piece EUR",ISNUMBER(C20),C20=MIN($C20:$H20))</formula>
    </cfRule>
  </conditionalFormatting>
  <conditionalFormatting sqref="C21:H21">
    <cfRule type="expression" priority="10" dxfId="5">
      <formula>AND($E$5="Net per piece EUR",ISNUMBER(C21),C21=MIN($C21:$H21))</formula>
    </cfRule>
  </conditionalFormatting>
  <conditionalFormatting sqref="C22:H22">
    <cfRule type="expression" priority="11" dxfId="5">
      <formula>AND($E$5="Net per piece EUR",ISNUMBER(C22),C22=MIN($C22:$H22))</formula>
    </cfRule>
  </conditionalFormatting>
  <conditionalFormatting sqref="C23:H23">
    <cfRule type="expression" priority="12" dxfId="5">
      <formula>AND($E$5="Net per piece EUR",ISNUMBER(C23),C23=MIN($C23:$H23))</formula>
    </cfRule>
  </conditionalFormatting>
  <conditionalFormatting sqref="C24:H24">
    <cfRule type="expression" priority="13" dxfId="5">
      <formula>AND($E$5="Net per piece EUR",ISNUMBER(C24),C24=MIN($C24:$H24))</formula>
    </cfRule>
  </conditionalFormatting>
  <conditionalFormatting sqref="C25:H25">
    <cfRule type="expression" priority="14" dxfId="5">
      <formula>AND($E$5="Net per piece EUR",ISNUMBER(C25),C25=MIN($C25:$H25))</formula>
    </cfRule>
  </conditionalFormatting>
  <conditionalFormatting sqref="C26:H26">
    <cfRule type="expression" priority="15" dxfId="5">
      <formula>AND($E$5="Net per piece EUR",ISNUMBER(C26),C26=MIN($C26:$H26))</formula>
    </cfRule>
  </conditionalFormatting>
  <conditionalFormatting sqref="C27:H27">
    <cfRule type="expression" priority="16" dxfId="5">
      <formula>AND($E$5="Net per piece EUR",ISNUMBER(C27),C27=MIN($C27:$H27))</formula>
    </cfRule>
  </conditionalFormatting>
  <conditionalFormatting sqref="C28:H28">
    <cfRule type="expression" priority="17" dxfId="5">
      <formula>AND($E$5="Net per piece EUR",ISNUMBER(C28),C28=MIN($C28:$H28))</formula>
    </cfRule>
  </conditionalFormatting>
  <conditionalFormatting sqref="C29:H29">
    <cfRule type="expression" priority="18" dxfId="5">
      <formula>AND($E$5="Net per piece EUR",ISNUMBER(C29),C29=MIN($C29:$H29))</formula>
    </cfRule>
  </conditionalFormatting>
  <conditionalFormatting sqref="C30:H30">
    <cfRule type="expression" priority="19" dxfId="5">
      <formula>AND($E$5="Net per piece EUR",ISNUMBER(C30),C30=MIN($C30:$H30))</formula>
    </cfRule>
  </conditionalFormatting>
  <conditionalFormatting sqref="C31:H31">
    <cfRule type="expression" priority="20" dxfId="5">
      <formula>AND($E$5="Net per piece EUR",ISNUMBER(C31),C31=MIN($C31:$H31))</formula>
    </cfRule>
  </conditionalFormatting>
  <conditionalFormatting sqref="C32:H32">
    <cfRule type="expression" priority="21" dxfId="5">
      <formula>AND($E$5="Net per piece EUR",ISNUMBER(C32),C32=MIN($C32:$H32))</formula>
    </cfRule>
  </conditionalFormatting>
  <conditionalFormatting sqref="C33:H33">
    <cfRule type="expression" priority="22" dxfId="5">
      <formula>AND($E$5="Net per piece EUR",ISNUMBER(C33),C33=MIN($C33:$H33))</formula>
    </cfRule>
  </conditionalFormatting>
  <conditionalFormatting sqref="C34:H34">
    <cfRule type="expression" priority="23" dxfId="5">
      <formula>AND($E$5="Net per piece EUR",ISNUMBER(C34),C34=MIN($C34:$H34))</formula>
    </cfRule>
  </conditionalFormatting>
  <conditionalFormatting sqref="C35:H35">
    <cfRule type="expression" priority="24" dxfId="5">
      <formula>AND($E$5="Net per piece EUR",ISNUMBER(C35),C35=MIN($C35:$H35))</formula>
    </cfRule>
  </conditionalFormatting>
  <conditionalFormatting sqref="C36:H36">
    <cfRule type="expression" priority="25" dxfId="5">
      <formula>AND($E$5="Net per piece EUR",ISNUMBER(C36),C36=MIN($C36:$H36))</formula>
    </cfRule>
  </conditionalFormatting>
  <conditionalFormatting sqref="C37:H37">
    <cfRule type="expression" priority="26" dxfId="5">
      <formula>AND($E$5="Net per piece EUR",ISNUMBER(C37),C37=MIN($C37:$H37))</formula>
    </cfRule>
  </conditionalFormatting>
  <conditionalFormatting sqref="C38:H38">
    <cfRule type="expression" priority="27" dxfId="5">
      <formula>AND($E$5="Net per piece EUR",ISNUMBER(C38),C38=MIN($C38:$H38))</formula>
    </cfRule>
  </conditionalFormatting>
  <conditionalFormatting sqref="C39:H39">
    <cfRule type="expression" priority="28" dxfId="5">
      <formula>AND($E$5="Net per piece EUR",ISNUMBER(C39),C39=MIN($C39:$H39))</formula>
    </cfRule>
  </conditionalFormatting>
  <conditionalFormatting sqref="C40:H40">
    <cfRule type="expression" priority="29" dxfId="5">
      <formula>AND($E$5="Net per piece EUR",ISNUMBER(C40),C40=MIN($C40:$H40))</formula>
    </cfRule>
  </conditionalFormatting>
  <conditionalFormatting sqref="C41:H41">
    <cfRule type="expression" priority="30" dxfId="5">
      <formula>AND($E$5="Net per piece EUR",ISNUMBER(C41),C41=MIN($C41:$H41))</formula>
    </cfRule>
  </conditionalFormatting>
  <conditionalFormatting sqref="C42:H42">
    <cfRule type="expression" priority="31" dxfId="5">
      <formula>AND($E$5="Net per piece EUR",ISNUMBER(C42),C42=MIN($C42:$H42))</formula>
    </cfRule>
  </conditionalFormatting>
  <conditionalFormatting sqref="C43:H43">
    <cfRule type="expression" priority="32" dxfId="5">
      <formula>AND($E$5="Net per piece EUR",ISNUMBER(C43),C43=MIN($C43:$H43))</formula>
    </cfRule>
  </conditionalFormatting>
  <conditionalFormatting sqref="C44:H44">
    <cfRule type="expression" priority="33" dxfId="5">
      <formula>AND($E$5="Net per piece EUR",ISNUMBER(C44),C44=MIN($C44:$H44))</formula>
    </cfRule>
  </conditionalFormatting>
  <conditionalFormatting sqref="C45:H45">
    <cfRule type="expression" priority="34" dxfId="5">
      <formula>AND($E$5="Net per piece EUR",ISNUMBER(C45),C45=MIN($C45:$H45))</formula>
    </cfRule>
  </conditionalFormatting>
  <conditionalFormatting sqref="D50:D55">
    <cfRule type="expression" priority="35" dxfId="3">
      <formula>D50&gt;DATE(2026,9,30)</formula>
    </cfRule>
  </conditionalFormatting>
  <dataValidations count="4">
    <dataValidation sqref="C5" showDropDown="0" showInputMessage="0" showErrorMessage="0" allowBlank="0" type="list">
      <formula1>"Minimum,Median,Maximum"</formula1>
    </dataValidation>
    <dataValidation sqref="E5" showDropDown="0" showInputMessage="0" showErrorMessage="0" allowBlank="0" type="list">
      <formula1>"Local prices,Net per piece EUR"</formula1>
    </dataValidation>
    <dataValidation sqref="H5" showDropDown="0" showInputMessage="0" showErrorMessage="0" allowBlank="0" type="list">
      <formula1>"EXACT + CLOSE,EXACT only,All mapped"</formula1>
    </dataValidation>
    <dataValidation sqref="J6" showDropDown="0" showInputMessage="0" showErrorMessage="0" allowBlank="0" type="list">
      <formula1>'Benchmarks'!$B$7:$B$40</formula1>
    </dataValidation>
  </dataValidations>
  <pageMargins left="0.7" right="0.7" top="0.75" bottom="0.75" header="0.3" footer="0.3"/>
</worksheet>
</file>

<file path=xl/worksheets/sheet2.xml><?xml version="1.0" encoding="utf-8"?>
<worksheet xmlns="http://schemas.openxmlformats.org/spreadsheetml/2006/main">
  <sheetPr>
    <tabColor rgb="FF16324F"/>
    <outlinePr summaryBelow="1" summaryRight="1"/>
    <pageSetUpPr/>
  </sheetPr>
  <dimension ref="A1:O210"/>
  <sheetViews>
    <sheetView showGridLines="0" workbookViewId="0">
      <pane xSplit="3" ySplit="6" topLeftCell="D7" activePane="bottomRight" state="frozen"/>
      <selection activeCell="A1" sqref="A1"/>
    </sheetView>
  </sheetViews>
  <sheetFormatPr baseColWidth="8" defaultRowHeight="15"/>
  <cols>
    <col width="3" customWidth="1" min="1" max="1"/>
    <col width="48" customWidth="1" min="2" max="2"/>
    <col width="14" customWidth="1" min="3" max="3"/>
    <col width="12" customWidth="1" min="4" max="4"/>
    <col width="19" customWidth="1" min="5" max="5"/>
    <col width="16" customWidth="1" min="6" max="6"/>
    <col width="16" customWidth="1" min="7" max="7"/>
    <col width="16" customWidth="1" min="8" max="8"/>
    <col width="17" customWidth="1" min="9" max="9"/>
    <col width="17" customWidth="1" min="10" max="10"/>
    <col width="17" customWidth="1" min="11" max="11"/>
    <col width="21" customWidth="1" min="12" max="12"/>
    <col width="13" customWidth="1" min="13" max="13"/>
    <col width="58" customWidth="1" min="14" max="14"/>
  </cols>
  <sheetData>
    <row r="1" ht="22" customHeight="1">
      <c r="A1" s="2" t="n"/>
      <c r="B1" s="2" t="n"/>
      <c r="C1" s="2" t="n"/>
      <c r="D1" s="2" t="n"/>
      <c r="E1" s="2" t="n"/>
      <c r="F1" s="2" t="n"/>
      <c r="G1" s="2" t="n"/>
      <c r="H1" s="2" t="n"/>
      <c r="I1" s="2" t="n"/>
      <c r="J1" s="2" t="n"/>
      <c r="K1" s="2" t="n"/>
      <c r="L1" s="2" t="n"/>
      <c r="M1" s="2" t="n"/>
      <c r="N1" s="2" t="n"/>
      <c r="O1" s="2" t="n"/>
    </row>
    <row r="2" ht="28" customHeight="1">
      <c r="A2" s="2" t="n"/>
      <c r="B2" s="3" t="inlineStr">
        <is>
          <t>Market review</t>
        </is>
      </c>
      <c r="C2" s="2" t="n"/>
      <c r="D2" s="2" t="n"/>
      <c r="E2" s="2" t="n"/>
      <c r="F2" s="2" t="n"/>
      <c r="G2" s="2" t="n"/>
      <c r="H2" s="2" t="n"/>
      <c r="I2" s="2" t="n"/>
      <c r="J2" s="2" t="n"/>
      <c r="K2" s="2" t="n"/>
      <c r="L2" s="2" t="n"/>
      <c r="M2" s="2" t="n"/>
      <c r="N2" s="2" t="n"/>
      <c r="O2" s="2" t="n"/>
    </row>
    <row r="3" ht="22" customHeight="1">
      <c r="A3" s="2" t="n"/>
      <c r="B3" s="4" t="inlineStr">
        <is>
          <t>Net price per piece. Filter by product or country, then record your decision.</t>
        </is>
      </c>
      <c r="C3" s="2" t="n"/>
      <c r="D3" s="2" t="n"/>
      <c r="E3" s="2" t="n"/>
      <c r="F3" s="2" t="n"/>
      <c r="G3" s="2" t="n"/>
      <c r="H3" s="2" t="n"/>
      <c r="I3" s="2" t="n"/>
      <c r="J3" s="2" t="n"/>
      <c r="K3" s="2" t="n"/>
      <c r="L3" s="2" t="n"/>
      <c r="M3" s="2" t="n"/>
      <c r="N3" s="2" t="n"/>
      <c r="O3" s="2" t="n"/>
    </row>
    <row r="4" ht="22" customHeight="1">
      <c r="A4" s="2" t="n"/>
      <c r="B4" s="5" t="n"/>
      <c r="C4" s="5" t="n"/>
      <c r="D4" s="5" t="n"/>
      <c r="E4" s="5" t="n"/>
      <c r="F4" s="5" t="n"/>
      <c r="G4" s="5" t="n"/>
      <c r="H4" s="5" t="n"/>
      <c r="I4" s="5" t="n"/>
      <c r="J4" s="5" t="n"/>
      <c r="K4" s="5" t="n"/>
      <c r="L4" s="5" t="n"/>
      <c r="M4" s="5" t="n"/>
      <c r="N4" s="5" t="n"/>
      <c r="O4" s="2" t="n"/>
    </row>
    <row r="5" ht="22" customHeight="1">
      <c r="A5" s="2" t="n"/>
      <c r="B5" s="6" t="inlineStr">
        <is>
          <t>Amber = your decisions and comments. Prices follow the match filter on Compare.</t>
        </is>
      </c>
      <c r="C5" s="2" t="n"/>
      <c r="D5" s="2" t="n"/>
      <c r="E5" s="2" t="n"/>
      <c r="F5" s="2" t="n"/>
      <c r="G5" s="2" t="n"/>
      <c r="H5" s="2" t="n"/>
      <c r="I5" s="2" t="n"/>
      <c r="J5" s="2" t="n"/>
      <c r="K5" s="2" t="n"/>
      <c r="L5" s="2" t="n"/>
      <c r="M5" s="2" t="n"/>
      <c r="N5" s="2" t="n"/>
      <c r="O5" s="2" t="n"/>
    </row>
    <row r="6" ht="38" customHeight="1">
      <c r="A6" s="2" t="n"/>
      <c r="B6" s="16" t="inlineStr">
        <is>
          <t>Product</t>
        </is>
      </c>
      <c r="C6" s="17" t="inlineStr">
        <is>
          <t>Country</t>
        </is>
      </c>
      <c r="D6" s="17" t="inlineStr">
        <is>
          <t>Currency</t>
        </is>
      </c>
      <c r="E6" s="17" t="inlineStr">
        <is>
          <t>Price basis</t>
        </is>
      </c>
      <c r="F6" s="17" t="inlineStr">
        <is>
          <t>Min local</t>
        </is>
      </c>
      <c r="G6" s="17" t="inlineStr">
        <is>
          <t>Median local</t>
        </is>
      </c>
      <c r="H6" s="17" t="inlineStr">
        <is>
          <t>Max local</t>
        </is>
      </c>
      <c r="I6" s="17" t="inlineStr">
        <is>
          <t>Min EUR</t>
        </is>
      </c>
      <c r="J6" s="17" t="inlineStr">
        <is>
          <t>Median EUR</t>
        </is>
      </c>
      <c r="K6" s="17" t="inlineStr">
        <is>
          <t>Max EUR</t>
        </is>
      </c>
      <c r="L6" s="17" t="inlineStr">
        <is>
          <t>Your decision</t>
        </is>
      </c>
      <c r="M6" s="17" t="inlineStr">
        <is>
          <t>Priority</t>
        </is>
      </c>
      <c r="N6" s="17" t="inlineStr">
        <is>
          <t>Your comments</t>
        </is>
      </c>
      <c r="O6" s="18" t="inlineStr">
        <is>
          <t>Selected statistic</t>
        </is>
      </c>
    </row>
    <row r="7" ht="44" customHeight="1">
      <c r="A7" s="2" t="n"/>
      <c r="B7" s="24" t="inlineStr">
        <is>
          <t>GN 1/1 PC container, 65 mm</t>
        </is>
      </c>
      <c r="C7" s="24" t="inlineStr">
        <is>
          <t>Hungary</t>
        </is>
      </c>
      <c r="D7" s="24" t="inlineStr">
        <is>
          <t>HUF</t>
        </is>
      </c>
      <c r="E7" s="24" t="inlineStr">
        <is>
          <t>Net per piece</t>
        </is>
      </c>
      <c r="F7" s="94">
        <f>IF(COUNTIFS('Offers'!$B$7:$B$608,$B7,'Offers'!$C$7:$C$608,$C7,'Offers'!$AH$7:$AH$608,"yes")=0,"",SUMIFS('Offers'!$H$7:$H$608,'Offers'!$B$7:$B$608,$B7,'Offers'!$C$7:$C$608,$C7,'Offers'!$AF$7:$AF$608,1))</f>
        <v/>
      </c>
      <c r="G7" s="94">
        <f>IF(COUNTIFS('Offers'!$B$7:$B$608,$B7,'Offers'!$C$7:$C$608,$C7,'Offers'!$AH$7:$AH$608,"yes")=0,"",(SUMIFS('Offers'!$H$7:$H$608,'Offers'!$B$7:$B$608,$B7,'Offers'!$C$7:$C$608,$C7,'Offers'!$AF$7:$AF$608,ROUNDUP(COUNTIFS('Offers'!$B$7:$B$608,$B7,'Offers'!$C$7:$C$608,$C7,'Offers'!$AH$7:$AH$608,"yes")/2,0))+SUMIFS('Offers'!$H$7:$H$608,'Offers'!$B$7:$B$608,$B7,'Offers'!$C$7:$C$608,$C7,'Offers'!$AF$7:$AF$608,INT(COUNTIFS('Offers'!$B$7:$B$608,$B7,'Offers'!$C$7:$C$608,$C7,'Offers'!$AH$7:$AH$608,"yes")/2)+1))/2)</f>
        <v/>
      </c>
      <c r="H7" s="94">
        <f>IF(COUNTIFS('Offers'!$B$7:$B$608,$B7,'Offers'!$C$7:$C$608,$C7,'Offers'!$AH$7:$AH$608,"yes")=0,"",SUMIFS('Offers'!$H$7:$H$608,'Offers'!$B$7:$B$608,$B7,'Offers'!$C$7:$C$608,$C7,'Offers'!$AF$7:$AF$608,COUNTIFS('Offers'!$B$7:$B$608,$B7,'Offers'!$C$7:$C$608,$C7,'Offers'!$AH$7:$AH$608,"yes")))</f>
        <v/>
      </c>
      <c r="I7" s="95">
        <f>IF(COUNTIFS('Offers'!$B$7:$B$608,$B7,'Offers'!$C$7:$C$608,$C7,'Offers'!$AI$7:$AI$608,"yes")=0,"",SUMIFS('Offers'!$I$7:$I$608,'Offers'!$B$7:$B$608,$B7,'Offers'!$C$7:$C$608,$C7,'Offers'!$AG$7:$AG$608,1))</f>
        <v/>
      </c>
      <c r="J7" s="95">
        <f>IF(COUNTIFS('Offers'!$B$7:$B$608,$B7,'Offers'!$C$7:$C$608,$C7,'Offers'!$AI$7:$AI$608,"yes")=0,"",(SUMIFS('Offers'!$I$7:$I$608,'Offers'!$B$7:$B$608,$B7,'Offers'!$C$7:$C$608,$C7,'Offers'!$AG$7:$AG$608,ROUNDUP(COUNTIFS('Offers'!$B$7:$B$608,$B7,'Offers'!$C$7:$C$608,$C7,'Offers'!$AI$7:$AI$608,"yes")/2,0))+SUMIFS('Offers'!$I$7:$I$608,'Offers'!$B$7:$B$608,$B7,'Offers'!$C$7:$C$608,$C7,'Offers'!$AG$7:$AG$608,INT(COUNTIFS('Offers'!$B$7:$B$608,$B7,'Offers'!$C$7:$C$608,$C7,'Offers'!$AI$7:$AI$608,"yes")/2)+1))/2)</f>
        <v/>
      </c>
      <c r="K7" s="95">
        <f>IF(COUNTIFS('Offers'!$B$7:$B$608,$B7,'Offers'!$C$7:$C$608,$C7,'Offers'!$AI$7:$AI$608,"yes")=0,"",SUMIFS('Offers'!$I$7:$I$608,'Offers'!$B$7:$B$608,$B7,'Offers'!$C$7:$C$608,$C7,'Offers'!$AG$7:$AG$608,COUNTIFS('Offers'!$B$7:$B$608,$B7,'Offers'!$C$7:$C$608,$C7,'Offers'!$AI$7:$AI$608,"yes")))</f>
        <v/>
      </c>
      <c r="L7" s="55" t="n"/>
      <c r="M7" s="55" t="n"/>
      <c r="N7" s="55" t="n"/>
      <c r="O7" s="2">
        <f>IF('Compare'!$E$5="Local prices",IF(F7="","",IF('Compare'!$C$5="Minimum",F7,IF('Compare'!$C$5="Maximum",H7,G7))),IF(I7="","",IF('Compare'!$C$5="Minimum",I7,IF('Compare'!$C$5="Maximum",K7,J7))))</f>
        <v/>
      </c>
    </row>
    <row r="8" ht="44" customHeight="1">
      <c r="A8" s="2" t="n"/>
      <c r="B8" s="27" t="inlineStr">
        <is>
          <t>GN 1/1 PC container, 65 mm</t>
        </is>
      </c>
      <c r="C8" s="27" t="inlineStr">
        <is>
          <t>Romania</t>
        </is>
      </c>
      <c r="D8" s="27" t="inlineStr">
        <is>
          <t>RON</t>
        </is>
      </c>
      <c r="E8" s="27" t="inlineStr">
        <is>
          <t>Net per piece</t>
        </is>
      </c>
      <c r="F8" s="96">
        <f>IF(COUNTIFS('Offers'!$B$7:$B$608,$B8,'Offers'!$C$7:$C$608,$C8,'Offers'!$AH$7:$AH$608,"yes")=0,"",SUMIFS('Offers'!$H$7:$H$608,'Offers'!$B$7:$B$608,$B8,'Offers'!$C$7:$C$608,$C8,'Offers'!$AF$7:$AF$608,1))</f>
        <v/>
      </c>
      <c r="G8" s="96">
        <f>IF(COUNTIFS('Offers'!$B$7:$B$608,$B8,'Offers'!$C$7:$C$608,$C8,'Offers'!$AH$7:$AH$608,"yes")=0,"",(SUMIFS('Offers'!$H$7:$H$608,'Offers'!$B$7:$B$608,$B8,'Offers'!$C$7:$C$608,$C8,'Offers'!$AF$7:$AF$608,ROUNDUP(COUNTIFS('Offers'!$B$7:$B$608,$B8,'Offers'!$C$7:$C$608,$C8,'Offers'!$AH$7:$AH$608,"yes")/2,0))+SUMIFS('Offers'!$H$7:$H$608,'Offers'!$B$7:$B$608,$B8,'Offers'!$C$7:$C$608,$C8,'Offers'!$AF$7:$AF$608,INT(COUNTIFS('Offers'!$B$7:$B$608,$B8,'Offers'!$C$7:$C$608,$C8,'Offers'!$AH$7:$AH$608,"yes")/2)+1))/2)</f>
        <v/>
      </c>
      <c r="H8" s="96">
        <f>IF(COUNTIFS('Offers'!$B$7:$B$608,$B8,'Offers'!$C$7:$C$608,$C8,'Offers'!$AH$7:$AH$608,"yes")=0,"",SUMIFS('Offers'!$H$7:$H$608,'Offers'!$B$7:$B$608,$B8,'Offers'!$C$7:$C$608,$C8,'Offers'!$AF$7:$AF$608,COUNTIFS('Offers'!$B$7:$B$608,$B8,'Offers'!$C$7:$C$608,$C8,'Offers'!$AH$7:$AH$608,"yes")))</f>
        <v/>
      </c>
      <c r="I8" s="97">
        <f>IF(COUNTIFS('Offers'!$B$7:$B$608,$B8,'Offers'!$C$7:$C$608,$C8,'Offers'!$AI$7:$AI$608,"yes")=0,"",SUMIFS('Offers'!$I$7:$I$608,'Offers'!$B$7:$B$608,$B8,'Offers'!$C$7:$C$608,$C8,'Offers'!$AG$7:$AG$608,1))</f>
        <v/>
      </c>
      <c r="J8" s="97">
        <f>IF(COUNTIFS('Offers'!$B$7:$B$608,$B8,'Offers'!$C$7:$C$608,$C8,'Offers'!$AI$7:$AI$608,"yes")=0,"",(SUMIFS('Offers'!$I$7:$I$608,'Offers'!$B$7:$B$608,$B8,'Offers'!$C$7:$C$608,$C8,'Offers'!$AG$7:$AG$608,ROUNDUP(COUNTIFS('Offers'!$B$7:$B$608,$B8,'Offers'!$C$7:$C$608,$C8,'Offers'!$AI$7:$AI$608,"yes")/2,0))+SUMIFS('Offers'!$I$7:$I$608,'Offers'!$B$7:$B$608,$B8,'Offers'!$C$7:$C$608,$C8,'Offers'!$AG$7:$AG$608,INT(COUNTIFS('Offers'!$B$7:$B$608,$B8,'Offers'!$C$7:$C$608,$C8,'Offers'!$AI$7:$AI$608,"yes")/2)+1))/2)</f>
        <v/>
      </c>
      <c r="K8" s="97">
        <f>IF(COUNTIFS('Offers'!$B$7:$B$608,$B8,'Offers'!$C$7:$C$608,$C8,'Offers'!$AI$7:$AI$608,"yes")=0,"",SUMIFS('Offers'!$I$7:$I$608,'Offers'!$B$7:$B$608,$B8,'Offers'!$C$7:$C$608,$C8,'Offers'!$AG$7:$AG$608,COUNTIFS('Offers'!$B$7:$B$608,$B8,'Offers'!$C$7:$C$608,$C8,'Offers'!$AI$7:$AI$608,"yes")))</f>
        <v/>
      </c>
      <c r="L8" s="55" t="n"/>
      <c r="M8" s="55" t="n"/>
      <c r="N8" s="55" t="n"/>
      <c r="O8" s="19">
        <f>IF('Compare'!$E$5="Local prices",IF(F8="","",IF('Compare'!$C$5="Minimum",F8,IF('Compare'!$C$5="Maximum",H8,G8))),IF(I8="","",IF('Compare'!$C$5="Minimum",I8,IF('Compare'!$C$5="Maximum",K8,J8))))</f>
        <v/>
      </c>
    </row>
    <row r="9" ht="44" customHeight="1">
      <c r="A9" s="2" t="n"/>
      <c r="B9" s="24" t="inlineStr">
        <is>
          <t>GN 1/1 PC container, 65 mm</t>
        </is>
      </c>
      <c r="C9" s="24" t="inlineStr">
        <is>
          <t>Austria</t>
        </is>
      </c>
      <c r="D9" s="24" t="inlineStr">
        <is>
          <t>EUR</t>
        </is>
      </c>
      <c r="E9" s="24" t="inlineStr">
        <is>
          <t>Net per piece</t>
        </is>
      </c>
      <c r="F9" s="94">
        <f>IF(COUNTIFS('Offers'!$B$7:$B$608,$B9,'Offers'!$C$7:$C$608,$C9,'Offers'!$AH$7:$AH$608,"yes")=0,"",SUMIFS('Offers'!$H$7:$H$608,'Offers'!$B$7:$B$608,$B9,'Offers'!$C$7:$C$608,$C9,'Offers'!$AF$7:$AF$608,1))</f>
        <v/>
      </c>
      <c r="G9" s="94">
        <f>IF(COUNTIFS('Offers'!$B$7:$B$608,$B9,'Offers'!$C$7:$C$608,$C9,'Offers'!$AH$7:$AH$608,"yes")=0,"",(SUMIFS('Offers'!$H$7:$H$608,'Offers'!$B$7:$B$608,$B9,'Offers'!$C$7:$C$608,$C9,'Offers'!$AF$7:$AF$608,ROUNDUP(COUNTIFS('Offers'!$B$7:$B$608,$B9,'Offers'!$C$7:$C$608,$C9,'Offers'!$AH$7:$AH$608,"yes")/2,0))+SUMIFS('Offers'!$H$7:$H$608,'Offers'!$B$7:$B$608,$B9,'Offers'!$C$7:$C$608,$C9,'Offers'!$AF$7:$AF$608,INT(COUNTIFS('Offers'!$B$7:$B$608,$B9,'Offers'!$C$7:$C$608,$C9,'Offers'!$AH$7:$AH$608,"yes")/2)+1))/2)</f>
        <v/>
      </c>
      <c r="H9" s="94">
        <f>IF(COUNTIFS('Offers'!$B$7:$B$608,$B9,'Offers'!$C$7:$C$608,$C9,'Offers'!$AH$7:$AH$608,"yes")=0,"",SUMIFS('Offers'!$H$7:$H$608,'Offers'!$B$7:$B$608,$B9,'Offers'!$C$7:$C$608,$C9,'Offers'!$AF$7:$AF$608,COUNTIFS('Offers'!$B$7:$B$608,$B9,'Offers'!$C$7:$C$608,$C9,'Offers'!$AH$7:$AH$608,"yes")))</f>
        <v/>
      </c>
      <c r="I9" s="95">
        <f>IF(COUNTIFS('Offers'!$B$7:$B$608,$B9,'Offers'!$C$7:$C$608,$C9,'Offers'!$AI$7:$AI$608,"yes")=0,"",SUMIFS('Offers'!$I$7:$I$608,'Offers'!$B$7:$B$608,$B9,'Offers'!$C$7:$C$608,$C9,'Offers'!$AG$7:$AG$608,1))</f>
        <v/>
      </c>
      <c r="J9" s="95">
        <f>IF(COUNTIFS('Offers'!$B$7:$B$608,$B9,'Offers'!$C$7:$C$608,$C9,'Offers'!$AI$7:$AI$608,"yes")=0,"",(SUMIFS('Offers'!$I$7:$I$608,'Offers'!$B$7:$B$608,$B9,'Offers'!$C$7:$C$608,$C9,'Offers'!$AG$7:$AG$608,ROUNDUP(COUNTIFS('Offers'!$B$7:$B$608,$B9,'Offers'!$C$7:$C$608,$C9,'Offers'!$AI$7:$AI$608,"yes")/2,0))+SUMIFS('Offers'!$I$7:$I$608,'Offers'!$B$7:$B$608,$B9,'Offers'!$C$7:$C$608,$C9,'Offers'!$AG$7:$AG$608,INT(COUNTIFS('Offers'!$B$7:$B$608,$B9,'Offers'!$C$7:$C$608,$C9,'Offers'!$AI$7:$AI$608,"yes")/2)+1))/2)</f>
        <v/>
      </c>
      <c r="K9" s="95">
        <f>IF(COUNTIFS('Offers'!$B$7:$B$608,$B9,'Offers'!$C$7:$C$608,$C9,'Offers'!$AI$7:$AI$608,"yes")=0,"",SUMIFS('Offers'!$I$7:$I$608,'Offers'!$B$7:$B$608,$B9,'Offers'!$C$7:$C$608,$C9,'Offers'!$AG$7:$AG$608,COUNTIFS('Offers'!$B$7:$B$608,$B9,'Offers'!$C$7:$C$608,$C9,'Offers'!$AI$7:$AI$608,"yes")))</f>
        <v/>
      </c>
      <c r="L9" s="55" t="n"/>
      <c r="M9" s="55" t="n"/>
      <c r="N9" s="55" t="n"/>
      <c r="O9" s="2">
        <f>IF('Compare'!$E$5="Local prices",IF(F9="","",IF('Compare'!$C$5="Minimum",F9,IF('Compare'!$C$5="Maximum",H9,G9))),IF(I9="","",IF('Compare'!$C$5="Minimum",I9,IF('Compare'!$C$5="Maximum",K9,J9))))</f>
        <v/>
      </c>
    </row>
    <row r="10" ht="44" customHeight="1">
      <c r="A10" s="2" t="n"/>
      <c r="B10" s="27" t="inlineStr">
        <is>
          <t>GN 1/1 PC container, 65 mm</t>
        </is>
      </c>
      <c r="C10" s="27" t="inlineStr">
        <is>
          <t>Germany</t>
        </is>
      </c>
      <c r="D10" s="27" t="inlineStr">
        <is>
          <t>EUR</t>
        </is>
      </c>
      <c r="E10" s="27" t="inlineStr">
        <is>
          <t>Net per piece</t>
        </is>
      </c>
      <c r="F10" s="96">
        <f>IF(COUNTIFS('Offers'!$B$7:$B$608,$B10,'Offers'!$C$7:$C$608,$C10,'Offers'!$AH$7:$AH$608,"yes")=0,"",SUMIFS('Offers'!$H$7:$H$608,'Offers'!$B$7:$B$608,$B10,'Offers'!$C$7:$C$608,$C10,'Offers'!$AF$7:$AF$608,1))</f>
        <v/>
      </c>
      <c r="G10" s="96">
        <f>IF(COUNTIFS('Offers'!$B$7:$B$608,$B10,'Offers'!$C$7:$C$608,$C10,'Offers'!$AH$7:$AH$608,"yes")=0,"",(SUMIFS('Offers'!$H$7:$H$608,'Offers'!$B$7:$B$608,$B10,'Offers'!$C$7:$C$608,$C10,'Offers'!$AF$7:$AF$608,ROUNDUP(COUNTIFS('Offers'!$B$7:$B$608,$B10,'Offers'!$C$7:$C$608,$C10,'Offers'!$AH$7:$AH$608,"yes")/2,0))+SUMIFS('Offers'!$H$7:$H$608,'Offers'!$B$7:$B$608,$B10,'Offers'!$C$7:$C$608,$C10,'Offers'!$AF$7:$AF$608,INT(COUNTIFS('Offers'!$B$7:$B$608,$B10,'Offers'!$C$7:$C$608,$C10,'Offers'!$AH$7:$AH$608,"yes")/2)+1))/2)</f>
        <v/>
      </c>
      <c r="H10" s="96">
        <f>IF(COUNTIFS('Offers'!$B$7:$B$608,$B10,'Offers'!$C$7:$C$608,$C10,'Offers'!$AH$7:$AH$608,"yes")=0,"",SUMIFS('Offers'!$H$7:$H$608,'Offers'!$B$7:$B$608,$B10,'Offers'!$C$7:$C$608,$C10,'Offers'!$AF$7:$AF$608,COUNTIFS('Offers'!$B$7:$B$608,$B10,'Offers'!$C$7:$C$608,$C10,'Offers'!$AH$7:$AH$608,"yes")))</f>
        <v/>
      </c>
      <c r="I10" s="97">
        <f>IF(COUNTIFS('Offers'!$B$7:$B$608,$B10,'Offers'!$C$7:$C$608,$C10,'Offers'!$AI$7:$AI$608,"yes")=0,"",SUMIFS('Offers'!$I$7:$I$608,'Offers'!$B$7:$B$608,$B10,'Offers'!$C$7:$C$608,$C10,'Offers'!$AG$7:$AG$608,1))</f>
        <v/>
      </c>
      <c r="J10" s="97">
        <f>IF(COUNTIFS('Offers'!$B$7:$B$608,$B10,'Offers'!$C$7:$C$608,$C10,'Offers'!$AI$7:$AI$608,"yes")=0,"",(SUMIFS('Offers'!$I$7:$I$608,'Offers'!$B$7:$B$608,$B10,'Offers'!$C$7:$C$608,$C10,'Offers'!$AG$7:$AG$608,ROUNDUP(COUNTIFS('Offers'!$B$7:$B$608,$B10,'Offers'!$C$7:$C$608,$C10,'Offers'!$AI$7:$AI$608,"yes")/2,0))+SUMIFS('Offers'!$I$7:$I$608,'Offers'!$B$7:$B$608,$B10,'Offers'!$C$7:$C$608,$C10,'Offers'!$AG$7:$AG$608,INT(COUNTIFS('Offers'!$B$7:$B$608,$B10,'Offers'!$C$7:$C$608,$C10,'Offers'!$AI$7:$AI$608,"yes")/2)+1))/2)</f>
        <v/>
      </c>
      <c r="K10" s="97">
        <f>IF(COUNTIFS('Offers'!$B$7:$B$608,$B10,'Offers'!$C$7:$C$608,$C10,'Offers'!$AI$7:$AI$608,"yes")=0,"",SUMIFS('Offers'!$I$7:$I$608,'Offers'!$B$7:$B$608,$B10,'Offers'!$C$7:$C$608,$C10,'Offers'!$AG$7:$AG$608,COUNTIFS('Offers'!$B$7:$B$608,$B10,'Offers'!$C$7:$C$608,$C10,'Offers'!$AI$7:$AI$608,"yes")))</f>
        <v/>
      </c>
      <c r="L10" s="55" t="n"/>
      <c r="M10" s="55" t="n"/>
      <c r="N10" s="55" t="n"/>
      <c r="O10" s="19">
        <f>IF('Compare'!$E$5="Local prices",IF(F10="","",IF('Compare'!$C$5="Minimum",F10,IF('Compare'!$C$5="Maximum",H10,G10))),IF(I10="","",IF('Compare'!$C$5="Minimum",I10,IF('Compare'!$C$5="Maximum",K10,J10))))</f>
        <v/>
      </c>
    </row>
    <row r="11" ht="44" customHeight="1">
      <c r="A11" s="2" t="n"/>
      <c r="B11" s="24" t="inlineStr">
        <is>
          <t>GN 1/1 PC container, 65 mm</t>
        </is>
      </c>
      <c r="C11" s="24" t="inlineStr">
        <is>
          <t>Czech</t>
        </is>
      </c>
      <c r="D11" s="24" t="inlineStr">
        <is>
          <t>CZK</t>
        </is>
      </c>
      <c r="E11" s="24" t="inlineStr">
        <is>
          <t>Net per piece</t>
        </is>
      </c>
      <c r="F11" s="94">
        <f>IF(COUNTIFS('Offers'!$B$7:$B$608,$B11,'Offers'!$C$7:$C$608,$C11,'Offers'!$AH$7:$AH$608,"yes")=0,"",SUMIFS('Offers'!$H$7:$H$608,'Offers'!$B$7:$B$608,$B11,'Offers'!$C$7:$C$608,$C11,'Offers'!$AF$7:$AF$608,1))</f>
        <v/>
      </c>
      <c r="G11" s="94">
        <f>IF(COUNTIFS('Offers'!$B$7:$B$608,$B11,'Offers'!$C$7:$C$608,$C11,'Offers'!$AH$7:$AH$608,"yes")=0,"",(SUMIFS('Offers'!$H$7:$H$608,'Offers'!$B$7:$B$608,$B11,'Offers'!$C$7:$C$608,$C11,'Offers'!$AF$7:$AF$608,ROUNDUP(COUNTIFS('Offers'!$B$7:$B$608,$B11,'Offers'!$C$7:$C$608,$C11,'Offers'!$AH$7:$AH$608,"yes")/2,0))+SUMIFS('Offers'!$H$7:$H$608,'Offers'!$B$7:$B$608,$B11,'Offers'!$C$7:$C$608,$C11,'Offers'!$AF$7:$AF$608,INT(COUNTIFS('Offers'!$B$7:$B$608,$B11,'Offers'!$C$7:$C$608,$C11,'Offers'!$AH$7:$AH$608,"yes")/2)+1))/2)</f>
        <v/>
      </c>
      <c r="H11" s="94">
        <f>IF(COUNTIFS('Offers'!$B$7:$B$608,$B11,'Offers'!$C$7:$C$608,$C11,'Offers'!$AH$7:$AH$608,"yes")=0,"",SUMIFS('Offers'!$H$7:$H$608,'Offers'!$B$7:$B$608,$B11,'Offers'!$C$7:$C$608,$C11,'Offers'!$AF$7:$AF$608,COUNTIFS('Offers'!$B$7:$B$608,$B11,'Offers'!$C$7:$C$608,$C11,'Offers'!$AH$7:$AH$608,"yes")))</f>
        <v/>
      </c>
      <c r="I11" s="95">
        <f>IF(COUNTIFS('Offers'!$B$7:$B$608,$B11,'Offers'!$C$7:$C$608,$C11,'Offers'!$AI$7:$AI$608,"yes")=0,"",SUMIFS('Offers'!$I$7:$I$608,'Offers'!$B$7:$B$608,$B11,'Offers'!$C$7:$C$608,$C11,'Offers'!$AG$7:$AG$608,1))</f>
        <v/>
      </c>
      <c r="J11" s="95">
        <f>IF(COUNTIFS('Offers'!$B$7:$B$608,$B11,'Offers'!$C$7:$C$608,$C11,'Offers'!$AI$7:$AI$608,"yes")=0,"",(SUMIFS('Offers'!$I$7:$I$608,'Offers'!$B$7:$B$608,$B11,'Offers'!$C$7:$C$608,$C11,'Offers'!$AG$7:$AG$608,ROUNDUP(COUNTIFS('Offers'!$B$7:$B$608,$B11,'Offers'!$C$7:$C$608,$C11,'Offers'!$AI$7:$AI$608,"yes")/2,0))+SUMIFS('Offers'!$I$7:$I$608,'Offers'!$B$7:$B$608,$B11,'Offers'!$C$7:$C$608,$C11,'Offers'!$AG$7:$AG$608,INT(COUNTIFS('Offers'!$B$7:$B$608,$B11,'Offers'!$C$7:$C$608,$C11,'Offers'!$AI$7:$AI$608,"yes")/2)+1))/2)</f>
        <v/>
      </c>
      <c r="K11" s="95">
        <f>IF(COUNTIFS('Offers'!$B$7:$B$608,$B11,'Offers'!$C$7:$C$608,$C11,'Offers'!$AI$7:$AI$608,"yes")=0,"",SUMIFS('Offers'!$I$7:$I$608,'Offers'!$B$7:$B$608,$B11,'Offers'!$C$7:$C$608,$C11,'Offers'!$AG$7:$AG$608,COUNTIFS('Offers'!$B$7:$B$608,$B11,'Offers'!$C$7:$C$608,$C11,'Offers'!$AI$7:$AI$608,"yes")))</f>
        <v/>
      </c>
      <c r="L11" s="55" t="n"/>
      <c r="M11" s="55" t="n"/>
      <c r="N11" s="55" t="n"/>
      <c r="O11" s="2">
        <f>IF('Compare'!$E$5="Local prices",IF(F11="","",IF('Compare'!$C$5="Minimum",F11,IF('Compare'!$C$5="Maximum",H11,G11))),IF(I11="","",IF('Compare'!$C$5="Minimum",I11,IF('Compare'!$C$5="Maximum",K11,J11))))</f>
        <v/>
      </c>
    </row>
    <row r="12" ht="44" customHeight="1">
      <c r="A12" s="2" t="n"/>
      <c r="B12" s="27" t="inlineStr">
        <is>
          <t>GN 1/1 PC container, 65 mm</t>
        </is>
      </c>
      <c r="C12" s="27" t="inlineStr">
        <is>
          <t>Slovakia</t>
        </is>
      </c>
      <c r="D12" s="27" t="inlineStr">
        <is>
          <t>EUR</t>
        </is>
      </c>
      <c r="E12" s="27" t="inlineStr">
        <is>
          <t>Net per piece</t>
        </is>
      </c>
      <c r="F12" s="96">
        <f>IF(COUNTIFS('Offers'!$B$7:$B$608,$B12,'Offers'!$C$7:$C$608,$C12,'Offers'!$AH$7:$AH$608,"yes")=0,"",SUMIFS('Offers'!$H$7:$H$608,'Offers'!$B$7:$B$608,$B12,'Offers'!$C$7:$C$608,$C12,'Offers'!$AF$7:$AF$608,1))</f>
        <v/>
      </c>
      <c r="G12" s="96">
        <f>IF(COUNTIFS('Offers'!$B$7:$B$608,$B12,'Offers'!$C$7:$C$608,$C12,'Offers'!$AH$7:$AH$608,"yes")=0,"",(SUMIFS('Offers'!$H$7:$H$608,'Offers'!$B$7:$B$608,$B12,'Offers'!$C$7:$C$608,$C12,'Offers'!$AF$7:$AF$608,ROUNDUP(COUNTIFS('Offers'!$B$7:$B$608,$B12,'Offers'!$C$7:$C$608,$C12,'Offers'!$AH$7:$AH$608,"yes")/2,0))+SUMIFS('Offers'!$H$7:$H$608,'Offers'!$B$7:$B$608,$B12,'Offers'!$C$7:$C$608,$C12,'Offers'!$AF$7:$AF$608,INT(COUNTIFS('Offers'!$B$7:$B$608,$B12,'Offers'!$C$7:$C$608,$C12,'Offers'!$AH$7:$AH$608,"yes")/2)+1))/2)</f>
        <v/>
      </c>
      <c r="H12" s="96">
        <f>IF(COUNTIFS('Offers'!$B$7:$B$608,$B12,'Offers'!$C$7:$C$608,$C12,'Offers'!$AH$7:$AH$608,"yes")=0,"",SUMIFS('Offers'!$H$7:$H$608,'Offers'!$B$7:$B$608,$B12,'Offers'!$C$7:$C$608,$C12,'Offers'!$AF$7:$AF$608,COUNTIFS('Offers'!$B$7:$B$608,$B12,'Offers'!$C$7:$C$608,$C12,'Offers'!$AH$7:$AH$608,"yes")))</f>
        <v/>
      </c>
      <c r="I12" s="97">
        <f>IF(COUNTIFS('Offers'!$B$7:$B$608,$B12,'Offers'!$C$7:$C$608,$C12,'Offers'!$AI$7:$AI$608,"yes")=0,"",SUMIFS('Offers'!$I$7:$I$608,'Offers'!$B$7:$B$608,$B12,'Offers'!$C$7:$C$608,$C12,'Offers'!$AG$7:$AG$608,1))</f>
        <v/>
      </c>
      <c r="J12" s="97">
        <f>IF(COUNTIFS('Offers'!$B$7:$B$608,$B12,'Offers'!$C$7:$C$608,$C12,'Offers'!$AI$7:$AI$608,"yes")=0,"",(SUMIFS('Offers'!$I$7:$I$608,'Offers'!$B$7:$B$608,$B12,'Offers'!$C$7:$C$608,$C12,'Offers'!$AG$7:$AG$608,ROUNDUP(COUNTIFS('Offers'!$B$7:$B$608,$B12,'Offers'!$C$7:$C$608,$C12,'Offers'!$AI$7:$AI$608,"yes")/2,0))+SUMIFS('Offers'!$I$7:$I$608,'Offers'!$B$7:$B$608,$B12,'Offers'!$C$7:$C$608,$C12,'Offers'!$AG$7:$AG$608,INT(COUNTIFS('Offers'!$B$7:$B$608,$B12,'Offers'!$C$7:$C$608,$C12,'Offers'!$AI$7:$AI$608,"yes")/2)+1))/2)</f>
        <v/>
      </c>
      <c r="K12" s="97">
        <f>IF(COUNTIFS('Offers'!$B$7:$B$608,$B12,'Offers'!$C$7:$C$608,$C12,'Offers'!$AI$7:$AI$608,"yes")=0,"",SUMIFS('Offers'!$I$7:$I$608,'Offers'!$B$7:$B$608,$B12,'Offers'!$C$7:$C$608,$C12,'Offers'!$AG$7:$AG$608,COUNTIFS('Offers'!$B$7:$B$608,$B12,'Offers'!$C$7:$C$608,$C12,'Offers'!$AI$7:$AI$608,"yes")))</f>
        <v/>
      </c>
      <c r="L12" s="55" t="n"/>
      <c r="M12" s="55" t="n"/>
      <c r="N12" s="55" t="n"/>
      <c r="O12" s="19">
        <f>IF('Compare'!$E$5="Local prices",IF(F12="","",IF('Compare'!$C$5="Minimum",F12,IF('Compare'!$C$5="Maximum",H12,G12))),IF(I12="","",IF('Compare'!$C$5="Minimum",I12,IF('Compare'!$C$5="Maximum",K12,J12))))</f>
        <v/>
      </c>
    </row>
    <row r="13" ht="44" customHeight="1">
      <c r="A13" s="2" t="n"/>
      <c r="B13" s="24" t="inlineStr">
        <is>
          <t>GN 1/2 PC container, 150 mm</t>
        </is>
      </c>
      <c r="C13" s="24" t="inlineStr">
        <is>
          <t>Hungary</t>
        </is>
      </c>
      <c r="D13" s="24" t="inlineStr">
        <is>
          <t>HUF</t>
        </is>
      </c>
      <c r="E13" s="24" t="inlineStr">
        <is>
          <t>Net per piece</t>
        </is>
      </c>
      <c r="F13" s="94">
        <f>IF(COUNTIFS('Offers'!$B$7:$B$608,$B13,'Offers'!$C$7:$C$608,$C13,'Offers'!$AH$7:$AH$608,"yes")=0,"",SUMIFS('Offers'!$H$7:$H$608,'Offers'!$B$7:$B$608,$B13,'Offers'!$C$7:$C$608,$C13,'Offers'!$AF$7:$AF$608,1))</f>
        <v/>
      </c>
      <c r="G13" s="94">
        <f>IF(COUNTIFS('Offers'!$B$7:$B$608,$B13,'Offers'!$C$7:$C$608,$C13,'Offers'!$AH$7:$AH$608,"yes")=0,"",(SUMIFS('Offers'!$H$7:$H$608,'Offers'!$B$7:$B$608,$B13,'Offers'!$C$7:$C$608,$C13,'Offers'!$AF$7:$AF$608,ROUNDUP(COUNTIFS('Offers'!$B$7:$B$608,$B13,'Offers'!$C$7:$C$608,$C13,'Offers'!$AH$7:$AH$608,"yes")/2,0))+SUMIFS('Offers'!$H$7:$H$608,'Offers'!$B$7:$B$608,$B13,'Offers'!$C$7:$C$608,$C13,'Offers'!$AF$7:$AF$608,INT(COUNTIFS('Offers'!$B$7:$B$608,$B13,'Offers'!$C$7:$C$608,$C13,'Offers'!$AH$7:$AH$608,"yes")/2)+1))/2)</f>
        <v/>
      </c>
      <c r="H13" s="94">
        <f>IF(COUNTIFS('Offers'!$B$7:$B$608,$B13,'Offers'!$C$7:$C$608,$C13,'Offers'!$AH$7:$AH$608,"yes")=0,"",SUMIFS('Offers'!$H$7:$H$608,'Offers'!$B$7:$B$608,$B13,'Offers'!$C$7:$C$608,$C13,'Offers'!$AF$7:$AF$608,COUNTIFS('Offers'!$B$7:$B$608,$B13,'Offers'!$C$7:$C$608,$C13,'Offers'!$AH$7:$AH$608,"yes")))</f>
        <v/>
      </c>
      <c r="I13" s="95">
        <f>IF(COUNTIFS('Offers'!$B$7:$B$608,$B13,'Offers'!$C$7:$C$608,$C13,'Offers'!$AI$7:$AI$608,"yes")=0,"",SUMIFS('Offers'!$I$7:$I$608,'Offers'!$B$7:$B$608,$B13,'Offers'!$C$7:$C$608,$C13,'Offers'!$AG$7:$AG$608,1))</f>
        <v/>
      </c>
      <c r="J13" s="95">
        <f>IF(COUNTIFS('Offers'!$B$7:$B$608,$B13,'Offers'!$C$7:$C$608,$C13,'Offers'!$AI$7:$AI$608,"yes")=0,"",(SUMIFS('Offers'!$I$7:$I$608,'Offers'!$B$7:$B$608,$B13,'Offers'!$C$7:$C$608,$C13,'Offers'!$AG$7:$AG$608,ROUNDUP(COUNTIFS('Offers'!$B$7:$B$608,$B13,'Offers'!$C$7:$C$608,$C13,'Offers'!$AI$7:$AI$608,"yes")/2,0))+SUMIFS('Offers'!$I$7:$I$608,'Offers'!$B$7:$B$608,$B13,'Offers'!$C$7:$C$608,$C13,'Offers'!$AG$7:$AG$608,INT(COUNTIFS('Offers'!$B$7:$B$608,$B13,'Offers'!$C$7:$C$608,$C13,'Offers'!$AI$7:$AI$608,"yes")/2)+1))/2)</f>
        <v/>
      </c>
      <c r="K13" s="95">
        <f>IF(COUNTIFS('Offers'!$B$7:$B$608,$B13,'Offers'!$C$7:$C$608,$C13,'Offers'!$AI$7:$AI$608,"yes")=0,"",SUMIFS('Offers'!$I$7:$I$608,'Offers'!$B$7:$B$608,$B13,'Offers'!$C$7:$C$608,$C13,'Offers'!$AG$7:$AG$608,COUNTIFS('Offers'!$B$7:$B$608,$B13,'Offers'!$C$7:$C$608,$C13,'Offers'!$AI$7:$AI$608,"yes")))</f>
        <v/>
      </c>
      <c r="L13" s="55" t="n"/>
      <c r="M13" s="55" t="n"/>
      <c r="N13" s="55" t="n"/>
      <c r="O13" s="2">
        <f>IF('Compare'!$E$5="Local prices",IF(F13="","",IF('Compare'!$C$5="Minimum",F13,IF('Compare'!$C$5="Maximum",H13,G13))),IF(I13="","",IF('Compare'!$C$5="Minimum",I13,IF('Compare'!$C$5="Maximum",K13,J13))))</f>
        <v/>
      </c>
    </row>
    <row r="14" ht="44" customHeight="1">
      <c r="A14" s="2" t="n"/>
      <c r="B14" s="27" t="inlineStr">
        <is>
          <t>GN 1/2 PC container, 150 mm</t>
        </is>
      </c>
      <c r="C14" s="27" t="inlineStr">
        <is>
          <t>Romania</t>
        </is>
      </c>
      <c r="D14" s="27" t="inlineStr">
        <is>
          <t>RON</t>
        </is>
      </c>
      <c r="E14" s="27" t="inlineStr">
        <is>
          <t>Net per piece</t>
        </is>
      </c>
      <c r="F14" s="96">
        <f>IF(COUNTIFS('Offers'!$B$7:$B$608,$B14,'Offers'!$C$7:$C$608,$C14,'Offers'!$AH$7:$AH$608,"yes")=0,"",SUMIFS('Offers'!$H$7:$H$608,'Offers'!$B$7:$B$608,$B14,'Offers'!$C$7:$C$608,$C14,'Offers'!$AF$7:$AF$608,1))</f>
        <v/>
      </c>
      <c r="G14" s="96">
        <f>IF(COUNTIFS('Offers'!$B$7:$B$608,$B14,'Offers'!$C$7:$C$608,$C14,'Offers'!$AH$7:$AH$608,"yes")=0,"",(SUMIFS('Offers'!$H$7:$H$608,'Offers'!$B$7:$B$608,$B14,'Offers'!$C$7:$C$608,$C14,'Offers'!$AF$7:$AF$608,ROUNDUP(COUNTIFS('Offers'!$B$7:$B$608,$B14,'Offers'!$C$7:$C$608,$C14,'Offers'!$AH$7:$AH$608,"yes")/2,0))+SUMIFS('Offers'!$H$7:$H$608,'Offers'!$B$7:$B$608,$B14,'Offers'!$C$7:$C$608,$C14,'Offers'!$AF$7:$AF$608,INT(COUNTIFS('Offers'!$B$7:$B$608,$B14,'Offers'!$C$7:$C$608,$C14,'Offers'!$AH$7:$AH$608,"yes")/2)+1))/2)</f>
        <v/>
      </c>
      <c r="H14" s="96">
        <f>IF(COUNTIFS('Offers'!$B$7:$B$608,$B14,'Offers'!$C$7:$C$608,$C14,'Offers'!$AH$7:$AH$608,"yes")=0,"",SUMIFS('Offers'!$H$7:$H$608,'Offers'!$B$7:$B$608,$B14,'Offers'!$C$7:$C$608,$C14,'Offers'!$AF$7:$AF$608,COUNTIFS('Offers'!$B$7:$B$608,$B14,'Offers'!$C$7:$C$608,$C14,'Offers'!$AH$7:$AH$608,"yes")))</f>
        <v/>
      </c>
      <c r="I14" s="97">
        <f>IF(COUNTIFS('Offers'!$B$7:$B$608,$B14,'Offers'!$C$7:$C$608,$C14,'Offers'!$AI$7:$AI$608,"yes")=0,"",SUMIFS('Offers'!$I$7:$I$608,'Offers'!$B$7:$B$608,$B14,'Offers'!$C$7:$C$608,$C14,'Offers'!$AG$7:$AG$608,1))</f>
        <v/>
      </c>
      <c r="J14" s="97">
        <f>IF(COUNTIFS('Offers'!$B$7:$B$608,$B14,'Offers'!$C$7:$C$608,$C14,'Offers'!$AI$7:$AI$608,"yes")=0,"",(SUMIFS('Offers'!$I$7:$I$608,'Offers'!$B$7:$B$608,$B14,'Offers'!$C$7:$C$608,$C14,'Offers'!$AG$7:$AG$608,ROUNDUP(COUNTIFS('Offers'!$B$7:$B$608,$B14,'Offers'!$C$7:$C$608,$C14,'Offers'!$AI$7:$AI$608,"yes")/2,0))+SUMIFS('Offers'!$I$7:$I$608,'Offers'!$B$7:$B$608,$B14,'Offers'!$C$7:$C$608,$C14,'Offers'!$AG$7:$AG$608,INT(COUNTIFS('Offers'!$B$7:$B$608,$B14,'Offers'!$C$7:$C$608,$C14,'Offers'!$AI$7:$AI$608,"yes")/2)+1))/2)</f>
        <v/>
      </c>
      <c r="K14" s="97">
        <f>IF(COUNTIFS('Offers'!$B$7:$B$608,$B14,'Offers'!$C$7:$C$608,$C14,'Offers'!$AI$7:$AI$608,"yes")=0,"",SUMIFS('Offers'!$I$7:$I$608,'Offers'!$B$7:$B$608,$B14,'Offers'!$C$7:$C$608,$C14,'Offers'!$AG$7:$AG$608,COUNTIFS('Offers'!$B$7:$B$608,$B14,'Offers'!$C$7:$C$608,$C14,'Offers'!$AI$7:$AI$608,"yes")))</f>
        <v/>
      </c>
      <c r="L14" s="55" t="n"/>
      <c r="M14" s="55" t="n"/>
      <c r="N14" s="55" t="n"/>
      <c r="O14" s="19">
        <f>IF('Compare'!$E$5="Local prices",IF(F14="","",IF('Compare'!$C$5="Minimum",F14,IF('Compare'!$C$5="Maximum",H14,G14))),IF(I14="","",IF('Compare'!$C$5="Minimum",I14,IF('Compare'!$C$5="Maximum",K14,J14))))</f>
        <v/>
      </c>
    </row>
    <row r="15" ht="44" customHeight="1">
      <c r="A15" s="2" t="n"/>
      <c r="B15" s="24" t="inlineStr">
        <is>
          <t>GN 1/2 PC container, 150 mm</t>
        </is>
      </c>
      <c r="C15" s="24" t="inlineStr">
        <is>
          <t>Austria</t>
        </is>
      </c>
      <c r="D15" s="24" t="inlineStr">
        <is>
          <t>EUR</t>
        </is>
      </c>
      <c r="E15" s="24" t="inlineStr">
        <is>
          <t>Net per piece</t>
        </is>
      </c>
      <c r="F15" s="94">
        <f>IF(COUNTIFS('Offers'!$B$7:$B$608,$B15,'Offers'!$C$7:$C$608,$C15,'Offers'!$AH$7:$AH$608,"yes")=0,"",SUMIFS('Offers'!$H$7:$H$608,'Offers'!$B$7:$B$608,$B15,'Offers'!$C$7:$C$608,$C15,'Offers'!$AF$7:$AF$608,1))</f>
        <v/>
      </c>
      <c r="G15" s="94">
        <f>IF(COUNTIFS('Offers'!$B$7:$B$608,$B15,'Offers'!$C$7:$C$608,$C15,'Offers'!$AH$7:$AH$608,"yes")=0,"",(SUMIFS('Offers'!$H$7:$H$608,'Offers'!$B$7:$B$608,$B15,'Offers'!$C$7:$C$608,$C15,'Offers'!$AF$7:$AF$608,ROUNDUP(COUNTIFS('Offers'!$B$7:$B$608,$B15,'Offers'!$C$7:$C$608,$C15,'Offers'!$AH$7:$AH$608,"yes")/2,0))+SUMIFS('Offers'!$H$7:$H$608,'Offers'!$B$7:$B$608,$B15,'Offers'!$C$7:$C$608,$C15,'Offers'!$AF$7:$AF$608,INT(COUNTIFS('Offers'!$B$7:$B$608,$B15,'Offers'!$C$7:$C$608,$C15,'Offers'!$AH$7:$AH$608,"yes")/2)+1))/2)</f>
        <v/>
      </c>
      <c r="H15" s="94">
        <f>IF(COUNTIFS('Offers'!$B$7:$B$608,$B15,'Offers'!$C$7:$C$608,$C15,'Offers'!$AH$7:$AH$608,"yes")=0,"",SUMIFS('Offers'!$H$7:$H$608,'Offers'!$B$7:$B$608,$B15,'Offers'!$C$7:$C$608,$C15,'Offers'!$AF$7:$AF$608,COUNTIFS('Offers'!$B$7:$B$608,$B15,'Offers'!$C$7:$C$608,$C15,'Offers'!$AH$7:$AH$608,"yes")))</f>
        <v/>
      </c>
      <c r="I15" s="95">
        <f>IF(COUNTIFS('Offers'!$B$7:$B$608,$B15,'Offers'!$C$7:$C$608,$C15,'Offers'!$AI$7:$AI$608,"yes")=0,"",SUMIFS('Offers'!$I$7:$I$608,'Offers'!$B$7:$B$608,$B15,'Offers'!$C$7:$C$608,$C15,'Offers'!$AG$7:$AG$608,1))</f>
        <v/>
      </c>
      <c r="J15" s="95">
        <f>IF(COUNTIFS('Offers'!$B$7:$B$608,$B15,'Offers'!$C$7:$C$608,$C15,'Offers'!$AI$7:$AI$608,"yes")=0,"",(SUMIFS('Offers'!$I$7:$I$608,'Offers'!$B$7:$B$608,$B15,'Offers'!$C$7:$C$608,$C15,'Offers'!$AG$7:$AG$608,ROUNDUP(COUNTIFS('Offers'!$B$7:$B$608,$B15,'Offers'!$C$7:$C$608,$C15,'Offers'!$AI$7:$AI$608,"yes")/2,0))+SUMIFS('Offers'!$I$7:$I$608,'Offers'!$B$7:$B$608,$B15,'Offers'!$C$7:$C$608,$C15,'Offers'!$AG$7:$AG$608,INT(COUNTIFS('Offers'!$B$7:$B$608,$B15,'Offers'!$C$7:$C$608,$C15,'Offers'!$AI$7:$AI$608,"yes")/2)+1))/2)</f>
        <v/>
      </c>
      <c r="K15" s="95">
        <f>IF(COUNTIFS('Offers'!$B$7:$B$608,$B15,'Offers'!$C$7:$C$608,$C15,'Offers'!$AI$7:$AI$608,"yes")=0,"",SUMIFS('Offers'!$I$7:$I$608,'Offers'!$B$7:$B$608,$B15,'Offers'!$C$7:$C$608,$C15,'Offers'!$AG$7:$AG$608,COUNTIFS('Offers'!$B$7:$B$608,$B15,'Offers'!$C$7:$C$608,$C15,'Offers'!$AI$7:$AI$608,"yes")))</f>
        <v/>
      </c>
      <c r="L15" s="55" t="n"/>
      <c r="M15" s="55" t="n"/>
      <c r="N15" s="55" t="n"/>
      <c r="O15" s="2">
        <f>IF('Compare'!$E$5="Local prices",IF(F15="","",IF('Compare'!$C$5="Minimum",F15,IF('Compare'!$C$5="Maximum",H15,G15))),IF(I15="","",IF('Compare'!$C$5="Minimum",I15,IF('Compare'!$C$5="Maximum",K15,J15))))</f>
        <v/>
      </c>
    </row>
    <row r="16" ht="44" customHeight="1">
      <c r="A16" s="2" t="n"/>
      <c r="B16" s="27" t="inlineStr">
        <is>
          <t>GN 1/2 PC container, 150 mm</t>
        </is>
      </c>
      <c r="C16" s="27" t="inlineStr">
        <is>
          <t>Germany</t>
        </is>
      </c>
      <c r="D16" s="27" t="inlineStr">
        <is>
          <t>EUR</t>
        </is>
      </c>
      <c r="E16" s="27" t="inlineStr">
        <is>
          <t>Net per piece</t>
        </is>
      </c>
      <c r="F16" s="96">
        <f>IF(COUNTIFS('Offers'!$B$7:$B$608,$B16,'Offers'!$C$7:$C$608,$C16,'Offers'!$AH$7:$AH$608,"yes")=0,"",SUMIFS('Offers'!$H$7:$H$608,'Offers'!$B$7:$B$608,$B16,'Offers'!$C$7:$C$608,$C16,'Offers'!$AF$7:$AF$608,1))</f>
        <v/>
      </c>
      <c r="G16" s="96">
        <f>IF(COUNTIFS('Offers'!$B$7:$B$608,$B16,'Offers'!$C$7:$C$608,$C16,'Offers'!$AH$7:$AH$608,"yes")=0,"",(SUMIFS('Offers'!$H$7:$H$608,'Offers'!$B$7:$B$608,$B16,'Offers'!$C$7:$C$608,$C16,'Offers'!$AF$7:$AF$608,ROUNDUP(COUNTIFS('Offers'!$B$7:$B$608,$B16,'Offers'!$C$7:$C$608,$C16,'Offers'!$AH$7:$AH$608,"yes")/2,0))+SUMIFS('Offers'!$H$7:$H$608,'Offers'!$B$7:$B$608,$B16,'Offers'!$C$7:$C$608,$C16,'Offers'!$AF$7:$AF$608,INT(COUNTIFS('Offers'!$B$7:$B$608,$B16,'Offers'!$C$7:$C$608,$C16,'Offers'!$AH$7:$AH$608,"yes")/2)+1))/2)</f>
        <v/>
      </c>
      <c r="H16" s="96">
        <f>IF(COUNTIFS('Offers'!$B$7:$B$608,$B16,'Offers'!$C$7:$C$608,$C16,'Offers'!$AH$7:$AH$608,"yes")=0,"",SUMIFS('Offers'!$H$7:$H$608,'Offers'!$B$7:$B$608,$B16,'Offers'!$C$7:$C$608,$C16,'Offers'!$AF$7:$AF$608,COUNTIFS('Offers'!$B$7:$B$608,$B16,'Offers'!$C$7:$C$608,$C16,'Offers'!$AH$7:$AH$608,"yes")))</f>
        <v/>
      </c>
      <c r="I16" s="97">
        <f>IF(COUNTIFS('Offers'!$B$7:$B$608,$B16,'Offers'!$C$7:$C$608,$C16,'Offers'!$AI$7:$AI$608,"yes")=0,"",SUMIFS('Offers'!$I$7:$I$608,'Offers'!$B$7:$B$608,$B16,'Offers'!$C$7:$C$608,$C16,'Offers'!$AG$7:$AG$608,1))</f>
        <v/>
      </c>
      <c r="J16" s="97">
        <f>IF(COUNTIFS('Offers'!$B$7:$B$608,$B16,'Offers'!$C$7:$C$608,$C16,'Offers'!$AI$7:$AI$608,"yes")=0,"",(SUMIFS('Offers'!$I$7:$I$608,'Offers'!$B$7:$B$608,$B16,'Offers'!$C$7:$C$608,$C16,'Offers'!$AG$7:$AG$608,ROUNDUP(COUNTIFS('Offers'!$B$7:$B$608,$B16,'Offers'!$C$7:$C$608,$C16,'Offers'!$AI$7:$AI$608,"yes")/2,0))+SUMIFS('Offers'!$I$7:$I$608,'Offers'!$B$7:$B$608,$B16,'Offers'!$C$7:$C$608,$C16,'Offers'!$AG$7:$AG$608,INT(COUNTIFS('Offers'!$B$7:$B$608,$B16,'Offers'!$C$7:$C$608,$C16,'Offers'!$AI$7:$AI$608,"yes")/2)+1))/2)</f>
        <v/>
      </c>
      <c r="K16" s="97">
        <f>IF(COUNTIFS('Offers'!$B$7:$B$608,$B16,'Offers'!$C$7:$C$608,$C16,'Offers'!$AI$7:$AI$608,"yes")=0,"",SUMIFS('Offers'!$I$7:$I$608,'Offers'!$B$7:$B$608,$B16,'Offers'!$C$7:$C$608,$C16,'Offers'!$AG$7:$AG$608,COUNTIFS('Offers'!$B$7:$B$608,$B16,'Offers'!$C$7:$C$608,$C16,'Offers'!$AI$7:$AI$608,"yes")))</f>
        <v/>
      </c>
      <c r="L16" s="55" t="n"/>
      <c r="M16" s="55" t="n"/>
      <c r="N16" s="55" t="n"/>
      <c r="O16" s="19">
        <f>IF('Compare'!$E$5="Local prices",IF(F16="","",IF('Compare'!$C$5="Minimum",F16,IF('Compare'!$C$5="Maximum",H16,G16))),IF(I16="","",IF('Compare'!$C$5="Minimum",I16,IF('Compare'!$C$5="Maximum",K16,J16))))</f>
        <v/>
      </c>
    </row>
    <row r="17" ht="44" customHeight="1">
      <c r="A17" s="2" t="n"/>
      <c r="B17" s="24" t="inlineStr">
        <is>
          <t>GN 1/2 PC container, 150 mm</t>
        </is>
      </c>
      <c r="C17" s="24" t="inlineStr">
        <is>
          <t>Czech</t>
        </is>
      </c>
      <c r="D17" s="24" t="inlineStr">
        <is>
          <t>CZK</t>
        </is>
      </c>
      <c r="E17" s="24" t="inlineStr">
        <is>
          <t>Net per piece</t>
        </is>
      </c>
      <c r="F17" s="94">
        <f>IF(COUNTIFS('Offers'!$B$7:$B$608,$B17,'Offers'!$C$7:$C$608,$C17,'Offers'!$AH$7:$AH$608,"yes")=0,"",SUMIFS('Offers'!$H$7:$H$608,'Offers'!$B$7:$B$608,$B17,'Offers'!$C$7:$C$608,$C17,'Offers'!$AF$7:$AF$608,1))</f>
        <v/>
      </c>
      <c r="G17" s="94">
        <f>IF(COUNTIFS('Offers'!$B$7:$B$608,$B17,'Offers'!$C$7:$C$608,$C17,'Offers'!$AH$7:$AH$608,"yes")=0,"",(SUMIFS('Offers'!$H$7:$H$608,'Offers'!$B$7:$B$608,$B17,'Offers'!$C$7:$C$608,$C17,'Offers'!$AF$7:$AF$608,ROUNDUP(COUNTIFS('Offers'!$B$7:$B$608,$B17,'Offers'!$C$7:$C$608,$C17,'Offers'!$AH$7:$AH$608,"yes")/2,0))+SUMIFS('Offers'!$H$7:$H$608,'Offers'!$B$7:$B$608,$B17,'Offers'!$C$7:$C$608,$C17,'Offers'!$AF$7:$AF$608,INT(COUNTIFS('Offers'!$B$7:$B$608,$B17,'Offers'!$C$7:$C$608,$C17,'Offers'!$AH$7:$AH$608,"yes")/2)+1))/2)</f>
        <v/>
      </c>
      <c r="H17" s="94">
        <f>IF(COUNTIFS('Offers'!$B$7:$B$608,$B17,'Offers'!$C$7:$C$608,$C17,'Offers'!$AH$7:$AH$608,"yes")=0,"",SUMIFS('Offers'!$H$7:$H$608,'Offers'!$B$7:$B$608,$B17,'Offers'!$C$7:$C$608,$C17,'Offers'!$AF$7:$AF$608,COUNTIFS('Offers'!$B$7:$B$608,$B17,'Offers'!$C$7:$C$608,$C17,'Offers'!$AH$7:$AH$608,"yes")))</f>
        <v/>
      </c>
      <c r="I17" s="95">
        <f>IF(COUNTIFS('Offers'!$B$7:$B$608,$B17,'Offers'!$C$7:$C$608,$C17,'Offers'!$AI$7:$AI$608,"yes")=0,"",SUMIFS('Offers'!$I$7:$I$608,'Offers'!$B$7:$B$608,$B17,'Offers'!$C$7:$C$608,$C17,'Offers'!$AG$7:$AG$608,1))</f>
        <v/>
      </c>
      <c r="J17" s="95">
        <f>IF(COUNTIFS('Offers'!$B$7:$B$608,$B17,'Offers'!$C$7:$C$608,$C17,'Offers'!$AI$7:$AI$608,"yes")=0,"",(SUMIFS('Offers'!$I$7:$I$608,'Offers'!$B$7:$B$608,$B17,'Offers'!$C$7:$C$608,$C17,'Offers'!$AG$7:$AG$608,ROUNDUP(COUNTIFS('Offers'!$B$7:$B$608,$B17,'Offers'!$C$7:$C$608,$C17,'Offers'!$AI$7:$AI$608,"yes")/2,0))+SUMIFS('Offers'!$I$7:$I$608,'Offers'!$B$7:$B$608,$B17,'Offers'!$C$7:$C$608,$C17,'Offers'!$AG$7:$AG$608,INT(COUNTIFS('Offers'!$B$7:$B$608,$B17,'Offers'!$C$7:$C$608,$C17,'Offers'!$AI$7:$AI$608,"yes")/2)+1))/2)</f>
        <v/>
      </c>
      <c r="K17" s="95">
        <f>IF(COUNTIFS('Offers'!$B$7:$B$608,$B17,'Offers'!$C$7:$C$608,$C17,'Offers'!$AI$7:$AI$608,"yes")=0,"",SUMIFS('Offers'!$I$7:$I$608,'Offers'!$B$7:$B$608,$B17,'Offers'!$C$7:$C$608,$C17,'Offers'!$AG$7:$AG$608,COUNTIFS('Offers'!$B$7:$B$608,$B17,'Offers'!$C$7:$C$608,$C17,'Offers'!$AI$7:$AI$608,"yes")))</f>
        <v/>
      </c>
      <c r="L17" s="55" t="n"/>
      <c r="M17" s="55" t="n"/>
      <c r="N17" s="55" t="n"/>
      <c r="O17" s="2">
        <f>IF('Compare'!$E$5="Local prices",IF(F17="","",IF('Compare'!$C$5="Minimum",F17,IF('Compare'!$C$5="Maximum",H17,G17))),IF(I17="","",IF('Compare'!$C$5="Minimum",I17,IF('Compare'!$C$5="Maximum",K17,J17))))</f>
        <v/>
      </c>
    </row>
    <row r="18" ht="44" customHeight="1">
      <c r="A18" s="2" t="n"/>
      <c r="B18" s="27" t="inlineStr">
        <is>
          <t>GN 1/2 PC container, 150 mm</t>
        </is>
      </c>
      <c r="C18" s="27" t="inlineStr">
        <is>
          <t>Slovakia</t>
        </is>
      </c>
      <c r="D18" s="27" t="inlineStr">
        <is>
          <t>EUR</t>
        </is>
      </c>
      <c r="E18" s="27" t="inlineStr">
        <is>
          <t>Net per piece</t>
        </is>
      </c>
      <c r="F18" s="96">
        <f>IF(COUNTIFS('Offers'!$B$7:$B$608,$B18,'Offers'!$C$7:$C$608,$C18,'Offers'!$AH$7:$AH$608,"yes")=0,"",SUMIFS('Offers'!$H$7:$H$608,'Offers'!$B$7:$B$608,$B18,'Offers'!$C$7:$C$608,$C18,'Offers'!$AF$7:$AF$608,1))</f>
        <v/>
      </c>
      <c r="G18" s="96">
        <f>IF(COUNTIFS('Offers'!$B$7:$B$608,$B18,'Offers'!$C$7:$C$608,$C18,'Offers'!$AH$7:$AH$608,"yes")=0,"",(SUMIFS('Offers'!$H$7:$H$608,'Offers'!$B$7:$B$608,$B18,'Offers'!$C$7:$C$608,$C18,'Offers'!$AF$7:$AF$608,ROUNDUP(COUNTIFS('Offers'!$B$7:$B$608,$B18,'Offers'!$C$7:$C$608,$C18,'Offers'!$AH$7:$AH$608,"yes")/2,0))+SUMIFS('Offers'!$H$7:$H$608,'Offers'!$B$7:$B$608,$B18,'Offers'!$C$7:$C$608,$C18,'Offers'!$AF$7:$AF$608,INT(COUNTIFS('Offers'!$B$7:$B$608,$B18,'Offers'!$C$7:$C$608,$C18,'Offers'!$AH$7:$AH$608,"yes")/2)+1))/2)</f>
        <v/>
      </c>
      <c r="H18" s="96">
        <f>IF(COUNTIFS('Offers'!$B$7:$B$608,$B18,'Offers'!$C$7:$C$608,$C18,'Offers'!$AH$7:$AH$608,"yes")=0,"",SUMIFS('Offers'!$H$7:$H$608,'Offers'!$B$7:$B$608,$B18,'Offers'!$C$7:$C$608,$C18,'Offers'!$AF$7:$AF$608,COUNTIFS('Offers'!$B$7:$B$608,$B18,'Offers'!$C$7:$C$608,$C18,'Offers'!$AH$7:$AH$608,"yes")))</f>
        <v/>
      </c>
      <c r="I18" s="97">
        <f>IF(COUNTIFS('Offers'!$B$7:$B$608,$B18,'Offers'!$C$7:$C$608,$C18,'Offers'!$AI$7:$AI$608,"yes")=0,"",SUMIFS('Offers'!$I$7:$I$608,'Offers'!$B$7:$B$608,$B18,'Offers'!$C$7:$C$608,$C18,'Offers'!$AG$7:$AG$608,1))</f>
        <v/>
      </c>
      <c r="J18" s="97">
        <f>IF(COUNTIFS('Offers'!$B$7:$B$608,$B18,'Offers'!$C$7:$C$608,$C18,'Offers'!$AI$7:$AI$608,"yes")=0,"",(SUMIFS('Offers'!$I$7:$I$608,'Offers'!$B$7:$B$608,$B18,'Offers'!$C$7:$C$608,$C18,'Offers'!$AG$7:$AG$608,ROUNDUP(COUNTIFS('Offers'!$B$7:$B$608,$B18,'Offers'!$C$7:$C$608,$C18,'Offers'!$AI$7:$AI$608,"yes")/2,0))+SUMIFS('Offers'!$I$7:$I$608,'Offers'!$B$7:$B$608,$B18,'Offers'!$C$7:$C$608,$C18,'Offers'!$AG$7:$AG$608,INT(COUNTIFS('Offers'!$B$7:$B$608,$B18,'Offers'!$C$7:$C$608,$C18,'Offers'!$AI$7:$AI$608,"yes")/2)+1))/2)</f>
        <v/>
      </c>
      <c r="K18" s="97">
        <f>IF(COUNTIFS('Offers'!$B$7:$B$608,$B18,'Offers'!$C$7:$C$608,$C18,'Offers'!$AI$7:$AI$608,"yes")=0,"",SUMIFS('Offers'!$I$7:$I$608,'Offers'!$B$7:$B$608,$B18,'Offers'!$C$7:$C$608,$C18,'Offers'!$AG$7:$AG$608,COUNTIFS('Offers'!$B$7:$B$608,$B18,'Offers'!$C$7:$C$608,$C18,'Offers'!$AI$7:$AI$608,"yes")))</f>
        <v/>
      </c>
      <c r="L18" s="55" t="n"/>
      <c r="M18" s="55" t="n"/>
      <c r="N18" s="55" t="n"/>
      <c r="O18" s="19">
        <f>IF('Compare'!$E$5="Local prices",IF(F18="","",IF('Compare'!$C$5="Minimum",F18,IF('Compare'!$C$5="Maximum",H18,G18))),IF(I18="","",IF('Compare'!$C$5="Minimum",I18,IF('Compare'!$C$5="Maximum",K18,J18))))</f>
        <v/>
      </c>
    </row>
    <row r="19" ht="44" customHeight="1">
      <c r="A19" s="2" t="n"/>
      <c r="B19" s="24" t="inlineStr">
        <is>
          <t>GN 1/3 PP container, 100 mm</t>
        </is>
      </c>
      <c r="C19" s="24" t="inlineStr">
        <is>
          <t>Hungary</t>
        </is>
      </c>
      <c r="D19" s="24" t="inlineStr">
        <is>
          <t>HUF</t>
        </is>
      </c>
      <c r="E19" s="24" t="inlineStr">
        <is>
          <t>Net per piece</t>
        </is>
      </c>
      <c r="F19" s="94">
        <f>IF(COUNTIFS('Offers'!$B$7:$B$608,$B19,'Offers'!$C$7:$C$608,$C19,'Offers'!$AH$7:$AH$608,"yes")=0,"",SUMIFS('Offers'!$H$7:$H$608,'Offers'!$B$7:$B$608,$B19,'Offers'!$C$7:$C$608,$C19,'Offers'!$AF$7:$AF$608,1))</f>
        <v/>
      </c>
      <c r="G19" s="94">
        <f>IF(COUNTIFS('Offers'!$B$7:$B$608,$B19,'Offers'!$C$7:$C$608,$C19,'Offers'!$AH$7:$AH$608,"yes")=0,"",(SUMIFS('Offers'!$H$7:$H$608,'Offers'!$B$7:$B$608,$B19,'Offers'!$C$7:$C$608,$C19,'Offers'!$AF$7:$AF$608,ROUNDUP(COUNTIFS('Offers'!$B$7:$B$608,$B19,'Offers'!$C$7:$C$608,$C19,'Offers'!$AH$7:$AH$608,"yes")/2,0))+SUMIFS('Offers'!$H$7:$H$608,'Offers'!$B$7:$B$608,$B19,'Offers'!$C$7:$C$608,$C19,'Offers'!$AF$7:$AF$608,INT(COUNTIFS('Offers'!$B$7:$B$608,$B19,'Offers'!$C$7:$C$608,$C19,'Offers'!$AH$7:$AH$608,"yes")/2)+1))/2)</f>
        <v/>
      </c>
      <c r="H19" s="94">
        <f>IF(COUNTIFS('Offers'!$B$7:$B$608,$B19,'Offers'!$C$7:$C$608,$C19,'Offers'!$AH$7:$AH$608,"yes")=0,"",SUMIFS('Offers'!$H$7:$H$608,'Offers'!$B$7:$B$608,$B19,'Offers'!$C$7:$C$608,$C19,'Offers'!$AF$7:$AF$608,COUNTIFS('Offers'!$B$7:$B$608,$B19,'Offers'!$C$7:$C$608,$C19,'Offers'!$AH$7:$AH$608,"yes")))</f>
        <v/>
      </c>
      <c r="I19" s="95">
        <f>IF(COUNTIFS('Offers'!$B$7:$B$608,$B19,'Offers'!$C$7:$C$608,$C19,'Offers'!$AI$7:$AI$608,"yes")=0,"",SUMIFS('Offers'!$I$7:$I$608,'Offers'!$B$7:$B$608,$B19,'Offers'!$C$7:$C$608,$C19,'Offers'!$AG$7:$AG$608,1))</f>
        <v/>
      </c>
      <c r="J19" s="95">
        <f>IF(COUNTIFS('Offers'!$B$7:$B$608,$B19,'Offers'!$C$7:$C$608,$C19,'Offers'!$AI$7:$AI$608,"yes")=0,"",(SUMIFS('Offers'!$I$7:$I$608,'Offers'!$B$7:$B$608,$B19,'Offers'!$C$7:$C$608,$C19,'Offers'!$AG$7:$AG$608,ROUNDUP(COUNTIFS('Offers'!$B$7:$B$608,$B19,'Offers'!$C$7:$C$608,$C19,'Offers'!$AI$7:$AI$608,"yes")/2,0))+SUMIFS('Offers'!$I$7:$I$608,'Offers'!$B$7:$B$608,$B19,'Offers'!$C$7:$C$608,$C19,'Offers'!$AG$7:$AG$608,INT(COUNTIFS('Offers'!$B$7:$B$608,$B19,'Offers'!$C$7:$C$608,$C19,'Offers'!$AI$7:$AI$608,"yes")/2)+1))/2)</f>
        <v/>
      </c>
      <c r="K19" s="95">
        <f>IF(COUNTIFS('Offers'!$B$7:$B$608,$B19,'Offers'!$C$7:$C$608,$C19,'Offers'!$AI$7:$AI$608,"yes")=0,"",SUMIFS('Offers'!$I$7:$I$608,'Offers'!$B$7:$B$608,$B19,'Offers'!$C$7:$C$608,$C19,'Offers'!$AG$7:$AG$608,COUNTIFS('Offers'!$B$7:$B$608,$B19,'Offers'!$C$7:$C$608,$C19,'Offers'!$AI$7:$AI$608,"yes")))</f>
        <v/>
      </c>
      <c r="L19" s="55" t="n"/>
      <c r="M19" s="55" t="n"/>
      <c r="N19" s="55" t="n"/>
      <c r="O19" s="2">
        <f>IF('Compare'!$E$5="Local prices",IF(F19="","",IF('Compare'!$C$5="Minimum",F19,IF('Compare'!$C$5="Maximum",H19,G19))),IF(I19="","",IF('Compare'!$C$5="Minimum",I19,IF('Compare'!$C$5="Maximum",K19,J19))))</f>
        <v/>
      </c>
    </row>
    <row r="20" ht="44" customHeight="1">
      <c r="A20" s="2" t="n"/>
      <c r="B20" s="27" t="inlineStr">
        <is>
          <t>GN 1/3 PP container, 100 mm</t>
        </is>
      </c>
      <c r="C20" s="27" t="inlineStr">
        <is>
          <t>Romania</t>
        </is>
      </c>
      <c r="D20" s="27" t="inlineStr">
        <is>
          <t>RON</t>
        </is>
      </c>
      <c r="E20" s="27" t="inlineStr">
        <is>
          <t>Net per piece</t>
        </is>
      </c>
      <c r="F20" s="96">
        <f>IF(COUNTIFS('Offers'!$B$7:$B$608,$B20,'Offers'!$C$7:$C$608,$C20,'Offers'!$AH$7:$AH$608,"yes")=0,"",SUMIFS('Offers'!$H$7:$H$608,'Offers'!$B$7:$B$608,$B20,'Offers'!$C$7:$C$608,$C20,'Offers'!$AF$7:$AF$608,1))</f>
        <v/>
      </c>
      <c r="G20" s="96">
        <f>IF(COUNTIFS('Offers'!$B$7:$B$608,$B20,'Offers'!$C$7:$C$608,$C20,'Offers'!$AH$7:$AH$608,"yes")=0,"",(SUMIFS('Offers'!$H$7:$H$608,'Offers'!$B$7:$B$608,$B20,'Offers'!$C$7:$C$608,$C20,'Offers'!$AF$7:$AF$608,ROUNDUP(COUNTIFS('Offers'!$B$7:$B$608,$B20,'Offers'!$C$7:$C$608,$C20,'Offers'!$AH$7:$AH$608,"yes")/2,0))+SUMIFS('Offers'!$H$7:$H$608,'Offers'!$B$7:$B$608,$B20,'Offers'!$C$7:$C$608,$C20,'Offers'!$AF$7:$AF$608,INT(COUNTIFS('Offers'!$B$7:$B$608,$B20,'Offers'!$C$7:$C$608,$C20,'Offers'!$AH$7:$AH$608,"yes")/2)+1))/2)</f>
        <v/>
      </c>
      <c r="H20" s="96">
        <f>IF(COUNTIFS('Offers'!$B$7:$B$608,$B20,'Offers'!$C$7:$C$608,$C20,'Offers'!$AH$7:$AH$608,"yes")=0,"",SUMIFS('Offers'!$H$7:$H$608,'Offers'!$B$7:$B$608,$B20,'Offers'!$C$7:$C$608,$C20,'Offers'!$AF$7:$AF$608,COUNTIFS('Offers'!$B$7:$B$608,$B20,'Offers'!$C$7:$C$608,$C20,'Offers'!$AH$7:$AH$608,"yes")))</f>
        <v/>
      </c>
      <c r="I20" s="97">
        <f>IF(COUNTIFS('Offers'!$B$7:$B$608,$B20,'Offers'!$C$7:$C$608,$C20,'Offers'!$AI$7:$AI$608,"yes")=0,"",SUMIFS('Offers'!$I$7:$I$608,'Offers'!$B$7:$B$608,$B20,'Offers'!$C$7:$C$608,$C20,'Offers'!$AG$7:$AG$608,1))</f>
        <v/>
      </c>
      <c r="J20" s="97">
        <f>IF(COUNTIFS('Offers'!$B$7:$B$608,$B20,'Offers'!$C$7:$C$608,$C20,'Offers'!$AI$7:$AI$608,"yes")=0,"",(SUMIFS('Offers'!$I$7:$I$608,'Offers'!$B$7:$B$608,$B20,'Offers'!$C$7:$C$608,$C20,'Offers'!$AG$7:$AG$608,ROUNDUP(COUNTIFS('Offers'!$B$7:$B$608,$B20,'Offers'!$C$7:$C$608,$C20,'Offers'!$AI$7:$AI$608,"yes")/2,0))+SUMIFS('Offers'!$I$7:$I$608,'Offers'!$B$7:$B$608,$B20,'Offers'!$C$7:$C$608,$C20,'Offers'!$AG$7:$AG$608,INT(COUNTIFS('Offers'!$B$7:$B$608,$B20,'Offers'!$C$7:$C$608,$C20,'Offers'!$AI$7:$AI$608,"yes")/2)+1))/2)</f>
        <v/>
      </c>
      <c r="K20" s="97">
        <f>IF(COUNTIFS('Offers'!$B$7:$B$608,$B20,'Offers'!$C$7:$C$608,$C20,'Offers'!$AI$7:$AI$608,"yes")=0,"",SUMIFS('Offers'!$I$7:$I$608,'Offers'!$B$7:$B$608,$B20,'Offers'!$C$7:$C$608,$C20,'Offers'!$AG$7:$AG$608,COUNTIFS('Offers'!$B$7:$B$608,$B20,'Offers'!$C$7:$C$608,$C20,'Offers'!$AI$7:$AI$608,"yes")))</f>
        <v/>
      </c>
      <c r="L20" s="55" t="n"/>
      <c r="M20" s="55" t="n"/>
      <c r="N20" s="55" t="n"/>
      <c r="O20" s="19">
        <f>IF('Compare'!$E$5="Local prices",IF(F20="","",IF('Compare'!$C$5="Minimum",F20,IF('Compare'!$C$5="Maximum",H20,G20))),IF(I20="","",IF('Compare'!$C$5="Minimum",I20,IF('Compare'!$C$5="Maximum",K20,J20))))</f>
        <v/>
      </c>
    </row>
    <row r="21" ht="44" customHeight="1">
      <c r="A21" s="2" t="n"/>
      <c r="B21" s="24" t="inlineStr">
        <is>
          <t>GN 1/3 PP container, 100 mm</t>
        </is>
      </c>
      <c r="C21" s="24" t="inlineStr">
        <is>
          <t>Austria</t>
        </is>
      </c>
      <c r="D21" s="24" t="inlineStr">
        <is>
          <t>EUR</t>
        </is>
      </c>
      <c r="E21" s="24" t="inlineStr">
        <is>
          <t>Net per piece</t>
        </is>
      </c>
      <c r="F21" s="94">
        <f>IF(COUNTIFS('Offers'!$B$7:$B$608,$B21,'Offers'!$C$7:$C$608,$C21,'Offers'!$AH$7:$AH$608,"yes")=0,"",SUMIFS('Offers'!$H$7:$H$608,'Offers'!$B$7:$B$608,$B21,'Offers'!$C$7:$C$608,$C21,'Offers'!$AF$7:$AF$608,1))</f>
        <v/>
      </c>
      <c r="G21" s="94">
        <f>IF(COUNTIFS('Offers'!$B$7:$B$608,$B21,'Offers'!$C$7:$C$608,$C21,'Offers'!$AH$7:$AH$608,"yes")=0,"",(SUMIFS('Offers'!$H$7:$H$608,'Offers'!$B$7:$B$608,$B21,'Offers'!$C$7:$C$608,$C21,'Offers'!$AF$7:$AF$608,ROUNDUP(COUNTIFS('Offers'!$B$7:$B$608,$B21,'Offers'!$C$7:$C$608,$C21,'Offers'!$AH$7:$AH$608,"yes")/2,0))+SUMIFS('Offers'!$H$7:$H$608,'Offers'!$B$7:$B$608,$B21,'Offers'!$C$7:$C$608,$C21,'Offers'!$AF$7:$AF$608,INT(COUNTIFS('Offers'!$B$7:$B$608,$B21,'Offers'!$C$7:$C$608,$C21,'Offers'!$AH$7:$AH$608,"yes")/2)+1))/2)</f>
        <v/>
      </c>
      <c r="H21" s="94">
        <f>IF(COUNTIFS('Offers'!$B$7:$B$608,$B21,'Offers'!$C$7:$C$608,$C21,'Offers'!$AH$7:$AH$608,"yes")=0,"",SUMIFS('Offers'!$H$7:$H$608,'Offers'!$B$7:$B$608,$B21,'Offers'!$C$7:$C$608,$C21,'Offers'!$AF$7:$AF$608,COUNTIFS('Offers'!$B$7:$B$608,$B21,'Offers'!$C$7:$C$608,$C21,'Offers'!$AH$7:$AH$608,"yes")))</f>
        <v/>
      </c>
      <c r="I21" s="95">
        <f>IF(COUNTIFS('Offers'!$B$7:$B$608,$B21,'Offers'!$C$7:$C$608,$C21,'Offers'!$AI$7:$AI$608,"yes")=0,"",SUMIFS('Offers'!$I$7:$I$608,'Offers'!$B$7:$B$608,$B21,'Offers'!$C$7:$C$608,$C21,'Offers'!$AG$7:$AG$608,1))</f>
        <v/>
      </c>
      <c r="J21" s="95">
        <f>IF(COUNTIFS('Offers'!$B$7:$B$608,$B21,'Offers'!$C$7:$C$608,$C21,'Offers'!$AI$7:$AI$608,"yes")=0,"",(SUMIFS('Offers'!$I$7:$I$608,'Offers'!$B$7:$B$608,$B21,'Offers'!$C$7:$C$608,$C21,'Offers'!$AG$7:$AG$608,ROUNDUP(COUNTIFS('Offers'!$B$7:$B$608,$B21,'Offers'!$C$7:$C$608,$C21,'Offers'!$AI$7:$AI$608,"yes")/2,0))+SUMIFS('Offers'!$I$7:$I$608,'Offers'!$B$7:$B$608,$B21,'Offers'!$C$7:$C$608,$C21,'Offers'!$AG$7:$AG$608,INT(COUNTIFS('Offers'!$B$7:$B$608,$B21,'Offers'!$C$7:$C$608,$C21,'Offers'!$AI$7:$AI$608,"yes")/2)+1))/2)</f>
        <v/>
      </c>
      <c r="K21" s="95">
        <f>IF(COUNTIFS('Offers'!$B$7:$B$608,$B21,'Offers'!$C$7:$C$608,$C21,'Offers'!$AI$7:$AI$608,"yes")=0,"",SUMIFS('Offers'!$I$7:$I$608,'Offers'!$B$7:$B$608,$B21,'Offers'!$C$7:$C$608,$C21,'Offers'!$AG$7:$AG$608,COUNTIFS('Offers'!$B$7:$B$608,$B21,'Offers'!$C$7:$C$608,$C21,'Offers'!$AI$7:$AI$608,"yes")))</f>
        <v/>
      </c>
      <c r="L21" s="55" t="n"/>
      <c r="M21" s="55" t="n"/>
      <c r="N21" s="55" t="n"/>
      <c r="O21" s="2">
        <f>IF('Compare'!$E$5="Local prices",IF(F21="","",IF('Compare'!$C$5="Minimum",F21,IF('Compare'!$C$5="Maximum",H21,G21))),IF(I21="","",IF('Compare'!$C$5="Minimum",I21,IF('Compare'!$C$5="Maximum",K21,J21))))</f>
        <v/>
      </c>
    </row>
    <row r="22" ht="44" customHeight="1">
      <c r="A22" s="2" t="n"/>
      <c r="B22" s="27" t="inlineStr">
        <is>
          <t>GN 1/3 PP container, 100 mm</t>
        </is>
      </c>
      <c r="C22" s="27" t="inlineStr">
        <is>
          <t>Germany</t>
        </is>
      </c>
      <c r="D22" s="27" t="inlineStr">
        <is>
          <t>EUR</t>
        </is>
      </c>
      <c r="E22" s="27" t="inlineStr">
        <is>
          <t>Net per piece</t>
        </is>
      </c>
      <c r="F22" s="96">
        <f>IF(COUNTIFS('Offers'!$B$7:$B$608,$B22,'Offers'!$C$7:$C$608,$C22,'Offers'!$AH$7:$AH$608,"yes")=0,"",SUMIFS('Offers'!$H$7:$H$608,'Offers'!$B$7:$B$608,$B22,'Offers'!$C$7:$C$608,$C22,'Offers'!$AF$7:$AF$608,1))</f>
        <v/>
      </c>
      <c r="G22" s="96">
        <f>IF(COUNTIFS('Offers'!$B$7:$B$608,$B22,'Offers'!$C$7:$C$608,$C22,'Offers'!$AH$7:$AH$608,"yes")=0,"",(SUMIFS('Offers'!$H$7:$H$608,'Offers'!$B$7:$B$608,$B22,'Offers'!$C$7:$C$608,$C22,'Offers'!$AF$7:$AF$608,ROUNDUP(COUNTIFS('Offers'!$B$7:$B$608,$B22,'Offers'!$C$7:$C$608,$C22,'Offers'!$AH$7:$AH$608,"yes")/2,0))+SUMIFS('Offers'!$H$7:$H$608,'Offers'!$B$7:$B$608,$B22,'Offers'!$C$7:$C$608,$C22,'Offers'!$AF$7:$AF$608,INT(COUNTIFS('Offers'!$B$7:$B$608,$B22,'Offers'!$C$7:$C$608,$C22,'Offers'!$AH$7:$AH$608,"yes")/2)+1))/2)</f>
        <v/>
      </c>
      <c r="H22" s="96">
        <f>IF(COUNTIFS('Offers'!$B$7:$B$608,$B22,'Offers'!$C$7:$C$608,$C22,'Offers'!$AH$7:$AH$608,"yes")=0,"",SUMIFS('Offers'!$H$7:$H$608,'Offers'!$B$7:$B$608,$B22,'Offers'!$C$7:$C$608,$C22,'Offers'!$AF$7:$AF$608,COUNTIFS('Offers'!$B$7:$B$608,$B22,'Offers'!$C$7:$C$608,$C22,'Offers'!$AH$7:$AH$608,"yes")))</f>
        <v/>
      </c>
      <c r="I22" s="97">
        <f>IF(COUNTIFS('Offers'!$B$7:$B$608,$B22,'Offers'!$C$7:$C$608,$C22,'Offers'!$AI$7:$AI$608,"yes")=0,"",SUMIFS('Offers'!$I$7:$I$608,'Offers'!$B$7:$B$608,$B22,'Offers'!$C$7:$C$608,$C22,'Offers'!$AG$7:$AG$608,1))</f>
        <v/>
      </c>
      <c r="J22" s="97">
        <f>IF(COUNTIFS('Offers'!$B$7:$B$608,$B22,'Offers'!$C$7:$C$608,$C22,'Offers'!$AI$7:$AI$608,"yes")=0,"",(SUMIFS('Offers'!$I$7:$I$608,'Offers'!$B$7:$B$608,$B22,'Offers'!$C$7:$C$608,$C22,'Offers'!$AG$7:$AG$608,ROUNDUP(COUNTIFS('Offers'!$B$7:$B$608,$B22,'Offers'!$C$7:$C$608,$C22,'Offers'!$AI$7:$AI$608,"yes")/2,0))+SUMIFS('Offers'!$I$7:$I$608,'Offers'!$B$7:$B$608,$B22,'Offers'!$C$7:$C$608,$C22,'Offers'!$AG$7:$AG$608,INT(COUNTIFS('Offers'!$B$7:$B$608,$B22,'Offers'!$C$7:$C$608,$C22,'Offers'!$AI$7:$AI$608,"yes")/2)+1))/2)</f>
        <v/>
      </c>
      <c r="K22" s="97">
        <f>IF(COUNTIFS('Offers'!$B$7:$B$608,$B22,'Offers'!$C$7:$C$608,$C22,'Offers'!$AI$7:$AI$608,"yes")=0,"",SUMIFS('Offers'!$I$7:$I$608,'Offers'!$B$7:$B$608,$B22,'Offers'!$C$7:$C$608,$C22,'Offers'!$AG$7:$AG$608,COUNTIFS('Offers'!$B$7:$B$608,$B22,'Offers'!$C$7:$C$608,$C22,'Offers'!$AI$7:$AI$608,"yes")))</f>
        <v/>
      </c>
      <c r="L22" s="55" t="n"/>
      <c r="M22" s="55" t="n"/>
      <c r="N22" s="55" t="n"/>
      <c r="O22" s="19">
        <f>IF('Compare'!$E$5="Local prices",IF(F22="","",IF('Compare'!$C$5="Minimum",F22,IF('Compare'!$C$5="Maximum",H22,G22))),IF(I22="","",IF('Compare'!$C$5="Minimum",I22,IF('Compare'!$C$5="Maximum",K22,J22))))</f>
        <v/>
      </c>
    </row>
    <row r="23" ht="44" customHeight="1">
      <c r="A23" s="2" t="n"/>
      <c r="B23" s="24" t="inlineStr">
        <is>
          <t>GN 1/3 PP container, 100 mm</t>
        </is>
      </c>
      <c r="C23" s="24" t="inlineStr">
        <is>
          <t>Czech</t>
        </is>
      </c>
      <c r="D23" s="24" t="inlineStr">
        <is>
          <t>CZK</t>
        </is>
      </c>
      <c r="E23" s="24" t="inlineStr">
        <is>
          <t>Net per piece</t>
        </is>
      </c>
      <c r="F23" s="94">
        <f>IF(COUNTIFS('Offers'!$B$7:$B$608,$B23,'Offers'!$C$7:$C$608,$C23,'Offers'!$AH$7:$AH$608,"yes")=0,"",SUMIFS('Offers'!$H$7:$H$608,'Offers'!$B$7:$B$608,$B23,'Offers'!$C$7:$C$608,$C23,'Offers'!$AF$7:$AF$608,1))</f>
        <v/>
      </c>
      <c r="G23" s="94">
        <f>IF(COUNTIFS('Offers'!$B$7:$B$608,$B23,'Offers'!$C$7:$C$608,$C23,'Offers'!$AH$7:$AH$608,"yes")=0,"",(SUMIFS('Offers'!$H$7:$H$608,'Offers'!$B$7:$B$608,$B23,'Offers'!$C$7:$C$608,$C23,'Offers'!$AF$7:$AF$608,ROUNDUP(COUNTIFS('Offers'!$B$7:$B$608,$B23,'Offers'!$C$7:$C$608,$C23,'Offers'!$AH$7:$AH$608,"yes")/2,0))+SUMIFS('Offers'!$H$7:$H$608,'Offers'!$B$7:$B$608,$B23,'Offers'!$C$7:$C$608,$C23,'Offers'!$AF$7:$AF$608,INT(COUNTIFS('Offers'!$B$7:$B$608,$B23,'Offers'!$C$7:$C$608,$C23,'Offers'!$AH$7:$AH$608,"yes")/2)+1))/2)</f>
        <v/>
      </c>
      <c r="H23" s="94">
        <f>IF(COUNTIFS('Offers'!$B$7:$B$608,$B23,'Offers'!$C$7:$C$608,$C23,'Offers'!$AH$7:$AH$608,"yes")=0,"",SUMIFS('Offers'!$H$7:$H$608,'Offers'!$B$7:$B$608,$B23,'Offers'!$C$7:$C$608,$C23,'Offers'!$AF$7:$AF$608,COUNTIFS('Offers'!$B$7:$B$608,$B23,'Offers'!$C$7:$C$608,$C23,'Offers'!$AH$7:$AH$608,"yes")))</f>
        <v/>
      </c>
      <c r="I23" s="95">
        <f>IF(COUNTIFS('Offers'!$B$7:$B$608,$B23,'Offers'!$C$7:$C$608,$C23,'Offers'!$AI$7:$AI$608,"yes")=0,"",SUMIFS('Offers'!$I$7:$I$608,'Offers'!$B$7:$B$608,$B23,'Offers'!$C$7:$C$608,$C23,'Offers'!$AG$7:$AG$608,1))</f>
        <v/>
      </c>
      <c r="J23" s="95">
        <f>IF(COUNTIFS('Offers'!$B$7:$B$608,$B23,'Offers'!$C$7:$C$608,$C23,'Offers'!$AI$7:$AI$608,"yes")=0,"",(SUMIFS('Offers'!$I$7:$I$608,'Offers'!$B$7:$B$608,$B23,'Offers'!$C$7:$C$608,$C23,'Offers'!$AG$7:$AG$608,ROUNDUP(COUNTIFS('Offers'!$B$7:$B$608,$B23,'Offers'!$C$7:$C$608,$C23,'Offers'!$AI$7:$AI$608,"yes")/2,0))+SUMIFS('Offers'!$I$7:$I$608,'Offers'!$B$7:$B$608,$B23,'Offers'!$C$7:$C$608,$C23,'Offers'!$AG$7:$AG$608,INT(COUNTIFS('Offers'!$B$7:$B$608,$B23,'Offers'!$C$7:$C$608,$C23,'Offers'!$AI$7:$AI$608,"yes")/2)+1))/2)</f>
        <v/>
      </c>
      <c r="K23" s="95">
        <f>IF(COUNTIFS('Offers'!$B$7:$B$608,$B23,'Offers'!$C$7:$C$608,$C23,'Offers'!$AI$7:$AI$608,"yes")=0,"",SUMIFS('Offers'!$I$7:$I$608,'Offers'!$B$7:$B$608,$B23,'Offers'!$C$7:$C$608,$C23,'Offers'!$AG$7:$AG$608,COUNTIFS('Offers'!$B$7:$B$608,$B23,'Offers'!$C$7:$C$608,$C23,'Offers'!$AI$7:$AI$608,"yes")))</f>
        <v/>
      </c>
      <c r="L23" s="55" t="n"/>
      <c r="M23" s="55" t="n"/>
      <c r="N23" s="55" t="n"/>
      <c r="O23" s="2">
        <f>IF('Compare'!$E$5="Local prices",IF(F23="","",IF('Compare'!$C$5="Minimum",F23,IF('Compare'!$C$5="Maximum",H23,G23))),IF(I23="","",IF('Compare'!$C$5="Minimum",I23,IF('Compare'!$C$5="Maximum",K23,J23))))</f>
        <v/>
      </c>
    </row>
    <row r="24" ht="44" customHeight="1">
      <c r="A24" s="2" t="n"/>
      <c r="B24" s="27" t="inlineStr">
        <is>
          <t>GN 1/3 PP container, 100 mm</t>
        </is>
      </c>
      <c r="C24" s="27" t="inlineStr">
        <is>
          <t>Slovakia</t>
        </is>
      </c>
      <c r="D24" s="27" t="inlineStr">
        <is>
          <t>EUR</t>
        </is>
      </c>
      <c r="E24" s="27" t="inlineStr">
        <is>
          <t>Net per piece</t>
        </is>
      </c>
      <c r="F24" s="96">
        <f>IF(COUNTIFS('Offers'!$B$7:$B$608,$B24,'Offers'!$C$7:$C$608,$C24,'Offers'!$AH$7:$AH$608,"yes")=0,"",SUMIFS('Offers'!$H$7:$H$608,'Offers'!$B$7:$B$608,$B24,'Offers'!$C$7:$C$608,$C24,'Offers'!$AF$7:$AF$608,1))</f>
        <v/>
      </c>
      <c r="G24" s="96">
        <f>IF(COUNTIFS('Offers'!$B$7:$B$608,$B24,'Offers'!$C$7:$C$608,$C24,'Offers'!$AH$7:$AH$608,"yes")=0,"",(SUMIFS('Offers'!$H$7:$H$608,'Offers'!$B$7:$B$608,$B24,'Offers'!$C$7:$C$608,$C24,'Offers'!$AF$7:$AF$608,ROUNDUP(COUNTIFS('Offers'!$B$7:$B$608,$B24,'Offers'!$C$7:$C$608,$C24,'Offers'!$AH$7:$AH$608,"yes")/2,0))+SUMIFS('Offers'!$H$7:$H$608,'Offers'!$B$7:$B$608,$B24,'Offers'!$C$7:$C$608,$C24,'Offers'!$AF$7:$AF$608,INT(COUNTIFS('Offers'!$B$7:$B$608,$B24,'Offers'!$C$7:$C$608,$C24,'Offers'!$AH$7:$AH$608,"yes")/2)+1))/2)</f>
        <v/>
      </c>
      <c r="H24" s="96">
        <f>IF(COUNTIFS('Offers'!$B$7:$B$608,$B24,'Offers'!$C$7:$C$608,$C24,'Offers'!$AH$7:$AH$608,"yes")=0,"",SUMIFS('Offers'!$H$7:$H$608,'Offers'!$B$7:$B$608,$B24,'Offers'!$C$7:$C$608,$C24,'Offers'!$AF$7:$AF$608,COUNTIFS('Offers'!$B$7:$B$608,$B24,'Offers'!$C$7:$C$608,$C24,'Offers'!$AH$7:$AH$608,"yes")))</f>
        <v/>
      </c>
      <c r="I24" s="97">
        <f>IF(COUNTIFS('Offers'!$B$7:$B$608,$B24,'Offers'!$C$7:$C$608,$C24,'Offers'!$AI$7:$AI$608,"yes")=0,"",SUMIFS('Offers'!$I$7:$I$608,'Offers'!$B$7:$B$608,$B24,'Offers'!$C$7:$C$608,$C24,'Offers'!$AG$7:$AG$608,1))</f>
        <v/>
      </c>
      <c r="J24" s="97">
        <f>IF(COUNTIFS('Offers'!$B$7:$B$608,$B24,'Offers'!$C$7:$C$608,$C24,'Offers'!$AI$7:$AI$608,"yes")=0,"",(SUMIFS('Offers'!$I$7:$I$608,'Offers'!$B$7:$B$608,$B24,'Offers'!$C$7:$C$608,$C24,'Offers'!$AG$7:$AG$608,ROUNDUP(COUNTIFS('Offers'!$B$7:$B$608,$B24,'Offers'!$C$7:$C$608,$C24,'Offers'!$AI$7:$AI$608,"yes")/2,0))+SUMIFS('Offers'!$I$7:$I$608,'Offers'!$B$7:$B$608,$B24,'Offers'!$C$7:$C$608,$C24,'Offers'!$AG$7:$AG$608,INT(COUNTIFS('Offers'!$B$7:$B$608,$B24,'Offers'!$C$7:$C$608,$C24,'Offers'!$AI$7:$AI$608,"yes")/2)+1))/2)</f>
        <v/>
      </c>
      <c r="K24" s="97">
        <f>IF(COUNTIFS('Offers'!$B$7:$B$608,$B24,'Offers'!$C$7:$C$608,$C24,'Offers'!$AI$7:$AI$608,"yes")=0,"",SUMIFS('Offers'!$I$7:$I$608,'Offers'!$B$7:$B$608,$B24,'Offers'!$C$7:$C$608,$C24,'Offers'!$AG$7:$AG$608,COUNTIFS('Offers'!$B$7:$B$608,$B24,'Offers'!$C$7:$C$608,$C24,'Offers'!$AI$7:$AI$608,"yes")))</f>
        <v/>
      </c>
      <c r="L24" s="55" t="n"/>
      <c r="M24" s="55" t="n"/>
      <c r="N24" s="55" t="n"/>
      <c r="O24" s="19">
        <f>IF('Compare'!$E$5="Local prices",IF(F24="","",IF('Compare'!$C$5="Minimum",F24,IF('Compare'!$C$5="Maximum",H24,G24))),IF(I24="","",IF('Compare'!$C$5="Minimum",I24,IF('Compare'!$C$5="Maximum",K24,J24))))</f>
        <v/>
      </c>
    </row>
    <row r="25" ht="44" customHeight="1">
      <c r="A25" s="2" t="n"/>
      <c r="B25" s="24" t="inlineStr">
        <is>
          <t>GN 1/1 PP lid</t>
        </is>
      </c>
      <c r="C25" s="24" t="inlineStr">
        <is>
          <t>Hungary</t>
        </is>
      </c>
      <c r="D25" s="24" t="inlineStr">
        <is>
          <t>HUF</t>
        </is>
      </c>
      <c r="E25" s="24" t="inlineStr">
        <is>
          <t>Net per piece</t>
        </is>
      </c>
      <c r="F25" s="94">
        <f>IF(COUNTIFS('Offers'!$B$7:$B$608,$B25,'Offers'!$C$7:$C$608,$C25,'Offers'!$AH$7:$AH$608,"yes")=0,"",SUMIFS('Offers'!$H$7:$H$608,'Offers'!$B$7:$B$608,$B25,'Offers'!$C$7:$C$608,$C25,'Offers'!$AF$7:$AF$608,1))</f>
        <v/>
      </c>
      <c r="G25" s="94">
        <f>IF(COUNTIFS('Offers'!$B$7:$B$608,$B25,'Offers'!$C$7:$C$608,$C25,'Offers'!$AH$7:$AH$608,"yes")=0,"",(SUMIFS('Offers'!$H$7:$H$608,'Offers'!$B$7:$B$608,$B25,'Offers'!$C$7:$C$608,$C25,'Offers'!$AF$7:$AF$608,ROUNDUP(COUNTIFS('Offers'!$B$7:$B$608,$B25,'Offers'!$C$7:$C$608,$C25,'Offers'!$AH$7:$AH$608,"yes")/2,0))+SUMIFS('Offers'!$H$7:$H$608,'Offers'!$B$7:$B$608,$B25,'Offers'!$C$7:$C$608,$C25,'Offers'!$AF$7:$AF$608,INT(COUNTIFS('Offers'!$B$7:$B$608,$B25,'Offers'!$C$7:$C$608,$C25,'Offers'!$AH$7:$AH$608,"yes")/2)+1))/2)</f>
        <v/>
      </c>
      <c r="H25" s="94">
        <f>IF(COUNTIFS('Offers'!$B$7:$B$608,$B25,'Offers'!$C$7:$C$608,$C25,'Offers'!$AH$7:$AH$608,"yes")=0,"",SUMIFS('Offers'!$H$7:$H$608,'Offers'!$B$7:$B$608,$B25,'Offers'!$C$7:$C$608,$C25,'Offers'!$AF$7:$AF$608,COUNTIFS('Offers'!$B$7:$B$608,$B25,'Offers'!$C$7:$C$608,$C25,'Offers'!$AH$7:$AH$608,"yes")))</f>
        <v/>
      </c>
      <c r="I25" s="95">
        <f>IF(COUNTIFS('Offers'!$B$7:$B$608,$B25,'Offers'!$C$7:$C$608,$C25,'Offers'!$AI$7:$AI$608,"yes")=0,"",SUMIFS('Offers'!$I$7:$I$608,'Offers'!$B$7:$B$608,$B25,'Offers'!$C$7:$C$608,$C25,'Offers'!$AG$7:$AG$608,1))</f>
        <v/>
      </c>
      <c r="J25" s="95">
        <f>IF(COUNTIFS('Offers'!$B$7:$B$608,$B25,'Offers'!$C$7:$C$608,$C25,'Offers'!$AI$7:$AI$608,"yes")=0,"",(SUMIFS('Offers'!$I$7:$I$608,'Offers'!$B$7:$B$608,$B25,'Offers'!$C$7:$C$608,$C25,'Offers'!$AG$7:$AG$608,ROUNDUP(COUNTIFS('Offers'!$B$7:$B$608,$B25,'Offers'!$C$7:$C$608,$C25,'Offers'!$AI$7:$AI$608,"yes")/2,0))+SUMIFS('Offers'!$I$7:$I$608,'Offers'!$B$7:$B$608,$B25,'Offers'!$C$7:$C$608,$C25,'Offers'!$AG$7:$AG$608,INT(COUNTIFS('Offers'!$B$7:$B$608,$B25,'Offers'!$C$7:$C$608,$C25,'Offers'!$AI$7:$AI$608,"yes")/2)+1))/2)</f>
        <v/>
      </c>
      <c r="K25" s="95">
        <f>IF(COUNTIFS('Offers'!$B$7:$B$608,$B25,'Offers'!$C$7:$C$608,$C25,'Offers'!$AI$7:$AI$608,"yes")=0,"",SUMIFS('Offers'!$I$7:$I$608,'Offers'!$B$7:$B$608,$B25,'Offers'!$C$7:$C$608,$C25,'Offers'!$AG$7:$AG$608,COUNTIFS('Offers'!$B$7:$B$608,$B25,'Offers'!$C$7:$C$608,$C25,'Offers'!$AI$7:$AI$608,"yes")))</f>
        <v/>
      </c>
      <c r="L25" s="55" t="n"/>
      <c r="M25" s="55" t="n"/>
      <c r="N25" s="55" t="n"/>
      <c r="O25" s="2">
        <f>IF('Compare'!$E$5="Local prices",IF(F25="","",IF('Compare'!$C$5="Minimum",F25,IF('Compare'!$C$5="Maximum",H25,G25))),IF(I25="","",IF('Compare'!$C$5="Minimum",I25,IF('Compare'!$C$5="Maximum",K25,J25))))</f>
        <v/>
      </c>
    </row>
    <row r="26" ht="44" customHeight="1">
      <c r="A26" s="2" t="n"/>
      <c r="B26" s="27" t="inlineStr">
        <is>
          <t>GN 1/1 PP lid</t>
        </is>
      </c>
      <c r="C26" s="27" t="inlineStr">
        <is>
          <t>Romania</t>
        </is>
      </c>
      <c r="D26" s="27" t="inlineStr">
        <is>
          <t>RON</t>
        </is>
      </c>
      <c r="E26" s="27" t="inlineStr">
        <is>
          <t>Net per piece</t>
        </is>
      </c>
      <c r="F26" s="96">
        <f>IF(COUNTIFS('Offers'!$B$7:$B$608,$B26,'Offers'!$C$7:$C$608,$C26,'Offers'!$AH$7:$AH$608,"yes")=0,"",SUMIFS('Offers'!$H$7:$H$608,'Offers'!$B$7:$B$608,$B26,'Offers'!$C$7:$C$608,$C26,'Offers'!$AF$7:$AF$608,1))</f>
        <v/>
      </c>
      <c r="G26" s="96">
        <f>IF(COUNTIFS('Offers'!$B$7:$B$608,$B26,'Offers'!$C$7:$C$608,$C26,'Offers'!$AH$7:$AH$608,"yes")=0,"",(SUMIFS('Offers'!$H$7:$H$608,'Offers'!$B$7:$B$608,$B26,'Offers'!$C$7:$C$608,$C26,'Offers'!$AF$7:$AF$608,ROUNDUP(COUNTIFS('Offers'!$B$7:$B$608,$B26,'Offers'!$C$7:$C$608,$C26,'Offers'!$AH$7:$AH$608,"yes")/2,0))+SUMIFS('Offers'!$H$7:$H$608,'Offers'!$B$7:$B$608,$B26,'Offers'!$C$7:$C$608,$C26,'Offers'!$AF$7:$AF$608,INT(COUNTIFS('Offers'!$B$7:$B$608,$B26,'Offers'!$C$7:$C$608,$C26,'Offers'!$AH$7:$AH$608,"yes")/2)+1))/2)</f>
        <v/>
      </c>
      <c r="H26" s="96">
        <f>IF(COUNTIFS('Offers'!$B$7:$B$608,$B26,'Offers'!$C$7:$C$608,$C26,'Offers'!$AH$7:$AH$608,"yes")=0,"",SUMIFS('Offers'!$H$7:$H$608,'Offers'!$B$7:$B$608,$B26,'Offers'!$C$7:$C$608,$C26,'Offers'!$AF$7:$AF$608,COUNTIFS('Offers'!$B$7:$B$608,$B26,'Offers'!$C$7:$C$608,$C26,'Offers'!$AH$7:$AH$608,"yes")))</f>
        <v/>
      </c>
      <c r="I26" s="97">
        <f>IF(COUNTIFS('Offers'!$B$7:$B$608,$B26,'Offers'!$C$7:$C$608,$C26,'Offers'!$AI$7:$AI$608,"yes")=0,"",SUMIFS('Offers'!$I$7:$I$608,'Offers'!$B$7:$B$608,$B26,'Offers'!$C$7:$C$608,$C26,'Offers'!$AG$7:$AG$608,1))</f>
        <v/>
      </c>
      <c r="J26" s="97">
        <f>IF(COUNTIFS('Offers'!$B$7:$B$608,$B26,'Offers'!$C$7:$C$608,$C26,'Offers'!$AI$7:$AI$608,"yes")=0,"",(SUMIFS('Offers'!$I$7:$I$608,'Offers'!$B$7:$B$608,$B26,'Offers'!$C$7:$C$608,$C26,'Offers'!$AG$7:$AG$608,ROUNDUP(COUNTIFS('Offers'!$B$7:$B$608,$B26,'Offers'!$C$7:$C$608,$C26,'Offers'!$AI$7:$AI$608,"yes")/2,0))+SUMIFS('Offers'!$I$7:$I$608,'Offers'!$B$7:$B$608,$B26,'Offers'!$C$7:$C$608,$C26,'Offers'!$AG$7:$AG$608,INT(COUNTIFS('Offers'!$B$7:$B$608,$B26,'Offers'!$C$7:$C$608,$C26,'Offers'!$AI$7:$AI$608,"yes")/2)+1))/2)</f>
        <v/>
      </c>
      <c r="K26" s="97">
        <f>IF(COUNTIFS('Offers'!$B$7:$B$608,$B26,'Offers'!$C$7:$C$608,$C26,'Offers'!$AI$7:$AI$608,"yes")=0,"",SUMIFS('Offers'!$I$7:$I$608,'Offers'!$B$7:$B$608,$B26,'Offers'!$C$7:$C$608,$C26,'Offers'!$AG$7:$AG$608,COUNTIFS('Offers'!$B$7:$B$608,$B26,'Offers'!$C$7:$C$608,$C26,'Offers'!$AI$7:$AI$608,"yes")))</f>
        <v/>
      </c>
      <c r="L26" s="55" t="n"/>
      <c r="M26" s="55" t="n"/>
      <c r="N26" s="55" t="n"/>
      <c r="O26" s="19">
        <f>IF('Compare'!$E$5="Local prices",IF(F26="","",IF('Compare'!$C$5="Minimum",F26,IF('Compare'!$C$5="Maximum",H26,G26))),IF(I26="","",IF('Compare'!$C$5="Minimum",I26,IF('Compare'!$C$5="Maximum",K26,J26))))</f>
        <v/>
      </c>
    </row>
    <row r="27" ht="44" customHeight="1">
      <c r="A27" s="2" t="n"/>
      <c r="B27" s="24" t="inlineStr">
        <is>
          <t>GN 1/1 PP lid</t>
        </is>
      </c>
      <c r="C27" s="24" t="inlineStr">
        <is>
          <t>Austria</t>
        </is>
      </c>
      <c r="D27" s="24" t="inlineStr">
        <is>
          <t>EUR</t>
        </is>
      </c>
      <c r="E27" s="24" t="inlineStr">
        <is>
          <t>Net per piece</t>
        </is>
      </c>
      <c r="F27" s="94">
        <f>IF(COUNTIFS('Offers'!$B$7:$B$608,$B27,'Offers'!$C$7:$C$608,$C27,'Offers'!$AH$7:$AH$608,"yes")=0,"",SUMIFS('Offers'!$H$7:$H$608,'Offers'!$B$7:$B$608,$B27,'Offers'!$C$7:$C$608,$C27,'Offers'!$AF$7:$AF$608,1))</f>
        <v/>
      </c>
      <c r="G27" s="94">
        <f>IF(COUNTIFS('Offers'!$B$7:$B$608,$B27,'Offers'!$C$7:$C$608,$C27,'Offers'!$AH$7:$AH$608,"yes")=0,"",(SUMIFS('Offers'!$H$7:$H$608,'Offers'!$B$7:$B$608,$B27,'Offers'!$C$7:$C$608,$C27,'Offers'!$AF$7:$AF$608,ROUNDUP(COUNTIFS('Offers'!$B$7:$B$608,$B27,'Offers'!$C$7:$C$608,$C27,'Offers'!$AH$7:$AH$608,"yes")/2,0))+SUMIFS('Offers'!$H$7:$H$608,'Offers'!$B$7:$B$608,$B27,'Offers'!$C$7:$C$608,$C27,'Offers'!$AF$7:$AF$608,INT(COUNTIFS('Offers'!$B$7:$B$608,$B27,'Offers'!$C$7:$C$608,$C27,'Offers'!$AH$7:$AH$608,"yes")/2)+1))/2)</f>
        <v/>
      </c>
      <c r="H27" s="94">
        <f>IF(COUNTIFS('Offers'!$B$7:$B$608,$B27,'Offers'!$C$7:$C$608,$C27,'Offers'!$AH$7:$AH$608,"yes")=0,"",SUMIFS('Offers'!$H$7:$H$608,'Offers'!$B$7:$B$608,$B27,'Offers'!$C$7:$C$608,$C27,'Offers'!$AF$7:$AF$608,COUNTIFS('Offers'!$B$7:$B$608,$B27,'Offers'!$C$7:$C$608,$C27,'Offers'!$AH$7:$AH$608,"yes")))</f>
        <v/>
      </c>
      <c r="I27" s="95">
        <f>IF(COUNTIFS('Offers'!$B$7:$B$608,$B27,'Offers'!$C$7:$C$608,$C27,'Offers'!$AI$7:$AI$608,"yes")=0,"",SUMIFS('Offers'!$I$7:$I$608,'Offers'!$B$7:$B$608,$B27,'Offers'!$C$7:$C$608,$C27,'Offers'!$AG$7:$AG$608,1))</f>
        <v/>
      </c>
      <c r="J27" s="95">
        <f>IF(COUNTIFS('Offers'!$B$7:$B$608,$B27,'Offers'!$C$7:$C$608,$C27,'Offers'!$AI$7:$AI$608,"yes")=0,"",(SUMIFS('Offers'!$I$7:$I$608,'Offers'!$B$7:$B$608,$B27,'Offers'!$C$7:$C$608,$C27,'Offers'!$AG$7:$AG$608,ROUNDUP(COUNTIFS('Offers'!$B$7:$B$608,$B27,'Offers'!$C$7:$C$608,$C27,'Offers'!$AI$7:$AI$608,"yes")/2,0))+SUMIFS('Offers'!$I$7:$I$608,'Offers'!$B$7:$B$608,$B27,'Offers'!$C$7:$C$608,$C27,'Offers'!$AG$7:$AG$608,INT(COUNTIFS('Offers'!$B$7:$B$608,$B27,'Offers'!$C$7:$C$608,$C27,'Offers'!$AI$7:$AI$608,"yes")/2)+1))/2)</f>
        <v/>
      </c>
      <c r="K27" s="95">
        <f>IF(COUNTIFS('Offers'!$B$7:$B$608,$B27,'Offers'!$C$7:$C$608,$C27,'Offers'!$AI$7:$AI$608,"yes")=0,"",SUMIFS('Offers'!$I$7:$I$608,'Offers'!$B$7:$B$608,$B27,'Offers'!$C$7:$C$608,$C27,'Offers'!$AG$7:$AG$608,COUNTIFS('Offers'!$B$7:$B$608,$B27,'Offers'!$C$7:$C$608,$C27,'Offers'!$AI$7:$AI$608,"yes")))</f>
        <v/>
      </c>
      <c r="L27" s="55" t="n"/>
      <c r="M27" s="55" t="n"/>
      <c r="N27" s="55" t="n"/>
      <c r="O27" s="2">
        <f>IF('Compare'!$E$5="Local prices",IF(F27="","",IF('Compare'!$C$5="Minimum",F27,IF('Compare'!$C$5="Maximum",H27,G27))),IF(I27="","",IF('Compare'!$C$5="Minimum",I27,IF('Compare'!$C$5="Maximum",K27,J27))))</f>
        <v/>
      </c>
    </row>
    <row r="28" ht="44" customHeight="1">
      <c r="A28" s="2" t="n"/>
      <c r="B28" s="27" t="inlineStr">
        <is>
          <t>GN 1/1 PP lid</t>
        </is>
      </c>
      <c r="C28" s="27" t="inlineStr">
        <is>
          <t>Germany</t>
        </is>
      </c>
      <c r="D28" s="27" t="inlineStr">
        <is>
          <t>EUR</t>
        </is>
      </c>
      <c r="E28" s="27" t="inlineStr">
        <is>
          <t>Net per piece</t>
        </is>
      </c>
      <c r="F28" s="96">
        <f>IF(COUNTIFS('Offers'!$B$7:$B$608,$B28,'Offers'!$C$7:$C$608,$C28,'Offers'!$AH$7:$AH$608,"yes")=0,"",SUMIFS('Offers'!$H$7:$H$608,'Offers'!$B$7:$B$608,$B28,'Offers'!$C$7:$C$608,$C28,'Offers'!$AF$7:$AF$608,1))</f>
        <v/>
      </c>
      <c r="G28" s="96">
        <f>IF(COUNTIFS('Offers'!$B$7:$B$608,$B28,'Offers'!$C$7:$C$608,$C28,'Offers'!$AH$7:$AH$608,"yes")=0,"",(SUMIFS('Offers'!$H$7:$H$608,'Offers'!$B$7:$B$608,$B28,'Offers'!$C$7:$C$608,$C28,'Offers'!$AF$7:$AF$608,ROUNDUP(COUNTIFS('Offers'!$B$7:$B$608,$B28,'Offers'!$C$7:$C$608,$C28,'Offers'!$AH$7:$AH$608,"yes")/2,0))+SUMIFS('Offers'!$H$7:$H$608,'Offers'!$B$7:$B$608,$B28,'Offers'!$C$7:$C$608,$C28,'Offers'!$AF$7:$AF$608,INT(COUNTIFS('Offers'!$B$7:$B$608,$B28,'Offers'!$C$7:$C$608,$C28,'Offers'!$AH$7:$AH$608,"yes")/2)+1))/2)</f>
        <v/>
      </c>
      <c r="H28" s="96">
        <f>IF(COUNTIFS('Offers'!$B$7:$B$608,$B28,'Offers'!$C$7:$C$608,$C28,'Offers'!$AH$7:$AH$608,"yes")=0,"",SUMIFS('Offers'!$H$7:$H$608,'Offers'!$B$7:$B$608,$B28,'Offers'!$C$7:$C$608,$C28,'Offers'!$AF$7:$AF$608,COUNTIFS('Offers'!$B$7:$B$608,$B28,'Offers'!$C$7:$C$608,$C28,'Offers'!$AH$7:$AH$608,"yes")))</f>
        <v/>
      </c>
      <c r="I28" s="97">
        <f>IF(COUNTIFS('Offers'!$B$7:$B$608,$B28,'Offers'!$C$7:$C$608,$C28,'Offers'!$AI$7:$AI$608,"yes")=0,"",SUMIFS('Offers'!$I$7:$I$608,'Offers'!$B$7:$B$608,$B28,'Offers'!$C$7:$C$608,$C28,'Offers'!$AG$7:$AG$608,1))</f>
        <v/>
      </c>
      <c r="J28" s="97">
        <f>IF(COUNTIFS('Offers'!$B$7:$B$608,$B28,'Offers'!$C$7:$C$608,$C28,'Offers'!$AI$7:$AI$608,"yes")=0,"",(SUMIFS('Offers'!$I$7:$I$608,'Offers'!$B$7:$B$608,$B28,'Offers'!$C$7:$C$608,$C28,'Offers'!$AG$7:$AG$608,ROUNDUP(COUNTIFS('Offers'!$B$7:$B$608,$B28,'Offers'!$C$7:$C$608,$C28,'Offers'!$AI$7:$AI$608,"yes")/2,0))+SUMIFS('Offers'!$I$7:$I$608,'Offers'!$B$7:$B$608,$B28,'Offers'!$C$7:$C$608,$C28,'Offers'!$AG$7:$AG$608,INT(COUNTIFS('Offers'!$B$7:$B$608,$B28,'Offers'!$C$7:$C$608,$C28,'Offers'!$AI$7:$AI$608,"yes")/2)+1))/2)</f>
        <v/>
      </c>
      <c r="K28" s="97">
        <f>IF(COUNTIFS('Offers'!$B$7:$B$608,$B28,'Offers'!$C$7:$C$608,$C28,'Offers'!$AI$7:$AI$608,"yes")=0,"",SUMIFS('Offers'!$I$7:$I$608,'Offers'!$B$7:$B$608,$B28,'Offers'!$C$7:$C$608,$C28,'Offers'!$AG$7:$AG$608,COUNTIFS('Offers'!$B$7:$B$608,$B28,'Offers'!$C$7:$C$608,$C28,'Offers'!$AI$7:$AI$608,"yes")))</f>
        <v/>
      </c>
      <c r="L28" s="55" t="n"/>
      <c r="M28" s="55" t="n"/>
      <c r="N28" s="55" t="n"/>
      <c r="O28" s="19">
        <f>IF('Compare'!$E$5="Local prices",IF(F28="","",IF('Compare'!$C$5="Minimum",F28,IF('Compare'!$C$5="Maximum",H28,G28))),IF(I28="","",IF('Compare'!$C$5="Minimum",I28,IF('Compare'!$C$5="Maximum",K28,J28))))</f>
        <v/>
      </c>
    </row>
    <row r="29" ht="44" customHeight="1">
      <c r="A29" s="2" t="n"/>
      <c r="B29" s="24" t="inlineStr">
        <is>
          <t>GN 1/1 PP lid</t>
        </is>
      </c>
      <c r="C29" s="24" t="inlineStr">
        <is>
          <t>Czech</t>
        </is>
      </c>
      <c r="D29" s="24" t="inlineStr">
        <is>
          <t>CZK</t>
        </is>
      </c>
      <c r="E29" s="24" t="inlineStr">
        <is>
          <t>Net per piece</t>
        </is>
      </c>
      <c r="F29" s="94">
        <f>IF(COUNTIFS('Offers'!$B$7:$B$608,$B29,'Offers'!$C$7:$C$608,$C29,'Offers'!$AH$7:$AH$608,"yes")=0,"",SUMIFS('Offers'!$H$7:$H$608,'Offers'!$B$7:$B$608,$B29,'Offers'!$C$7:$C$608,$C29,'Offers'!$AF$7:$AF$608,1))</f>
        <v/>
      </c>
      <c r="G29" s="94">
        <f>IF(COUNTIFS('Offers'!$B$7:$B$608,$B29,'Offers'!$C$7:$C$608,$C29,'Offers'!$AH$7:$AH$608,"yes")=0,"",(SUMIFS('Offers'!$H$7:$H$608,'Offers'!$B$7:$B$608,$B29,'Offers'!$C$7:$C$608,$C29,'Offers'!$AF$7:$AF$608,ROUNDUP(COUNTIFS('Offers'!$B$7:$B$608,$B29,'Offers'!$C$7:$C$608,$C29,'Offers'!$AH$7:$AH$608,"yes")/2,0))+SUMIFS('Offers'!$H$7:$H$608,'Offers'!$B$7:$B$608,$B29,'Offers'!$C$7:$C$608,$C29,'Offers'!$AF$7:$AF$608,INT(COUNTIFS('Offers'!$B$7:$B$608,$B29,'Offers'!$C$7:$C$608,$C29,'Offers'!$AH$7:$AH$608,"yes")/2)+1))/2)</f>
        <v/>
      </c>
      <c r="H29" s="94">
        <f>IF(COUNTIFS('Offers'!$B$7:$B$608,$B29,'Offers'!$C$7:$C$608,$C29,'Offers'!$AH$7:$AH$608,"yes")=0,"",SUMIFS('Offers'!$H$7:$H$608,'Offers'!$B$7:$B$608,$B29,'Offers'!$C$7:$C$608,$C29,'Offers'!$AF$7:$AF$608,COUNTIFS('Offers'!$B$7:$B$608,$B29,'Offers'!$C$7:$C$608,$C29,'Offers'!$AH$7:$AH$608,"yes")))</f>
        <v/>
      </c>
      <c r="I29" s="95">
        <f>IF(COUNTIFS('Offers'!$B$7:$B$608,$B29,'Offers'!$C$7:$C$608,$C29,'Offers'!$AI$7:$AI$608,"yes")=0,"",SUMIFS('Offers'!$I$7:$I$608,'Offers'!$B$7:$B$608,$B29,'Offers'!$C$7:$C$608,$C29,'Offers'!$AG$7:$AG$608,1))</f>
        <v/>
      </c>
      <c r="J29" s="95">
        <f>IF(COUNTIFS('Offers'!$B$7:$B$608,$B29,'Offers'!$C$7:$C$608,$C29,'Offers'!$AI$7:$AI$608,"yes")=0,"",(SUMIFS('Offers'!$I$7:$I$608,'Offers'!$B$7:$B$608,$B29,'Offers'!$C$7:$C$608,$C29,'Offers'!$AG$7:$AG$608,ROUNDUP(COUNTIFS('Offers'!$B$7:$B$608,$B29,'Offers'!$C$7:$C$608,$C29,'Offers'!$AI$7:$AI$608,"yes")/2,0))+SUMIFS('Offers'!$I$7:$I$608,'Offers'!$B$7:$B$608,$B29,'Offers'!$C$7:$C$608,$C29,'Offers'!$AG$7:$AG$608,INT(COUNTIFS('Offers'!$B$7:$B$608,$B29,'Offers'!$C$7:$C$608,$C29,'Offers'!$AI$7:$AI$608,"yes")/2)+1))/2)</f>
        <v/>
      </c>
      <c r="K29" s="95">
        <f>IF(COUNTIFS('Offers'!$B$7:$B$608,$B29,'Offers'!$C$7:$C$608,$C29,'Offers'!$AI$7:$AI$608,"yes")=0,"",SUMIFS('Offers'!$I$7:$I$608,'Offers'!$B$7:$B$608,$B29,'Offers'!$C$7:$C$608,$C29,'Offers'!$AG$7:$AG$608,COUNTIFS('Offers'!$B$7:$B$608,$B29,'Offers'!$C$7:$C$608,$C29,'Offers'!$AI$7:$AI$608,"yes")))</f>
        <v/>
      </c>
      <c r="L29" s="55" t="n"/>
      <c r="M29" s="55" t="n"/>
      <c r="N29" s="55" t="n"/>
      <c r="O29" s="2">
        <f>IF('Compare'!$E$5="Local prices",IF(F29="","",IF('Compare'!$C$5="Minimum",F29,IF('Compare'!$C$5="Maximum",H29,G29))),IF(I29="","",IF('Compare'!$C$5="Minimum",I29,IF('Compare'!$C$5="Maximum",K29,J29))))</f>
        <v/>
      </c>
    </row>
    <row r="30" ht="44" customHeight="1">
      <c r="A30" s="2" t="n"/>
      <c r="B30" s="27" t="inlineStr">
        <is>
          <t>GN 1/1 PP lid</t>
        </is>
      </c>
      <c r="C30" s="27" t="inlineStr">
        <is>
          <t>Slovakia</t>
        </is>
      </c>
      <c r="D30" s="27" t="inlineStr">
        <is>
          <t>EUR</t>
        </is>
      </c>
      <c r="E30" s="27" t="inlineStr">
        <is>
          <t>Net per piece</t>
        </is>
      </c>
      <c r="F30" s="96">
        <f>IF(COUNTIFS('Offers'!$B$7:$B$608,$B30,'Offers'!$C$7:$C$608,$C30,'Offers'!$AH$7:$AH$608,"yes")=0,"",SUMIFS('Offers'!$H$7:$H$608,'Offers'!$B$7:$B$608,$B30,'Offers'!$C$7:$C$608,$C30,'Offers'!$AF$7:$AF$608,1))</f>
        <v/>
      </c>
      <c r="G30" s="96">
        <f>IF(COUNTIFS('Offers'!$B$7:$B$608,$B30,'Offers'!$C$7:$C$608,$C30,'Offers'!$AH$7:$AH$608,"yes")=0,"",(SUMIFS('Offers'!$H$7:$H$608,'Offers'!$B$7:$B$608,$B30,'Offers'!$C$7:$C$608,$C30,'Offers'!$AF$7:$AF$608,ROUNDUP(COUNTIFS('Offers'!$B$7:$B$608,$B30,'Offers'!$C$7:$C$608,$C30,'Offers'!$AH$7:$AH$608,"yes")/2,0))+SUMIFS('Offers'!$H$7:$H$608,'Offers'!$B$7:$B$608,$B30,'Offers'!$C$7:$C$608,$C30,'Offers'!$AF$7:$AF$608,INT(COUNTIFS('Offers'!$B$7:$B$608,$B30,'Offers'!$C$7:$C$608,$C30,'Offers'!$AH$7:$AH$608,"yes")/2)+1))/2)</f>
        <v/>
      </c>
      <c r="H30" s="96">
        <f>IF(COUNTIFS('Offers'!$B$7:$B$608,$B30,'Offers'!$C$7:$C$608,$C30,'Offers'!$AH$7:$AH$608,"yes")=0,"",SUMIFS('Offers'!$H$7:$H$608,'Offers'!$B$7:$B$608,$B30,'Offers'!$C$7:$C$608,$C30,'Offers'!$AF$7:$AF$608,COUNTIFS('Offers'!$B$7:$B$608,$B30,'Offers'!$C$7:$C$608,$C30,'Offers'!$AH$7:$AH$608,"yes")))</f>
        <v/>
      </c>
      <c r="I30" s="97">
        <f>IF(COUNTIFS('Offers'!$B$7:$B$608,$B30,'Offers'!$C$7:$C$608,$C30,'Offers'!$AI$7:$AI$608,"yes")=0,"",SUMIFS('Offers'!$I$7:$I$608,'Offers'!$B$7:$B$608,$B30,'Offers'!$C$7:$C$608,$C30,'Offers'!$AG$7:$AG$608,1))</f>
        <v/>
      </c>
      <c r="J30" s="97">
        <f>IF(COUNTIFS('Offers'!$B$7:$B$608,$B30,'Offers'!$C$7:$C$608,$C30,'Offers'!$AI$7:$AI$608,"yes")=0,"",(SUMIFS('Offers'!$I$7:$I$608,'Offers'!$B$7:$B$608,$B30,'Offers'!$C$7:$C$608,$C30,'Offers'!$AG$7:$AG$608,ROUNDUP(COUNTIFS('Offers'!$B$7:$B$608,$B30,'Offers'!$C$7:$C$608,$C30,'Offers'!$AI$7:$AI$608,"yes")/2,0))+SUMIFS('Offers'!$I$7:$I$608,'Offers'!$B$7:$B$608,$B30,'Offers'!$C$7:$C$608,$C30,'Offers'!$AG$7:$AG$608,INT(COUNTIFS('Offers'!$B$7:$B$608,$B30,'Offers'!$C$7:$C$608,$C30,'Offers'!$AI$7:$AI$608,"yes")/2)+1))/2)</f>
        <v/>
      </c>
      <c r="K30" s="97">
        <f>IF(COUNTIFS('Offers'!$B$7:$B$608,$B30,'Offers'!$C$7:$C$608,$C30,'Offers'!$AI$7:$AI$608,"yes")=0,"",SUMIFS('Offers'!$I$7:$I$608,'Offers'!$B$7:$B$608,$B30,'Offers'!$C$7:$C$608,$C30,'Offers'!$AG$7:$AG$608,COUNTIFS('Offers'!$B$7:$B$608,$B30,'Offers'!$C$7:$C$608,$C30,'Offers'!$AI$7:$AI$608,"yes")))</f>
        <v/>
      </c>
      <c r="L30" s="55" t="n"/>
      <c r="M30" s="55" t="n"/>
      <c r="N30" s="55" t="n"/>
      <c r="O30" s="19">
        <f>IF('Compare'!$E$5="Local prices",IF(F30="","",IF('Compare'!$C$5="Minimum",F30,IF('Compare'!$C$5="Maximum",H30,G30))),IF(I30="","",IF('Compare'!$C$5="Minimum",I30,IF('Compare'!$C$5="Maximum",K30,J30))))</f>
        <v/>
      </c>
    </row>
    <row r="31" ht="44" customHeight="1">
      <c r="A31" s="2" t="n"/>
      <c r="B31" s="24" t="inlineStr">
        <is>
          <t>Squeeze bottle 500 ml, PP, single tip</t>
        </is>
      </c>
      <c r="C31" s="24" t="inlineStr">
        <is>
          <t>Hungary</t>
        </is>
      </c>
      <c r="D31" s="24" t="inlineStr">
        <is>
          <t>HUF</t>
        </is>
      </c>
      <c r="E31" s="24" t="inlineStr">
        <is>
          <t>Net per piece</t>
        </is>
      </c>
      <c r="F31" s="94">
        <f>IF(COUNTIFS('Offers'!$B$7:$B$608,$B31,'Offers'!$C$7:$C$608,$C31,'Offers'!$AH$7:$AH$608,"yes")=0,"",SUMIFS('Offers'!$H$7:$H$608,'Offers'!$B$7:$B$608,$B31,'Offers'!$C$7:$C$608,$C31,'Offers'!$AF$7:$AF$608,1))</f>
        <v/>
      </c>
      <c r="G31" s="94">
        <f>IF(COUNTIFS('Offers'!$B$7:$B$608,$B31,'Offers'!$C$7:$C$608,$C31,'Offers'!$AH$7:$AH$608,"yes")=0,"",(SUMIFS('Offers'!$H$7:$H$608,'Offers'!$B$7:$B$608,$B31,'Offers'!$C$7:$C$608,$C31,'Offers'!$AF$7:$AF$608,ROUNDUP(COUNTIFS('Offers'!$B$7:$B$608,$B31,'Offers'!$C$7:$C$608,$C31,'Offers'!$AH$7:$AH$608,"yes")/2,0))+SUMIFS('Offers'!$H$7:$H$608,'Offers'!$B$7:$B$608,$B31,'Offers'!$C$7:$C$608,$C31,'Offers'!$AF$7:$AF$608,INT(COUNTIFS('Offers'!$B$7:$B$608,$B31,'Offers'!$C$7:$C$608,$C31,'Offers'!$AH$7:$AH$608,"yes")/2)+1))/2)</f>
        <v/>
      </c>
      <c r="H31" s="94">
        <f>IF(COUNTIFS('Offers'!$B$7:$B$608,$B31,'Offers'!$C$7:$C$608,$C31,'Offers'!$AH$7:$AH$608,"yes")=0,"",SUMIFS('Offers'!$H$7:$H$608,'Offers'!$B$7:$B$608,$B31,'Offers'!$C$7:$C$608,$C31,'Offers'!$AF$7:$AF$608,COUNTIFS('Offers'!$B$7:$B$608,$B31,'Offers'!$C$7:$C$608,$C31,'Offers'!$AH$7:$AH$608,"yes")))</f>
        <v/>
      </c>
      <c r="I31" s="95">
        <f>IF(COUNTIFS('Offers'!$B$7:$B$608,$B31,'Offers'!$C$7:$C$608,$C31,'Offers'!$AI$7:$AI$608,"yes")=0,"",SUMIFS('Offers'!$I$7:$I$608,'Offers'!$B$7:$B$608,$B31,'Offers'!$C$7:$C$608,$C31,'Offers'!$AG$7:$AG$608,1))</f>
        <v/>
      </c>
      <c r="J31" s="95">
        <f>IF(COUNTIFS('Offers'!$B$7:$B$608,$B31,'Offers'!$C$7:$C$608,$C31,'Offers'!$AI$7:$AI$608,"yes")=0,"",(SUMIFS('Offers'!$I$7:$I$608,'Offers'!$B$7:$B$608,$B31,'Offers'!$C$7:$C$608,$C31,'Offers'!$AG$7:$AG$608,ROUNDUP(COUNTIFS('Offers'!$B$7:$B$608,$B31,'Offers'!$C$7:$C$608,$C31,'Offers'!$AI$7:$AI$608,"yes")/2,0))+SUMIFS('Offers'!$I$7:$I$608,'Offers'!$B$7:$B$608,$B31,'Offers'!$C$7:$C$608,$C31,'Offers'!$AG$7:$AG$608,INT(COUNTIFS('Offers'!$B$7:$B$608,$B31,'Offers'!$C$7:$C$608,$C31,'Offers'!$AI$7:$AI$608,"yes")/2)+1))/2)</f>
        <v/>
      </c>
      <c r="K31" s="95">
        <f>IF(COUNTIFS('Offers'!$B$7:$B$608,$B31,'Offers'!$C$7:$C$608,$C31,'Offers'!$AI$7:$AI$608,"yes")=0,"",SUMIFS('Offers'!$I$7:$I$608,'Offers'!$B$7:$B$608,$B31,'Offers'!$C$7:$C$608,$C31,'Offers'!$AG$7:$AG$608,COUNTIFS('Offers'!$B$7:$B$608,$B31,'Offers'!$C$7:$C$608,$C31,'Offers'!$AI$7:$AI$608,"yes")))</f>
        <v/>
      </c>
      <c r="L31" s="55" t="n"/>
      <c r="M31" s="55" t="n"/>
      <c r="N31" s="55" t="n"/>
      <c r="O31" s="2">
        <f>IF('Compare'!$E$5="Local prices",IF(F31="","",IF('Compare'!$C$5="Minimum",F31,IF('Compare'!$C$5="Maximum",H31,G31))),IF(I31="","",IF('Compare'!$C$5="Minimum",I31,IF('Compare'!$C$5="Maximum",K31,J31))))</f>
        <v/>
      </c>
    </row>
    <row r="32" ht="44" customHeight="1">
      <c r="A32" s="2" t="n"/>
      <c r="B32" s="27" t="inlineStr">
        <is>
          <t>Squeeze bottle 500 ml, PP, single tip</t>
        </is>
      </c>
      <c r="C32" s="27" t="inlineStr">
        <is>
          <t>Romania</t>
        </is>
      </c>
      <c r="D32" s="27" t="inlineStr">
        <is>
          <t>RON</t>
        </is>
      </c>
      <c r="E32" s="27" t="inlineStr">
        <is>
          <t>Net per piece</t>
        </is>
      </c>
      <c r="F32" s="96">
        <f>IF(COUNTIFS('Offers'!$B$7:$B$608,$B32,'Offers'!$C$7:$C$608,$C32,'Offers'!$AH$7:$AH$608,"yes")=0,"",SUMIFS('Offers'!$H$7:$H$608,'Offers'!$B$7:$B$608,$B32,'Offers'!$C$7:$C$608,$C32,'Offers'!$AF$7:$AF$608,1))</f>
        <v/>
      </c>
      <c r="G32" s="96">
        <f>IF(COUNTIFS('Offers'!$B$7:$B$608,$B32,'Offers'!$C$7:$C$608,$C32,'Offers'!$AH$7:$AH$608,"yes")=0,"",(SUMIFS('Offers'!$H$7:$H$608,'Offers'!$B$7:$B$608,$B32,'Offers'!$C$7:$C$608,$C32,'Offers'!$AF$7:$AF$608,ROUNDUP(COUNTIFS('Offers'!$B$7:$B$608,$B32,'Offers'!$C$7:$C$608,$C32,'Offers'!$AH$7:$AH$608,"yes")/2,0))+SUMIFS('Offers'!$H$7:$H$608,'Offers'!$B$7:$B$608,$B32,'Offers'!$C$7:$C$608,$C32,'Offers'!$AF$7:$AF$608,INT(COUNTIFS('Offers'!$B$7:$B$608,$B32,'Offers'!$C$7:$C$608,$C32,'Offers'!$AH$7:$AH$608,"yes")/2)+1))/2)</f>
        <v/>
      </c>
      <c r="H32" s="96">
        <f>IF(COUNTIFS('Offers'!$B$7:$B$608,$B32,'Offers'!$C$7:$C$608,$C32,'Offers'!$AH$7:$AH$608,"yes")=0,"",SUMIFS('Offers'!$H$7:$H$608,'Offers'!$B$7:$B$608,$B32,'Offers'!$C$7:$C$608,$C32,'Offers'!$AF$7:$AF$608,COUNTIFS('Offers'!$B$7:$B$608,$B32,'Offers'!$C$7:$C$608,$C32,'Offers'!$AH$7:$AH$608,"yes")))</f>
        <v/>
      </c>
      <c r="I32" s="97">
        <f>IF(COUNTIFS('Offers'!$B$7:$B$608,$B32,'Offers'!$C$7:$C$608,$C32,'Offers'!$AI$7:$AI$608,"yes")=0,"",SUMIFS('Offers'!$I$7:$I$608,'Offers'!$B$7:$B$608,$B32,'Offers'!$C$7:$C$608,$C32,'Offers'!$AG$7:$AG$608,1))</f>
        <v/>
      </c>
      <c r="J32" s="97">
        <f>IF(COUNTIFS('Offers'!$B$7:$B$608,$B32,'Offers'!$C$7:$C$608,$C32,'Offers'!$AI$7:$AI$608,"yes")=0,"",(SUMIFS('Offers'!$I$7:$I$608,'Offers'!$B$7:$B$608,$B32,'Offers'!$C$7:$C$608,$C32,'Offers'!$AG$7:$AG$608,ROUNDUP(COUNTIFS('Offers'!$B$7:$B$608,$B32,'Offers'!$C$7:$C$608,$C32,'Offers'!$AI$7:$AI$608,"yes")/2,0))+SUMIFS('Offers'!$I$7:$I$608,'Offers'!$B$7:$B$608,$B32,'Offers'!$C$7:$C$608,$C32,'Offers'!$AG$7:$AG$608,INT(COUNTIFS('Offers'!$B$7:$B$608,$B32,'Offers'!$C$7:$C$608,$C32,'Offers'!$AI$7:$AI$608,"yes")/2)+1))/2)</f>
        <v/>
      </c>
      <c r="K32" s="97">
        <f>IF(COUNTIFS('Offers'!$B$7:$B$608,$B32,'Offers'!$C$7:$C$608,$C32,'Offers'!$AI$7:$AI$608,"yes")=0,"",SUMIFS('Offers'!$I$7:$I$608,'Offers'!$B$7:$B$608,$B32,'Offers'!$C$7:$C$608,$C32,'Offers'!$AG$7:$AG$608,COUNTIFS('Offers'!$B$7:$B$608,$B32,'Offers'!$C$7:$C$608,$C32,'Offers'!$AI$7:$AI$608,"yes")))</f>
        <v/>
      </c>
      <c r="L32" s="55" t="n"/>
      <c r="M32" s="55" t="n"/>
      <c r="N32" s="55" t="n"/>
      <c r="O32" s="19">
        <f>IF('Compare'!$E$5="Local prices",IF(F32="","",IF('Compare'!$C$5="Minimum",F32,IF('Compare'!$C$5="Maximum",H32,G32))),IF(I32="","",IF('Compare'!$C$5="Minimum",I32,IF('Compare'!$C$5="Maximum",K32,J32))))</f>
        <v/>
      </c>
    </row>
    <row r="33" ht="44" customHeight="1">
      <c r="A33" s="2" t="n"/>
      <c r="B33" s="24" t="inlineStr">
        <is>
          <t>Squeeze bottle 500 ml, PP, single tip</t>
        </is>
      </c>
      <c r="C33" s="24" t="inlineStr">
        <is>
          <t>Austria</t>
        </is>
      </c>
      <c r="D33" s="24" t="inlineStr">
        <is>
          <t>EUR</t>
        </is>
      </c>
      <c r="E33" s="24" t="inlineStr">
        <is>
          <t>Net per piece</t>
        </is>
      </c>
      <c r="F33" s="94">
        <f>IF(COUNTIFS('Offers'!$B$7:$B$608,$B33,'Offers'!$C$7:$C$608,$C33,'Offers'!$AH$7:$AH$608,"yes")=0,"",SUMIFS('Offers'!$H$7:$H$608,'Offers'!$B$7:$B$608,$B33,'Offers'!$C$7:$C$608,$C33,'Offers'!$AF$7:$AF$608,1))</f>
        <v/>
      </c>
      <c r="G33" s="94">
        <f>IF(COUNTIFS('Offers'!$B$7:$B$608,$B33,'Offers'!$C$7:$C$608,$C33,'Offers'!$AH$7:$AH$608,"yes")=0,"",(SUMIFS('Offers'!$H$7:$H$608,'Offers'!$B$7:$B$608,$B33,'Offers'!$C$7:$C$608,$C33,'Offers'!$AF$7:$AF$608,ROUNDUP(COUNTIFS('Offers'!$B$7:$B$608,$B33,'Offers'!$C$7:$C$608,$C33,'Offers'!$AH$7:$AH$608,"yes")/2,0))+SUMIFS('Offers'!$H$7:$H$608,'Offers'!$B$7:$B$608,$B33,'Offers'!$C$7:$C$608,$C33,'Offers'!$AF$7:$AF$608,INT(COUNTIFS('Offers'!$B$7:$B$608,$B33,'Offers'!$C$7:$C$608,$C33,'Offers'!$AH$7:$AH$608,"yes")/2)+1))/2)</f>
        <v/>
      </c>
      <c r="H33" s="94">
        <f>IF(COUNTIFS('Offers'!$B$7:$B$608,$B33,'Offers'!$C$7:$C$608,$C33,'Offers'!$AH$7:$AH$608,"yes")=0,"",SUMIFS('Offers'!$H$7:$H$608,'Offers'!$B$7:$B$608,$B33,'Offers'!$C$7:$C$608,$C33,'Offers'!$AF$7:$AF$608,COUNTIFS('Offers'!$B$7:$B$608,$B33,'Offers'!$C$7:$C$608,$C33,'Offers'!$AH$7:$AH$608,"yes")))</f>
        <v/>
      </c>
      <c r="I33" s="95">
        <f>IF(COUNTIFS('Offers'!$B$7:$B$608,$B33,'Offers'!$C$7:$C$608,$C33,'Offers'!$AI$7:$AI$608,"yes")=0,"",SUMIFS('Offers'!$I$7:$I$608,'Offers'!$B$7:$B$608,$B33,'Offers'!$C$7:$C$608,$C33,'Offers'!$AG$7:$AG$608,1))</f>
        <v/>
      </c>
      <c r="J33" s="95">
        <f>IF(COUNTIFS('Offers'!$B$7:$B$608,$B33,'Offers'!$C$7:$C$608,$C33,'Offers'!$AI$7:$AI$608,"yes")=0,"",(SUMIFS('Offers'!$I$7:$I$608,'Offers'!$B$7:$B$608,$B33,'Offers'!$C$7:$C$608,$C33,'Offers'!$AG$7:$AG$608,ROUNDUP(COUNTIFS('Offers'!$B$7:$B$608,$B33,'Offers'!$C$7:$C$608,$C33,'Offers'!$AI$7:$AI$608,"yes")/2,0))+SUMIFS('Offers'!$I$7:$I$608,'Offers'!$B$7:$B$608,$B33,'Offers'!$C$7:$C$608,$C33,'Offers'!$AG$7:$AG$608,INT(COUNTIFS('Offers'!$B$7:$B$608,$B33,'Offers'!$C$7:$C$608,$C33,'Offers'!$AI$7:$AI$608,"yes")/2)+1))/2)</f>
        <v/>
      </c>
      <c r="K33" s="95">
        <f>IF(COUNTIFS('Offers'!$B$7:$B$608,$B33,'Offers'!$C$7:$C$608,$C33,'Offers'!$AI$7:$AI$608,"yes")=0,"",SUMIFS('Offers'!$I$7:$I$608,'Offers'!$B$7:$B$608,$B33,'Offers'!$C$7:$C$608,$C33,'Offers'!$AG$7:$AG$608,COUNTIFS('Offers'!$B$7:$B$608,$B33,'Offers'!$C$7:$C$608,$C33,'Offers'!$AI$7:$AI$608,"yes")))</f>
        <v/>
      </c>
      <c r="L33" s="55" t="n"/>
      <c r="M33" s="55" t="n"/>
      <c r="N33" s="55" t="n"/>
      <c r="O33" s="2">
        <f>IF('Compare'!$E$5="Local prices",IF(F33="","",IF('Compare'!$C$5="Minimum",F33,IF('Compare'!$C$5="Maximum",H33,G33))),IF(I33="","",IF('Compare'!$C$5="Minimum",I33,IF('Compare'!$C$5="Maximum",K33,J33))))</f>
        <v/>
      </c>
    </row>
    <row r="34" ht="44" customHeight="1">
      <c r="A34" s="2" t="n"/>
      <c r="B34" s="27" t="inlineStr">
        <is>
          <t>Squeeze bottle 500 ml, PP, single tip</t>
        </is>
      </c>
      <c r="C34" s="27" t="inlineStr">
        <is>
          <t>Germany</t>
        </is>
      </c>
      <c r="D34" s="27" t="inlineStr">
        <is>
          <t>EUR</t>
        </is>
      </c>
      <c r="E34" s="27" t="inlineStr">
        <is>
          <t>Net per piece</t>
        </is>
      </c>
      <c r="F34" s="96">
        <f>IF(COUNTIFS('Offers'!$B$7:$B$608,$B34,'Offers'!$C$7:$C$608,$C34,'Offers'!$AH$7:$AH$608,"yes")=0,"",SUMIFS('Offers'!$H$7:$H$608,'Offers'!$B$7:$B$608,$B34,'Offers'!$C$7:$C$608,$C34,'Offers'!$AF$7:$AF$608,1))</f>
        <v/>
      </c>
      <c r="G34" s="96">
        <f>IF(COUNTIFS('Offers'!$B$7:$B$608,$B34,'Offers'!$C$7:$C$608,$C34,'Offers'!$AH$7:$AH$608,"yes")=0,"",(SUMIFS('Offers'!$H$7:$H$608,'Offers'!$B$7:$B$608,$B34,'Offers'!$C$7:$C$608,$C34,'Offers'!$AF$7:$AF$608,ROUNDUP(COUNTIFS('Offers'!$B$7:$B$608,$B34,'Offers'!$C$7:$C$608,$C34,'Offers'!$AH$7:$AH$608,"yes")/2,0))+SUMIFS('Offers'!$H$7:$H$608,'Offers'!$B$7:$B$608,$B34,'Offers'!$C$7:$C$608,$C34,'Offers'!$AF$7:$AF$608,INT(COUNTIFS('Offers'!$B$7:$B$608,$B34,'Offers'!$C$7:$C$608,$C34,'Offers'!$AH$7:$AH$608,"yes")/2)+1))/2)</f>
        <v/>
      </c>
      <c r="H34" s="96">
        <f>IF(COUNTIFS('Offers'!$B$7:$B$608,$B34,'Offers'!$C$7:$C$608,$C34,'Offers'!$AH$7:$AH$608,"yes")=0,"",SUMIFS('Offers'!$H$7:$H$608,'Offers'!$B$7:$B$608,$B34,'Offers'!$C$7:$C$608,$C34,'Offers'!$AF$7:$AF$608,COUNTIFS('Offers'!$B$7:$B$608,$B34,'Offers'!$C$7:$C$608,$C34,'Offers'!$AH$7:$AH$608,"yes")))</f>
        <v/>
      </c>
      <c r="I34" s="97">
        <f>IF(COUNTIFS('Offers'!$B$7:$B$608,$B34,'Offers'!$C$7:$C$608,$C34,'Offers'!$AI$7:$AI$608,"yes")=0,"",SUMIFS('Offers'!$I$7:$I$608,'Offers'!$B$7:$B$608,$B34,'Offers'!$C$7:$C$608,$C34,'Offers'!$AG$7:$AG$608,1))</f>
        <v/>
      </c>
      <c r="J34" s="97">
        <f>IF(COUNTIFS('Offers'!$B$7:$B$608,$B34,'Offers'!$C$7:$C$608,$C34,'Offers'!$AI$7:$AI$608,"yes")=0,"",(SUMIFS('Offers'!$I$7:$I$608,'Offers'!$B$7:$B$608,$B34,'Offers'!$C$7:$C$608,$C34,'Offers'!$AG$7:$AG$608,ROUNDUP(COUNTIFS('Offers'!$B$7:$B$608,$B34,'Offers'!$C$7:$C$608,$C34,'Offers'!$AI$7:$AI$608,"yes")/2,0))+SUMIFS('Offers'!$I$7:$I$608,'Offers'!$B$7:$B$608,$B34,'Offers'!$C$7:$C$608,$C34,'Offers'!$AG$7:$AG$608,INT(COUNTIFS('Offers'!$B$7:$B$608,$B34,'Offers'!$C$7:$C$608,$C34,'Offers'!$AI$7:$AI$608,"yes")/2)+1))/2)</f>
        <v/>
      </c>
      <c r="K34" s="97">
        <f>IF(COUNTIFS('Offers'!$B$7:$B$608,$B34,'Offers'!$C$7:$C$608,$C34,'Offers'!$AI$7:$AI$608,"yes")=0,"",SUMIFS('Offers'!$I$7:$I$608,'Offers'!$B$7:$B$608,$B34,'Offers'!$C$7:$C$608,$C34,'Offers'!$AG$7:$AG$608,COUNTIFS('Offers'!$B$7:$B$608,$B34,'Offers'!$C$7:$C$608,$C34,'Offers'!$AI$7:$AI$608,"yes")))</f>
        <v/>
      </c>
      <c r="L34" s="55" t="n"/>
      <c r="M34" s="55" t="n"/>
      <c r="N34" s="55" t="n"/>
      <c r="O34" s="19">
        <f>IF('Compare'!$E$5="Local prices",IF(F34="","",IF('Compare'!$C$5="Minimum",F34,IF('Compare'!$C$5="Maximum",H34,G34))),IF(I34="","",IF('Compare'!$C$5="Minimum",I34,IF('Compare'!$C$5="Maximum",K34,J34))))</f>
        <v/>
      </c>
    </row>
    <row r="35" ht="44" customHeight="1">
      <c r="A35" s="2" t="n"/>
      <c r="B35" s="24" t="inlineStr">
        <is>
          <t>Squeeze bottle 500 ml, PP, single tip</t>
        </is>
      </c>
      <c r="C35" s="24" t="inlineStr">
        <is>
          <t>Czech</t>
        </is>
      </c>
      <c r="D35" s="24" t="inlineStr">
        <is>
          <t>CZK</t>
        </is>
      </c>
      <c r="E35" s="24" t="inlineStr">
        <is>
          <t>Net per piece</t>
        </is>
      </c>
      <c r="F35" s="94">
        <f>IF(COUNTIFS('Offers'!$B$7:$B$608,$B35,'Offers'!$C$7:$C$608,$C35,'Offers'!$AH$7:$AH$608,"yes")=0,"",SUMIFS('Offers'!$H$7:$H$608,'Offers'!$B$7:$B$608,$B35,'Offers'!$C$7:$C$608,$C35,'Offers'!$AF$7:$AF$608,1))</f>
        <v/>
      </c>
      <c r="G35" s="94">
        <f>IF(COUNTIFS('Offers'!$B$7:$B$608,$B35,'Offers'!$C$7:$C$608,$C35,'Offers'!$AH$7:$AH$608,"yes")=0,"",(SUMIFS('Offers'!$H$7:$H$608,'Offers'!$B$7:$B$608,$B35,'Offers'!$C$7:$C$608,$C35,'Offers'!$AF$7:$AF$608,ROUNDUP(COUNTIFS('Offers'!$B$7:$B$608,$B35,'Offers'!$C$7:$C$608,$C35,'Offers'!$AH$7:$AH$608,"yes")/2,0))+SUMIFS('Offers'!$H$7:$H$608,'Offers'!$B$7:$B$608,$B35,'Offers'!$C$7:$C$608,$C35,'Offers'!$AF$7:$AF$608,INT(COUNTIFS('Offers'!$B$7:$B$608,$B35,'Offers'!$C$7:$C$608,$C35,'Offers'!$AH$7:$AH$608,"yes")/2)+1))/2)</f>
        <v/>
      </c>
      <c r="H35" s="94">
        <f>IF(COUNTIFS('Offers'!$B$7:$B$608,$B35,'Offers'!$C$7:$C$608,$C35,'Offers'!$AH$7:$AH$608,"yes")=0,"",SUMIFS('Offers'!$H$7:$H$608,'Offers'!$B$7:$B$608,$B35,'Offers'!$C$7:$C$608,$C35,'Offers'!$AF$7:$AF$608,COUNTIFS('Offers'!$B$7:$B$608,$B35,'Offers'!$C$7:$C$608,$C35,'Offers'!$AH$7:$AH$608,"yes")))</f>
        <v/>
      </c>
      <c r="I35" s="95">
        <f>IF(COUNTIFS('Offers'!$B$7:$B$608,$B35,'Offers'!$C$7:$C$608,$C35,'Offers'!$AI$7:$AI$608,"yes")=0,"",SUMIFS('Offers'!$I$7:$I$608,'Offers'!$B$7:$B$608,$B35,'Offers'!$C$7:$C$608,$C35,'Offers'!$AG$7:$AG$608,1))</f>
        <v/>
      </c>
      <c r="J35" s="95">
        <f>IF(COUNTIFS('Offers'!$B$7:$B$608,$B35,'Offers'!$C$7:$C$608,$C35,'Offers'!$AI$7:$AI$608,"yes")=0,"",(SUMIFS('Offers'!$I$7:$I$608,'Offers'!$B$7:$B$608,$B35,'Offers'!$C$7:$C$608,$C35,'Offers'!$AG$7:$AG$608,ROUNDUP(COUNTIFS('Offers'!$B$7:$B$608,$B35,'Offers'!$C$7:$C$608,$C35,'Offers'!$AI$7:$AI$608,"yes")/2,0))+SUMIFS('Offers'!$I$7:$I$608,'Offers'!$B$7:$B$608,$B35,'Offers'!$C$7:$C$608,$C35,'Offers'!$AG$7:$AG$608,INT(COUNTIFS('Offers'!$B$7:$B$608,$B35,'Offers'!$C$7:$C$608,$C35,'Offers'!$AI$7:$AI$608,"yes")/2)+1))/2)</f>
        <v/>
      </c>
      <c r="K35" s="95">
        <f>IF(COUNTIFS('Offers'!$B$7:$B$608,$B35,'Offers'!$C$7:$C$608,$C35,'Offers'!$AI$7:$AI$608,"yes")=0,"",SUMIFS('Offers'!$I$7:$I$608,'Offers'!$B$7:$B$608,$B35,'Offers'!$C$7:$C$608,$C35,'Offers'!$AG$7:$AG$608,COUNTIFS('Offers'!$B$7:$B$608,$B35,'Offers'!$C$7:$C$608,$C35,'Offers'!$AI$7:$AI$608,"yes")))</f>
        <v/>
      </c>
      <c r="L35" s="55" t="n"/>
      <c r="M35" s="55" t="n"/>
      <c r="N35" s="55" t="n"/>
      <c r="O35" s="2">
        <f>IF('Compare'!$E$5="Local prices",IF(F35="","",IF('Compare'!$C$5="Minimum",F35,IF('Compare'!$C$5="Maximum",H35,G35))),IF(I35="","",IF('Compare'!$C$5="Minimum",I35,IF('Compare'!$C$5="Maximum",K35,J35))))</f>
        <v/>
      </c>
    </row>
    <row r="36" ht="44" customHeight="1">
      <c r="A36" s="2" t="n"/>
      <c r="B36" s="27" t="inlineStr">
        <is>
          <t>Squeeze bottle 500 ml, PP, single tip</t>
        </is>
      </c>
      <c r="C36" s="27" t="inlineStr">
        <is>
          <t>Slovakia</t>
        </is>
      </c>
      <c r="D36" s="27" t="inlineStr">
        <is>
          <t>EUR</t>
        </is>
      </c>
      <c r="E36" s="27" t="inlineStr">
        <is>
          <t>Net per piece</t>
        </is>
      </c>
      <c r="F36" s="96">
        <f>IF(COUNTIFS('Offers'!$B$7:$B$608,$B36,'Offers'!$C$7:$C$608,$C36,'Offers'!$AH$7:$AH$608,"yes")=0,"",SUMIFS('Offers'!$H$7:$H$608,'Offers'!$B$7:$B$608,$B36,'Offers'!$C$7:$C$608,$C36,'Offers'!$AF$7:$AF$608,1))</f>
        <v/>
      </c>
      <c r="G36" s="96">
        <f>IF(COUNTIFS('Offers'!$B$7:$B$608,$B36,'Offers'!$C$7:$C$608,$C36,'Offers'!$AH$7:$AH$608,"yes")=0,"",(SUMIFS('Offers'!$H$7:$H$608,'Offers'!$B$7:$B$608,$B36,'Offers'!$C$7:$C$608,$C36,'Offers'!$AF$7:$AF$608,ROUNDUP(COUNTIFS('Offers'!$B$7:$B$608,$B36,'Offers'!$C$7:$C$608,$C36,'Offers'!$AH$7:$AH$608,"yes")/2,0))+SUMIFS('Offers'!$H$7:$H$608,'Offers'!$B$7:$B$608,$B36,'Offers'!$C$7:$C$608,$C36,'Offers'!$AF$7:$AF$608,INT(COUNTIFS('Offers'!$B$7:$B$608,$B36,'Offers'!$C$7:$C$608,$C36,'Offers'!$AH$7:$AH$608,"yes")/2)+1))/2)</f>
        <v/>
      </c>
      <c r="H36" s="96">
        <f>IF(COUNTIFS('Offers'!$B$7:$B$608,$B36,'Offers'!$C$7:$C$608,$C36,'Offers'!$AH$7:$AH$608,"yes")=0,"",SUMIFS('Offers'!$H$7:$H$608,'Offers'!$B$7:$B$608,$B36,'Offers'!$C$7:$C$608,$C36,'Offers'!$AF$7:$AF$608,COUNTIFS('Offers'!$B$7:$B$608,$B36,'Offers'!$C$7:$C$608,$C36,'Offers'!$AH$7:$AH$608,"yes")))</f>
        <v/>
      </c>
      <c r="I36" s="97">
        <f>IF(COUNTIFS('Offers'!$B$7:$B$608,$B36,'Offers'!$C$7:$C$608,$C36,'Offers'!$AI$7:$AI$608,"yes")=0,"",SUMIFS('Offers'!$I$7:$I$608,'Offers'!$B$7:$B$608,$B36,'Offers'!$C$7:$C$608,$C36,'Offers'!$AG$7:$AG$608,1))</f>
        <v/>
      </c>
      <c r="J36" s="97">
        <f>IF(COUNTIFS('Offers'!$B$7:$B$608,$B36,'Offers'!$C$7:$C$608,$C36,'Offers'!$AI$7:$AI$608,"yes")=0,"",(SUMIFS('Offers'!$I$7:$I$608,'Offers'!$B$7:$B$608,$B36,'Offers'!$C$7:$C$608,$C36,'Offers'!$AG$7:$AG$608,ROUNDUP(COUNTIFS('Offers'!$B$7:$B$608,$B36,'Offers'!$C$7:$C$608,$C36,'Offers'!$AI$7:$AI$608,"yes")/2,0))+SUMIFS('Offers'!$I$7:$I$608,'Offers'!$B$7:$B$608,$B36,'Offers'!$C$7:$C$608,$C36,'Offers'!$AG$7:$AG$608,INT(COUNTIFS('Offers'!$B$7:$B$608,$B36,'Offers'!$C$7:$C$608,$C36,'Offers'!$AI$7:$AI$608,"yes")/2)+1))/2)</f>
        <v/>
      </c>
      <c r="K36" s="97">
        <f>IF(COUNTIFS('Offers'!$B$7:$B$608,$B36,'Offers'!$C$7:$C$608,$C36,'Offers'!$AI$7:$AI$608,"yes")=0,"",SUMIFS('Offers'!$I$7:$I$608,'Offers'!$B$7:$B$608,$B36,'Offers'!$C$7:$C$608,$C36,'Offers'!$AG$7:$AG$608,COUNTIFS('Offers'!$B$7:$B$608,$B36,'Offers'!$C$7:$C$608,$C36,'Offers'!$AI$7:$AI$608,"yes")))</f>
        <v/>
      </c>
      <c r="L36" s="55" t="n"/>
      <c r="M36" s="55" t="n"/>
      <c r="N36" s="55" t="n"/>
      <c r="O36" s="19">
        <f>IF('Compare'!$E$5="Local prices",IF(F36="","",IF('Compare'!$C$5="Minimum",F36,IF('Compare'!$C$5="Maximum",H36,G36))),IF(I36="","",IF('Compare'!$C$5="Minimum",I36,IF('Compare'!$C$5="Maximum",K36,J36))))</f>
        <v/>
      </c>
    </row>
    <row r="37" ht="44" customHeight="1">
      <c r="A37" s="2" t="n"/>
      <c r="B37" s="24" t="inlineStr">
        <is>
          <t>Squeeze bottle 1,000 ml, PP, single tip</t>
        </is>
      </c>
      <c r="C37" s="24" t="inlineStr">
        <is>
          <t>Hungary</t>
        </is>
      </c>
      <c r="D37" s="24" t="inlineStr">
        <is>
          <t>HUF</t>
        </is>
      </c>
      <c r="E37" s="24" t="inlineStr">
        <is>
          <t>Net per piece</t>
        </is>
      </c>
      <c r="F37" s="94">
        <f>IF(COUNTIFS('Offers'!$B$7:$B$608,$B37,'Offers'!$C$7:$C$608,$C37,'Offers'!$AH$7:$AH$608,"yes")=0,"",SUMIFS('Offers'!$H$7:$H$608,'Offers'!$B$7:$B$608,$B37,'Offers'!$C$7:$C$608,$C37,'Offers'!$AF$7:$AF$608,1))</f>
        <v/>
      </c>
      <c r="G37" s="94">
        <f>IF(COUNTIFS('Offers'!$B$7:$B$608,$B37,'Offers'!$C$7:$C$608,$C37,'Offers'!$AH$7:$AH$608,"yes")=0,"",(SUMIFS('Offers'!$H$7:$H$608,'Offers'!$B$7:$B$608,$B37,'Offers'!$C$7:$C$608,$C37,'Offers'!$AF$7:$AF$608,ROUNDUP(COUNTIFS('Offers'!$B$7:$B$608,$B37,'Offers'!$C$7:$C$608,$C37,'Offers'!$AH$7:$AH$608,"yes")/2,0))+SUMIFS('Offers'!$H$7:$H$608,'Offers'!$B$7:$B$608,$B37,'Offers'!$C$7:$C$608,$C37,'Offers'!$AF$7:$AF$608,INT(COUNTIFS('Offers'!$B$7:$B$608,$B37,'Offers'!$C$7:$C$608,$C37,'Offers'!$AH$7:$AH$608,"yes")/2)+1))/2)</f>
        <v/>
      </c>
      <c r="H37" s="94">
        <f>IF(COUNTIFS('Offers'!$B$7:$B$608,$B37,'Offers'!$C$7:$C$608,$C37,'Offers'!$AH$7:$AH$608,"yes")=0,"",SUMIFS('Offers'!$H$7:$H$608,'Offers'!$B$7:$B$608,$B37,'Offers'!$C$7:$C$608,$C37,'Offers'!$AF$7:$AF$608,COUNTIFS('Offers'!$B$7:$B$608,$B37,'Offers'!$C$7:$C$608,$C37,'Offers'!$AH$7:$AH$608,"yes")))</f>
        <v/>
      </c>
      <c r="I37" s="95">
        <f>IF(COUNTIFS('Offers'!$B$7:$B$608,$B37,'Offers'!$C$7:$C$608,$C37,'Offers'!$AI$7:$AI$608,"yes")=0,"",SUMIFS('Offers'!$I$7:$I$608,'Offers'!$B$7:$B$608,$B37,'Offers'!$C$7:$C$608,$C37,'Offers'!$AG$7:$AG$608,1))</f>
        <v/>
      </c>
      <c r="J37" s="95">
        <f>IF(COUNTIFS('Offers'!$B$7:$B$608,$B37,'Offers'!$C$7:$C$608,$C37,'Offers'!$AI$7:$AI$608,"yes")=0,"",(SUMIFS('Offers'!$I$7:$I$608,'Offers'!$B$7:$B$608,$B37,'Offers'!$C$7:$C$608,$C37,'Offers'!$AG$7:$AG$608,ROUNDUP(COUNTIFS('Offers'!$B$7:$B$608,$B37,'Offers'!$C$7:$C$608,$C37,'Offers'!$AI$7:$AI$608,"yes")/2,0))+SUMIFS('Offers'!$I$7:$I$608,'Offers'!$B$7:$B$608,$B37,'Offers'!$C$7:$C$608,$C37,'Offers'!$AG$7:$AG$608,INT(COUNTIFS('Offers'!$B$7:$B$608,$B37,'Offers'!$C$7:$C$608,$C37,'Offers'!$AI$7:$AI$608,"yes")/2)+1))/2)</f>
        <v/>
      </c>
      <c r="K37" s="95">
        <f>IF(COUNTIFS('Offers'!$B$7:$B$608,$B37,'Offers'!$C$7:$C$608,$C37,'Offers'!$AI$7:$AI$608,"yes")=0,"",SUMIFS('Offers'!$I$7:$I$608,'Offers'!$B$7:$B$608,$B37,'Offers'!$C$7:$C$608,$C37,'Offers'!$AG$7:$AG$608,COUNTIFS('Offers'!$B$7:$B$608,$B37,'Offers'!$C$7:$C$608,$C37,'Offers'!$AI$7:$AI$608,"yes")))</f>
        <v/>
      </c>
      <c r="L37" s="55" t="n"/>
      <c r="M37" s="55" t="n"/>
      <c r="N37" s="55" t="n"/>
      <c r="O37" s="2">
        <f>IF('Compare'!$E$5="Local prices",IF(F37="","",IF('Compare'!$C$5="Minimum",F37,IF('Compare'!$C$5="Maximum",H37,G37))),IF(I37="","",IF('Compare'!$C$5="Minimum",I37,IF('Compare'!$C$5="Maximum",K37,J37))))</f>
        <v/>
      </c>
    </row>
    <row r="38" ht="44" customHeight="1">
      <c r="A38" s="2" t="n"/>
      <c r="B38" s="27" t="inlineStr">
        <is>
          <t>Squeeze bottle 1,000 ml, PP, single tip</t>
        </is>
      </c>
      <c r="C38" s="27" t="inlineStr">
        <is>
          <t>Romania</t>
        </is>
      </c>
      <c r="D38" s="27" t="inlineStr">
        <is>
          <t>RON</t>
        </is>
      </c>
      <c r="E38" s="27" t="inlineStr">
        <is>
          <t>Net per piece</t>
        </is>
      </c>
      <c r="F38" s="96">
        <f>IF(COUNTIFS('Offers'!$B$7:$B$608,$B38,'Offers'!$C$7:$C$608,$C38,'Offers'!$AH$7:$AH$608,"yes")=0,"",SUMIFS('Offers'!$H$7:$H$608,'Offers'!$B$7:$B$608,$B38,'Offers'!$C$7:$C$608,$C38,'Offers'!$AF$7:$AF$608,1))</f>
        <v/>
      </c>
      <c r="G38" s="96">
        <f>IF(COUNTIFS('Offers'!$B$7:$B$608,$B38,'Offers'!$C$7:$C$608,$C38,'Offers'!$AH$7:$AH$608,"yes")=0,"",(SUMIFS('Offers'!$H$7:$H$608,'Offers'!$B$7:$B$608,$B38,'Offers'!$C$7:$C$608,$C38,'Offers'!$AF$7:$AF$608,ROUNDUP(COUNTIFS('Offers'!$B$7:$B$608,$B38,'Offers'!$C$7:$C$608,$C38,'Offers'!$AH$7:$AH$608,"yes")/2,0))+SUMIFS('Offers'!$H$7:$H$608,'Offers'!$B$7:$B$608,$B38,'Offers'!$C$7:$C$608,$C38,'Offers'!$AF$7:$AF$608,INT(COUNTIFS('Offers'!$B$7:$B$608,$B38,'Offers'!$C$7:$C$608,$C38,'Offers'!$AH$7:$AH$608,"yes")/2)+1))/2)</f>
        <v/>
      </c>
      <c r="H38" s="96">
        <f>IF(COUNTIFS('Offers'!$B$7:$B$608,$B38,'Offers'!$C$7:$C$608,$C38,'Offers'!$AH$7:$AH$608,"yes")=0,"",SUMIFS('Offers'!$H$7:$H$608,'Offers'!$B$7:$B$608,$B38,'Offers'!$C$7:$C$608,$C38,'Offers'!$AF$7:$AF$608,COUNTIFS('Offers'!$B$7:$B$608,$B38,'Offers'!$C$7:$C$608,$C38,'Offers'!$AH$7:$AH$608,"yes")))</f>
        <v/>
      </c>
      <c r="I38" s="97">
        <f>IF(COUNTIFS('Offers'!$B$7:$B$608,$B38,'Offers'!$C$7:$C$608,$C38,'Offers'!$AI$7:$AI$608,"yes")=0,"",SUMIFS('Offers'!$I$7:$I$608,'Offers'!$B$7:$B$608,$B38,'Offers'!$C$7:$C$608,$C38,'Offers'!$AG$7:$AG$608,1))</f>
        <v/>
      </c>
      <c r="J38" s="97">
        <f>IF(COUNTIFS('Offers'!$B$7:$B$608,$B38,'Offers'!$C$7:$C$608,$C38,'Offers'!$AI$7:$AI$608,"yes")=0,"",(SUMIFS('Offers'!$I$7:$I$608,'Offers'!$B$7:$B$608,$B38,'Offers'!$C$7:$C$608,$C38,'Offers'!$AG$7:$AG$608,ROUNDUP(COUNTIFS('Offers'!$B$7:$B$608,$B38,'Offers'!$C$7:$C$608,$C38,'Offers'!$AI$7:$AI$608,"yes")/2,0))+SUMIFS('Offers'!$I$7:$I$608,'Offers'!$B$7:$B$608,$B38,'Offers'!$C$7:$C$608,$C38,'Offers'!$AG$7:$AG$608,INT(COUNTIFS('Offers'!$B$7:$B$608,$B38,'Offers'!$C$7:$C$608,$C38,'Offers'!$AI$7:$AI$608,"yes")/2)+1))/2)</f>
        <v/>
      </c>
      <c r="K38" s="97">
        <f>IF(COUNTIFS('Offers'!$B$7:$B$608,$B38,'Offers'!$C$7:$C$608,$C38,'Offers'!$AI$7:$AI$608,"yes")=0,"",SUMIFS('Offers'!$I$7:$I$608,'Offers'!$B$7:$B$608,$B38,'Offers'!$C$7:$C$608,$C38,'Offers'!$AG$7:$AG$608,COUNTIFS('Offers'!$B$7:$B$608,$B38,'Offers'!$C$7:$C$608,$C38,'Offers'!$AI$7:$AI$608,"yes")))</f>
        <v/>
      </c>
      <c r="L38" s="55" t="n"/>
      <c r="M38" s="55" t="n"/>
      <c r="N38" s="55" t="n"/>
      <c r="O38" s="19">
        <f>IF('Compare'!$E$5="Local prices",IF(F38="","",IF('Compare'!$C$5="Minimum",F38,IF('Compare'!$C$5="Maximum",H38,G38))),IF(I38="","",IF('Compare'!$C$5="Minimum",I38,IF('Compare'!$C$5="Maximum",K38,J38))))</f>
        <v/>
      </c>
    </row>
    <row r="39" ht="44" customHeight="1">
      <c r="A39" s="2" t="n"/>
      <c r="B39" s="24" t="inlineStr">
        <is>
          <t>Squeeze bottle 1,000 ml, PP, single tip</t>
        </is>
      </c>
      <c r="C39" s="24" t="inlineStr">
        <is>
          <t>Austria</t>
        </is>
      </c>
      <c r="D39" s="24" t="inlineStr">
        <is>
          <t>EUR</t>
        </is>
      </c>
      <c r="E39" s="24" t="inlineStr">
        <is>
          <t>Net per piece</t>
        </is>
      </c>
      <c r="F39" s="94">
        <f>IF(COUNTIFS('Offers'!$B$7:$B$608,$B39,'Offers'!$C$7:$C$608,$C39,'Offers'!$AH$7:$AH$608,"yes")=0,"",SUMIFS('Offers'!$H$7:$H$608,'Offers'!$B$7:$B$608,$B39,'Offers'!$C$7:$C$608,$C39,'Offers'!$AF$7:$AF$608,1))</f>
        <v/>
      </c>
      <c r="G39" s="94">
        <f>IF(COUNTIFS('Offers'!$B$7:$B$608,$B39,'Offers'!$C$7:$C$608,$C39,'Offers'!$AH$7:$AH$608,"yes")=0,"",(SUMIFS('Offers'!$H$7:$H$608,'Offers'!$B$7:$B$608,$B39,'Offers'!$C$7:$C$608,$C39,'Offers'!$AF$7:$AF$608,ROUNDUP(COUNTIFS('Offers'!$B$7:$B$608,$B39,'Offers'!$C$7:$C$608,$C39,'Offers'!$AH$7:$AH$608,"yes")/2,0))+SUMIFS('Offers'!$H$7:$H$608,'Offers'!$B$7:$B$608,$B39,'Offers'!$C$7:$C$608,$C39,'Offers'!$AF$7:$AF$608,INT(COUNTIFS('Offers'!$B$7:$B$608,$B39,'Offers'!$C$7:$C$608,$C39,'Offers'!$AH$7:$AH$608,"yes")/2)+1))/2)</f>
        <v/>
      </c>
      <c r="H39" s="94">
        <f>IF(COUNTIFS('Offers'!$B$7:$B$608,$B39,'Offers'!$C$7:$C$608,$C39,'Offers'!$AH$7:$AH$608,"yes")=0,"",SUMIFS('Offers'!$H$7:$H$608,'Offers'!$B$7:$B$608,$B39,'Offers'!$C$7:$C$608,$C39,'Offers'!$AF$7:$AF$608,COUNTIFS('Offers'!$B$7:$B$608,$B39,'Offers'!$C$7:$C$608,$C39,'Offers'!$AH$7:$AH$608,"yes")))</f>
        <v/>
      </c>
      <c r="I39" s="95">
        <f>IF(COUNTIFS('Offers'!$B$7:$B$608,$B39,'Offers'!$C$7:$C$608,$C39,'Offers'!$AI$7:$AI$608,"yes")=0,"",SUMIFS('Offers'!$I$7:$I$608,'Offers'!$B$7:$B$608,$B39,'Offers'!$C$7:$C$608,$C39,'Offers'!$AG$7:$AG$608,1))</f>
        <v/>
      </c>
      <c r="J39" s="95">
        <f>IF(COUNTIFS('Offers'!$B$7:$B$608,$B39,'Offers'!$C$7:$C$608,$C39,'Offers'!$AI$7:$AI$608,"yes")=0,"",(SUMIFS('Offers'!$I$7:$I$608,'Offers'!$B$7:$B$608,$B39,'Offers'!$C$7:$C$608,$C39,'Offers'!$AG$7:$AG$608,ROUNDUP(COUNTIFS('Offers'!$B$7:$B$608,$B39,'Offers'!$C$7:$C$608,$C39,'Offers'!$AI$7:$AI$608,"yes")/2,0))+SUMIFS('Offers'!$I$7:$I$608,'Offers'!$B$7:$B$608,$B39,'Offers'!$C$7:$C$608,$C39,'Offers'!$AG$7:$AG$608,INT(COUNTIFS('Offers'!$B$7:$B$608,$B39,'Offers'!$C$7:$C$608,$C39,'Offers'!$AI$7:$AI$608,"yes")/2)+1))/2)</f>
        <v/>
      </c>
      <c r="K39" s="95">
        <f>IF(COUNTIFS('Offers'!$B$7:$B$608,$B39,'Offers'!$C$7:$C$608,$C39,'Offers'!$AI$7:$AI$608,"yes")=0,"",SUMIFS('Offers'!$I$7:$I$608,'Offers'!$B$7:$B$608,$B39,'Offers'!$C$7:$C$608,$C39,'Offers'!$AG$7:$AG$608,COUNTIFS('Offers'!$B$7:$B$608,$B39,'Offers'!$C$7:$C$608,$C39,'Offers'!$AI$7:$AI$608,"yes")))</f>
        <v/>
      </c>
      <c r="L39" s="55" t="n"/>
      <c r="M39" s="55" t="n"/>
      <c r="N39" s="55" t="n"/>
      <c r="O39" s="2">
        <f>IF('Compare'!$E$5="Local prices",IF(F39="","",IF('Compare'!$C$5="Minimum",F39,IF('Compare'!$C$5="Maximum",H39,G39))),IF(I39="","",IF('Compare'!$C$5="Minimum",I39,IF('Compare'!$C$5="Maximum",K39,J39))))</f>
        <v/>
      </c>
    </row>
    <row r="40" ht="44" customHeight="1">
      <c r="A40" s="2" t="n"/>
      <c r="B40" s="27" t="inlineStr">
        <is>
          <t>Squeeze bottle 1,000 ml, PP, single tip</t>
        </is>
      </c>
      <c r="C40" s="27" t="inlineStr">
        <is>
          <t>Germany</t>
        </is>
      </c>
      <c r="D40" s="27" t="inlineStr">
        <is>
          <t>EUR</t>
        </is>
      </c>
      <c r="E40" s="27" t="inlineStr">
        <is>
          <t>Net per piece</t>
        </is>
      </c>
      <c r="F40" s="96">
        <f>IF(COUNTIFS('Offers'!$B$7:$B$608,$B40,'Offers'!$C$7:$C$608,$C40,'Offers'!$AH$7:$AH$608,"yes")=0,"",SUMIFS('Offers'!$H$7:$H$608,'Offers'!$B$7:$B$608,$B40,'Offers'!$C$7:$C$608,$C40,'Offers'!$AF$7:$AF$608,1))</f>
        <v/>
      </c>
      <c r="G40" s="96">
        <f>IF(COUNTIFS('Offers'!$B$7:$B$608,$B40,'Offers'!$C$7:$C$608,$C40,'Offers'!$AH$7:$AH$608,"yes")=0,"",(SUMIFS('Offers'!$H$7:$H$608,'Offers'!$B$7:$B$608,$B40,'Offers'!$C$7:$C$608,$C40,'Offers'!$AF$7:$AF$608,ROUNDUP(COUNTIFS('Offers'!$B$7:$B$608,$B40,'Offers'!$C$7:$C$608,$C40,'Offers'!$AH$7:$AH$608,"yes")/2,0))+SUMIFS('Offers'!$H$7:$H$608,'Offers'!$B$7:$B$608,$B40,'Offers'!$C$7:$C$608,$C40,'Offers'!$AF$7:$AF$608,INT(COUNTIFS('Offers'!$B$7:$B$608,$B40,'Offers'!$C$7:$C$608,$C40,'Offers'!$AH$7:$AH$608,"yes")/2)+1))/2)</f>
        <v/>
      </c>
      <c r="H40" s="96">
        <f>IF(COUNTIFS('Offers'!$B$7:$B$608,$B40,'Offers'!$C$7:$C$608,$C40,'Offers'!$AH$7:$AH$608,"yes")=0,"",SUMIFS('Offers'!$H$7:$H$608,'Offers'!$B$7:$B$608,$B40,'Offers'!$C$7:$C$608,$C40,'Offers'!$AF$7:$AF$608,COUNTIFS('Offers'!$B$7:$B$608,$B40,'Offers'!$C$7:$C$608,$C40,'Offers'!$AH$7:$AH$608,"yes")))</f>
        <v/>
      </c>
      <c r="I40" s="97">
        <f>IF(COUNTIFS('Offers'!$B$7:$B$608,$B40,'Offers'!$C$7:$C$608,$C40,'Offers'!$AI$7:$AI$608,"yes")=0,"",SUMIFS('Offers'!$I$7:$I$608,'Offers'!$B$7:$B$608,$B40,'Offers'!$C$7:$C$608,$C40,'Offers'!$AG$7:$AG$608,1))</f>
        <v/>
      </c>
      <c r="J40" s="97">
        <f>IF(COUNTIFS('Offers'!$B$7:$B$608,$B40,'Offers'!$C$7:$C$608,$C40,'Offers'!$AI$7:$AI$608,"yes")=0,"",(SUMIFS('Offers'!$I$7:$I$608,'Offers'!$B$7:$B$608,$B40,'Offers'!$C$7:$C$608,$C40,'Offers'!$AG$7:$AG$608,ROUNDUP(COUNTIFS('Offers'!$B$7:$B$608,$B40,'Offers'!$C$7:$C$608,$C40,'Offers'!$AI$7:$AI$608,"yes")/2,0))+SUMIFS('Offers'!$I$7:$I$608,'Offers'!$B$7:$B$608,$B40,'Offers'!$C$7:$C$608,$C40,'Offers'!$AG$7:$AG$608,INT(COUNTIFS('Offers'!$B$7:$B$608,$B40,'Offers'!$C$7:$C$608,$C40,'Offers'!$AI$7:$AI$608,"yes")/2)+1))/2)</f>
        <v/>
      </c>
      <c r="K40" s="97">
        <f>IF(COUNTIFS('Offers'!$B$7:$B$608,$B40,'Offers'!$C$7:$C$608,$C40,'Offers'!$AI$7:$AI$608,"yes")=0,"",SUMIFS('Offers'!$I$7:$I$608,'Offers'!$B$7:$B$608,$B40,'Offers'!$C$7:$C$608,$C40,'Offers'!$AG$7:$AG$608,COUNTIFS('Offers'!$B$7:$B$608,$B40,'Offers'!$C$7:$C$608,$C40,'Offers'!$AI$7:$AI$608,"yes")))</f>
        <v/>
      </c>
      <c r="L40" s="55" t="n"/>
      <c r="M40" s="55" t="n"/>
      <c r="N40" s="55" t="n"/>
      <c r="O40" s="19">
        <f>IF('Compare'!$E$5="Local prices",IF(F40="","",IF('Compare'!$C$5="Minimum",F40,IF('Compare'!$C$5="Maximum",H40,G40))),IF(I40="","",IF('Compare'!$C$5="Minimum",I40,IF('Compare'!$C$5="Maximum",K40,J40))))</f>
        <v/>
      </c>
    </row>
    <row r="41" ht="44" customHeight="1">
      <c r="A41" s="2" t="n"/>
      <c r="B41" s="24" t="inlineStr">
        <is>
          <t>Squeeze bottle 1,000 ml, PP, single tip</t>
        </is>
      </c>
      <c r="C41" s="24" t="inlineStr">
        <is>
          <t>Czech</t>
        </is>
      </c>
      <c r="D41" s="24" t="inlineStr">
        <is>
          <t>CZK</t>
        </is>
      </c>
      <c r="E41" s="24" t="inlineStr">
        <is>
          <t>Net per piece</t>
        </is>
      </c>
      <c r="F41" s="94">
        <f>IF(COUNTIFS('Offers'!$B$7:$B$608,$B41,'Offers'!$C$7:$C$608,$C41,'Offers'!$AH$7:$AH$608,"yes")=0,"",SUMIFS('Offers'!$H$7:$H$608,'Offers'!$B$7:$B$608,$B41,'Offers'!$C$7:$C$608,$C41,'Offers'!$AF$7:$AF$608,1))</f>
        <v/>
      </c>
      <c r="G41" s="94">
        <f>IF(COUNTIFS('Offers'!$B$7:$B$608,$B41,'Offers'!$C$7:$C$608,$C41,'Offers'!$AH$7:$AH$608,"yes")=0,"",(SUMIFS('Offers'!$H$7:$H$608,'Offers'!$B$7:$B$608,$B41,'Offers'!$C$7:$C$608,$C41,'Offers'!$AF$7:$AF$608,ROUNDUP(COUNTIFS('Offers'!$B$7:$B$608,$B41,'Offers'!$C$7:$C$608,$C41,'Offers'!$AH$7:$AH$608,"yes")/2,0))+SUMIFS('Offers'!$H$7:$H$608,'Offers'!$B$7:$B$608,$B41,'Offers'!$C$7:$C$608,$C41,'Offers'!$AF$7:$AF$608,INT(COUNTIFS('Offers'!$B$7:$B$608,$B41,'Offers'!$C$7:$C$608,$C41,'Offers'!$AH$7:$AH$608,"yes")/2)+1))/2)</f>
        <v/>
      </c>
      <c r="H41" s="94">
        <f>IF(COUNTIFS('Offers'!$B$7:$B$608,$B41,'Offers'!$C$7:$C$608,$C41,'Offers'!$AH$7:$AH$608,"yes")=0,"",SUMIFS('Offers'!$H$7:$H$608,'Offers'!$B$7:$B$608,$B41,'Offers'!$C$7:$C$608,$C41,'Offers'!$AF$7:$AF$608,COUNTIFS('Offers'!$B$7:$B$608,$B41,'Offers'!$C$7:$C$608,$C41,'Offers'!$AH$7:$AH$608,"yes")))</f>
        <v/>
      </c>
      <c r="I41" s="95">
        <f>IF(COUNTIFS('Offers'!$B$7:$B$608,$B41,'Offers'!$C$7:$C$608,$C41,'Offers'!$AI$7:$AI$608,"yes")=0,"",SUMIFS('Offers'!$I$7:$I$608,'Offers'!$B$7:$B$608,$B41,'Offers'!$C$7:$C$608,$C41,'Offers'!$AG$7:$AG$608,1))</f>
        <v/>
      </c>
      <c r="J41" s="95">
        <f>IF(COUNTIFS('Offers'!$B$7:$B$608,$B41,'Offers'!$C$7:$C$608,$C41,'Offers'!$AI$7:$AI$608,"yes")=0,"",(SUMIFS('Offers'!$I$7:$I$608,'Offers'!$B$7:$B$608,$B41,'Offers'!$C$7:$C$608,$C41,'Offers'!$AG$7:$AG$608,ROUNDUP(COUNTIFS('Offers'!$B$7:$B$608,$B41,'Offers'!$C$7:$C$608,$C41,'Offers'!$AI$7:$AI$608,"yes")/2,0))+SUMIFS('Offers'!$I$7:$I$608,'Offers'!$B$7:$B$608,$B41,'Offers'!$C$7:$C$608,$C41,'Offers'!$AG$7:$AG$608,INT(COUNTIFS('Offers'!$B$7:$B$608,$B41,'Offers'!$C$7:$C$608,$C41,'Offers'!$AI$7:$AI$608,"yes")/2)+1))/2)</f>
        <v/>
      </c>
      <c r="K41" s="95">
        <f>IF(COUNTIFS('Offers'!$B$7:$B$608,$B41,'Offers'!$C$7:$C$608,$C41,'Offers'!$AI$7:$AI$608,"yes")=0,"",SUMIFS('Offers'!$I$7:$I$608,'Offers'!$B$7:$B$608,$B41,'Offers'!$C$7:$C$608,$C41,'Offers'!$AG$7:$AG$608,COUNTIFS('Offers'!$B$7:$B$608,$B41,'Offers'!$C$7:$C$608,$C41,'Offers'!$AI$7:$AI$608,"yes")))</f>
        <v/>
      </c>
      <c r="L41" s="55" t="n"/>
      <c r="M41" s="55" t="n"/>
      <c r="N41" s="55" t="n"/>
      <c r="O41" s="2">
        <f>IF('Compare'!$E$5="Local prices",IF(F41="","",IF('Compare'!$C$5="Minimum",F41,IF('Compare'!$C$5="Maximum",H41,G41))),IF(I41="","",IF('Compare'!$C$5="Minimum",I41,IF('Compare'!$C$5="Maximum",K41,J41))))</f>
        <v/>
      </c>
    </row>
    <row r="42" ht="44" customHeight="1">
      <c r="A42" s="2" t="n"/>
      <c r="B42" s="27" t="inlineStr">
        <is>
          <t>Squeeze bottle 1,000 ml, PP, single tip</t>
        </is>
      </c>
      <c r="C42" s="27" t="inlineStr">
        <is>
          <t>Slovakia</t>
        </is>
      </c>
      <c r="D42" s="27" t="inlineStr">
        <is>
          <t>EUR</t>
        </is>
      </c>
      <c r="E42" s="27" t="inlineStr">
        <is>
          <t>Net per piece</t>
        </is>
      </c>
      <c r="F42" s="96">
        <f>IF(COUNTIFS('Offers'!$B$7:$B$608,$B42,'Offers'!$C$7:$C$608,$C42,'Offers'!$AH$7:$AH$608,"yes")=0,"",SUMIFS('Offers'!$H$7:$H$608,'Offers'!$B$7:$B$608,$B42,'Offers'!$C$7:$C$608,$C42,'Offers'!$AF$7:$AF$608,1))</f>
        <v/>
      </c>
      <c r="G42" s="96">
        <f>IF(COUNTIFS('Offers'!$B$7:$B$608,$B42,'Offers'!$C$7:$C$608,$C42,'Offers'!$AH$7:$AH$608,"yes")=0,"",(SUMIFS('Offers'!$H$7:$H$608,'Offers'!$B$7:$B$608,$B42,'Offers'!$C$7:$C$608,$C42,'Offers'!$AF$7:$AF$608,ROUNDUP(COUNTIFS('Offers'!$B$7:$B$608,$B42,'Offers'!$C$7:$C$608,$C42,'Offers'!$AH$7:$AH$608,"yes")/2,0))+SUMIFS('Offers'!$H$7:$H$608,'Offers'!$B$7:$B$608,$B42,'Offers'!$C$7:$C$608,$C42,'Offers'!$AF$7:$AF$608,INT(COUNTIFS('Offers'!$B$7:$B$608,$B42,'Offers'!$C$7:$C$608,$C42,'Offers'!$AH$7:$AH$608,"yes")/2)+1))/2)</f>
        <v/>
      </c>
      <c r="H42" s="96">
        <f>IF(COUNTIFS('Offers'!$B$7:$B$608,$B42,'Offers'!$C$7:$C$608,$C42,'Offers'!$AH$7:$AH$608,"yes")=0,"",SUMIFS('Offers'!$H$7:$H$608,'Offers'!$B$7:$B$608,$B42,'Offers'!$C$7:$C$608,$C42,'Offers'!$AF$7:$AF$608,COUNTIFS('Offers'!$B$7:$B$608,$B42,'Offers'!$C$7:$C$608,$C42,'Offers'!$AH$7:$AH$608,"yes")))</f>
        <v/>
      </c>
      <c r="I42" s="97">
        <f>IF(COUNTIFS('Offers'!$B$7:$B$608,$B42,'Offers'!$C$7:$C$608,$C42,'Offers'!$AI$7:$AI$608,"yes")=0,"",SUMIFS('Offers'!$I$7:$I$608,'Offers'!$B$7:$B$608,$B42,'Offers'!$C$7:$C$608,$C42,'Offers'!$AG$7:$AG$608,1))</f>
        <v/>
      </c>
      <c r="J42" s="97">
        <f>IF(COUNTIFS('Offers'!$B$7:$B$608,$B42,'Offers'!$C$7:$C$608,$C42,'Offers'!$AI$7:$AI$608,"yes")=0,"",(SUMIFS('Offers'!$I$7:$I$608,'Offers'!$B$7:$B$608,$B42,'Offers'!$C$7:$C$608,$C42,'Offers'!$AG$7:$AG$608,ROUNDUP(COUNTIFS('Offers'!$B$7:$B$608,$B42,'Offers'!$C$7:$C$608,$C42,'Offers'!$AI$7:$AI$608,"yes")/2,0))+SUMIFS('Offers'!$I$7:$I$608,'Offers'!$B$7:$B$608,$B42,'Offers'!$C$7:$C$608,$C42,'Offers'!$AG$7:$AG$608,INT(COUNTIFS('Offers'!$B$7:$B$608,$B42,'Offers'!$C$7:$C$608,$C42,'Offers'!$AI$7:$AI$608,"yes")/2)+1))/2)</f>
        <v/>
      </c>
      <c r="K42" s="97">
        <f>IF(COUNTIFS('Offers'!$B$7:$B$608,$B42,'Offers'!$C$7:$C$608,$C42,'Offers'!$AI$7:$AI$608,"yes")=0,"",SUMIFS('Offers'!$I$7:$I$608,'Offers'!$B$7:$B$608,$B42,'Offers'!$C$7:$C$608,$C42,'Offers'!$AG$7:$AG$608,COUNTIFS('Offers'!$B$7:$B$608,$B42,'Offers'!$C$7:$C$608,$C42,'Offers'!$AI$7:$AI$608,"yes")))</f>
        <v/>
      </c>
      <c r="L42" s="55" t="n"/>
      <c r="M42" s="55" t="n"/>
      <c r="N42" s="55" t="n"/>
      <c r="O42" s="19">
        <f>IF('Compare'!$E$5="Local prices",IF(F42="","",IF('Compare'!$C$5="Minimum",F42,IF('Compare'!$C$5="Maximum",H42,G42))),IF(I42="","",IF('Compare'!$C$5="Minimum",I42,IF('Compare'!$C$5="Maximum",K42,J42))))</f>
        <v/>
      </c>
    </row>
    <row r="43" ht="44" customHeight="1">
      <c r="A43" s="2" t="n"/>
      <c r="B43" s="24" t="inlineStr">
        <is>
          <t>Squeeze bottle 500 ml, triple tip</t>
        </is>
      </c>
      <c r="C43" s="24" t="inlineStr">
        <is>
          <t>Hungary</t>
        </is>
      </c>
      <c r="D43" s="24" t="inlineStr">
        <is>
          <t>HUF</t>
        </is>
      </c>
      <c r="E43" s="24" t="inlineStr">
        <is>
          <t>Net per piece</t>
        </is>
      </c>
      <c r="F43" s="94">
        <f>IF(COUNTIFS('Offers'!$B$7:$B$608,$B43,'Offers'!$C$7:$C$608,$C43,'Offers'!$AH$7:$AH$608,"yes")=0,"",SUMIFS('Offers'!$H$7:$H$608,'Offers'!$B$7:$B$608,$B43,'Offers'!$C$7:$C$608,$C43,'Offers'!$AF$7:$AF$608,1))</f>
        <v/>
      </c>
      <c r="G43" s="94">
        <f>IF(COUNTIFS('Offers'!$B$7:$B$608,$B43,'Offers'!$C$7:$C$608,$C43,'Offers'!$AH$7:$AH$608,"yes")=0,"",(SUMIFS('Offers'!$H$7:$H$608,'Offers'!$B$7:$B$608,$B43,'Offers'!$C$7:$C$608,$C43,'Offers'!$AF$7:$AF$608,ROUNDUP(COUNTIFS('Offers'!$B$7:$B$608,$B43,'Offers'!$C$7:$C$608,$C43,'Offers'!$AH$7:$AH$608,"yes")/2,0))+SUMIFS('Offers'!$H$7:$H$608,'Offers'!$B$7:$B$608,$B43,'Offers'!$C$7:$C$608,$C43,'Offers'!$AF$7:$AF$608,INT(COUNTIFS('Offers'!$B$7:$B$608,$B43,'Offers'!$C$7:$C$608,$C43,'Offers'!$AH$7:$AH$608,"yes")/2)+1))/2)</f>
        <v/>
      </c>
      <c r="H43" s="94">
        <f>IF(COUNTIFS('Offers'!$B$7:$B$608,$B43,'Offers'!$C$7:$C$608,$C43,'Offers'!$AH$7:$AH$608,"yes")=0,"",SUMIFS('Offers'!$H$7:$H$608,'Offers'!$B$7:$B$608,$B43,'Offers'!$C$7:$C$608,$C43,'Offers'!$AF$7:$AF$608,COUNTIFS('Offers'!$B$7:$B$608,$B43,'Offers'!$C$7:$C$608,$C43,'Offers'!$AH$7:$AH$608,"yes")))</f>
        <v/>
      </c>
      <c r="I43" s="95">
        <f>IF(COUNTIFS('Offers'!$B$7:$B$608,$B43,'Offers'!$C$7:$C$608,$C43,'Offers'!$AI$7:$AI$608,"yes")=0,"",SUMIFS('Offers'!$I$7:$I$608,'Offers'!$B$7:$B$608,$B43,'Offers'!$C$7:$C$608,$C43,'Offers'!$AG$7:$AG$608,1))</f>
        <v/>
      </c>
      <c r="J43" s="95">
        <f>IF(COUNTIFS('Offers'!$B$7:$B$608,$B43,'Offers'!$C$7:$C$608,$C43,'Offers'!$AI$7:$AI$608,"yes")=0,"",(SUMIFS('Offers'!$I$7:$I$608,'Offers'!$B$7:$B$608,$B43,'Offers'!$C$7:$C$608,$C43,'Offers'!$AG$7:$AG$608,ROUNDUP(COUNTIFS('Offers'!$B$7:$B$608,$B43,'Offers'!$C$7:$C$608,$C43,'Offers'!$AI$7:$AI$608,"yes")/2,0))+SUMIFS('Offers'!$I$7:$I$608,'Offers'!$B$7:$B$608,$B43,'Offers'!$C$7:$C$608,$C43,'Offers'!$AG$7:$AG$608,INT(COUNTIFS('Offers'!$B$7:$B$608,$B43,'Offers'!$C$7:$C$608,$C43,'Offers'!$AI$7:$AI$608,"yes")/2)+1))/2)</f>
        <v/>
      </c>
      <c r="K43" s="95">
        <f>IF(COUNTIFS('Offers'!$B$7:$B$608,$B43,'Offers'!$C$7:$C$608,$C43,'Offers'!$AI$7:$AI$608,"yes")=0,"",SUMIFS('Offers'!$I$7:$I$608,'Offers'!$B$7:$B$608,$B43,'Offers'!$C$7:$C$608,$C43,'Offers'!$AG$7:$AG$608,COUNTIFS('Offers'!$B$7:$B$608,$B43,'Offers'!$C$7:$C$608,$C43,'Offers'!$AI$7:$AI$608,"yes")))</f>
        <v/>
      </c>
      <c r="L43" s="55" t="n"/>
      <c r="M43" s="55" t="n"/>
      <c r="N43" s="55" t="n"/>
      <c r="O43" s="2">
        <f>IF('Compare'!$E$5="Local prices",IF(F43="","",IF('Compare'!$C$5="Minimum",F43,IF('Compare'!$C$5="Maximum",H43,G43))),IF(I43="","",IF('Compare'!$C$5="Minimum",I43,IF('Compare'!$C$5="Maximum",K43,J43))))</f>
        <v/>
      </c>
    </row>
    <row r="44" ht="44" customHeight="1">
      <c r="A44" s="2" t="n"/>
      <c r="B44" s="27" t="inlineStr">
        <is>
          <t>Squeeze bottle 500 ml, triple tip</t>
        </is>
      </c>
      <c r="C44" s="27" t="inlineStr">
        <is>
          <t>Romania</t>
        </is>
      </c>
      <c r="D44" s="27" t="inlineStr">
        <is>
          <t>RON</t>
        </is>
      </c>
      <c r="E44" s="27" t="inlineStr">
        <is>
          <t>Net per piece</t>
        </is>
      </c>
      <c r="F44" s="96">
        <f>IF(COUNTIFS('Offers'!$B$7:$B$608,$B44,'Offers'!$C$7:$C$608,$C44,'Offers'!$AH$7:$AH$608,"yes")=0,"",SUMIFS('Offers'!$H$7:$H$608,'Offers'!$B$7:$B$608,$B44,'Offers'!$C$7:$C$608,$C44,'Offers'!$AF$7:$AF$608,1))</f>
        <v/>
      </c>
      <c r="G44" s="96">
        <f>IF(COUNTIFS('Offers'!$B$7:$B$608,$B44,'Offers'!$C$7:$C$608,$C44,'Offers'!$AH$7:$AH$608,"yes")=0,"",(SUMIFS('Offers'!$H$7:$H$608,'Offers'!$B$7:$B$608,$B44,'Offers'!$C$7:$C$608,$C44,'Offers'!$AF$7:$AF$608,ROUNDUP(COUNTIFS('Offers'!$B$7:$B$608,$B44,'Offers'!$C$7:$C$608,$C44,'Offers'!$AH$7:$AH$608,"yes")/2,0))+SUMIFS('Offers'!$H$7:$H$608,'Offers'!$B$7:$B$608,$B44,'Offers'!$C$7:$C$608,$C44,'Offers'!$AF$7:$AF$608,INT(COUNTIFS('Offers'!$B$7:$B$608,$B44,'Offers'!$C$7:$C$608,$C44,'Offers'!$AH$7:$AH$608,"yes")/2)+1))/2)</f>
        <v/>
      </c>
      <c r="H44" s="96">
        <f>IF(COUNTIFS('Offers'!$B$7:$B$608,$B44,'Offers'!$C$7:$C$608,$C44,'Offers'!$AH$7:$AH$608,"yes")=0,"",SUMIFS('Offers'!$H$7:$H$608,'Offers'!$B$7:$B$608,$B44,'Offers'!$C$7:$C$608,$C44,'Offers'!$AF$7:$AF$608,COUNTIFS('Offers'!$B$7:$B$608,$B44,'Offers'!$C$7:$C$608,$C44,'Offers'!$AH$7:$AH$608,"yes")))</f>
        <v/>
      </c>
      <c r="I44" s="97">
        <f>IF(COUNTIFS('Offers'!$B$7:$B$608,$B44,'Offers'!$C$7:$C$608,$C44,'Offers'!$AI$7:$AI$608,"yes")=0,"",SUMIFS('Offers'!$I$7:$I$608,'Offers'!$B$7:$B$608,$B44,'Offers'!$C$7:$C$608,$C44,'Offers'!$AG$7:$AG$608,1))</f>
        <v/>
      </c>
      <c r="J44" s="97">
        <f>IF(COUNTIFS('Offers'!$B$7:$B$608,$B44,'Offers'!$C$7:$C$608,$C44,'Offers'!$AI$7:$AI$608,"yes")=0,"",(SUMIFS('Offers'!$I$7:$I$608,'Offers'!$B$7:$B$608,$B44,'Offers'!$C$7:$C$608,$C44,'Offers'!$AG$7:$AG$608,ROUNDUP(COUNTIFS('Offers'!$B$7:$B$608,$B44,'Offers'!$C$7:$C$608,$C44,'Offers'!$AI$7:$AI$608,"yes")/2,0))+SUMIFS('Offers'!$I$7:$I$608,'Offers'!$B$7:$B$608,$B44,'Offers'!$C$7:$C$608,$C44,'Offers'!$AG$7:$AG$608,INT(COUNTIFS('Offers'!$B$7:$B$608,$B44,'Offers'!$C$7:$C$608,$C44,'Offers'!$AI$7:$AI$608,"yes")/2)+1))/2)</f>
        <v/>
      </c>
      <c r="K44" s="97">
        <f>IF(COUNTIFS('Offers'!$B$7:$B$608,$B44,'Offers'!$C$7:$C$608,$C44,'Offers'!$AI$7:$AI$608,"yes")=0,"",SUMIFS('Offers'!$I$7:$I$608,'Offers'!$B$7:$B$608,$B44,'Offers'!$C$7:$C$608,$C44,'Offers'!$AG$7:$AG$608,COUNTIFS('Offers'!$B$7:$B$608,$B44,'Offers'!$C$7:$C$608,$C44,'Offers'!$AI$7:$AI$608,"yes")))</f>
        <v/>
      </c>
      <c r="L44" s="55" t="n"/>
      <c r="M44" s="55" t="n"/>
      <c r="N44" s="55" t="n"/>
      <c r="O44" s="19">
        <f>IF('Compare'!$E$5="Local prices",IF(F44="","",IF('Compare'!$C$5="Minimum",F44,IF('Compare'!$C$5="Maximum",H44,G44))),IF(I44="","",IF('Compare'!$C$5="Minimum",I44,IF('Compare'!$C$5="Maximum",K44,J44))))</f>
        <v/>
      </c>
    </row>
    <row r="45" ht="44" customHeight="1">
      <c r="A45" s="2" t="n"/>
      <c r="B45" s="24" t="inlineStr">
        <is>
          <t>Squeeze bottle 500 ml, triple tip</t>
        </is>
      </c>
      <c r="C45" s="24" t="inlineStr">
        <is>
          <t>Austria</t>
        </is>
      </c>
      <c r="D45" s="24" t="inlineStr">
        <is>
          <t>EUR</t>
        </is>
      </c>
      <c r="E45" s="24" t="inlineStr">
        <is>
          <t>Net per piece</t>
        </is>
      </c>
      <c r="F45" s="94">
        <f>IF(COUNTIFS('Offers'!$B$7:$B$608,$B45,'Offers'!$C$7:$C$608,$C45,'Offers'!$AH$7:$AH$608,"yes")=0,"",SUMIFS('Offers'!$H$7:$H$608,'Offers'!$B$7:$B$608,$B45,'Offers'!$C$7:$C$608,$C45,'Offers'!$AF$7:$AF$608,1))</f>
        <v/>
      </c>
      <c r="G45" s="94">
        <f>IF(COUNTIFS('Offers'!$B$7:$B$608,$B45,'Offers'!$C$7:$C$608,$C45,'Offers'!$AH$7:$AH$608,"yes")=0,"",(SUMIFS('Offers'!$H$7:$H$608,'Offers'!$B$7:$B$608,$B45,'Offers'!$C$7:$C$608,$C45,'Offers'!$AF$7:$AF$608,ROUNDUP(COUNTIFS('Offers'!$B$7:$B$608,$B45,'Offers'!$C$7:$C$608,$C45,'Offers'!$AH$7:$AH$608,"yes")/2,0))+SUMIFS('Offers'!$H$7:$H$608,'Offers'!$B$7:$B$608,$B45,'Offers'!$C$7:$C$608,$C45,'Offers'!$AF$7:$AF$608,INT(COUNTIFS('Offers'!$B$7:$B$608,$B45,'Offers'!$C$7:$C$608,$C45,'Offers'!$AH$7:$AH$608,"yes")/2)+1))/2)</f>
        <v/>
      </c>
      <c r="H45" s="94">
        <f>IF(COUNTIFS('Offers'!$B$7:$B$608,$B45,'Offers'!$C$7:$C$608,$C45,'Offers'!$AH$7:$AH$608,"yes")=0,"",SUMIFS('Offers'!$H$7:$H$608,'Offers'!$B$7:$B$608,$B45,'Offers'!$C$7:$C$608,$C45,'Offers'!$AF$7:$AF$608,COUNTIFS('Offers'!$B$7:$B$608,$B45,'Offers'!$C$7:$C$608,$C45,'Offers'!$AH$7:$AH$608,"yes")))</f>
        <v/>
      </c>
      <c r="I45" s="95">
        <f>IF(COUNTIFS('Offers'!$B$7:$B$608,$B45,'Offers'!$C$7:$C$608,$C45,'Offers'!$AI$7:$AI$608,"yes")=0,"",SUMIFS('Offers'!$I$7:$I$608,'Offers'!$B$7:$B$608,$B45,'Offers'!$C$7:$C$608,$C45,'Offers'!$AG$7:$AG$608,1))</f>
        <v/>
      </c>
      <c r="J45" s="95">
        <f>IF(COUNTIFS('Offers'!$B$7:$B$608,$B45,'Offers'!$C$7:$C$608,$C45,'Offers'!$AI$7:$AI$608,"yes")=0,"",(SUMIFS('Offers'!$I$7:$I$608,'Offers'!$B$7:$B$608,$B45,'Offers'!$C$7:$C$608,$C45,'Offers'!$AG$7:$AG$608,ROUNDUP(COUNTIFS('Offers'!$B$7:$B$608,$B45,'Offers'!$C$7:$C$608,$C45,'Offers'!$AI$7:$AI$608,"yes")/2,0))+SUMIFS('Offers'!$I$7:$I$608,'Offers'!$B$7:$B$608,$B45,'Offers'!$C$7:$C$608,$C45,'Offers'!$AG$7:$AG$608,INT(COUNTIFS('Offers'!$B$7:$B$608,$B45,'Offers'!$C$7:$C$608,$C45,'Offers'!$AI$7:$AI$608,"yes")/2)+1))/2)</f>
        <v/>
      </c>
      <c r="K45" s="95">
        <f>IF(COUNTIFS('Offers'!$B$7:$B$608,$B45,'Offers'!$C$7:$C$608,$C45,'Offers'!$AI$7:$AI$608,"yes")=0,"",SUMIFS('Offers'!$I$7:$I$608,'Offers'!$B$7:$B$608,$B45,'Offers'!$C$7:$C$608,$C45,'Offers'!$AG$7:$AG$608,COUNTIFS('Offers'!$B$7:$B$608,$B45,'Offers'!$C$7:$C$608,$C45,'Offers'!$AI$7:$AI$608,"yes")))</f>
        <v/>
      </c>
      <c r="L45" s="55" t="n"/>
      <c r="M45" s="55" t="n"/>
      <c r="N45" s="55" t="n"/>
      <c r="O45" s="2">
        <f>IF('Compare'!$E$5="Local prices",IF(F45="","",IF('Compare'!$C$5="Minimum",F45,IF('Compare'!$C$5="Maximum",H45,G45))),IF(I45="","",IF('Compare'!$C$5="Minimum",I45,IF('Compare'!$C$5="Maximum",K45,J45))))</f>
        <v/>
      </c>
    </row>
    <row r="46" ht="44" customHeight="1">
      <c r="A46" s="2" t="n"/>
      <c r="B46" s="27" t="inlineStr">
        <is>
          <t>Squeeze bottle 500 ml, triple tip</t>
        </is>
      </c>
      <c r="C46" s="27" t="inlineStr">
        <is>
          <t>Germany</t>
        </is>
      </c>
      <c r="D46" s="27" t="inlineStr">
        <is>
          <t>EUR</t>
        </is>
      </c>
      <c r="E46" s="27" t="inlineStr">
        <is>
          <t>Net per piece</t>
        </is>
      </c>
      <c r="F46" s="96">
        <f>IF(COUNTIFS('Offers'!$B$7:$B$608,$B46,'Offers'!$C$7:$C$608,$C46,'Offers'!$AH$7:$AH$608,"yes")=0,"",SUMIFS('Offers'!$H$7:$H$608,'Offers'!$B$7:$B$608,$B46,'Offers'!$C$7:$C$608,$C46,'Offers'!$AF$7:$AF$608,1))</f>
        <v/>
      </c>
      <c r="G46" s="96">
        <f>IF(COUNTIFS('Offers'!$B$7:$B$608,$B46,'Offers'!$C$7:$C$608,$C46,'Offers'!$AH$7:$AH$608,"yes")=0,"",(SUMIFS('Offers'!$H$7:$H$608,'Offers'!$B$7:$B$608,$B46,'Offers'!$C$7:$C$608,$C46,'Offers'!$AF$7:$AF$608,ROUNDUP(COUNTIFS('Offers'!$B$7:$B$608,$B46,'Offers'!$C$7:$C$608,$C46,'Offers'!$AH$7:$AH$608,"yes")/2,0))+SUMIFS('Offers'!$H$7:$H$608,'Offers'!$B$7:$B$608,$B46,'Offers'!$C$7:$C$608,$C46,'Offers'!$AF$7:$AF$608,INT(COUNTIFS('Offers'!$B$7:$B$608,$B46,'Offers'!$C$7:$C$608,$C46,'Offers'!$AH$7:$AH$608,"yes")/2)+1))/2)</f>
        <v/>
      </c>
      <c r="H46" s="96">
        <f>IF(COUNTIFS('Offers'!$B$7:$B$608,$B46,'Offers'!$C$7:$C$608,$C46,'Offers'!$AH$7:$AH$608,"yes")=0,"",SUMIFS('Offers'!$H$7:$H$608,'Offers'!$B$7:$B$608,$B46,'Offers'!$C$7:$C$608,$C46,'Offers'!$AF$7:$AF$608,COUNTIFS('Offers'!$B$7:$B$608,$B46,'Offers'!$C$7:$C$608,$C46,'Offers'!$AH$7:$AH$608,"yes")))</f>
        <v/>
      </c>
      <c r="I46" s="97">
        <f>IF(COUNTIFS('Offers'!$B$7:$B$608,$B46,'Offers'!$C$7:$C$608,$C46,'Offers'!$AI$7:$AI$608,"yes")=0,"",SUMIFS('Offers'!$I$7:$I$608,'Offers'!$B$7:$B$608,$B46,'Offers'!$C$7:$C$608,$C46,'Offers'!$AG$7:$AG$608,1))</f>
        <v/>
      </c>
      <c r="J46" s="97">
        <f>IF(COUNTIFS('Offers'!$B$7:$B$608,$B46,'Offers'!$C$7:$C$608,$C46,'Offers'!$AI$7:$AI$608,"yes")=0,"",(SUMIFS('Offers'!$I$7:$I$608,'Offers'!$B$7:$B$608,$B46,'Offers'!$C$7:$C$608,$C46,'Offers'!$AG$7:$AG$608,ROUNDUP(COUNTIFS('Offers'!$B$7:$B$608,$B46,'Offers'!$C$7:$C$608,$C46,'Offers'!$AI$7:$AI$608,"yes")/2,0))+SUMIFS('Offers'!$I$7:$I$608,'Offers'!$B$7:$B$608,$B46,'Offers'!$C$7:$C$608,$C46,'Offers'!$AG$7:$AG$608,INT(COUNTIFS('Offers'!$B$7:$B$608,$B46,'Offers'!$C$7:$C$608,$C46,'Offers'!$AI$7:$AI$608,"yes")/2)+1))/2)</f>
        <v/>
      </c>
      <c r="K46" s="97">
        <f>IF(COUNTIFS('Offers'!$B$7:$B$608,$B46,'Offers'!$C$7:$C$608,$C46,'Offers'!$AI$7:$AI$608,"yes")=0,"",SUMIFS('Offers'!$I$7:$I$608,'Offers'!$B$7:$B$608,$B46,'Offers'!$C$7:$C$608,$C46,'Offers'!$AG$7:$AG$608,COUNTIFS('Offers'!$B$7:$B$608,$B46,'Offers'!$C$7:$C$608,$C46,'Offers'!$AI$7:$AI$608,"yes")))</f>
        <v/>
      </c>
      <c r="L46" s="55" t="n"/>
      <c r="M46" s="55" t="n"/>
      <c r="N46" s="55" t="n"/>
      <c r="O46" s="19">
        <f>IF('Compare'!$E$5="Local prices",IF(F46="","",IF('Compare'!$C$5="Minimum",F46,IF('Compare'!$C$5="Maximum",H46,G46))),IF(I46="","",IF('Compare'!$C$5="Minimum",I46,IF('Compare'!$C$5="Maximum",K46,J46))))</f>
        <v/>
      </c>
    </row>
    <row r="47" ht="44" customHeight="1">
      <c r="A47" s="2" t="n"/>
      <c r="B47" s="24" t="inlineStr">
        <is>
          <t>Squeeze bottle 500 ml, triple tip</t>
        </is>
      </c>
      <c r="C47" s="24" t="inlineStr">
        <is>
          <t>Czech</t>
        </is>
      </c>
      <c r="D47" s="24" t="inlineStr">
        <is>
          <t>CZK</t>
        </is>
      </c>
      <c r="E47" s="24" t="inlineStr">
        <is>
          <t>Net per piece</t>
        </is>
      </c>
      <c r="F47" s="94">
        <f>IF(COUNTIFS('Offers'!$B$7:$B$608,$B47,'Offers'!$C$7:$C$608,$C47,'Offers'!$AH$7:$AH$608,"yes")=0,"",SUMIFS('Offers'!$H$7:$H$608,'Offers'!$B$7:$B$608,$B47,'Offers'!$C$7:$C$608,$C47,'Offers'!$AF$7:$AF$608,1))</f>
        <v/>
      </c>
      <c r="G47" s="94">
        <f>IF(COUNTIFS('Offers'!$B$7:$B$608,$B47,'Offers'!$C$7:$C$608,$C47,'Offers'!$AH$7:$AH$608,"yes")=0,"",(SUMIFS('Offers'!$H$7:$H$608,'Offers'!$B$7:$B$608,$B47,'Offers'!$C$7:$C$608,$C47,'Offers'!$AF$7:$AF$608,ROUNDUP(COUNTIFS('Offers'!$B$7:$B$608,$B47,'Offers'!$C$7:$C$608,$C47,'Offers'!$AH$7:$AH$608,"yes")/2,0))+SUMIFS('Offers'!$H$7:$H$608,'Offers'!$B$7:$B$608,$B47,'Offers'!$C$7:$C$608,$C47,'Offers'!$AF$7:$AF$608,INT(COUNTIFS('Offers'!$B$7:$B$608,$B47,'Offers'!$C$7:$C$608,$C47,'Offers'!$AH$7:$AH$608,"yes")/2)+1))/2)</f>
        <v/>
      </c>
      <c r="H47" s="94">
        <f>IF(COUNTIFS('Offers'!$B$7:$B$608,$B47,'Offers'!$C$7:$C$608,$C47,'Offers'!$AH$7:$AH$608,"yes")=0,"",SUMIFS('Offers'!$H$7:$H$608,'Offers'!$B$7:$B$608,$B47,'Offers'!$C$7:$C$608,$C47,'Offers'!$AF$7:$AF$608,COUNTIFS('Offers'!$B$7:$B$608,$B47,'Offers'!$C$7:$C$608,$C47,'Offers'!$AH$7:$AH$608,"yes")))</f>
        <v/>
      </c>
      <c r="I47" s="95">
        <f>IF(COUNTIFS('Offers'!$B$7:$B$608,$B47,'Offers'!$C$7:$C$608,$C47,'Offers'!$AI$7:$AI$608,"yes")=0,"",SUMIFS('Offers'!$I$7:$I$608,'Offers'!$B$7:$B$608,$B47,'Offers'!$C$7:$C$608,$C47,'Offers'!$AG$7:$AG$608,1))</f>
        <v/>
      </c>
      <c r="J47" s="95">
        <f>IF(COUNTIFS('Offers'!$B$7:$B$608,$B47,'Offers'!$C$7:$C$608,$C47,'Offers'!$AI$7:$AI$608,"yes")=0,"",(SUMIFS('Offers'!$I$7:$I$608,'Offers'!$B$7:$B$608,$B47,'Offers'!$C$7:$C$608,$C47,'Offers'!$AG$7:$AG$608,ROUNDUP(COUNTIFS('Offers'!$B$7:$B$608,$B47,'Offers'!$C$7:$C$608,$C47,'Offers'!$AI$7:$AI$608,"yes")/2,0))+SUMIFS('Offers'!$I$7:$I$608,'Offers'!$B$7:$B$608,$B47,'Offers'!$C$7:$C$608,$C47,'Offers'!$AG$7:$AG$608,INT(COUNTIFS('Offers'!$B$7:$B$608,$B47,'Offers'!$C$7:$C$608,$C47,'Offers'!$AI$7:$AI$608,"yes")/2)+1))/2)</f>
        <v/>
      </c>
      <c r="K47" s="95">
        <f>IF(COUNTIFS('Offers'!$B$7:$B$608,$B47,'Offers'!$C$7:$C$608,$C47,'Offers'!$AI$7:$AI$608,"yes")=0,"",SUMIFS('Offers'!$I$7:$I$608,'Offers'!$B$7:$B$608,$B47,'Offers'!$C$7:$C$608,$C47,'Offers'!$AG$7:$AG$608,COUNTIFS('Offers'!$B$7:$B$608,$B47,'Offers'!$C$7:$C$608,$C47,'Offers'!$AI$7:$AI$608,"yes")))</f>
        <v/>
      </c>
      <c r="L47" s="55" t="n"/>
      <c r="M47" s="55" t="n"/>
      <c r="N47" s="55" t="n"/>
      <c r="O47" s="2">
        <f>IF('Compare'!$E$5="Local prices",IF(F47="","",IF('Compare'!$C$5="Minimum",F47,IF('Compare'!$C$5="Maximum",H47,G47))),IF(I47="","",IF('Compare'!$C$5="Minimum",I47,IF('Compare'!$C$5="Maximum",K47,J47))))</f>
        <v/>
      </c>
    </row>
    <row r="48" ht="44" customHeight="1">
      <c r="A48" s="2" t="n"/>
      <c r="B48" s="27" t="inlineStr">
        <is>
          <t>Squeeze bottle 500 ml, triple tip</t>
        </is>
      </c>
      <c r="C48" s="27" t="inlineStr">
        <is>
          <t>Slovakia</t>
        </is>
      </c>
      <c r="D48" s="27" t="inlineStr">
        <is>
          <t>EUR</t>
        </is>
      </c>
      <c r="E48" s="27" t="inlineStr">
        <is>
          <t>Net per piece</t>
        </is>
      </c>
      <c r="F48" s="96">
        <f>IF(COUNTIFS('Offers'!$B$7:$B$608,$B48,'Offers'!$C$7:$C$608,$C48,'Offers'!$AH$7:$AH$608,"yes")=0,"",SUMIFS('Offers'!$H$7:$H$608,'Offers'!$B$7:$B$608,$B48,'Offers'!$C$7:$C$608,$C48,'Offers'!$AF$7:$AF$608,1))</f>
        <v/>
      </c>
      <c r="G48" s="96">
        <f>IF(COUNTIFS('Offers'!$B$7:$B$608,$B48,'Offers'!$C$7:$C$608,$C48,'Offers'!$AH$7:$AH$608,"yes")=0,"",(SUMIFS('Offers'!$H$7:$H$608,'Offers'!$B$7:$B$608,$B48,'Offers'!$C$7:$C$608,$C48,'Offers'!$AF$7:$AF$608,ROUNDUP(COUNTIFS('Offers'!$B$7:$B$608,$B48,'Offers'!$C$7:$C$608,$C48,'Offers'!$AH$7:$AH$608,"yes")/2,0))+SUMIFS('Offers'!$H$7:$H$608,'Offers'!$B$7:$B$608,$B48,'Offers'!$C$7:$C$608,$C48,'Offers'!$AF$7:$AF$608,INT(COUNTIFS('Offers'!$B$7:$B$608,$B48,'Offers'!$C$7:$C$608,$C48,'Offers'!$AH$7:$AH$608,"yes")/2)+1))/2)</f>
        <v/>
      </c>
      <c r="H48" s="96">
        <f>IF(COUNTIFS('Offers'!$B$7:$B$608,$B48,'Offers'!$C$7:$C$608,$C48,'Offers'!$AH$7:$AH$608,"yes")=0,"",SUMIFS('Offers'!$H$7:$H$608,'Offers'!$B$7:$B$608,$B48,'Offers'!$C$7:$C$608,$C48,'Offers'!$AF$7:$AF$608,COUNTIFS('Offers'!$B$7:$B$608,$B48,'Offers'!$C$7:$C$608,$C48,'Offers'!$AH$7:$AH$608,"yes")))</f>
        <v/>
      </c>
      <c r="I48" s="97">
        <f>IF(COUNTIFS('Offers'!$B$7:$B$608,$B48,'Offers'!$C$7:$C$608,$C48,'Offers'!$AI$7:$AI$608,"yes")=0,"",SUMIFS('Offers'!$I$7:$I$608,'Offers'!$B$7:$B$608,$B48,'Offers'!$C$7:$C$608,$C48,'Offers'!$AG$7:$AG$608,1))</f>
        <v/>
      </c>
      <c r="J48" s="97">
        <f>IF(COUNTIFS('Offers'!$B$7:$B$608,$B48,'Offers'!$C$7:$C$608,$C48,'Offers'!$AI$7:$AI$608,"yes")=0,"",(SUMIFS('Offers'!$I$7:$I$608,'Offers'!$B$7:$B$608,$B48,'Offers'!$C$7:$C$608,$C48,'Offers'!$AG$7:$AG$608,ROUNDUP(COUNTIFS('Offers'!$B$7:$B$608,$B48,'Offers'!$C$7:$C$608,$C48,'Offers'!$AI$7:$AI$608,"yes")/2,0))+SUMIFS('Offers'!$I$7:$I$608,'Offers'!$B$7:$B$608,$B48,'Offers'!$C$7:$C$608,$C48,'Offers'!$AG$7:$AG$608,INT(COUNTIFS('Offers'!$B$7:$B$608,$B48,'Offers'!$C$7:$C$608,$C48,'Offers'!$AI$7:$AI$608,"yes")/2)+1))/2)</f>
        <v/>
      </c>
      <c r="K48" s="97">
        <f>IF(COUNTIFS('Offers'!$B$7:$B$608,$B48,'Offers'!$C$7:$C$608,$C48,'Offers'!$AI$7:$AI$608,"yes")=0,"",SUMIFS('Offers'!$I$7:$I$608,'Offers'!$B$7:$B$608,$B48,'Offers'!$C$7:$C$608,$C48,'Offers'!$AG$7:$AG$608,COUNTIFS('Offers'!$B$7:$B$608,$B48,'Offers'!$C$7:$C$608,$C48,'Offers'!$AI$7:$AI$608,"yes")))</f>
        <v/>
      </c>
      <c r="L48" s="55" t="n"/>
      <c r="M48" s="55" t="n"/>
      <c r="N48" s="55" t="n"/>
      <c r="O48" s="19">
        <f>IF('Compare'!$E$5="Local prices",IF(F48="","",IF('Compare'!$C$5="Minimum",F48,IF('Compare'!$C$5="Maximum",H48,G48))),IF(I48="","",IF('Compare'!$C$5="Minimum",I48,IF('Compare'!$C$5="Maximum",K48,J48))))</f>
        <v/>
      </c>
    </row>
    <row r="49" ht="44" customHeight="1">
      <c r="A49" s="2" t="n"/>
      <c r="B49" s="24" t="inlineStr">
        <is>
          <t>Sauce pump dispenser with stand</t>
        </is>
      </c>
      <c r="C49" s="24" t="inlineStr">
        <is>
          <t>Hungary</t>
        </is>
      </c>
      <c r="D49" s="24" t="inlineStr">
        <is>
          <t>HUF</t>
        </is>
      </c>
      <c r="E49" s="24" t="inlineStr">
        <is>
          <t>Net per piece</t>
        </is>
      </c>
      <c r="F49" s="94">
        <f>IF(COUNTIFS('Offers'!$B$7:$B$608,$B49,'Offers'!$C$7:$C$608,$C49,'Offers'!$AH$7:$AH$608,"yes")=0,"",SUMIFS('Offers'!$H$7:$H$608,'Offers'!$B$7:$B$608,$B49,'Offers'!$C$7:$C$608,$C49,'Offers'!$AF$7:$AF$608,1))</f>
        <v/>
      </c>
      <c r="G49" s="94">
        <f>IF(COUNTIFS('Offers'!$B$7:$B$608,$B49,'Offers'!$C$7:$C$608,$C49,'Offers'!$AH$7:$AH$608,"yes")=0,"",(SUMIFS('Offers'!$H$7:$H$608,'Offers'!$B$7:$B$608,$B49,'Offers'!$C$7:$C$608,$C49,'Offers'!$AF$7:$AF$608,ROUNDUP(COUNTIFS('Offers'!$B$7:$B$608,$B49,'Offers'!$C$7:$C$608,$C49,'Offers'!$AH$7:$AH$608,"yes")/2,0))+SUMIFS('Offers'!$H$7:$H$608,'Offers'!$B$7:$B$608,$B49,'Offers'!$C$7:$C$608,$C49,'Offers'!$AF$7:$AF$608,INT(COUNTIFS('Offers'!$B$7:$B$608,$B49,'Offers'!$C$7:$C$608,$C49,'Offers'!$AH$7:$AH$608,"yes")/2)+1))/2)</f>
        <v/>
      </c>
      <c r="H49" s="94">
        <f>IF(COUNTIFS('Offers'!$B$7:$B$608,$B49,'Offers'!$C$7:$C$608,$C49,'Offers'!$AH$7:$AH$608,"yes")=0,"",SUMIFS('Offers'!$H$7:$H$608,'Offers'!$B$7:$B$608,$B49,'Offers'!$C$7:$C$608,$C49,'Offers'!$AF$7:$AF$608,COUNTIFS('Offers'!$B$7:$B$608,$B49,'Offers'!$C$7:$C$608,$C49,'Offers'!$AH$7:$AH$608,"yes")))</f>
        <v/>
      </c>
      <c r="I49" s="95">
        <f>IF(COUNTIFS('Offers'!$B$7:$B$608,$B49,'Offers'!$C$7:$C$608,$C49,'Offers'!$AI$7:$AI$608,"yes")=0,"",SUMIFS('Offers'!$I$7:$I$608,'Offers'!$B$7:$B$608,$B49,'Offers'!$C$7:$C$608,$C49,'Offers'!$AG$7:$AG$608,1))</f>
        <v/>
      </c>
      <c r="J49" s="95">
        <f>IF(COUNTIFS('Offers'!$B$7:$B$608,$B49,'Offers'!$C$7:$C$608,$C49,'Offers'!$AI$7:$AI$608,"yes")=0,"",(SUMIFS('Offers'!$I$7:$I$608,'Offers'!$B$7:$B$608,$B49,'Offers'!$C$7:$C$608,$C49,'Offers'!$AG$7:$AG$608,ROUNDUP(COUNTIFS('Offers'!$B$7:$B$608,$B49,'Offers'!$C$7:$C$608,$C49,'Offers'!$AI$7:$AI$608,"yes")/2,0))+SUMIFS('Offers'!$I$7:$I$608,'Offers'!$B$7:$B$608,$B49,'Offers'!$C$7:$C$608,$C49,'Offers'!$AG$7:$AG$608,INT(COUNTIFS('Offers'!$B$7:$B$608,$B49,'Offers'!$C$7:$C$608,$C49,'Offers'!$AI$7:$AI$608,"yes")/2)+1))/2)</f>
        <v/>
      </c>
      <c r="K49" s="95">
        <f>IF(COUNTIFS('Offers'!$B$7:$B$608,$B49,'Offers'!$C$7:$C$608,$C49,'Offers'!$AI$7:$AI$608,"yes")=0,"",SUMIFS('Offers'!$I$7:$I$608,'Offers'!$B$7:$B$608,$B49,'Offers'!$C$7:$C$608,$C49,'Offers'!$AG$7:$AG$608,COUNTIFS('Offers'!$B$7:$B$608,$B49,'Offers'!$C$7:$C$608,$C49,'Offers'!$AI$7:$AI$608,"yes")))</f>
        <v/>
      </c>
      <c r="L49" s="55" t="n"/>
      <c r="M49" s="55" t="n"/>
      <c r="N49" s="55" t="n"/>
      <c r="O49" s="2">
        <f>IF('Compare'!$E$5="Local prices",IF(F49="","",IF('Compare'!$C$5="Minimum",F49,IF('Compare'!$C$5="Maximum",H49,G49))),IF(I49="","",IF('Compare'!$C$5="Minimum",I49,IF('Compare'!$C$5="Maximum",K49,J49))))</f>
        <v/>
      </c>
    </row>
    <row r="50" ht="44" customHeight="1">
      <c r="A50" s="2" t="n"/>
      <c r="B50" s="27" t="inlineStr">
        <is>
          <t>Sauce pump dispenser with stand</t>
        </is>
      </c>
      <c r="C50" s="27" t="inlineStr">
        <is>
          <t>Romania</t>
        </is>
      </c>
      <c r="D50" s="27" t="inlineStr">
        <is>
          <t>RON</t>
        </is>
      </c>
      <c r="E50" s="27" t="inlineStr">
        <is>
          <t>Net per piece</t>
        </is>
      </c>
      <c r="F50" s="96">
        <f>IF(COUNTIFS('Offers'!$B$7:$B$608,$B50,'Offers'!$C$7:$C$608,$C50,'Offers'!$AH$7:$AH$608,"yes")=0,"",SUMIFS('Offers'!$H$7:$H$608,'Offers'!$B$7:$B$608,$B50,'Offers'!$C$7:$C$608,$C50,'Offers'!$AF$7:$AF$608,1))</f>
        <v/>
      </c>
      <c r="G50" s="96">
        <f>IF(COUNTIFS('Offers'!$B$7:$B$608,$B50,'Offers'!$C$7:$C$608,$C50,'Offers'!$AH$7:$AH$608,"yes")=0,"",(SUMIFS('Offers'!$H$7:$H$608,'Offers'!$B$7:$B$608,$B50,'Offers'!$C$7:$C$608,$C50,'Offers'!$AF$7:$AF$608,ROUNDUP(COUNTIFS('Offers'!$B$7:$B$608,$B50,'Offers'!$C$7:$C$608,$C50,'Offers'!$AH$7:$AH$608,"yes")/2,0))+SUMIFS('Offers'!$H$7:$H$608,'Offers'!$B$7:$B$608,$B50,'Offers'!$C$7:$C$608,$C50,'Offers'!$AF$7:$AF$608,INT(COUNTIFS('Offers'!$B$7:$B$608,$B50,'Offers'!$C$7:$C$608,$C50,'Offers'!$AH$7:$AH$608,"yes")/2)+1))/2)</f>
        <v/>
      </c>
      <c r="H50" s="96">
        <f>IF(COUNTIFS('Offers'!$B$7:$B$608,$B50,'Offers'!$C$7:$C$608,$C50,'Offers'!$AH$7:$AH$608,"yes")=0,"",SUMIFS('Offers'!$H$7:$H$608,'Offers'!$B$7:$B$608,$B50,'Offers'!$C$7:$C$608,$C50,'Offers'!$AF$7:$AF$608,COUNTIFS('Offers'!$B$7:$B$608,$B50,'Offers'!$C$7:$C$608,$C50,'Offers'!$AH$7:$AH$608,"yes")))</f>
        <v/>
      </c>
      <c r="I50" s="97">
        <f>IF(COUNTIFS('Offers'!$B$7:$B$608,$B50,'Offers'!$C$7:$C$608,$C50,'Offers'!$AI$7:$AI$608,"yes")=0,"",SUMIFS('Offers'!$I$7:$I$608,'Offers'!$B$7:$B$608,$B50,'Offers'!$C$7:$C$608,$C50,'Offers'!$AG$7:$AG$608,1))</f>
        <v/>
      </c>
      <c r="J50" s="97">
        <f>IF(COUNTIFS('Offers'!$B$7:$B$608,$B50,'Offers'!$C$7:$C$608,$C50,'Offers'!$AI$7:$AI$608,"yes")=0,"",(SUMIFS('Offers'!$I$7:$I$608,'Offers'!$B$7:$B$608,$B50,'Offers'!$C$7:$C$608,$C50,'Offers'!$AG$7:$AG$608,ROUNDUP(COUNTIFS('Offers'!$B$7:$B$608,$B50,'Offers'!$C$7:$C$608,$C50,'Offers'!$AI$7:$AI$608,"yes")/2,0))+SUMIFS('Offers'!$I$7:$I$608,'Offers'!$B$7:$B$608,$B50,'Offers'!$C$7:$C$608,$C50,'Offers'!$AG$7:$AG$608,INT(COUNTIFS('Offers'!$B$7:$B$608,$B50,'Offers'!$C$7:$C$608,$C50,'Offers'!$AI$7:$AI$608,"yes")/2)+1))/2)</f>
        <v/>
      </c>
      <c r="K50" s="97">
        <f>IF(COUNTIFS('Offers'!$B$7:$B$608,$B50,'Offers'!$C$7:$C$608,$C50,'Offers'!$AI$7:$AI$608,"yes")=0,"",SUMIFS('Offers'!$I$7:$I$608,'Offers'!$B$7:$B$608,$B50,'Offers'!$C$7:$C$608,$C50,'Offers'!$AG$7:$AG$608,COUNTIFS('Offers'!$B$7:$B$608,$B50,'Offers'!$C$7:$C$608,$C50,'Offers'!$AI$7:$AI$608,"yes")))</f>
        <v/>
      </c>
      <c r="L50" s="55" t="n"/>
      <c r="M50" s="55" t="n"/>
      <c r="N50" s="55" t="n"/>
      <c r="O50" s="19">
        <f>IF('Compare'!$E$5="Local prices",IF(F50="","",IF('Compare'!$C$5="Minimum",F50,IF('Compare'!$C$5="Maximum",H50,G50))),IF(I50="","",IF('Compare'!$C$5="Minimum",I50,IF('Compare'!$C$5="Maximum",K50,J50))))</f>
        <v/>
      </c>
    </row>
    <row r="51" ht="44" customHeight="1">
      <c r="A51" s="2" t="n"/>
      <c r="B51" s="24" t="inlineStr">
        <is>
          <t>Sauce pump dispenser with stand</t>
        </is>
      </c>
      <c r="C51" s="24" t="inlineStr">
        <is>
          <t>Austria</t>
        </is>
      </c>
      <c r="D51" s="24" t="inlineStr">
        <is>
          <t>EUR</t>
        </is>
      </c>
      <c r="E51" s="24" t="inlineStr">
        <is>
          <t>Net per piece</t>
        </is>
      </c>
      <c r="F51" s="94">
        <f>IF(COUNTIFS('Offers'!$B$7:$B$608,$B51,'Offers'!$C$7:$C$608,$C51,'Offers'!$AH$7:$AH$608,"yes")=0,"",SUMIFS('Offers'!$H$7:$H$608,'Offers'!$B$7:$B$608,$B51,'Offers'!$C$7:$C$608,$C51,'Offers'!$AF$7:$AF$608,1))</f>
        <v/>
      </c>
      <c r="G51" s="94">
        <f>IF(COUNTIFS('Offers'!$B$7:$B$608,$B51,'Offers'!$C$7:$C$608,$C51,'Offers'!$AH$7:$AH$608,"yes")=0,"",(SUMIFS('Offers'!$H$7:$H$608,'Offers'!$B$7:$B$608,$B51,'Offers'!$C$7:$C$608,$C51,'Offers'!$AF$7:$AF$608,ROUNDUP(COUNTIFS('Offers'!$B$7:$B$608,$B51,'Offers'!$C$7:$C$608,$C51,'Offers'!$AH$7:$AH$608,"yes")/2,0))+SUMIFS('Offers'!$H$7:$H$608,'Offers'!$B$7:$B$608,$B51,'Offers'!$C$7:$C$608,$C51,'Offers'!$AF$7:$AF$608,INT(COUNTIFS('Offers'!$B$7:$B$608,$B51,'Offers'!$C$7:$C$608,$C51,'Offers'!$AH$7:$AH$608,"yes")/2)+1))/2)</f>
        <v/>
      </c>
      <c r="H51" s="94">
        <f>IF(COUNTIFS('Offers'!$B$7:$B$608,$B51,'Offers'!$C$7:$C$608,$C51,'Offers'!$AH$7:$AH$608,"yes")=0,"",SUMIFS('Offers'!$H$7:$H$608,'Offers'!$B$7:$B$608,$B51,'Offers'!$C$7:$C$608,$C51,'Offers'!$AF$7:$AF$608,COUNTIFS('Offers'!$B$7:$B$608,$B51,'Offers'!$C$7:$C$608,$C51,'Offers'!$AH$7:$AH$608,"yes")))</f>
        <v/>
      </c>
      <c r="I51" s="95">
        <f>IF(COUNTIFS('Offers'!$B$7:$B$608,$B51,'Offers'!$C$7:$C$608,$C51,'Offers'!$AI$7:$AI$608,"yes")=0,"",SUMIFS('Offers'!$I$7:$I$608,'Offers'!$B$7:$B$608,$B51,'Offers'!$C$7:$C$608,$C51,'Offers'!$AG$7:$AG$608,1))</f>
        <v/>
      </c>
      <c r="J51" s="95">
        <f>IF(COUNTIFS('Offers'!$B$7:$B$608,$B51,'Offers'!$C$7:$C$608,$C51,'Offers'!$AI$7:$AI$608,"yes")=0,"",(SUMIFS('Offers'!$I$7:$I$608,'Offers'!$B$7:$B$608,$B51,'Offers'!$C$7:$C$608,$C51,'Offers'!$AG$7:$AG$608,ROUNDUP(COUNTIFS('Offers'!$B$7:$B$608,$B51,'Offers'!$C$7:$C$608,$C51,'Offers'!$AI$7:$AI$608,"yes")/2,0))+SUMIFS('Offers'!$I$7:$I$608,'Offers'!$B$7:$B$608,$B51,'Offers'!$C$7:$C$608,$C51,'Offers'!$AG$7:$AG$608,INT(COUNTIFS('Offers'!$B$7:$B$608,$B51,'Offers'!$C$7:$C$608,$C51,'Offers'!$AI$7:$AI$608,"yes")/2)+1))/2)</f>
        <v/>
      </c>
      <c r="K51" s="95">
        <f>IF(COUNTIFS('Offers'!$B$7:$B$608,$B51,'Offers'!$C$7:$C$608,$C51,'Offers'!$AI$7:$AI$608,"yes")=0,"",SUMIFS('Offers'!$I$7:$I$608,'Offers'!$B$7:$B$608,$B51,'Offers'!$C$7:$C$608,$C51,'Offers'!$AG$7:$AG$608,COUNTIFS('Offers'!$B$7:$B$608,$B51,'Offers'!$C$7:$C$608,$C51,'Offers'!$AI$7:$AI$608,"yes")))</f>
        <v/>
      </c>
      <c r="L51" s="55" t="n"/>
      <c r="M51" s="55" t="n"/>
      <c r="N51" s="55" t="n"/>
      <c r="O51" s="2">
        <f>IF('Compare'!$E$5="Local prices",IF(F51="","",IF('Compare'!$C$5="Minimum",F51,IF('Compare'!$C$5="Maximum",H51,G51))),IF(I51="","",IF('Compare'!$C$5="Minimum",I51,IF('Compare'!$C$5="Maximum",K51,J51))))</f>
        <v/>
      </c>
    </row>
    <row r="52" ht="44" customHeight="1">
      <c r="A52" s="2" t="n"/>
      <c r="B52" s="27" t="inlineStr">
        <is>
          <t>Sauce pump dispenser with stand</t>
        </is>
      </c>
      <c r="C52" s="27" t="inlineStr">
        <is>
          <t>Germany</t>
        </is>
      </c>
      <c r="D52" s="27" t="inlineStr">
        <is>
          <t>EUR</t>
        </is>
      </c>
      <c r="E52" s="27" t="inlineStr">
        <is>
          <t>Net per piece</t>
        </is>
      </c>
      <c r="F52" s="96">
        <f>IF(COUNTIFS('Offers'!$B$7:$B$608,$B52,'Offers'!$C$7:$C$608,$C52,'Offers'!$AH$7:$AH$608,"yes")=0,"",SUMIFS('Offers'!$H$7:$H$608,'Offers'!$B$7:$B$608,$B52,'Offers'!$C$7:$C$608,$C52,'Offers'!$AF$7:$AF$608,1))</f>
        <v/>
      </c>
      <c r="G52" s="96">
        <f>IF(COUNTIFS('Offers'!$B$7:$B$608,$B52,'Offers'!$C$7:$C$608,$C52,'Offers'!$AH$7:$AH$608,"yes")=0,"",(SUMIFS('Offers'!$H$7:$H$608,'Offers'!$B$7:$B$608,$B52,'Offers'!$C$7:$C$608,$C52,'Offers'!$AF$7:$AF$608,ROUNDUP(COUNTIFS('Offers'!$B$7:$B$608,$B52,'Offers'!$C$7:$C$608,$C52,'Offers'!$AH$7:$AH$608,"yes")/2,0))+SUMIFS('Offers'!$H$7:$H$608,'Offers'!$B$7:$B$608,$B52,'Offers'!$C$7:$C$608,$C52,'Offers'!$AF$7:$AF$608,INT(COUNTIFS('Offers'!$B$7:$B$608,$B52,'Offers'!$C$7:$C$608,$C52,'Offers'!$AH$7:$AH$608,"yes")/2)+1))/2)</f>
        <v/>
      </c>
      <c r="H52" s="96">
        <f>IF(COUNTIFS('Offers'!$B$7:$B$608,$B52,'Offers'!$C$7:$C$608,$C52,'Offers'!$AH$7:$AH$608,"yes")=0,"",SUMIFS('Offers'!$H$7:$H$608,'Offers'!$B$7:$B$608,$B52,'Offers'!$C$7:$C$608,$C52,'Offers'!$AF$7:$AF$608,COUNTIFS('Offers'!$B$7:$B$608,$B52,'Offers'!$C$7:$C$608,$C52,'Offers'!$AH$7:$AH$608,"yes")))</f>
        <v/>
      </c>
      <c r="I52" s="97">
        <f>IF(COUNTIFS('Offers'!$B$7:$B$608,$B52,'Offers'!$C$7:$C$608,$C52,'Offers'!$AI$7:$AI$608,"yes")=0,"",SUMIFS('Offers'!$I$7:$I$608,'Offers'!$B$7:$B$608,$B52,'Offers'!$C$7:$C$608,$C52,'Offers'!$AG$7:$AG$608,1))</f>
        <v/>
      </c>
      <c r="J52" s="97">
        <f>IF(COUNTIFS('Offers'!$B$7:$B$608,$B52,'Offers'!$C$7:$C$608,$C52,'Offers'!$AI$7:$AI$608,"yes")=0,"",(SUMIFS('Offers'!$I$7:$I$608,'Offers'!$B$7:$B$608,$B52,'Offers'!$C$7:$C$608,$C52,'Offers'!$AG$7:$AG$608,ROUNDUP(COUNTIFS('Offers'!$B$7:$B$608,$B52,'Offers'!$C$7:$C$608,$C52,'Offers'!$AI$7:$AI$608,"yes")/2,0))+SUMIFS('Offers'!$I$7:$I$608,'Offers'!$B$7:$B$608,$B52,'Offers'!$C$7:$C$608,$C52,'Offers'!$AG$7:$AG$608,INT(COUNTIFS('Offers'!$B$7:$B$608,$B52,'Offers'!$C$7:$C$608,$C52,'Offers'!$AI$7:$AI$608,"yes")/2)+1))/2)</f>
        <v/>
      </c>
      <c r="K52" s="97">
        <f>IF(COUNTIFS('Offers'!$B$7:$B$608,$B52,'Offers'!$C$7:$C$608,$C52,'Offers'!$AI$7:$AI$608,"yes")=0,"",SUMIFS('Offers'!$I$7:$I$608,'Offers'!$B$7:$B$608,$B52,'Offers'!$C$7:$C$608,$C52,'Offers'!$AG$7:$AG$608,COUNTIFS('Offers'!$B$7:$B$608,$B52,'Offers'!$C$7:$C$608,$C52,'Offers'!$AI$7:$AI$608,"yes")))</f>
        <v/>
      </c>
      <c r="L52" s="55" t="n"/>
      <c r="M52" s="55" t="n"/>
      <c r="N52" s="55" t="n"/>
      <c r="O52" s="19">
        <f>IF('Compare'!$E$5="Local prices",IF(F52="","",IF('Compare'!$C$5="Minimum",F52,IF('Compare'!$C$5="Maximum",H52,G52))),IF(I52="","",IF('Compare'!$C$5="Minimum",I52,IF('Compare'!$C$5="Maximum",K52,J52))))</f>
        <v/>
      </c>
    </row>
    <row r="53" ht="44" customHeight="1">
      <c r="A53" s="2" t="n"/>
      <c r="B53" s="24" t="inlineStr">
        <is>
          <t>Sauce pump dispenser with stand</t>
        </is>
      </c>
      <c r="C53" s="24" t="inlineStr">
        <is>
          <t>Czech</t>
        </is>
      </c>
      <c r="D53" s="24" t="inlineStr">
        <is>
          <t>CZK</t>
        </is>
      </c>
      <c r="E53" s="24" t="inlineStr">
        <is>
          <t>Net per piece</t>
        </is>
      </c>
      <c r="F53" s="94">
        <f>IF(COUNTIFS('Offers'!$B$7:$B$608,$B53,'Offers'!$C$7:$C$608,$C53,'Offers'!$AH$7:$AH$608,"yes")=0,"",SUMIFS('Offers'!$H$7:$H$608,'Offers'!$B$7:$B$608,$B53,'Offers'!$C$7:$C$608,$C53,'Offers'!$AF$7:$AF$608,1))</f>
        <v/>
      </c>
      <c r="G53" s="94">
        <f>IF(COUNTIFS('Offers'!$B$7:$B$608,$B53,'Offers'!$C$7:$C$608,$C53,'Offers'!$AH$7:$AH$608,"yes")=0,"",(SUMIFS('Offers'!$H$7:$H$608,'Offers'!$B$7:$B$608,$B53,'Offers'!$C$7:$C$608,$C53,'Offers'!$AF$7:$AF$608,ROUNDUP(COUNTIFS('Offers'!$B$7:$B$608,$B53,'Offers'!$C$7:$C$608,$C53,'Offers'!$AH$7:$AH$608,"yes")/2,0))+SUMIFS('Offers'!$H$7:$H$608,'Offers'!$B$7:$B$608,$B53,'Offers'!$C$7:$C$608,$C53,'Offers'!$AF$7:$AF$608,INT(COUNTIFS('Offers'!$B$7:$B$608,$B53,'Offers'!$C$7:$C$608,$C53,'Offers'!$AH$7:$AH$608,"yes")/2)+1))/2)</f>
        <v/>
      </c>
      <c r="H53" s="94">
        <f>IF(COUNTIFS('Offers'!$B$7:$B$608,$B53,'Offers'!$C$7:$C$608,$C53,'Offers'!$AH$7:$AH$608,"yes")=0,"",SUMIFS('Offers'!$H$7:$H$608,'Offers'!$B$7:$B$608,$B53,'Offers'!$C$7:$C$608,$C53,'Offers'!$AF$7:$AF$608,COUNTIFS('Offers'!$B$7:$B$608,$B53,'Offers'!$C$7:$C$608,$C53,'Offers'!$AH$7:$AH$608,"yes")))</f>
        <v/>
      </c>
      <c r="I53" s="95">
        <f>IF(COUNTIFS('Offers'!$B$7:$B$608,$B53,'Offers'!$C$7:$C$608,$C53,'Offers'!$AI$7:$AI$608,"yes")=0,"",SUMIFS('Offers'!$I$7:$I$608,'Offers'!$B$7:$B$608,$B53,'Offers'!$C$7:$C$608,$C53,'Offers'!$AG$7:$AG$608,1))</f>
        <v/>
      </c>
      <c r="J53" s="95">
        <f>IF(COUNTIFS('Offers'!$B$7:$B$608,$B53,'Offers'!$C$7:$C$608,$C53,'Offers'!$AI$7:$AI$608,"yes")=0,"",(SUMIFS('Offers'!$I$7:$I$608,'Offers'!$B$7:$B$608,$B53,'Offers'!$C$7:$C$608,$C53,'Offers'!$AG$7:$AG$608,ROUNDUP(COUNTIFS('Offers'!$B$7:$B$608,$B53,'Offers'!$C$7:$C$608,$C53,'Offers'!$AI$7:$AI$608,"yes")/2,0))+SUMIFS('Offers'!$I$7:$I$608,'Offers'!$B$7:$B$608,$B53,'Offers'!$C$7:$C$608,$C53,'Offers'!$AG$7:$AG$608,INT(COUNTIFS('Offers'!$B$7:$B$608,$B53,'Offers'!$C$7:$C$608,$C53,'Offers'!$AI$7:$AI$608,"yes")/2)+1))/2)</f>
        <v/>
      </c>
      <c r="K53" s="95">
        <f>IF(COUNTIFS('Offers'!$B$7:$B$608,$B53,'Offers'!$C$7:$C$608,$C53,'Offers'!$AI$7:$AI$608,"yes")=0,"",SUMIFS('Offers'!$I$7:$I$608,'Offers'!$B$7:$B$608,$B53,'Offers'!$C$7:$C$608,$C53,'Offers'!$AG$7:$AG$608,COUNTIFS('Offers'!$B$7:$B$608,$B53,'Offers'!$C$7:$C$608,$C53,'Offers'!$AI$7:$AI$608,"yes")))</f>
        <v/>
      </c>
      <c r="L53" s="55" t="n"/>
      <c r="M53" s="55" t="n"/>
      <c r="N53" s="55" t="n"/>
      <c r="O53" s="2">
        <f>IF('Compare'!$E$5="Local prices",IF(F53="","",IF('Compare'!$C$5="Minimum",F53,IF('Compare'!$C$5="Maximum",H53,G53))),IF(I53="","",IF('Compare'!$C$5="Minimum",I53,IF('Compare'!$C$5="Maximum",K53,J53))))</f>
        <v/>
      </c>
    </row>
    <row r="54" ht="44" customHeight="1">
      <c r="A54" s="2" t="n"/>
      <c r="B54" s="27" t="inlineStr">
        <is>
          <t>Sauce pump dispenser with stand</t>
        </is>
      </c>
      <c r="C54" s="27" t="inlineStr">
        <is>
          <t>Slovakia</t>
        </is>
      </c>
      <c r="D54" s="27" t="inlineStr">
        <is>
          <t>EUR</t>
        </is>
      </c>
      <c r="E54" s="27" t="inlineStr">
        <is>
          <t>Net per piece</t>
        </is>
      </c>
      <c r="F54" s="96">
        <f>IF(COUNTIFS('Offers'!$B$7:$B$608,$B54,'Offers'!$C$7:$C$608,$C54,'Offers'!$AH$7:$AH$608,"yes")=0,"",SUMIFS('Offers'!$H$7:$H$608,'Offers'!$B$7:$B$608,$B54,'Offers'!$C$7:$C$608,$C54,'Offers'!$AF$7:$AF$608,1))</f>
        <v/>
      </c>
      <c r="G54" s="96">
        <f>IF(COUNTIFS('Offers'!$B$7:$B$608,$B54,'Offers'!$C$7:$C$608,$C54,'Offers'!$AH$7:$AH$608,"yes")=0,"",(SUMIFS('Offers'!$H$7:$H$608,'Offers'!$B$7:$B$608,$B54,'Offers'!$C$7:$C$608,$C54,'Offers'!$AF$7:$AF$608,ROUNDUP(COUNTIFS('Offers'!$B$7:$B$608,$B54,'Offers'!$C$7:$C$608,$C54,'Offers'!$AH$7:$AH$608,"yes")/2,0))+SUMIFS('Offers'!$H$7:$H$608,'Offers'!$B$7:$B$608,$B54,'Offers'!$C$7:$C$608,$C54,'Offers'!$AF$7:$AF$608,INT(COUNTIFS('Offers'!$B$7:$B$608,$B54,'Offers'!$C$7:$C$608,$C54,'Offers'!$AH$7:$AH$608,"yes")/2)+1))/2)</f>
        <v/>
      </c>
      <c r="H54" s="96">
        <f>IF(COUNTIFS('Offers'!$B$7:$B$608,$B54,'Offers'!$C$7:$C$608,$C54,'Offers'!$AH$7:$AH$608,"yes")=0,"",SUMIFS('Offers'!$H$7:$H$608,'Offers'!$B$7:$B$608,$B54,'Offers'!$C$7:$C$608,$C54,'Offers'!$AF$7:$AF$608,COUNTIFS('Offers'!$B$7:$B$608,$B54,'Offers'!$C$7:$C$608,$C54,'Offers'!$AH$7:$AH$608,"yes")))</f>
        <v/>
      </c>
      <c r="I54" s="97">
        <f>IF(COUNTIFS('Offers'!$B$7:$B$608,$B54,'Offers'!$C$7:$C$608,$C54,'Offers'!$AI$7:$AI$608,"yes")=0,"",SUMIFS('Offers'!$I$7:$I$608,'Offers'!$B$7:$B$608,$B54,'Offers'!$C$7:$C$608,$C54,'Offers'!$AG$7:$AG$608,1))</f>
        <v/>
      </c>
      <c r="J54" s="97">
        <f>IF(COUNTIFS('Offers'!$B$7:$B$608,$B54,'Offers'!$C$7:$C$608,$C54,'Offers'!$AI$7:$AI$608,"yes")=0,"",(SUMIFS('Offers'!$I$7:$I$608,'Offers'!$B$7:$B$608,$B54,'Offers'!$C$7:$C$608,$C54,'Offers'!$AG$7:$AG$608,ROUNDUP(COUNTIFS('Offers'!$B$7:$B$608,$B54,'Offers'!$C$7:$C$608,$C54,'Offers'!$AI$7:$AI$608,"yes")/2,0))+SUMIFS('Offers'!$I$7:$I$608,'Offers'!$B$7:$B$608,$B54,'Offers'!$C$7:$C$608,$C54,'Offers'!$AG$7:$AG$608,INT(COUNTIFS('Offers'!$B$7:$B$608,$B54,'Offers'!$C$7:$C$608,$C54,'Offers'!$AI$7:$AI$608,"yes")/2)+1))/2)</f>
        <v/>
      </c>
      <c r="K54" s="97">
        <f>IF(COUNTIFS('Offers'!$B$7:$B$608,$B54,'Offers'!$C$7:$C$608,$C54,'Offers'!$AI$7:$AI$608,"yes")=0,"",SUMIFS('Offers'!$I$7:$I$608,'Offers'!$B$7:$B$608,$B54,'Offers'!$C$7:$C$608,$C54,'Offers'!$AG$7:$AG$608,COUNTIFS('Offers'!$B$7:$B$608,$B54,'Offers'!$C$7:$C$608,$C54,'Offers'!$AI$7:$AI$608,"yes")))</f>
        <v/>
      </c>
      <c r="L54" s="55" t="n"/>
      <c r="M54" s="55" t="n"/>
      <c r="N54" s="55" t="n"/>
      <c r="O54" s="19">
        <f>IF('Compare'!$E$5="Local prices",IF(F54="","",IF('Compare'!$C$5="Minimum",F54,IF('Compare'!$C$5="Maximum",H54,G54))),IF(I54="","",IF('Compare'!$C$5="Minimum",I54,IF('Compare'!$C$5="Maximum",K54,J54))))</f>
        <v/>
      </c>
    </row>
    <row r="55" ht="44" customHeight="1">
      <c r="A55" s="2" t="n"/>
      <c r="B55" s="24" t="inlineStr">
        <is>
          <t>PE cutting board 530 × 325 × 20 mm</t>
        </is>
      </c>
      <c r="C55" s="24" t="inlineStr">
        <is>
          <t>Hungary</t>
        </is>
      </c>
      <c r="D55" s="24" t="inlineStr">
        <is>
          <t>HUF</t>
        </is>
      </c>
      <c r="E55" s="24" t="inlineStr">
        <is>
          <t>Net per piece</t>
        </is>
      </c>
      <c r="F55" s="94">
        <f>IF(COUNTIFS('Offers'!$B$7:$B$608,$B55,'Offers'!$C$7:$C$608,$C55,'Offers'!$AH$7:$AH$608,"yes")=0,"",SUMIFS('Offers'!$H$7:$H$608,'Offers'!$B$7:$B$608,$B55,'Offers'!$C$7:$C$608,$C55,'Offers'!$AF$7:$AF$608,1))</f>
        <v/>
      </c>
      <c r="G55" s="94">
        <f>IF(COUNTIFS('Offers'!$B$7:$B$608,$B55,'Offers'!$C$7:$C$608,$C55,'Offers'!$AH$7:$AH$608,"yes")=0,"",(SUMIFS('Offers'!$H$7:$H$608,'Offers'!$B$7:$B$608,$B55,'Offers'!$C$7:$C$608,$C55,'Offers'!$AF$7:$AF$608,ROUNDUP(COUNTIFS('Offers'!$B$7:$B$608,$B55,'Offers'!$C$7:$C$608,$C55,'Offers'!$AH$7:$AH$608,"yes")/2,0))+SUMIFS('Offers'!$H$7:$H$608,'Offers'!$B$7:$B$608,$B55,'Offers'!$C$7:$C$608,$C55,'Offers'!$AF$7:$AF$608,INT(COUNTIFS('Offers'!$B$7:$B$608,$B55,'Offers'!$C$7:$C$608,$C55,'Offers'!$AH$7:$AH$608,"yes")/2)+1))/2)</f>
        <v/>
      </c>
      <c r="H55" s="94">
        <f>IF(COUNTIFS('Offers'!$B$7:$B$608,$B55,'Offers'!$C$7:$C$608,$C55,'Offers'!$AH$7:$AH$608,"yes")=0,"",SUMIFS('Offers'!$H$7:$H$608,'Offers'!$B$7:$B$608,$B55,'Offers'!$C$7:$C$608,$C55,'Offers'!$AF$7:$AF$608,COUNTIFS('Offers'!$B$7:$B$608,$B55,'Offers'!$C$7:$C$608,$C55,'Offers'!$AH$7:$AH$608,"yes")))</f>
        <v/>
      </c>
      <c r="I55" s="95">
        <f>IF(COUNTIFS('Offers'!$B$7:$B$608,$B55,'Offers'!$C$7:$C$608,$C55,'Offers'!$AI$7:$AI$608,"yes")=0,"",SUMIFS('Offers'!$I$7:$I$608,'Offers'!$B$7:$B$608,$B55,'Offers'!$C$7:$C$608,$C55,'Offers'!$AG$7:$AG$608,1))</f>
        <v/>
      </c>
      <c r="J55" s="95">
        <f>IF(COUNTIFS('Offers'!$B$7:$B$608,$B55,'Offers'!$C$7:$C$608,$C55,'Offers'!$AI$7:$AI$608,"yes")=0,"",(SUMIFS('Offers'!$I$7:$I$608,'Offers'!$B$7:$B$608,$B55,'Offers'!$C$7:$C$608,$C55,'Offers'!$AG$7:$AG$608,ROUNDUP(COUNTIFS('Offers'!$B$7:$B$608,$B55,'Offers'!$C$7:$C$608,$C55,'Offers'!$AI$7:$AI$608,"yes")/2,0))+SUMIFS('Offers'!$I$7:$I$608,'Offers'!$B$7:$B$608,$B55,'Offers'!$C$7:$C$608,$C55,'Offers'!$AG$7:$AG$608,INT(COUNTIFS('Offers'!$B$7:$B$608,$B55,'Offers'!$C$7:$C$608,$C55,'Offers'!$AI$7:$AI$608,"yes")/2)+1))/2)</f>
        <v/>
      </c>
      <c r="K55" s="95">
        <f>IF(COUNTIFS('Offers'!$B$7:$B$608,$B55,'Offers'!$C$7:$C$608,$C55,'Offers'!$AI$7:$AI$608,"yes")=0,"",SUMIFS('Offers'!$I$7:$I$608,'Offers'!$B$7:$B$608,$B55,'Offers'!$C$7:$C$608,$C55,'Offers'!$AG$7:$AG$608,COUNTIFS('Offers'!$B$7:$B$608,$B55,'Offers'!$C$7:$C$608,$C55,'Offers'!$AI$7:$AI$608,"yes")))</f>
        <v/>
      </c>
      <c r="L55" s="55" t="n"/>
      <c r="M55" s="55" t="n"/>
      <c r="N55" s="55" t="n"/>
      <c r="O55" s="2">
        <f>IF('Compare'!$E$5="Local prices",IF(F55="","",IF('Compare'!$C$5="Minimum",F55,IF('Compare'!$C$5="Maximum",H55,G55))),IF(I55="","",IF('Compare'!$C$5="Minimum",I55,IF('Compare'!$C$5="Maximum",K55,J55))))</f>
        <v/>
      </c>
    </row>
    <row r="56" ht="44" customHeight="1">
      <c r="A56" s="2" t="n"/>
      <c r="B56" s="27" t="inlineStr">
        <is>
          <t>PE cutting board 530 × 325 × 20 mm</t>
        </is>
      </c>
      <c r="C56" s="27" t="inlineStr">
        <is>
          <t>Romania</t>
        </is>
      </c>
      <c r="D56" s="27" t="inlineStr">
        <is>
          <t>RON</t>
        </is>
      </c>
      <c r="E56" s="27" t="inlineStr">
        <is>
          <t>Net per piece</t>
        </is>
      </c>
      <c r="F56" s="96">
        <f>IF(COUNTIFS('Offers'!$B$7:$B$608,$B56,'Offers'!$C$7:$C$608,$C56,'Offers'!$AH$7:$AH$608,"yes")=0,"",SUMIFS('Offers'!$H$7:$H$608,'Offers'!$B$7:$B$608,$B56,'Offers'!$C$7:$C$608,$C56,'Offers'!$AF$7:$AF$608,1))</f>
        <v/>
      </c>
      <c r="G56" s="96">
        <f>IF(COUNTIFS('Offers'!$B$7:$B$608,$B56,'Offers'!$C$7:$C$608,$C56,'Offers'!$AH$7:$AH$608,"yes")=0,"",(SUMIFS('Offers'!$H$7:$H$608,'Offers'!$B$7:$B$608,$B56,'Offers'!$C$7:$C$608,$C56,'Offers'!$AF$7:$AF$608,ROUNDUP(COUNTIFS('Offers'!$B$7:$B$608,$B56,'Offers'!$C$7:$C$608,$C56,'Offers'!$AH$7:$AH$608,"yes")/2,0))+SUMIFS('Offers'!$H$7:$H$608,'Offers'!$B$7:$B$608,$B56,'Offers'!$C$7:$C$608,$C56,'Offers'!$AF$7:$AF$608,INT(COUNTIFS('Offers'!$B$7:$B$608,$B56,'Offers'!$C$7:$C$608,$C56,'Offers'!$AH$7:$AH$608,"yes")/2)+1))/2)</f>
        <v/>
      </c>
      <c r="H56" s="96">
        <f>IF(COUNTIFS('Offers'!$B$7:$B$608,$B56,'Offers'!$C$7:$C$608,$C56,'Offers'!$AH$7:$AH$608,"yes")=0,"",SUMIFS('Offers'!$H$7:$H$608,'Offers'!$B$7:$B$608,$B56,'Offers'!$C$7:$C$608,$C56,'Offers'!$AF$7:$AF$608,COUNTIFS('Offers'!$B$7:$B$608,$B56,'Offers'!$C$7:$C$608,$C56,'Offers'!$AH$7:$AH$608,"yes")))</f>
        <v/>
      </c>
      <c r="I56" s="97">
        <f>IF(COUNTIFS('Offers'!$B$7:$B$608,$B56,'Offers'!$C$7:$C$608,$C56,'Offers'!$AI$7:$AI$608,"yes")=0,"",SUMIFS('Offers'!$I$7:$I$608,'Offers'!$B$7:$B$608,$B56,'Offers'!$C$7:$C$608,$C56,'Offers'!$AG$7:$AG$608,1))</f>
        <v/>
      </c>
      <c r="J56" s="97">
        <f>IF(COUNTIFS('Offers'!$B$7:$B$608,$B56,'Offers'!$C$7:$C$608,$C56,'Offers'!$AI$7:$AI$608,"yes")=0,"",(SUMIFS('Offers'!$I$7:$I$608,'Offers'!$B$7:$B$608,$B56,'Offers'!$C$7:$C$608,$C56,'Offers'!$AG$7:$AG$608,ROUNDUP(COUNTIFS('Offers'!$B$7:$B$608,$B56,'Offers'!$C$7:$C$608,$C56,'Offers'!$AI$7:$AI$608,"yes")/2,0))+SUMIFS('Offers'!$I$7:$I$608,'Offers'!$B$7:$B$608,$B56,'Offers'!$C$7:$C$608,$C56,'Offers'!$AG$7:$AG$608,INT(COUNTIFS('Offers'!$B$7:$B$608,$B56,'Offers'!$C$7:$C$608,$C56,'Offers'!$AI$7:$AI$608,"yes")/2)+1))/2)</f>
        <v/>
      </c>
      <c r="K56" s="97">
        <f>IF(COUNTIFS('Offers'!$B$7:$B$608,$B56,'Offers'!$C$7:$C$608,$C56,'Offers'!$AI$7:$AI$608,"yes")=0,"",SUMIFS('Offers'!$I$7:$I$608,'Offers'!$B$7:$B$608,$B56,'Offers'!$C$7:$C$608,$C56,'Offers'!$AG$7:$AG$608,COUNTIFS('Offers'!$B$7:$B$608,$B56,'Offers'!$C$7:$C$608,$C56,'Offers'!$AI$7:$AI$608,"yes")))</f>
        <v/>
      </c>
      <c r="L56" s="55" t="n"/>
      <c r="M56" s="55" t="n"/>
      <c r="N56" s="55" t="n"/>
      <c r="O56" s="19">
        <f>IF('Compare'!$E$5="Local prices",IF(F56="","",IF('Compare'!$C$5="Minimum",F56,IF('Compare'!$C$5="Maximum",H56,G56))),IF(I56="","",IF('Compare'!$C$5="Minimum",I56,IF('Compare'!$C$5="Maximum",K56,J56))))</f>
        <v/>
      </c>
    </row>
    <row r="57" ht="44" customHeight="1">
      <c r="A57" s="2" t="n"/>
      <c r="B57" s="24" t="inlineStr">
        <is>
          <t>PE cutting board 530 × 325 × 20 mm</t>
        </is>
      </c>
      <c r="C57" s="24" t="inlineStr">
        <is>
          <t>Austria</t>
        </is>
      </c>
      <c r="D57" s="24" t="inlineStr">
        <is>
          <t>EUR</t>
        </is>
      </c>
      <c r="E57" s="24" t="inlineStr">
        <is>
          <t>Net per piece</t>
        </is>
      </c>
      <c r="F57" s="94">
        <f>IF(COUNTIFS('Offers'!$B$7:$B$608,$B57,'Offers'!$C$7:$C$608,$C57,'Offers'!$AH$7:$AH$608,"yes")=0,"",SUMIFS('Offers'!$H$7:$H$608,'Offers'!$B$7:$B$608,$B57,'Offers'!$C$7:$C$608,$C57,'Offers'!$AF$7:$AF$608,1))</f>
        <v/>
      </c>
      <c r="G57" s="94">
        <f>IF(COUNTIFS('Offers'!$B$7:$B$608,$B57,'Offers'!$C$7:$C$608,$C57,'Offers'!$AH$7:$AH$608,"yes")=0,"",(SUMIFS('Offers'!$H$7:$H$608,'Offers'!$B$7:$B$608,$B57,'Offers'!$C$7:$C$608,$C57,'Offers'!$AF$7:$AF$608,ROUNDUP(COUNTIFS('Offers'!$B$7:$B$608,$B57,'Offers'!$C$7:$C$608,$C57,'Offers'!$AH$7:$AH$608,"yes")/2,0))+SUMIFS('Offers'!$H$7:$H$608,'Offers'!$B$7:$B$608,$B57,'Offers'!$C$7:$C$608,$C57,'Offers'!$AF$7:$AF$608,INT(COUNTIFS('Offers'!$B$7:$B$608,$B57,'Offers'!$C$7:$C$608,$C57,'Offers'!$AH$7:$AH$608,"yes")/2)+1))/2)</f>
        <v/>
      </c>
      <c r="H57" s="94">
        <f>IF(COUNTIFS('Offers'!$B$7:$B$608,$B57,'Offers'!$C$7:$C$608,$C57,'Offers'!$AH$7:$AH$608,"yes")=0,"",SUMIFS('Offers'!$H$7:$H$608,'Offers'!$B$7:$B$608,$B57,'Offers'!$C$7:$C$608,$C57,'Offers'!$AF$7:$AF$608,COUNTIFS('Offers'!$B$7:$B$608,$B57,'Offers'!$C$7:$C$608,$C57,'Offers'!$AH$7:$AH$608,"yes")))</f>
        <v/>
      </c>
      <c r="I57" s="95">
        <f>IF(COUNTIFS('Offers'!$B$7:$B$608,$B57,'Offers'!$C$7:$C$608,$C57,'Offers'!$AI$7:$AI$608,"yes")=0,"",SUMIFS('Offers'!$I$7:$I$608,'Offers'!$B$7:$B$608,$B57,'Offers'!$C$7:$C$608,$C57,'Offers'!$AG$7:$AG$608,1))</f>
        <v/>
      </c>
      <c r="J57" s="95">
        <f>IF(COUNTIFS('Offers'!$B$7:$B$608,$B57,'Offers'!$C$7:$C$608,$C57,'Offers'!$AI$7:$AI$608,"yes")=0,"",(SUMIFS('Offers'!$I$7:$I$608,'Offers'!$B$7:$B$608,$B57,'Offers'!$C$7:$C$608,$C57,'Offers'!$AG$7:$AG$608,ROUNDUP(COUNTIFS('Offers'!$B$7:$B$608,$B57,'Offers'!$C$7:$C$608,$C57,'Offers'!$AI$7:$AI$608,"yes")/2,0))+SUMIFS('Offers'!$I$7:$I$608,'Offers'!$B$7:$B$608,$B57,'Offers'!$C$7:$C$608,$C57,'Offers'!$AG$7:$AG$608,INT(COUNTIFS('Offers'!$B$7:$B$608,$B57,'Offers'!$C$7:$C$608,$C57,'Offers'!$AI$7:$AI$608,"yes")/2)+1))/2)</f>
        <v/>
      </c>
      <c r="K57" s="95">
        <f>IF(COUNTIFS('Offers'!$B$7:$B$608,$B57,'Offers'!$C$7:$C$608,$C57,'Offers'!$AI$7:$AI$608,"yes")=0,"",SUMIFS('Offers'!$I$7:$I$608,'Offers'!$B$7:$B$608,$B57,'Offers'!$C$7:$C$608,$C57,'Offers'!$AG$7:$AG$608,COUNTIFS('Offers'!$B$7:$B$608,$B57,'Offers'!$C$7:$C$608,$C57,'Offers'!$AI$7:$AI$608,"yes")))</f>
        <v/>
      </c>
      <c r="L57" s="55" t="n"/>
      <c r="M57" s="55" t="n"/>
      <c r="N57" s="55" t="n"/>
      <c r="O57" s="2">
        <f>IF('Compare'!$E$5="Local prices",IF(F57="","",IF('Compare'!$C$5="Minimum",F57,IF('Compare'!$C$5="Maximum",H57,G57))),IF(I57="","",IF('Compare'!$C$5="Minimum",I57,IF('Compare'!$C$5="Maximum",K57,J57))))</f>
        <v/>
      </c>
    </row>
    <row r="58" ht="44" customHeight="1">
      <c r="A58" s="2" t="n"/>
      <c r="B58" s="27" t="inlineStr">
        <is>
          <t>PE cutting board 530 × 325 × 20 mm</t>
        </is>
      </c>
      <c r="C58" s="27" t="inlineStr">
        <is>
          <t>Germany</t>
        </is>
      </c>
      <c r="D58" s="27" t="inlineStr">
        <is>
          <t>EUR</t>
        </is>
      </c>
      <c r="E58" s="27" t="inlineStr">
        <is>
          <t>Net per piece</t>
        </is>
      </c>
      <c r="F58" s="96">
        <f>IF(COUNTIFS('Offers'!$B$7:$B$608,$B58,'Offers'!$C$7:$C$608,$C58,'Offers'!$AH$7:$AH$608,"yes")=0,"",SUMIFS('Offers'!$H$7:$H$608,'Offers'!$B$7:$B$608,$B58,'Offers'!$C$7:$C$608,$C58,'Offers'!$AF$7:$AF$608,1))</f>
        <v/>
      </c>
      <c r="G58" s="96">
        <f>IF(COUNTIFS('Offers'!$B$7:$B$608,$B58,'Offers'!$C$7:$C$608,$C58,'Offers'!$AH$7:$AH$608,"yes")=0,"",(SUMIFS('Offers'!$H$7:$H$608,'Offers'!$B$7:$B$608,$B58,'Offers'!$C$7:$C$608,$C58,'Offers'!$AF$7:$AF$608,ROUNDUP(COUNTIFS('Offers'!$B$7:$B$608,$B58,'Offers'!$C$7:$C$608,$C58,'Offers'!$AH$7:$AH$608,"yes")/2,0))+SUMIFS('Offers'!$H$7:$H$608,'Offers'!$B$7:$B$608,$B58,'Offers'!$C$7:$C$608,$C58,'Offers'!$AF$7:$AF$608,INT(COUNTIFS('Offers'!$B$7:$B$608,$B58,'Offers'!$C$7:$C$608,$C58,'Offers'!$AH$7:$AH$608,"yes")/2)+1))/2)</f>
        <v/>
      </c>
      <c r="H58" s="96">
        <f>IF(COUNTIFS('Offers'!$B$7:$B$608,$B58,'Offers'!$C$7:$C$608,$C58,'Offers'!$AH$7:$AH$608,"yes")=0,"",SUMIFS('Offers'!$H$7:$H$608,'Offers'!$B$7:$B$608,$B58,'Offers'!$C$7:$C$608,$C58,'Offers'!$AF$7:$AF$608,COUNTIFS('Offers'!$B$7:$B$608,$B58,'Offers'!$C$7:$C$608,$C58,'Offers'!$AH$7:$AH$608,"yes")))</f>
        <v/>
      </c>
      <c r="I58" s="97">
        <f>IF(COUNTIFS('Offers'!$B$7:$B$608,$B58,'Offers'!$C$7:$C$608,$C58,'Offers'!$AI$7:$AI$608,"yes")=0,"",SUMIFS('Offers'!$I$7:$I$608,'Offers'!$B$7:$B$608,$B58,'Offers'!$C$7:$C$608,$C58,'Offers'!$AG$7:$AG$608,1))</f>
        <v/>
      </c>
      <c r="J58" s="97">
        <f>IF(COUNTIFS('Offers'!$B$7:$B$608,$B58,'Offers'!$C$7:$C$608,$C58,'Offers'!$AI$7:$AI$608,"yes")=0,"",(SUMIFS('Offers'!$I$7:$I$608,'Offers'!$B$7:$B$608,$B58,'Offers'!$C$7:$C$608,$C58,'Offers'!$AG$7:$AG$608,ROUNDUP(COUNTIFS('Offers'!$B$7:$B$608,$B58,'Offers'!$C$7:$C$608,$C58,'Offers'!$AI$7:$AI$608,"yes")/2,0))+SUMIFS('Offers'!$I$7:$I$608,'Offers'!$B$7:$B$608,$B58,'Offers'!$C$7:$C$608,$C58,'Offers'!$AG$7:$AG$608,INT(COUNTIFS('Offers'!$B$7:$B$608,$B58,'Offers'!$C$7:$C$608,$C58,'Offers'!$AI$7:$AI$608,"yes")/2)+1))/2)</f>
        <v/>
      </c>
      <c r="K58" s="97">
        <f>IF(COUNTIFS('Offers'!$B$7:$B$608,$B58,'Offers'!$C$7:$C$608,$C58,'Offers'!$AI$7:$AI$608,"yes")=0,"",SUMIFS('Offers'!$I$7:$I$608,'Offers'!$B$7:$B$608,$B58,'Offers'!$C$7:$C$608,$C58,'Offers'!$AG$7:$AG$608,COUNTIFS('Offers'!$B$7:$B$608,$B58,'Offers'!$C$7:$C$608,$C58,'Offers'!$AI$7:$AI$608,"yes")))</f>
        <v/>
      </c>
      <c r="L58" s="55" t="n"/>
      <c r="M58" s="55" t="n"/>
      <c r="N58" s="55" t="n"/>
      <c r="O58" s="19">
        <f>IF('Compare'!$E$5="Local prices",IF(F58="","",IF('Compare'!$C$5="Minimum",F58,IF('Compare'!$C$5="Maximum",H58,G58))),IF(I58="","",IF('Compare'!$C$5="Minimum",I58,IF('Compare'!$C$5="Maximum",K58,J58))))</f>
        <v/>
      </c>
    </row>
    <row r="59" ht="44" customHeight="1">
      <c r="A59" s="2" t="n"/>
      <c r="B59" s="24" t="inlineStr">
        <is>
          <t>PE cutting board 530 × 325 × 20 mm</t>
        </is>
      </c>
      <c r="C59" s="24" t="inlineStr">
        <is>
          <t>Czech</t>
        </is>
      </c>
      <c r="D59" s="24" t="inlineStr">
        <is>
          <t>CZK</t>
        </is>
      </c>
      <c r="E59" s="24" t="inlineStr">
        <is>
          <t>Net per piece</t>
        </is>
      </c>
      <c r="F59" s="94">
        <f>IF(COUNTIFS('Offers'!$B$7:$B$608,$B59,'Offers'!$C$7:$C$608,$C59,'Offers'!$AH$7:$AH$608,"yes")=0,"",SUMIFS('Offers'!$H$7:$H$608,'Offers'!$B$7:$B$608,$B59,'Offers'!$C$7:$C$608,$C59,'Offers'!$AF$7:$AF$608,1))</f>
        <v/>
      </c>
      <c r="G59" s="94">
        <f>IF(COUNTIFS('Offers'!$B$7:$B$608,$B59,'Offers'!$C$7:$C$608,$C59,'Offers'!$AH$7:$AH$608,"yes")=0,"",(SUMIFS('Offers'!$H$7:$H$608,'Offers'!$B$7:$B$608,$B59,'Offers'!$C$7:$C$608,$C59,'Offers'!$AF$7:$AF$608,ROUNDUP(COUNTIFS('Offers'!$B$7:$B$608,$B59,'Offers'!$C$7:$C$608,$C59,'Offers'!$AH$7:$AH$608,"yes")/2,0))+SUMIFS('Offers'!$H$7:$H$608,'Offers'!$B$7:$B$608,$B59,'Offers'!$C$7:$C$608,$C59,'Offers'!$AF$7:$AF$608,INT(COUNTIFS('Offers'!$B$7:$B$608,$B59,'Offers'!$C$7:$C$608,$C59,'Offers'!$AH$7:$AH$608,"yes")/2)+1))/2)</f>
        <v/>
      </c>
      <c r="H59" s="94">
        <f>IF(COUNTIFS('Offers'!$B$7:$B$608,$B59,'Offers'!$C$7:$C$608,$C59,'Offers'!$AH$7:$AH$608,"yes")=0,"",SUMIFS('Offers'!$H$7:$H$608,'Offers'!$B$7:$B$608,$B59,'Offers'!$C$7:$C$608,$C59,'Offers'!$AF$7:$AF$608,COUNTIFS('Offers'!$B$7:$B$608,$B59,'Offers'!$C$7:$C$608,$C59,'Offers'!$AH$7:$AH$608,"yes")))</f>
        <v/>
      </c>
      <c r="I59" s="95">
        <f>IF(COUNTIFS('Offers'!$B$7:$B$608,$B59,'Offers'!$C$7:$C$608,$C59,'Offers'!$AI$7:$AI$608,"yes")=0,"",SUMIFS('Offers'!$I$7:$I$608,'Offers'!$B$7:$B$608,$B59,'Offers'!$C$7:$C$608,$C59,'Offers'!$AG$7:$AG$608,1))</f>
        <v/>
      </c>
      <c r="J59" s="95">
        <f>IF(COUNTIFS('Offers'!$B$7:$B$608,$B59,'Offers'!$C$7:$C$608,$C59,'Offers'!$AI$7:$AI$608,"yes")=0,"",(SUMIFS('Offers'!$I$7:$I$608,'Offers'!$B$7:$B$608,$B59,'Offers'!$C$7:$C$608,$C59,'Offers'!$AG$7:$AG$608,ROUNDUP(COUNTIFS('Offers'!$B$7:$B$608,$B59,'Offers'!$C$7:$C$608,$C59,'Offers'!$AI$7:$AI$608,"yes")/2,0))+SUMIFS('Offers'!$I$7:$I$608,'Offers'!$B$7:$B$608,$B59,'Offers'!$C$7:$C$608,$C59,'Offers'!$AG$7:$AG$608,INT(COUNTIFS('Offers'!$B$7:$B$608,$B59,'Offers'!$C$7:$C$608,$C59,'Offers'!$AI$7:$AI$608,"yes")/2)+1))/2)</f>
        <v/>
      </c>
      <c r="K59" s="95">
        <f>IF(COUNTIFS('Offers'!$B$7:$B$608,$B59,'Offers'!$C$7:$C$608,$C59,'Offers'!$AI$7:$AI$608,"yes")=0,"",SUMIFS('Offers'!$I$7:$I$608,'Offers'!$B$7:$B$608,$B59,'Offers'!$C$7:$C$608,$C59,'Offers'!$AG$7:$AG$608,COUNTIFS('Offers'!$B$7:$B$608,$B59,'Offers'!$C$7:$C$608,$C59,'Offers'!$AI$7:$AI$608,"yes")))</f>
        <v/>
      </c>
      <c r="L59" s="55" t="n"/>
      <c r="M59" s="55" t="n"/>
      <c r="N59" s="55" t="n"/>
      <c r="O59" s="2">
        <f>IF('Compare'!$E$5="Local prices",IF(F59="","",IF('Compare'!$C$5="Minimum",F59,IF('Compare'!$C$5="Maximum",H59,G59))),IF(I59="","",IF('Compare'!$C$5="Minimum",I59,IF('Compare'!$C$5="Maximum",K59,J59))))</f>
        <v/>
      </c>
    </row>
    <row r="60" ht="44" customHeight="1">
      <c r="A60" s="2" t="n"/>
      <c r="B60" s="27" t="inlineStr">
        <is>
          <t>PE cutting board 530 × 325 × 20 mm</t>
        </is>
      </c>
      <c r="C60" s="27" t="inlineStr">
        <is>
          <t>Slovakia</t>
        </is>
      </c>
      <c r="D60" s="27" t="inlineStr">
        <is>
          <t>EUR</t>
        </is>
      </c>
      <c r="E60" s="27" t="inlineStr">
        <is>
          <t>Net per piece</t>
        </is>
      </c>
      <c r="F60" s="96">
        <f>IF(COUNTIFS('Offers'!$B$7:$B$608,$B60,'Offers'!$C$7:$C$608,$C60,'Offers'!$AH$7:$AH$608,"yes")=0,"",SUMIFS('Offers'!$H$7:$H$608,'Offers'!$B$7:$B$608,$B60,'Offers'!$C$7:$C$608,$C60,'Offers'!$AF$7:$AF$608,1))</f>
        <v/>
      </c>
      <c r="G60" s="96">
        <f>IF(COUNTIFS('Offers'!$B$7:$B$608,$B60,'Offers'!$C$7:$C$608,$C60,'Offers'!$AH$7:$AH$608,"yes")=0,"",(SUMIFS('Offers'!$H$7:$H$608,'Offers'!$B$7:$B$608,$B60,'Offers'!$C$7:$C$608,$C60,'Offers'!$AF$7:$AF$608,ROUNDUP(COUNTIFS('Offers'!$B$7:$B$608,$B60,'Offers'!$C$7:$C$608,$C60,'Offers'!$AH$7:$AH$608,"yes")/2,0))+SUMIFS('Offers'!$H$7:$H$608,'Offers'!$B$7:$B$608,$B60,'Offers'!$C$7:$C$608,$C60,'Offers'!$AF$7:$AF$608,INT(COUNTIFS('Offers'!$B$7:$B$608,$B60,'Offers'!$C$7:$C$608,$C60,'Offers'!$AH$7:$AH$608,"yes")/2)+1))/2)</f>
        <v/>
      </c>
      <c r="H60" s="96">
        <f>IF(COUNTIFS('Offers'!$B$7:$B$608,$B60,'Offers'!$C$7:$C$608,$C60,'Offers'!$AH$7:$AH$608,"yes")=0,"",SUMIFS('Offers'!$H$7:$H$608,'Offers'!$B$7:$B$608,$B60,'Offers'!$C$7:$C$608,$C60,'Offers'!$AF$7:$AF$608,COUNTIFS('Offers'!$B$7:$B$608,$B60,'Offers'!$C$7:$C$608,$C60,'Offers'!$AH$7:$AH$608,"yes")))</f>
        <v/>
      </c>
      <c r="I60" s="97">
        <f>IF(COUNTIFS('Offers'!$B$7:$B$608,$B60,'Offers'!$C$7:$C$608,$C60,'Offers'!$AI$7:$AI$608,"yes")=0,"",SUMIFS('Offers'!$I$7:$I$608,'Offers'!$B$7:$B$608,$B60,'Offers'!$C$7:$C$608,$C60,'Offers'!$AG$7:$AG$608,1))</f>
        <v/>
      </c>
      <c r="J60" s="97">
        <f>IF(COUNTIFS('Offers'!$B$7:$B$608,$B60,'Offers'!$C$7:$C$608,$C60,'Offers'!$AI$7:$AI$608,"yes")=0,"",(SUMIFS('Offers'!$I$7:$I$608,'Offers'!$B$7:$B$608,$B60,'Offers'!$C$7:$C$608,$C60,'Offers'!$AG$7:$AG$608,ROUNDUP(COUNTIFS('Offers'!$B$7:$B$608,$B60,'Offers'!$C$7:$C$608,$C60,'Offers'!$AI$7:$AI$608,"yes")/2,0))+SUMIFS('Offers'!$I$7:$I$608,'Offers'!$B$7:$B$608,$B60,'Offers'!$C$7:$C$608,$C60,'Offers'!$AG$7:$AG$608,INT(COUNTIFS('Offers'!$B$7:$B$608,$B60,'Offers'!$C$7:$C$608,$C60,'Offers'!$AI$7:$AI$608,"yes")/2)+1))/2)</f>
        <v/>
      </c>
      <c r="K60" s="97">
        <f>IF(COUNTIFS('Offers'!$B$7:$B$608,$B60,'Offers'!$C$7:$C$608,$C60,'Offers'!$AI$7:$AI$608,"yes")=0,"",SUMIFS('Offers'!$I$7:$I$608,'Offers'!$B$7:$B$608,$B60,'Offers'!$C$7:$C$608,$C60,'Offers'!$AG$7:$AG$608,COUNTIFS('Offers'!$B$7:$B$608,$B60,'Offers'!$C$7:$C$608,$C60,'Offers'!$AI$7:$AI$608,"yes")))</f>
        <v/>
      </c>
      <c r="L60" s="55" t="n"/>
      <c r="M60" s="55" t="n"/>
      <c r="N60" s="55" t="n"/>
      <c r="O60" s="19">
        <f>IF('Compare'!$E$5="Local prices",IF(F60="","",IF('Compare'!$C$5="Minimum",F60,IF('Compare'!$C$5="Maximum",H60,G60))),IF(I60="","",IF('Compare'!$C$5="Minimum",I60,IF('Compare'!$C$5="Maximum",K60,J60))))</f>
        <v/>
      </c>
    </row>
    <row r="61" ht="44" customHeight="1">
      <c r="A61" s="2" t="n"/>
      <c r="B61" s="24" t="inlineStr">
        <is>
          <t>PE cutting board 600 × 400 × 20 mm</t>
        </is>
      </c>
      <c r="C61" s="24" t="inlineStr">
        <is>
          <t>Hungary</t>
        </is>
      </c>
      <c r="D61" s="24" t="inlineStr">
        <is>
          <t>HUF</t>
        </is>
      </c>
      <c r="E61" s="24" t="inlineStr">
        <is>
          <t>Net per piece</t>
        </is>
      </c>
      <c r="F61" s="94">
        <f>IF(COUNTIFS('Offers'!$B$7:$B$608,$B61,'Offers'!$C$7:$C$608,$C61,'Offers'!$AH$7:$AH$608,"yes")=0,"",SUMIFS('Offers'!$H$7:$H$608,'Offers'!$B$7:$B$608,$B61,'Offers'!$C$7:$C$608,$C61,'Offers'!$AF$7:$AF$608,1))</f>
        <v/>
      </c>
      <c r="G61" s="94">
        <f>IF(COUNTIFS('Offers'!$B$7:$B$608,$B61,'Offers'!$C$7:$C$608,$C61,'Offers'!$AH$7:$AH$608,"yes")=0,"",(SUMIFS('Offers'!$H$7:$H$608,'Offers'!$B$7:$B$608,$B61,'Offers'!$C$7:$C$608,$C61,'Offers'!$AF$7:$AF$608,ROUNDUP(COUNTIFS('Offers'!$B$7:$B$608,$B61,'Offers'!$C$7:$C$608,$C61,'Offers'!$AH$7:$AH$608,"yes")/2,0))+SUMIFS('Offers'!$H$7:$H$608,'Offers'!$B$7:$B$608,$B61,'Offers'!$C$7:$C$608,$C61,'Offers'!$AF$7:$AF$608,INT(COUNTIFS('Offers'!$B$7:$B$608,$B61,'Offers'!$C$7:$C$608,$C61,'Offers'!$AH$7:$AH$608,"yes")/2)+1))/2)</f>
        <v/>
      </c>
      <c r="H61" s="94">
        <f>IF(COUNTIFS('Offers'!$B$7:$B$608,$B61,'Offers'!$C$7:$C$608,$C61,'Offers'!$AH$7:$AH$608,"yes")=0,"",SUMIFS('Offers'!$H$7:$H$608,'Offers'!$B$7:$B$608,$B61,'Offers'!$C$7:$C$608,$C61,'Offers'!$AF$7:$AF$608,COUNTIFS('Offers'!$B$7:$B$608,$B61,'Offers'!$C$7:$C$608,$C61,'Offers'!$AH$7:$AH$608,"yes")))</f>
        <v/>
      </c>
      <c r="I61" s="95">
        <f>IF(COUNTIFS('Offers'!$B$7:$B$608,$B61,'Offers'!$C$7:$C$608,$C61,'Offers'!$AI$7:$AI$608,"yes")=0,"",SUMIFS('Offers'!$I$7:$I$608,'Offers'!$B$7:$B$608,$B61,'Offers'!$C$7:$C$608,$C61,'Offers'!$AG$7:$AG$608,1))</f>
        <v/>
      </c>
      <c r="J61" s="95">
        <f>IF(COUNTIFS('Offers'!$B$7:$B$608,$B61,'Offers'!$C$7:$C$608,$C61,'Offers'!$AI$7:$AI$608,"yes")=0,"",(SUMIFS('Offers'!$I$7:$I$608,'Offers'!$B$7:$B$608,$B61,'Offers'!$C$7:$C$608,$C61,'Offers'!$AG$7:$AG$608,ROUNDUP(COUNTIFS('Offers'!$B$7:$B$608,$B61,'Offers'!$C$7:$C$608,$C61,'Offers'!$AI$7:$AI$608,"yes")/2,0))+SUMIFS('Offers'!$I$7:$I$608,'Offers'!$B$7:$B$608,$B61,'Offers'!$C$7:$C$608,$C61,'Offers'!$AG$7:$AG$608,INT(COUNTIFS('Offers'!$B$7:$B$608,$B61,'Offers'!$C$7:$C$608,$C61,'Offers'!$AI$7:$AI$608,"yes")/2)+1))/2)</f>
        <v/>
      </c>
      <c r="K61" s="95">
        <f>IF(COUNTIFS('Offers'!$B$7:$B$608,$B61,'Offers'!$C$7:$C$608,$C61,'Offers'!$AI$7:$AI$608,"yes")=0,"",SUMIFS('Offers'!$I$7:$I$608,'Offers'!$B$7:$B$608,$B61,'Offers'!$C$7:$C$608,$C61,'Offers'!$AG$7:$AG$608,COUNTIFS('Offers'!$B$7:$B$608,$B61,'Offers'!$C$7:$C$608,$C61,'Offers'!$AI$7:$AI$608,"yes")))</f>
        <v/>
      </c>
      <c r="L61" s="55" t="n"/>
      <c r="M61" s="55" t="n"/>
      <c r="N61" s="55" t="n"/>
      <c r="O61" s="2">
        <f>IF('Compare'!$E$5="Local prices",IF(F61="","",IF('Compare'!$C$5="Minimum",F61,IF('Compare'!$C$5="Maximum",H61,G61))),IF(I61="","",IF('Compare'!$C$5="Minimum",I61,IF('Compare'!$C$5="Maximum",K61,J61))))</f>
        <v/>
      </c>
    </row>
    <row r="62" ht="44" customHeight="1">
      <c r="A62" s="2" t="n"/>
      <c r="B62" s="27" t="inlineStr">
        <is>
          <t>PE cutting board 600 × 400 × 20 mm</t>
        </is>
      </c>
      <c r="C62" s="27" t="inlineStr">
        <is>
          <t>Romania</t>
        </is>
      </c>
      <c r="D62" s="27" t="inlineStr">
        <is>
          <t>RON</t>
        </is>
      </c>
      <c r="E62" s="27" t="inlineStr">
        <is>
          <t>Net per piece</t>
        </is>
      </c>
      <c r="F62" s="96">
        <f>IF(COUNTIFS('Offers'!$B$7:$B$608,$B62,'Offers'!$C$7:$C$608,$C62,'Offers'!$AH$7:$AH$608,"yes")=0,"",SUMIFS('Offers'!$H$7:$H$608,'Offers'!$B$7:$B$608,$B62,'Offers'!$C$7:$C$608,$C62,'Offers'!$AF$7:$AF$608,1))</f>
        <v/>
      </c>
      <c r="G62" s="96">
        <f>IF(COUNTIFS('Offers'!$B$7:$B$608,$B62,'Offers'!$C$7:$C$608,$C62,'Offers'!$AH$7:$AH$608,"yes")=0,"",(SUMIFS('Offers'!$H$7:$H$608,'Offers'!$B$7:$B$608,$B62,'Offers'!$C$7:$C$608,$C62,'Offers'!$AF$7:$AF$608,ROUNDUP(COUNTIFS('Offers'!$B$7:$B$608,$B62,'Offers'!$C$7:$C$608,$C62,'Offers'!$AH$7:$AH$608,"yes")/2,0))+SUMIFS('Offers'!$H$7:$H$608,'Offers'!$B$7:$B$608,$B62,'Offers'!$C$7:$C$608,$C62,'Offers'!$AF$7:$AF$608,INT(COUNTIFS('Offers'!$B$7:$B$608,$B62,'Offers'!$C$7:$C$608,$C62,'Offers'!$AH$7:$AH$608,"yes")/2)+1))/2)</f>
        <v/>
      </c>
      <c r="H62" s="96">
        <f>IF(COUNTIFS('Offers'!$B$7:$B$608,$B62,'Offers'!$C$7:$C$608,$C62,'Offers'!$AH$7:$AH$608,"yes")=0,"",SUMIFS('Offers'!$H$7:$H$608,'Offers'!$B$7:$B$608,$B62,'Offers'!$C$7:$C$608,$C62,'Offers'!$AF$7:$AF$608,COUNTIFS('Offers'!$B$7:$B$608,$B62,'Offers'!$C$7:$C$608,$C62,'Offers'!$AH$7:$AH$608,"yes")))</f>
        <v/>
      </c>
      <c r="I62" s="97">
        <f>IF(COUNTIFS('Offers'!$B$7:$B$608,$B62,'Offers'!$C$7:$C$608,$C62,'Offers'!$AI$7:$AI$608,"yes")=0,"",SUMIFS('Offers'!$I$7:$I$608,'Offers'!$B$7:$B$608,$B62,'Offers'!$C$7:$C$608,$C62,'Offers'!$AG$7:$AG$608,1))</f>
        <v/>
      </c>
      <c r="J62" s="97">
        <f>IF(COUNTIFS('Offers'!$B$7:$B$608,$B62,'Offers'!$C$7:$C$608,$C62,'Offers'!$AI$7:$AI$608,"yes")=0,"",(SUMIFS('Offers'!$I$7:$I$608,'Offers'!$B$7:$B$608,$B62,'Offers'!$C$7:$C$608,$C62,'Offers'!$AG$7:$AG$608,ROUNDUP(COUNTIFS('Offers'!$B$7:$B$608,$B62,'Offers'!$C$7:$C$608,$C62,'Offers'!$AI$7:$AI$608,"yes")/2,0))+SUMIFS('Offers'!$I$7:$I$608,'Offers'!$B$7:$B$608,$B62,'Offers'!$C$7:$C$608,$C62,'Offers'!$AG$7:$AG$608,INT(COUNTIFS('Offers'!$B$7:$B$608,$B62,'Offers'!$C$7:$C$608,$C62,'Offers'!$AI$7:$AI$608,"yes")/2)+1))/2)</f>
        <v/>
      </c>
      <c r="K62" s="97">
        <f>IF(COUNTIFS('Offers'!$B$7:$B$608,$B62,'Offers'!$C$7:$C$608,$C62,'Offers'!$AI$7:$AI$608,"yes")=0,"",SUMIFS('Offers'!$I$7:$I$608,'Offers'!$B$7:$B$608,$B62,'Offers'!$C$7:$C$608,$C62,'Offers'!$AG$7:$AG$608,COUNTIFS('Offers'!$B$7:$B$608,$B62,'Offers'!$C$7:$C$608,$C62,'Offers'!$AI$7:$AI$608,"yes")))</f>
        <v/>
      </c>
      <c r="L62" s="55" t="n"/>
      <c r="M62" s="55" t="n"/>
      <c r="N62" s="55" t="n"/>
      <c r="O62" s="19">
        <f>IF('Compare'!$E$5="Local prices",IF(F62="","",IF('Compare'!$C$5="Minimum",F62,IF('Compare'!$C$5="Maximum",H62,G62))),IF(I62="","",IF('Compare'!$C$5="Minimum",I62,IF('Compare'!$C$5="Maximum",K62,J62))))</f>
        <v/>
      </c>
    </row>
    <row r="63" ht="44" customHeight="1">
      <c r="A63" s="2" t="n"/>
      <c r="B63" s="24" t="inlineStr">
        <is>
          <t>PE cutting board 600 × 400 × 20 mm</t>
        </is>
      </c>
      <c r="C63" s="24" t="inlineStr">
        <is>
          <t>Austria</t>
        </is>
      </c>
      <c r="D63" s="24" t="inlineStr">
        <is>
          <t>EUR</t>
        </is>
      </c>
      <c r="E63" s="24" t="inlineStr">
        <is>
          <t>Net per piece</t>
        </is>
      </c>
      <c r="F63" s="94">
        <f>IF(COUNTIFS('Offers'!$B$7:$B$608,$B63,'Offers'!$C$7:$C$608,$C63,'Offers'!$AH$7:$AH$608,"yes")=0,"",SUMIFS('Offers'!$H$7:$H$608,'Offers'!$B$7:$B$608,$B63,'Offers'!$C$7:$C$608,$C63,'Offers'!$AF$7:$AF$608,1))</f>
        <v/>
      </c>
      <c r="G63" s="94">
        <f>IF(COUNTIFS('Offers'!$B$7:$B$608,$B63,'Offers'!$C$7:$C$608,$C63,'Offers'!$AH$7:$AH$608,"yes")=0,"",(SUMIFS('Offers'!$H$7:$H$608,'Offers'!$B$7:$B$608,$B63,'Offers'!$C$7:$C$608,$C63,'Offers'!$AF$7:$AF$608,ROUNDUP(COUNTIFS('Offers'!$B$7:$B$608,$B63,'Offers'!$C$7:$C$608,$C63,'Offers'!$AH$7:$AH$608,"yes")/2,0))+SUMIFS('Offers'!$H$7:$H$608,'Offers'!$B$7:$B$608,$B63,'Offers'!$C$7:$C$608,$C63,'Offers'!$AF$7:$AF$608,INT(COUNTIFS('Offers'!$B$7:$B$608,$B63,'Offers'!$C$7:$C$608,$C63,'Offers'!$AH$7:$AH$608,"yes")/2)+1))/2)</f>
        <v/>
      </c>
      <c r="H63" s="94">
        <f>IF(COUNTIFS('Offers'!$B$7:$B$608,$B63,'Offers'!$C$7:$C$608,$C63,'Offers'!$AH$7:$AH$608,"yes")=0,"",SUMIFS('Offers'!$H$7:$H$608,'Offers'!$B$7:$B$608,$B63,'Offers'!$C$7:$C$608,$C63,'Offers'!$AF$7:$AF$608,COUNTIFS('Offers'!$B$7:$B$608,$B63,'Offers'!$C$7:$C$608,$C63,'Offers'!$AH$7:$AH$608,"yes")))</f>
        <v/>
      </c>
      <c r="I63" s="95">
        <f>IF(COUNTIFS('Offers'!$B$7:$B$608,$B63,'Offers'!$C$7:$C$608,$C63,'Offers'!$AI$7:$AI$608,"yes")=0,"",SUMIFS('Offers'!$I$7:$I$608,'Offers'!$B$7:$B$608,$B63,'Offers'!$C$7:$C$608,$C63,'Offers'!$AG$7:$AG$608,1))</f>
        <v/>
      </c>
      <c r="J63" s="95">
        <f>IF(COUNTIFS('Offers'!$B$7:$B$608,$B63,'Offers'!$C$7:$C$608,$C63,'Offers'!$AI$7:$AI$608,"yes")=0,"",(SUMIFS('Offers'!$I$7:$I$608,'Offers'!$B$7:$B$608,$B63,'Offers'!$C$7:$C$608,$C63,'Offers'!$AG$7:$AG$608,ROUNDUP(COUNTIFS('Offers'!$B$7:$B$608,$B63,'Offers'!$C$7:$C$608,$C63,'Offers'!$AI$7:$AI$608,"yes")/2,0))+SUMIFS('Offers'!$I$7:$I$608,'Offers'!$B$7:$B$608,$B63,'Offers'!$C$7:$C$608,$C63,'Offers'!$AG$7:$AG$608,INT(COUNTIFS('Offers'!$B$7:$B$608,$B63,'Offers'!$C$7:$C$608,$C63,'Offers'!$AI$7:$AI$608,"yes")/2)+1))/2)</f>
        <v/>
      </c>
      <c r="K63" s="95">
        <f>IF(COUNTIFS('Offers'!$B$7:$B$608,$B63,'Offers'!$C$7:$C$608,$C63,'Offers'!$AI$7:$AI$608,"yes")=0,"",SUMIFS('Offers'!$I$7:$I$608,'Offers'!$B$7:$B$608,$B63,'Offers'!$C$7:$C$608,$C63,'Offers'!$AG$7:$AG$608,COUNTIFS('Offers'!$B$7:$B$608,$B63,'Offers'!$C$7:$C$608,$C63,'Offers'!$AI$7:$AI$608,"yes")))</f>
        <v/>
      </c>
      <c r="L63" s="55" t="n"/>
      <c r="M63" s="55" t="n"/>
      <c r="N63" s="55" t="n"/>
      <c r="O63" s="2">
        <f>IF('Compare'!$E$5="Local prices",IF(F63="","",IF('Compare'!$C$5="Minimum",F63,IF('Compare'!$C$5="Maximum",H63,G63))),IF(I63="","",IF('Compare'!$C$5="Minimum",I63,IF('Compare'!$C$5="Maximum",K63,J63))))</f>
        <v/>
      </c>
    </row>
    <row r="64" ht="44" customHeight="1">
      <c r="A64" s="2" t="n"/>
      <c r="B64" s="27" t="inlineStr">
        <is>
          <t>PE cutting board 600 × 400 × 20 mm</t>
        </is>
      </c>
      <c r="C64" s="27" t="inlineStr">
        <is>
          <t>Germany</t>
        </is>
      </c>
      <c r="D64" s="27" t="inlineStr">
        <is>
          <t>EUR</t>
        </is>
      </c>
      <c r="E64" s="27" t="inlineStr">
        <is>
          <t>Net per piece</t>
        </is>
      </c>
      <c r="F64" s="96">
        <f>IF(COUNTIFS('Offers'!$B$7:$B$608,$B64,'Offers'!$C$7:$C$608,$C64,'Offers'!$AH$7:$AH$608,"yes")=0,"",SUMIFS('Offers'!$H$7:$H$608,'Offers'!$B$7:$B$608,$B64,'Offers'!$C$7:$C$608,$C64,'Offers'!$AF$7:$AF$608,1))</f>
        <v/>
      </c>
      <c r="G64" s="96">
        <f>IF(COUNTIFS('Offers'!$B$7:$B$608,$B64,'Offers'!$C$7:$C$608,$C64,'Offers'!$AH$7:$AH$608,"yes")=0,"",(SUMIFS('Offers'!$H$7:$H$608,'Offers'!$B$7:$B$608,$B64,'Offers'!$C$7:$C$608,$C64,'Offers'!$AF$7:$AF$608,ROUNDUP(COUNTIFS('Offers'!$B$7:$B$608,$B64,'Offers'!$C$7:$C$608,$C64,'Offers'!$AH$7:$AH$608,"yes")/2,0))+SUMIFS('Offers'!$H$7:$H$608,'Offers'!$B$7:$B$608,$B64,'Offers'!$C$7:$C$608,$C64,'Offers'!$AF$7:$AF$608,INT(COUNTIFS('Offers'!$B$7:$B$608,$B64,'Offers'!$C$7:$C$608,$C64,'Offers'!$AH$7:$AH$608,"yes")/2)+1))/2)</f>
        <v/>
      </c>
      <c r="H64" s="96">
        <f>IF(COUNTIFS('Offers'!$B$7:$B$608,$B64,'Offers'!$C$7:$C$608,$C64,'Offers'!$AH$7:$AH$608,"yes")=0,"",SUMIFS('Offers'!$H$7:$H$608,'Offers'!$B$7:$B$608,$B64,'Offers'!$C$7:$C$608,$C64,'Offers'!$AF$7:$AF$608,COUNTIFS('Offers'!$B$7:$B$608,$B64,'Offers'!$C$7:$C$608,$C64,'Offers'!$AH$7:$AH$608,"yes")))</f>
        <v/>
      </c>
      <c r="I64" s="97">
        <f>IF(COUNTIFS('Offers'!$B$7:$B$608,$B64,'Offers'!$C$7:$C$608,$C64,'Offers'!$AI$7:$AI$608,"yes")=0,"",SUMIFS('Offers'!$I$7:$I$608,'Offers'!$B$7:$B$608,$B64,'Offers'!$C$7:$C$608,$C64,'Offers'!$AG$7:$AG$608,1))</f>
        <v/>
      </c>
      <c r="J64" s="97">
        <f>IF(COUNTIFS('Offers'!$B$7:$B$608,$B64,'Offers'!$C$7:$C$608,$C64,'Offers'!$AI$7:$AI$608,"yes")=0,"",(SUMIFS('Offers'!$I$7:$I$608,'Offers'!$B$7:$B$608,$B64,'Offers'!$C$7:$C$608,$C64,'Offers'!$AG$7:$AG$608,ROUNDUP(COUNTIFS('Offers'!$B$7:$B$608,$B64,'Offers'!$C$7:$C$608,$C64,'Offers'!$AI$7:$AI$608,"yes")/2,0))+SUMIFS('Offers'!$I$7:$I$608,'Offers'!$B$7:$B$608,$B64,'Offers'!$C$7:$C$608,$C64,'Offers'!$AG$7:$AG$608,INT(COUNTIFS('Offers'!$B$7:$B$608,$B64,'Offers'!$C$7:$C$608,$C64,'Offers'!$AI$7:$AI$608,"yes")/2)+1))/2)</f>
        <v/>
      </c>
      <c r="K64" s="97">
        <f>IF(COUNTIFS('Offers'!$B$7:$B$608,$B64,'Offers'!$C$7:$C$608,$C64,'Offers'!$AI$7:$AI$608,"yes")=0,"",SUMIFS('Offers'!$I$7:$I$608,'Offers'!$B$7:$B$608,$B64,'Offers'!$C$7:$C$608,$C64,'Offers'!$AG$7:$AG$608,COUNTIFS('Offers'!$B$7:$B$608,$B64,'Offers'!$C$7:$C$608,$C64,'Offers'!$AI$7:$AI$608,"yes")))</f>
        <v/>
      </c>
      <c r="L64" s="55" t="n"/>
      <c r="M64" s="55" t="n"/>
      <c r="N64" s="55" t="n"/>
      <c r="O64" s="19">
        <f>IF('Compare'!$E$5="Local prices",IF(F64="","",IF('Compare'!$C$5="Minimum",F64,IF('Compare'!$C$5="Maximum",H64,G64))),IF(I64="","",IF('Compare'!$C$5="Minimum",I64,IF('Compare'!$C$5="Maximum",K64,J64))))</f>
        <v/>
      </c>
    </row>
    <row r="65" ht="44" customHeight="1">
      <c r="A65" s="2" t="n"/>
      <c r="B65" s="24" t="inlineStr">
        <is>
          <t>PE cutting board 600 × 400 × 20 mm</t>
        </is>
      </c>
      <c r="C65" s="24" t="inlineStr">
        <is>
          <t>Czech</t>
        </is>
      </c>
      <c r="D65" s="24" t="inlineStr">
        <is>
          <t>CZK</t>
        </is>
      </c>
      <c r="E65" s="24" t="inlineStr">
        <is>
          <t>Net per piece</t>
        </is>
      </c>
      <c r="F65" s="94">
        <f>IF(COUNTIFS('Offers'!$B$7:$B$608,$B65,'Offers'!$C$7:$C$608,$C65,'Offers'!$AH$7:$AH$608,"yes")=0,"",SUMIFS('Offers'!$H$7:$H$608,'Offers'!$B$7:$B$608,$B65,'Offers'!$C$7:$C$608,$C65,'Offers'!$AF$7:$AF$608,1))</f>
        <v/>
      </c>
      <c r="G65" s="94">
        <f>IF(COUNTIFS('Offers'!$B$7:$B$608,$B65,'Offers'!$C$7:$C$608,$C65,'Offers'!$AH$7:$AH$608,"yes")=0,"",(SUMIFS('Offers'!$H$7:$H$608,'Offers'!$B$7:$B$608,$B65,'Offers'!$C$7:$C$608,$C65,'Offers'!$AF$7:$AF$608,ROUNDUP(COUNTIFS('Offers'!$B$7:$B$608,$B65,'Offers'!$C$7:$C$608,$C65,'Offers'!$AH$7:$AH$608,"yes")/2,0))+SUMIFS('Offers'!$H$7:$H$608,'Offers'!$B$7:$B$608,$B65,'Offers'!$C$7:$C$608,$C65,'Offers'!$AF$7:$AF$608,INT(COUNTIFS('Offers'!$B$7:$B$608,$B65,'Offers'!$C$7:$C$608,$C65,'Offers'!$AH$7:$AH$608,"yes")/2)+1))/2)</f>
        <v/>
      </c>
      <c r="H65" s="94">
        <f>IF(COUNTIFS('Offers'!$B$7:$B$608,$B65,'Offers'!$C$7:$C$608,$C65,'Offers'!$AH$7:$AH$608,"yes")=0,"",SUMIFS('Offers'!$H$7:$H$608,'Offers'!$B$7:$B$608,$B65,'Offers'!$C$7:$C$608,$C65,'Offers'!$AF$7:$AF$608,COUNTIFS('Offers'!$B$7:$B$608,$B65,'Offers'!$C$7:$C$608,$C65,'Offers'!$AH$7:$AH$608,"yes")))</f>
        <v/>
      </c>
      <c r="I65" s="95">
        <f>IF(COUNTIFS('Offers'!$B$7:$B$608,$B65,'Offers'!$C$7:$C$608,$C65,'Offers'!$AI$7:$AI$608,"yes")=0,"",SUMIFS('Offers'!$I$7:$I$608,'Offers'!$B$7:$B$608,$B65,'Offers'!$C$7:$C$608,$C65,'Offers'!$AG$7:$AG$608,1))</f>
        <v/>
      </c>
      <c r="J65" s="95">
        <f>IF(COUNTIFS('Offers'!$B$7:$B$608,$B65,'Offers'!$C$7:$C$608,$C65,'Offers'!$AI$7:$AI$608,"yes")=0,"",(SUMIFS('Offers'!$I$7:$I$608,'Offers'!$B$7:$B$608,$B65,'Offers'!$C$7:$C$608,$C65,'Offers'!$AG$7:$AG$608,ROUNDUP(COUNTIFS('Offers'!$B$7:$B$608,$B65,'Offers'!$C$7:$C$608,$C65,'Offers'!$AI$7:$AI$608,"yes")/2,0))+SUMIFS('Offers'!$I$7:$I$608,'Offers'!$B$7:$B$608,$B65,'Offers'!$C$7:$C$608,$C65,'Offers'!$AG$7:$AG$608,INT(COUNTIFS('Offers'!$B$7:$B$608,$B65,'Offers'!$C$7:$C$608,$C65,'Offers'!$AI$7:$AI$608,"yes")/2)+1))/2)</f>
        <v/>
      </c>
      <c r="K65" s="95">
        <f>IF(COUNTIFS('Offers'!$B$7:$B$608,$B65,'Offers'!$C$7:$C$608,$C65,'Offers'!$AI$7:$AI$608,"yes")=0,"",SUMIFS('Offers'!$I$7:$I$608,'Offers'!$B$7:$B$608,$B65,'Offers'!$C$7:$C$608,$C65,'Offers'!$AG$7:$AG$608,COUNTIFS('Offers'!$B$7:$B$608,$B65,'Offers'!$C$7:$C$608,$C65,'Offers'!$AI$7:$AI$608,"yes")))</f>
        <v/>
      </c>
      <c r="L65" s="55" t="n"/>
      <c r="M65" s="55" t="n"/>
      <c r="N65" s="55" t="n"/>
      <c r="O65" s="2">
        <f>IF('Compare'!$E$5="Local prices",IF(F65="","",IF('Compare'!$C$5="Minimum",F65,IF('Compare'!$C$5="Maximum",H65,G65))),IF(I65="","",IF('Compare'!$C$5="Minimum",I65,IF('Compare'!$C$5="Maximum",K65,J65))))</f>
        <v/>
      </c>
    </row>
    <row r="66" ht="44" customHeight="1">
      <c r="A66" s="2" t="n"/>
      <c r="B66" s="27" t="inlineStr">
        <is>
          <t>PE cutting board 600 × 400 × 20 mm</t>
        </is>
      </c>
      <c r="C66" s="27" t="inlineStr">
        <is>
          <t>Slovakia</t>
        </is>
      </c>
      <c r="D66" s="27" t="inlineStr">
        <is>
          <t>EUR</t>
        </is>
      </c>
      <c r="E66" s="27" t="inlineStr">
        <is>
          <t>Net per piece</t>
        </is>
      </c>
      <c r="F66" s="96">
        <f>IF(COUNTIFS('Offers'!$B$7:$B$608,$B66,'Offers'!$C$7:$C$608,$C66,'Offers'!$AH$7:$AH$608,"yes")=0,"",SUMIFS('Offers'!$H$7:$H$608,'Offers'!$B$7:$B$608,$B66,'Offers'!$C$7:$C$608,$C66,'Offers'!$AF$7:$AF$608,1))</f>
        <v/>
      </c>
      <c r="G66" s="96">
        <f>IF(COUNTIFS('Offers'!$B$7:$B$608,$B66,'Offers'!$C$7:$C$608,$C66,'Offers'!$AH$7:$AH$608,"yes")=0,"",(SUMIFS('Offers'!$H$7:$H$608,'Offers'!$B$7:$B$608,$B66,'Offers'!$C$7:$C$608,$C66,'Offers'!$AF$7:$AF$608,ROUNDUP(COUNTIFS('Offers'!$B$7:$B$608,$B66,'Offers'!$C$7:$C$608,$C66,'Offers'!$AH$7:$AH$608,"yes")/2,0))+SUMIFS('Offers'!$H$7:$H$608,'Offers'!$B$7:$B$608,$B66,'Offers'!$C$7:$C$608,$C66,'Offers'!$AF$7:$AF$608,INT(COUNTIFS('Offers'!$B$7:$B$608,$B66,'Offers'!$C$7:$C$608,$C66,'Offers'!$AH$7:$AH$608,"yes")/2)+1))/2)</f>
        <v/>
      </c>
      <c r="H66" s="96">
        <f>IF(COUNTIFS('Offers'!$B$7:$B$608,$B66,'Offers'!$C$7:$C$608,$C66,'Offers'!$AH$7:$AH$608,"yes")=0,"",SUMIFS('Offers'!$H$7:$H$608,'Offers'!$B$7:$B$608,$B66,'Offers'!$C$7:$C$608,$C66,'Offers'!$AF$7:$AF$608,COUNTIFS('Offers'!$B$7:$B$608,$B66,'Offers'!$C$7:$C$608,$C66,'Offers'!$AH$7:$AH$608,"yes")))</f>
        <v/>
      </c>
      <c r="I66" s="97">
        <f>IF(COUNTIFS('Offers'!$B$7:$B$608,$B66,'Offers'!$C$7:$C$608,$C66,'Offers'!$AI$7:$AI$608,"yes")=0,"",SUMIFS('Offers'!$I$7:$I$608,'Offers'!$B$7:$B$608,$B66,'Offers'!$C$7:$C$608,$C66,'Offers'!$AG$7:$AG$608,1))</f>
        <v/>
      </c>
      <c r="J66" s="97">
        <f>IF(COUNTIFS('Offers'!$B$7:$B$608,$B66,'Offers'!$C$7:$C$608,$C66,'Offers'!$AI$7:$AI$608,"yes")=0,"",(SUMIFS('Offers'!$I$7:$I$608,'Offers'!$B$7:$B$608,$B66,'Offers'!$C$7:$C$608,$C66,'Offers'!$AG$7:$AG$608,ROUNDUP(COUNTIFS('Offers'!$B$7:$B$608,$B66,'Offers'!$C$7:$C$608,$C66,'Offers'!$AI$7:$AI$608,"yes")/2,0))+SUMIFS('Offers'!$I$7:$I$608,'Offers'!$B$7:$B$608,$B66,'Offers'!$C$7:$C$608,$C66,'Offers'!$AG$7:$AG$608,INT(COUNTIFS('Offers'!$B$7:$B$608,$B66,'Offers'!$C$7:$C$608,$C66,'Offers'!$AI$7:$AI$608,"yes")/2)+1))/2)</f>
        <v/>
      </c>
      <c r="K66" s="97">
        <f>IF(COUNTIFS('Offers'!$B$7:$B$608,$B66,'Offers'!$C$7:$C$608,$C66,'Offers'!$AI$7:$AI$608,"yes")=0,"",SUMIFS('Offers'!$I$7:$I$608,'Offers'!$B$7:$B$608,$B66,'Offers'!$C$7:$C$608,$C66,'Offers'!$AG$7:$AG$608,COUNTIFS('Offers'!$B$7:$B$608,$B66,'Offers'!$C$7:$C$608,$C66,'Offers'!$AI$7:$AI$608,"yes")))</f>
        <v/>
      </c>
      <c r="L66" s="55" t="n"/>
      <c r="M66" s="55" t="n"/>
      <c r="N66" s="55" t="n"/>
      <c r="O66" s="19">
        <f>IF('Compare'!$E$5="Local prices",IF(F66="","",IF('Compare'!$C$5="Minimum",F66,IF('Compare'!$C$5="Maximum",H66,G66))),IF(I66="","",IF('Compare'!$C$5="Minimum",I66,IF('Compare'!$C$5="Maximum",K66,J66))))</f>
        <v/>
      </c>
    </row>
    <row r="67" ht="44" customHeight="1">
      <c r="A67" s="2" t="n"/>
      <c r="B67" s="24" t="inlineStr">
        <is>
          <t>PE cutting board 300 × 200 × 10 mm</t>
        </is>
      </c>
      <c r="C67" s="24" t="inlineStr">
        <is>
          <t>Hungary</t>
        </is>
      </c>
      <c r="D67" s="24" t="inlineStr">
        <is>
          <t>HUF</t>
        </is>
      </c>
      <c r="E67" s="24" t="inlineStr">
        <is>
          <t>Net per piece</t>
        </is>
      </c>
      <c r="F67" s="94">
        <f>IF(COUNTIFS('Offers'!$B$7:$B$608,$B67,'Offers'!$C$7:$C$608,$C67,'Offers'!$AH$7:$AH$608,"yes")=0,"",SUMIFS('Offers'!$H$7:$H$608,'Offers'!$B$7:$B$608,$B67,'Offers'!$C$7:$C$608,$C67,'Offers'!$AF$7:$AF$608,1))</f>
        <v/>
      </c>
      <c r="G67" s="94">
        <f>IF(COUNTIFS('Offers'!$B$7:$B$608,$B67,'Offers'!$C$7:$C$608,$C67,'Offers'!$AH$7:$AH$608,"yes")=0,"",(SUMIFS('Offers'!$H$7:$H$608,'Offers'!$B$7:$B$608,$B67,'Offers'!$C$7:$C$608,$C67,'Offers'!$AF$7:$AF$608,ROUNDUP(COUNTIFS('Offers'!$B$7:$B$608,$B67,'Offers'!$C$7:$C$608,$C67,'Offers'!$AH$7:$AH$608,"yes")/2,0))+SUMIFS('Offers'!$H$7:$H$608,'Offers'!$B$7:$B$608,$B67,'Offers'!$C$7:$C$608,$C67,'Offers'!$AF$7:$AF$608,INT(COUNTIFS('Offers'!$B$7:$B$608,$B67,'Offers'!$C$7:$C$608,$C67,'Offers'!$AH$7:$AH$608,"yes")/2)+1))/2)</f>
        <v/>
      </c>
      <c r="H67" s="94">
        <f>IF(COUNTIFS('Offers'!$B$7:$B$608,$B67,'Offers'!$C$7:$C$608,$C67,'Offers'!$AH$7:$AH$608,"yes")=0,"",SUMIFS('Offers'!$H$7:$H$608,'Offers'!$B$7:$B$608,$B67,'Offers'!$C$7:$C$608,$C67,'Offers'!$AF$7:$AF$608,COUNTIFS('Offers'!$B$7:$B$608,$B67,'Offers'!$C$7:$C$608,$C67,'Offers'!$AH$7:$AH$608,"yes")))</f>
        <v/>
      </c>
      <c r="I67" s="95">
        <f>IF(COUNTIFS('Offers'!$B$7:$B$608,$B67,'Offers'!$C$7:$C$608,$C67,'Offers'!$AI$7:$AI$608,"yes")=0,"",SUMIFS('Offers'!$I$7:$I$608,'Offers'!$B$7:$B$608,$B67,'Offers'!$C$7:$C$608,$C67,'Offers'!$AG$7:$AG$608,1))</f>
        <v/>
      </c>
      <c r="J67" s="95">
        <f>IF(COUNTIFS('Offers'!$B$7:$B$608,$B67,'Offers'!$C$7:$C$608,$C67,'Offers'!$AI$7:$AI$608,"yes")=0,"",(SUMIFS('Offers'!$I$7:$I$608,'Offers'!$B$7:$B$608,$B67,'Offers'!$C$7:$C$608,$C67,'Offers'!$AG$7:$AG$608,ROUNDUP(COUNTIFS('Offers'!$B$7:$B$608,$B67,'Offers'!$C$7:$C$608,$C67,'Offers'!$AI$7:$AI$608,"yes")/2,0))+SUMIFS('Offers'!$I$7:$I$608,'Offers'!$B$7:$B$608,$B67,'Offers'!$C$7:$C$608,$C67,'Offers'!$AG$7:$AG$608,INT(COUNTIFS('Offers'!$B$7:$B$608,$B67,'Offers'!$C$7:$C$608,$C67,'Offers'!$AI$7:$AI$608,"yes")/2)+1))/2)</f>
        <v/>
      </c>
      <c r="K67" s="95">
        <f>IF(COUNTIFS('Offers'!$B$7:$B$608,$B67,'Offers'!$C$7:$C$608,$C67,'Offers'!$AI$7:$AI$608,"yes")=0,"",SUMIFS('Offers'!$I$7:$I$608,'Offers'!$B$7:$B$608,$B67,'Offers'!$C$7:$C$608,$C67,'Offers'!$AG$7:$AG$608,COUNTIFS('Offers'!$B$7:$B$608,$B67,'Offers'!$C$7:$C$608,$C67,'Offers'!$AI$7:$AI$608,"yes")))</f>
        <v/>
      </c>
      <c r="L67" s="55" t="n"/>
      <c r="M67" s="55" t="n"/>
      <c r="N67" s="55" t="n"/>
      <c r="O67" s="2">
        <f>IF('Compare'!$E$5="Local prices",IF(F67="","",IF('Compare'!$C$5="Minimum",F67,IF('Compare'!$C$5="Maximum",H67,G67))),IF(I67="","",IF('Compare'!$C$5="Minimum",I67,IF('Compare'!$C$5="Maximum",K67,J67))))</f>
        <v/>
      </c>
    </row>
    <row r="68" ht="44" customHeight="1">
      <c r="A68" s="2" t="n"/>
      <c r="B68" s="27" t="inlineStr">
        <is>
          <t>PE cutting board 300 × 200 × 10 mm</t>
        </is>
      </c>
      <c r="C68" s="27" t="inlineStr">
        <is>
          <t>Romania</t>
        </is>
      </c>
      <c r="D68" s="27" t="inlineStr">
        <is>
          <t>RON</t>
        </is>
      </c>
      <c r="E68" s="27" t="inlineStr">
        <is>
          <t>Net per piece</t>
        </is>
      </c>
      <c r="F68" s="96">
        <f>IF(COUNTIFS('Offers'!$B$7:$B$608,$B68,'Offers'!$C$7:$C$608,$C68,'Offers'!$AH$7:$AH$608,"yes")=0,"",SUMIFS('Offers'!$H$7:$H$608,'Offers'!$B$7:$B$608,$B68,'Offers'!$C$7:$C$608,$C68,'Offers'!$AF$7:$AF$608,1))</f>
        <v/>
      </c>
      <c r="G68" s="96">
        <f>IF(COUNTIFS('Offers'!$B$7:$B$608,$B68,'Offers'!$C$7:$C$608,$C68,'Offers'!$AH$7:$AH$608,"yes")=0,"",(SUMIFS('Offers'!$H$7:$H$608,'Offers'!$B$7:$B$608,$B68,'Offers'!$C$7:$C$608,$C68,'Offers'!$AF$7:$AF$608,ROUNDUP(COUNTIFS('Offers'!$B$7:$B$608,$B68,'Offers'!$C$7:$C$608,$C68,'Offers'!$AH$7:$AH$608,"yes")/2,0))+SUMIFS('Offers'!$H$7:$H$608,'Offers'!$B$7:$B$608,$B68,'Offers'!$C$7:$C$608,$C68,'Offers'!$AF$7:$AF$608,INT(COUNTIFS('Offers'!$B$7:$B$608,$B68,'Offers'!$C$7:$C$608,$C68,'Offers'!$AH$7:$AH$608,"yes")/2)+1))/2)</f>
        <v/>
      </c>
      <c r="H68" s="96">
        <f>IF(COUNTIFS('Offers'!$B$7:$B$608,$B68,'Offers'!$C$7:$C$608,$C68,'Offers'!$AH$7:$AH$608,"yes")=0,"",SUMIFS('Offers'!$H$7:$H$608,'Offers'!$B$7:$B$608,$B68,'Offers'!$C$7:$C$608,$C68,'Offers'!$AF$7:$AF$608,COUNTIFS('Offers'!$B$7:$B$608,$B68,'Offers'!$C$7:$C$608,$C68,'Offers'!$AH$7:$AH$608,"yes")))</f>
        <v/>
      </c>
      <c r="I68" s="97">
        <f>IF(COUNTIFS('Offers'!$B$7:$B$608,$B68,'Offers'!$C$7:$C$608,$C68,'Offers'!$AI$7:$AI$608,"yes")=0,"",SUMIFS('Offers'!$I$7:$I$608,'Offers'!$B$7:$B$608,$B68,'Offers'!$C$7:$C$608,$C68,'Offers'!$AG$7:$AG$608,1))</f>
        <v/>
      </c>
      <c r="J68" s="97">
        <f>IF(COUNTIFS('Offers'!$B$7:$B$608,$B68,'Offers'!$C$7:$C$608,$C68,'Offers'!$AI$7:$AI$608,"yes")=0,"",(SUMIFS('Offers'!$I$7:$I$608,'Offers'!$B$7:$B$608,$B68,'Offers'!$C$7:$C$608,$C68,'Offers'!$AG$7:$AG$608,ROUNDUP(COUNTIFS('Offers'!$B$7:$B$608,$B68,'Offers'!$C$7:$C$608,$C68,'Offers'!$AI$7:$AI$608,"yes")/2,0))+SUMIFS('Offers'!$I$7:$I$608,'Offers'!$B$7:$B$608,$B68,'Offers'!$C$7:$C$608,$C68,'Offers'!$AG$7:$AG$608,INT(COUNTIFS('Offers'!$B$7:$B$608,$B68,'Offers'!$C$7:$C$608,$C68,'Offers'!$AI$7:$AI$608,"yes")/2)+1))/2)</f>
        <v/>
      </c>
      <c r="K68" s="97">
        <f>IF(COUNTIFS('Offers'!$B$7:$B$608,$B68,'Offers'!$C$7:$C$608,$C68,'Offers'!$AI$7:$AI$608,"yes")=0,"",SUMIFS('Offers'!$I$7:$I$608,'Offers'!$B$7:$B$608,$B68,'Offers'!$C$7:$C$608,$C68,'Offers'!$AG$7:$AG$608,COUNTIFS('Offers'!$B$7:$B$608,$B68,'Offers'!$C$7:$C$608,$C68,'Offers'!$AI$7:$AI$608,"yes")))</f>
        <v/>
      </c>
      <c r="L68" s="55" t="n"/>
      <c r="M68" s="55" t="n"/>
      <c r="N68" s="55" t="n"/>
      <c r="O68" s="19">
        <f>IF('Compare'!$E$5="Local prices",IF(F68="","",IF('Compare'!$C$5="Minimum",F68,IF('Compare'!$C$5="Maximum",H68,G68))),IF(I68="","",IF('Compare'!$C$5="Minimum",I68,IF('Compare'!$C$5="Maximum",K68,J68))))</f>
        <v/>
      </c>
    </row>
    <row r="69" ht="44" customHeight="1">
      <c r="A69" s="2" t="n"/>
      <c r="B69" s="24" t="inlineStr">
        <is>
          <t>PE cutting board 300 × 200 × 10 mm</t>
        </is>
      </c>
      <c r="C69" s="24" t="inlineStr">
        <is>
          <t>Austria</t>
        </is>
      </c>
      <c r="D69" s="24" t="inlineStr">
        <is>
          <t>EUR</t>
        </is>
      </c>
      <c r="E69" s="24" t="inlineStr">
        <is>
          <t>Net per piece</t>
        </is>
      </c>
      <c r="F69" s="94">
        <f>IF(COUNTIFS('Offers'!$B$7:$B$608,$B69,'Offers'!$C$7:$C$608,$C69,'Offers'!$AH$7:$AH$608,"yes")=0,"",SUMIFS('Offers'!$H$7:$H$608,'Offers'!$B$7:$B$608,$B69,'Offers'!$C$7:$C$608,$C69,'Offers'!$AF$7:$AF$608,1))</f>
        <v/>
      </c>
      <c r="G69" s="94">
        <f>IF(COUNTIFS('Offers'!$B$7:$B$608,$B69,'Offers'!$C$7:$C$608,$C69,'Offers'!$AH$7:$AH$608,"yes")=0,"",(SUMIFS('Offers'!$H$7:$H$608,'Offers'!$B$7:$B$608,$B69,'Offers'!$C$7:$C$608,$C69,'Offers'!$AF$7:$AF$608,ROUNDUP(COUNTIFS('Offers'!$B$7:$B$608,$B69,'Offers'!$C$7:$C$608,$C69,'Offers'!$AH$7:$AH$608,"yes")/2,0))+SUMIFS('Offers'!$H$7:$H$608,'Offers'!$B$7:$B$608,$B69,'Offers'!$C$7:$C$608,$C69,'Offers'!$AF$7:$AF$608,INT(COUNTIFS('Offers'!$B$7:$B$608,$B69,'Offers'!$C$7:$C$608,$C69,'Offers'!$AH$7:$AH$608,"yes")/2)+1))/2)</f>
        <v/>
      </c>
      <c r="H69" s="94">
        <f>IF(COUNTIFS('Offers'!$B$7:$B$608,$B69,'Offers'!$C$7:$C$608,$C69,'Offers'!$AH$7:$AH$608,"yes")=0,"",SUMIFS('Offers'!$H$7:$H$608,'Offers'!$B$7:$B$608,$B69,'Offers'!$C$7:$C$608,$C69,'Offers'!$AF$7:$AF$608,COUNTIFS('Offers'!$B$7:$B$608,$B69,'Offers'!$C$7:$C$608,$C69,'Offers'!$AH$7:$AH$608,"yes")))</f>
        <v/>
      </c>
      <c r="I69" s="95">
        <f>IF(COUNTIFS('Offers'!$B$7:$B$608,$B69,'Offers'!$C$7:$C$608,$C69,'Offers'!$AI$7:$AI$608,"yes")=0,"",SUMIFS('Offers'!$I$7:$I$608,'Offers'!$B$7:$B$608,$B69,'Offers'!$C$7:$C$608,$C69,'Offers'!$AG$7:$AG$608,1))</f>
        <v/>
      </c>
      <c r="J69" s="95">
        <f>IF(COUNTIFS('Offers'!$B$7:$B$608,$B69,'Offers'!$C$7:$C$608,$C69,'Offers'!$AI$7:$AI$608,"yes")=0,"",(SUMIFS('Offers'!$I$7:$I$608,'Offers'!$B$7:$B$608,$B69,'Offers'!$C$7:$C$608,$C69,'Offers'!$AG$7:$AG$608,ROUNDUP(COUNTIFS('Offers'!$B$7:$B$608,$B69,'Offers'!$C$7:$C$608,$C69,'Offers'!$AI$7:$AI$608,"yes")/2,0))+SUMIFS('Offers'!$I$7:$I$608,'Offers'!$B$7:$B$608,$B69,'Offers'!$C$7:$C$608,$C69,'Offers'!$AG$7:$AG$608,INT(COUNTIFS('Offers'!$B$7:$B$608,$B69,'Offers'!$C$7:$C$608,$C69,'Offers'!$AI$7:$AI$608,"yes")/2)+1))/2)</f>
        <v/>
      </c>
      <c r="K69" s="95">
        <f>IF(COUNTIFS('Offers'!$B$7:$B$608,$B69,'Offers'!$C$7:$C$608,$C69,'Offers'!$AI$7:$AI$608,"yes")=0,"",SUMIFS('Offers'!$I$7:$I$608,'Offers'!$B$7:$B$608,$B69,'Offers'!$C$7:$C$608,$C69,'Offers'!$AG$7:$AG$608,COUNTIFS('Offers'!$B$7:$B$608,$B69,'Offers'!$C$7:$C$608,$C69,'Offers'!$AI$7:$AI$608,"yes")))</f>
        <v/>
      </c>
      <c r="L69" s="55" t="n"/>
      <c r="M69" s="55" t="n"/>
      <c r="N69" s="55" t="n"/>
      <c r="O69" s="2">
        <f>IF('Compare'!$E$5="Local prices",IF(F69="","",IF('Compare'!$C$5="Minimum",F69,IF('Compare'!$C$5="Maximum",H69,G69))),IF(I69="","",IF('Compare'!$C$5="Minimum",I69,IF('Compare'!$C$5="Maximum",K69,J69))))</f>
        <v/>
      </c>
    </row>
    <row r="70" ht="44" customHeight="1">
      <c r="A70" s="2" t="n"/>
      <c r="B70" s="27" t="inlineStr">
        <is>
          <t>PE cutting board 300 × 200 × 10 mm</t>
        </is>
      </c>
      <c r="C70" s="27" t="inlineStr">
        <is>
          <t>Germany</t>
        </is>
      </c>
      <c r="D70" s="27" t="inlineStr">
        <is>
          <t>EUR</t>
        </is>
      </c>
      <c r="E70" s="27" t="inlineStr">
        <is>
          <t>Net per piece</t>
        </is>
      </c>
      <c r="F70" s="96">
        <f>IF(COUNTIFS('Offers'!$B$7:$B$608,$B70,'Offers'!$C$7:$C$608,$C70,'Offers'!$AH$7:$AH$608,"yes")=0,"",SUMIFS('Offers'!$H$7:$H$608,'Offers'!$B$7:$B$608,$B70,'Offers'!$C$7:$C$608,$C70,'Offers'!$AF$7:$AF$608,1))</f>
        <v/>
      </c>
      <c r="G70" s="96">
        <f>IF(COUNTIFS('Offers'!$B$7:$B$608,$B70,'Offers'!$C$7:$C$608,$C70,'Offers'!$AH$7:$AH$608,"yes")=0,"",(SUMIFS('Offers'!$H$7:$H$608,'Offers'!$B$7:$B$608,$B70,'Offers'!$C$7:$C$608,$C70,'Offers'!$AF$7:$AF$608,ROUNDUP(COUNTIFS('Offers'!$B$7:$B$608,$B70,'Offers'!$C$7:$C$608,$C70,'Offers'!$AH$7:$AH$608,"yes")/2,0))+SUMIFS('Offers'!$H$7:$H$608,'Offers'!$B$7:$B$608,$B70,'Offers'!$C$7:$C$608,$C70,'Offers'!$AF$7:$AF$608,INT(COUNTIFS('Offers'!$B$7:$B$608,$B70,'Offers'!$C$7:$C$608,$C70,'Offers'!$AH$7:$AH$608,"yes")/2)+1))/2)</f>
        <v/>
      </c>
      <c r="H70" s="96">
        <f>IF(COUNTIFS('Offers'!$B$7:$B$608,$B70,'Offers'!$C$7:$C$608,$C70,'Offers'!$AH$7:$AH$608,"yes")=0,"",SUMIFS('Offers'!$H$7:$H$608,'Offers'!$B$7:$B$608,$B70,'Offers'!$C$7:$C$608,$C70,'Offers'!$AF$7:$AF$608,COUNTIFS('Offers'!$B$7:$B$608,$B70,'Offers'!$C$7:$C$608,$C70,'Offers'!$AH$7:$AH$608,"yes")))</f>
        <v/>
      </c>
      <c r="I70" s="97">
        <f>IF(COUNTIFS('Offers'!$B$7:$B$608,$B70,'Offers'!$C$7:$C$608,$C70,'Offers'!$AI$7:$AI$608,"yes")=0,"",SUMIFS('Offers'!$I$7:$I$608,'Offers'!$B$7:$B$608,$B70,'Offers'!$C$7:$C$608,$C70,'Offers'!$AG$7:$AG$608,1))</f>
        <v/>
      </c>
      <c r="J70" s="97">
        <f>IF(COUNTIFS('Offers'!$B$7:$B$608,$B70,'Offers'!$C$7:$C$608,$C70,'Offers'!$AI$7:$AI$608,"yes")=0,"",(SUMIFS('Offers'!$I$7:$I$608,'Offers'!$B$7:$B$608,$B70,'Offers'!$C$7:$C$608,$C70,'Offers'!$AG$7:$AG$608,ROUNDUP(COUNTIFS('Offers'!$B$7:$B$608,$B70,'Offers'!$C$7:$C$608,$C70,'Offers'!$AI$7:$AI$608,"yes")/2,0))+SUMIFS('Offers'!$I$7:$I$608,'Offers'!$B$7:$B$608,$B70,'Offers'!$C$7:$C$608,$C70,'Offers'!$AG$7:$AG$608,INT(COUNTIFS('Offers'!$B$7:$B$608,$B70,'Offers'!$C$7:$C$608,$C70,'Offers'!$AI$7:$AI$608,"yes")/2)+1))/2)</f>
        <v/>
      </c>
      <c r="K70" s="97">
        <f>IF(COUNTIFS('Offers'!$B$7:$B$608,$B70,'Offers'!$C$7:$C$608,$C70,'Offers'!$AI$7:$AI$608,"yes")=0,"",SUMIFS('Offers'!$I$7:$I$608,'Offers'!$B$7:$B$608,$B70,'Offers'!$C$7:$C$608,$C70,'Offers'!$AG$7:$AG$608,COUNTIFS('Offers'!$B$7:$B$608,$B70,'Offers'!$C$7:$C$608,$C70,'Offers'!$AI$7:$AI$608,"yes")))</f>
        <v/>
      </c>
      <c r="L70" s="55" t="n"/>
      <c r="M70" s="55" t="n"/>
      <c r="N70" s="55" t="n"/>
      <c r="O70" s="19">
        <f>IF('Compare'!$E$5="Local prices",IF(F70="","",IF('Compare'!$C$5="Minimum",F70,IF('Compare'!$C$5="Maximum",H70,G70))),IF(I70="","",IF('Compare'!$C$5="Minimum",I70,IF('Compare'!$C$5="Maximum",K70,J70))))</f>
        <v/>
      </c>
    </row>
    <row r="71" ht="44" customHeight="1">
      <c r="A71" s="2" t="n"/>
      <c r="B71" s="24" t="inlineStr">
        <is>
          <t>PE cutting board 300 × 200 × 10 mm</t>
        </is>
      </c>
      <c r="C71" s="24" t="inlineStr">
        <is>
          <t>Czech</t>
        </is>
      </c>
      <c r="D71" s="24" t="inlineStr">
        <is>
          <t>CZK</t>
        </is>
      </c>
      <c r="E71" s="24" t="inlineStr">
        <is>
          <t>Net per piece</t>
        </is>
      </c>
      <c r="F71" s="94">
        <f>IF(COUNTIFS('Offers'!$B$7:$B$608,$B71,'Offers'!$C$7:$C$608,$C71,'Offers'!$AH$7:$AH$608,"yes")=0,"",SUMIFS('Offers'!$H$7:$H$608,'Offers'!$B$7:$B$608,$B71,'Offers'!$C$7:$C$608,$C71,'Offers'!$AF$7:$AF$608,1))</f>
        <v/>
      </c>
      <c r="G71" s="94">
        <f>IF(COUNTIFS('Offers'!$B$7:$B$608,$B71,'Offers'!$C$7:$C$608,$C71,'Offers'!$AH$7:$AH$608,"yes")=0,"",(SUMIFS('Offers'!$H$7:$H$608,'Offers'!$B$7:$B$608,$B71,'Offers'!$C$7:$C$608,$C71,'Offers'!$AF$7:$AF$608,ROUNDUP(COUNTIFS('Offers'!$B$7:$B$608,$B71,'Offers'!$C$7:$C$608,$C71,'Offers'!$AH$7:$AH$608,"yes")/2,0))+SUMIFS('Offers'!$H$7:$H$608,'Offers'!$B$7:$B$608,$B71,'Offers'!$C$7:$C$608,$C71,'Offers'!$AF$7:$AF$608,INT(COUNTIFS('Offers'!$B$7:$B$608,$B71,'Offers'!$C$7:$C$608,$C71,'Offers'!$AH$7:$AH$608,"yes")/2)+1))/2)</f>
        <v/>
      </c>
      <c r="H71" s="94">
        <f>IF(COUNTIFS('Offers'!$B$7:$B$608,$B71,'Offers'!$C$7:$C$608,$C71,'Offers'!$AH$7:$AH$608,"yes")=0,"",SUMIFS('Offers'!$H$7:$H$608,'Offers'!$B$7:$B$608,$B71,'Offers'!$C$7:$C$608,$C71,'Offers'!$AF$7:$AF$608,COUNTIFS('Offers'!$B$7:$B$608,$B71,'Offers'!$C$7:$C$608,$C71,'Offers'!$AH$7:$AH$608,"yes")))</f>
        <v/>
      </c>
      <c r="I71" s="95">
        <f>IF(COUNTIFS('Offers'!$B$7:$B$608,$B71,'Offers'!$C$7:$C$608,$C71,'Offers'!$AI$7:$AI$608,"yes")=0,"",SUMIFS('Offers'!$I$7:$I$608,'Offers'!$B$7:$B$608,$B71,'Offers'!$C$7:$C$608,$C71,'Offers'!$AG$7:$AG$608,1))</f>
        <v/>
      </c>
      <c r="J71" s="95">
        <f>IF(COUNTIFS('Offers'!$B$7:$B$608,$B71,'Offers'!$C$7:$C$608,$C71,'Offers'!$AI$7:$AI$608,"yes")=0,"",(SUMIFS('Offers'!$I$7:$I$608,'Offers'!$B$7:$B$608,$B71,'Offers'!$C$7:$C$608,$C71,'Offers'!$AG$7:$AG$608,ROUNDUP(COUNTIFS('Offers'!$B$7:$B$608,$B71,'Offers'!$C$7:$C$608,$C71,'Offers'!$AI$7:$AI$608,"yes")/2,0))+SUMIFS('Offers'!$I$7:$I$608,'Offers'!$B$7:$B$608,$B71,'Offers'!$C$7:$C$608,$C71,'Offers'!$AG$7:$AG$608,INT(COUNTIFS('Offers'!$B$7:$B$608,$B71,'Offers'!$C$7:$C$608,$C71,'Offers'!$AI$7:$AI$608,"yes")/2)+1))/2)</f>
        <v/>
      </c>
      <c r="K71" s="95">
        <f>IF(COUNTIFS('Offers'!$B$7:$B$608,$B71,'Offers'!$C$7:$C$608,$C71,'Offers'!$AI$7:$AI$608,"yes")=0,"",SUMIFS('Offers'!$I$7:$I$608,'Offers'!$B$7:$B$608,$B71,'Offers'!$C$7:$C$608,$C71,'Offers'!$AG$7:$AG$608,COUNTIFS('Offers'!$B$7:$B$608,$B71,'Offers'!$C$7:$C$608,$C71,'Offers'!$AI$7:$AI$608,"yes")))</f>
        <v/>
      </c>
      <c r="L71" s="55" t="n"/>
      <c r="M71" s="55" t="n"/>
      <c r="N71" s="55" t="n"/>
      <c r="O71" s="2">
        <f>IF('Compare'!$E$5="Local prices",IF(F71="","",IF('Compare'!$C$5="Minimum",F71,IF('Compare'!$C$5="Maximum",H71,G71))),IF(I71="","",IF('Compare'!$C$5="Minimum",I71,IF('Compare'!$C$5="Maximum",K71,J71))))</f>
        <v/>
      </c>
    </row>
    <row r="72" ht="44" customHeight="1">
      <c r="A72" s="2" t="n"/>
      <c r="B72" s="27" t="inlineStr">
        <is>
          <t>PE cutting board 300 × 200 × 10 mm</t>
        </is>
      </c>
      <c r="C72" s="27" t="inlineStr">
        <is>
          <t>Slovakia</t>
        </is>
      </c>
      <c r="D72" s="27" t="inlineStr">
        <is>
          <t>EUR</t>
        </is>
      </c>
      <c r="E72" s="27" t="inlineStr">
        <is>
          <t>Net per piece</t>
        </is>
      </c>
      <c r="F72" s="96">
        <f>IF(COUNTIFS('Offers'!$B$7:$B$608,$B72,'Offers'!$C$7:$C$608,$C72,'Offers'!$AH$7:$AH$608,"yes")=0,"",SUMIFS('Offers'!$H$7:$H$608,'Offers'!$B$7:$B$608,$B72,'Offers'!$C$7:$C$608,$C72,'Offers'!$AF$7:$AF$608,1))</f>
        <v/>
      </c>
      <c r="G72" s="96">
        <f>IF(COUNTIFS('Offers'!$B$7:$B$608,$B72,'Offers'!$C$7:$C$608,$C72,'Offers'!$AH$7:$AH$608,"yes")=0,"",(SUMIFS('Offers'!$H$7:$H$608,'Offers'!$B$7:$B$608,$B72,'Offers'!$C$7:$C$608,$C72,'Offers'!$AF$7:$AF$608,ROUNDUP(COUNTIFS('Offers'!$B$7:$B$608,$B72,'Offers'!$C$7:$C$608,$C72,'Offers'!$AH$7:$AH$608,"yes")/2,0))+SUMIFS('Offers'!$H$7:$H$608,'Offers'!$B$7:$B$608,$B72,'Offers'!$C$7:$C$608,$C72,'Offers'!$AF$7:$AF$608,INT(COUNTIFS('Offers'!$B$7:$B$608,$B72,'Offers'!$C$7:$C$608,$C72,'Offers'!$AH$7:$AH$608,"yes")/2)+1))/2)</f>
        <v/>
      </c>
      <c r="H72" s="96">
        <f>IF(COUNTIFS('Offers'!$B$7:$B$608,$B72,'Offers'!$C$7:$C$608,$C72,'Offers'!$AH$7:$AH$608,"yes")=0,"",SUMIFS('Offers'!$H$7:$H$608,'Offers'!$B$7:$B$608,$B72,'Offers'!$C$7:$C$608,$C72,'Offers'!$AF$7:$AF$608,COUNTIFS('Offers'!$B$7:$B$608,$B72,'Offers'!$C$7:$C$608,$C72,'Offers'!$AH$7:$AH$608,"yes")))</f>
        <v/>
      </c>
      <c r="I72" s="97">
        <f>IF(COUNTIFS('Offers'!$B$7:$B$608,$B72,'Offers'!$C$7:$C$608,$C72,'Offers'!$AI$7:$AI$608,"yes")=0,"",SUMIFS('Offers'!$I$7:$I$608,'Offers'!$B$7:$B$608,$B72,'Offers'!$C$7:$C$608,$C72,'Offers'!$AG$7:$AG$608,1))</f>
        <v/>
      </c>
      <c r="J72" s="97">
        <f>IF(COUNTIFS('Offers'!$B$7:$B$608,$B72,'Offers'!$C$7:$C$608,$C72,'Offers'!$AI$7:$AI$608,"yes")=0,"",(SUMIFS('Offers'!$I$7:$I$608,'Offers'!$B$7:$B$608,$B72,'Offers'!$C$7:$C$608,$C72,'Offers'!$AG$7:$AG$608,ROUNDUP(COUNTIFS('Offers'!$B$7:$B$608,$B72,'Offers'!$C$7:$C$608,$C72,'Offers'!$AI$7:$AI$608,"yes")/2,0))+SUMIFS('Offers'!$I$7:$I$608,'Offers'!$B$7:$B$608,$B72,'Offers'!$C$7:$C$608,$C72,'Offers'!$AG$7:$AG$608,INT(COUNTIFS('Offers'!$B$7:$B$608,$B72,'Offers'!$C$7:$C$608,$C72,'Offers'!$AI$7:$AI$608,"yes")/2)+1))/2)</f>
        <v/>
      </c>
      <c r="K72" s="97">
        <f>IF(COUNTIFS('Offers'!$B$7:$B$608,$B72,'Offers'!$C$7:$C$608,$C72,'Offers'!$AI$7:$AI$608,"yes")=0,"",SUMIFS('Offers'!$I$7:$I$608,'Offers'!$B$7:$B$608,$B72,'Offers'!$C$7:$C$608,$C72,'Offers'!$AG$7:$AG$608,COUNTIFS('Offers'!$B$7:$B$608,$B72,'Offers'!$C$7:$C$608,$C72,'Offers'!$AI$7:$AI$608,"yes")))</f>
        <v/>
      </c>
      <c r="L72" s="55" t="n"/>
      <c r="M72" s="55" t="n"/>
      <c r="N72" s="55" t="n"/>
      <c r="O72" s="19">
        <f>IF('Compare'!$E$5="Local prices",IF(F72="","",IF('Compare'!$C$5="Minimum",F72,IF('Compare'!$C$5="Maximum",H72,G72))),IF(I72="","",IF('Compare'!$C$5="Minimum",I72,IF('Compare'!$C$5="Maximum",K72,J72))))</f>
        <v/>
      </c>
    </row>
    <row r="73" ht="44" customHeight="1">
      <c r="A73" s="2" t="n"/>
      <c r="B73" s="24" t="inlineStr">
        <is>
          <t>PP dough box 600 × 400 × 100 mm</t>
        </is>
      </c>
      <c r="C73" s="24" t="inlineStr">
        <is>
          <t>Hungary</t>
        </is>
      </c>
      <c r="D73" s="24" t="inlineStr">
        <is>
          <t>HUF</t>
        </is>
      </c>
      <c r="E73" s="24" t="inlineStr">
        <is>
          <t>Net per piece</t>
        </is>
      </c>
      <c r="F73" s="94">
        <f>IF(COUNTIFS('Offers'!$B$7:$B$608,$B73,'Offers'!$C$7:$C$608,$C73,'Offers'!$AH$7:$AH$608,"yes")=0,"",SUMIFS('Offers'!$H$7:$H$608,'Offers'!$B$7:$B$608,$B73,'Offers'!$C$7:$C$608,$C73,'Offers'!$AF$7:$AF$608,1))</f>
        <v/>
      </c>
      <c r="G73" s="94">
        <f>IF(COUNTIFS('Offers'!$B$7:$B$608,$B73,'Offers'!$C$7:$C$608,$C73,'Offers'!$AH$7:$AH$608,"yes")=0,"",(SUMIFS('Offers'!$H$7:$H$608,'Offers'!$B$7:$B$608,$B73,'Offers'!$C$7:$C$608,$C73,'Offers'!$AF$7:$AF$608,ROUNDUP(COUNTIFS('Offers'!$B$7:$B$608,$B73,'Offers'!$C$7:$C$608,$C73,'Offers'!$AH$7:$AH$608,"yes")/2,0))+SUMIFS('Offers'!$H$7:$H$608,'Offers'!$B$7:$B$608,$B73,'Offers'!$C$7:$C$608,$C73,'Offers'!$AF$7:$AF$608,INT(COUNTIFS('Offers'!$B$7:$B$608,$B73,'Offers'!$C$7:$C$608,$C73,'Offers'!$AH$7:$AH$608,"yes")/2)+1))/2)</f>
        <v/>
      </c>
      <c r="H73" s="94">
        <f>IF(COUNTIFS('Offers'!$B$7:$B$608,$B73,'Offers'!$C$7:$C$608,$C73,'Offers'!$AH$7:$AH$608,"yes")=0,"",SUMIFS('Offers'!$H$7:$H$608,'Offers'!$B$7:$B$608,$B73,'Offers'!$C$7:$C$608,$C73,'Offers'!$AF$7:$AF$608,COUNTIFS('Offers'!$B$7:$B$608,$B73,'Offers'!$C$7:$C$608,$C73,'Offers'!$AH$7:$AH$608,"yes")))</f>
        <v/>
      </c>
      <c r="I73" s="95">
        <f>IF(COUNTIFS('Offers'!$B$7:$B$608,$B73,'Offers'!$C$7:$C$608,$C73,'Offers'!$AI$7:$AI$608,"yes")=0,"",SUMIFS('Offers'!$I$7:$I$608,'Offers'!$B$7:$B$608,$B73,'Offers'!$C$7:$C$608,$C73,'Offers'!$AG$7:$AG$608,1))</f>
        <v/>
      </c>
      <c r="J73" s="95">
        <f>IF(COUNTIFS('Offers'!$B$7:$B$608,$B73,'Offers'!$C$7:$C$608,$C73,'Offers'!$AI$7:$AI$608,"yes")=0,"",(SUMIFS('Offers'!$I$7:$I$608,'Offers'!$B$7:$B$608,$B73,'Offers'!$C$7:$C$608,$C73,'Offers'!$AG$7:$AG$608,ROUNDUP(COUNTIFS('Offers'!$B$7:$B$608,$B73,'Offers'!$C$7:$C$608,$C73,'Offers'!$AI$7:$AI$608,"yes")/2,0))+SUMIFS('Offers'!$I$7:$I$608,'Offers'!$B$7:$B$608,$B73,'Offers'!$C$7:$C$608,$C73,'Offers'!$AG$7:$AG$608,INT(COUNTIFS('Offers'!$B$7:$B$608,$B73,'Offers'!$C$7:$C$608,$C73,'Offers'!$AI$7:$AI$608,"yes")/2)+1))/2)</f>
        <v/>
      </c>
      <c r="K73" s="95">
        <f>IF(COUNTIFS('Offers'!$B$7:$B$608,$B73,'Offers'!$C$7:$C$608,$C73,'Offers'!$AI$7:$AI$608,"yes")=0,"",SUMIFS('Offers'!$I$7:$I$608,'Offers'!$B$7:$B$608,$B73,'Offers'!$C$7:$C$608,$C73,'Offers'!$AG$7:$AG$608,COUNTIFS('Offers'!$B$7:$B$608,$B73,'Offers'!$C$7:$C$608,$C73,'Offers'!$AI$7:$AI$608,"yes")))</f>
        <v/>
      </c>
      <c r="L73" s="55" t="n"/>
      <c r="M73" s="55" t="n"/>
      <c r="N73" s="55" t="n"/>
      <c r="O73" s="2">
        <f>IF('Compare'!$E$5="Local prices",IF(F73="","",IF('Compare'!$C$5="Minimum",F73,IF('Compare'!$C$5="Maximum",H73,G73))),IF(I73="","",IF('Compare'!$C$5="Minimum",I73,IF('Compare'!$C$5="Maximum",K73,J73))))</f>
        <v/>
      </c>
    </row>
    <row r="74" ht="44" customHeight="1">
      <c r="A74" s="2" t="n"/>
      <c r="B74" s="27" t="inlineStr">
        <is>
          <t>PP dough box 600 × 400 × 100 mm</t>
        </is>
      </c>
      <c r="C74" s="27" t="inlineStr">
        <is>
          <t>Romania</t>
        </is>
      </c>
      <c r="D74" s="27" t="inlineStr">
        <is>
          <t>RON</t>
        </is>
      </c>
      <c r="E74" s="27" t="inlineStr">
        <is>
          <t>Net per piece</t>
        </is>
      </c>
      <c r="F74" s="96">
        <f>IF(COUNTIFS('Offers'!$B$7:$B$608,$B74,'Offers'!$C$7:$C$608,$C74,'Offers'!$AH$7:$AH$608,"yes")=0,"",SUMIFS('Offers'!$H$7:$H$608,'Offers'!$B$7:$B$608,$B74,'Offers'!$C$7:$C$608,$C74,'Offers'!$AF$7:$AF$608,1))</f>
        <v/>
      </c>
      <c r="G74" s="96">
        <f>IF(COUNTIFS('Offers'!$B$7:$B$608,$B74,'Offers'!$C$7:$C$608,$C74,'Offers'!$AH$7:$AH$608,"yes")=0,"",(SUMIFS('Offers'!$H$7:$H$608,'Offers'!$B$7:$B$608,$B74,'Offers'!$C$7:$C$608,$C74,'Offers'!$AF$7:$AF$608,ROUNDUP(COUNTIFS('Offers'!$B$7:$B$608,$B74,'Offers'!$C$7:$C$608,$C74,'Offers'!$AH$7:$AH$608,"yes")/2,0))+SUMIFS('Offers'!$H$7:$H$608,'Offers'!$B$7:$B$608,$B74,'Offers'!$C$7:$C$608,$C74,'Offers'!$AF$7:$AF$608,INT(COUNTIFS('Offers'!$B$7:$B$608,$B74,'Offers'!$C$7:$C$608,$C74,'Offers'!$AH$7:$AH$608,"yes")/2)+1))/2)</f>
        <v/>
      </c>
      <c r="H74" s="96">
        <f>IF(COUNTIFS('Offers'!$B$7:$B$608,$B74,'Offers'!$C$7:$C$608,$C74,'Offers'!$AH$7:$AH$608,"yes")=0,"",SUMIFS('Offers'!$H$7:$H$608,'Offers'!$B$7:$B$608,$B74,'Offers'!$C$7:$C$608,$C74,'Offers'!$AF$7:$AF$608,COUNTIFS('Offers'!$B$7:$B$608,$B74,'Offers'!$C$7:$C$608,$C74,'Offers'!$AH$7:$AH$608,"yes")))</f>
        <v/>
      </c>
      <c r="I74" s="97">
        <f>IF(COUNTIFS('Offers'!$B$7:$B$608,$B74,'Offers'!$C$7:$C$608,$C74,'Offers'!$AI$7:$AI$608,"yes")=0,"",SUMIFS('Offers'!$I$7:$I$608,'Offers'!$B$7:$B$608,$B74,'Offers'!$C$7:$C$608,$C74,'Offers'!$AG$7:$AG$608,1))</f>
        <v/>
      </c>
      <c r="J74" s="97">
        <f>IF(COUNTIFS('Offers'!$B$7:$B$608,$B74,'Offers'!$C$7:$C$608,$C74,'Offers'!$AI$7:$AI$608,"yes")=0,"",(SUMIFS('Offers'!$I$7:$I$608,'Offers'!$B$7:$B$608,$B74,'Offers'!$C$7:$C$608,$C74,'Offers'!$AG$7:$AG$608,ROUNDUP(COUNTIFS('Offers'!$B$7:$B$608,$B74,'Offers'!$C$7:$C$608,$C74,'Offers'!$AI$7:$AI$608,"yes")/2,0))+SUMIFS('Offers'!$I$7:$I$608,'Offers'!$B$7:$B$608,$B74,'Offers'!$C$7:$C$608,$C74,'Offers'!$AG$7:$AG$608,INT(COUNTIFS('Offers'!$B$7:$B$608,$B74,'Offers'!$C$7:$C$608,$C74,'Offers'!$AI$7:$AI$608,"yes")/2)+1))/2)</f>
        <v/>
      </c>
      <c r="K74" s="97">
        <f>IF(COUNTIFS('Offers'!$B$7:$B$608,$B74,'Offers'!$C$7:$C$608,$C74,'Offers'!$AI$7:$AI$608,"yes")=0,"",SUMIFS('Offers'!$I$7:$I$608,'Offers'!$B$7:$B$608,$B74,'Offers'!$C$7:$C$608,$C74,'Offers'!$AG$7:$AG$608,COUNTIFS('Offers'!$B$7:$B$608,$B74,'Offers'!$C$7:$C$608,$C74,'Offers'!$AI$7:$AI$608,"yes")))</f>
        <v/>
      </c>
      <c r="L74" s="55" t="n"/>
      <c r="M74" s="55" t="n"/>
      <c r="N74" s="55" t="n"/>
      <c r="O74" s="19">
        <f>IF('Compare'!$E$5="Local prices",IF(F74="","",IF('Compare'!$C$5="Minimum",F74,IF('Compare'!$C$5="Maximum",H74,G74))),IF(I74="","",IF('Compare'!$C$5="Minimum",I74,IF('Compare'!$C$5="Maximum",K74,J74))))</f>
        <v/>
      </c>
    </row>
    <row r="75" ht="44" customHeight="1">
      <c r="A75" s="2" t="n"/>
      <c r="B75" s="24" t="inlineStr">
        <is>
          <t>PP dough box 600 × 400 × 100 mm</t>
        </is>
      </c>
      <c r="C75" s="24" t="inlineStr">
        <is>
          <t>Austria</t>
        </is>
      </c>
      <c r="D75" s="24" t="inlineStr">
        <is>
          <t>EUR</t>
        </is>
      </c>
      <c r="E75" s="24" t="inlineStr">
        <is>
          <t>Net per piece</t>
        </is>
      </c>
      <c r="F75" s="94">
        <f>IF(COUNTIFS('Offers'!$B$7:$B$608,$B75,'Offers'!$C$7:$C$608,$C75,'Offers'!$AH$7:$AH$608,"yes")=0,"",SUMIFS('Offers'!$H$7:$H$608,'Offers'!$B$7:$B$608,$B75,'Offers'!$C$7:$C$608,$C75,'Offers'!$AF$7:$AF$608,1))</f>
        <v/>
      </c>
      <c r="G75" s="94">
        <f>IF(COUNTIFS('Offers'!$B$7:$B$608,$B75,'Offers'!$C$7:$C$608,$C75,'Offers'!$AH$7:$AH$608,"yes")=0,"",(SUMIFS('Offers'!$H$7:$H$608,'Offers'!$B$7:$B$608,$B75,'Offers'!$C$7:$C$608,$C75,'Offers'!$AF$7:$AF$608,ROUNDUP(COUNTIFS('Offers'!$B$7:$B$608,$B75,'Offers'!$C$7:$C$608,$C75,'Offers'!$AH$7:$AH$608,"yes")/2,0))+SUMIFS('Offers'!$H$7:$H$608,'Offers'!$B$7:$B$608,$B75,'Offers'!$C$7:$C$608,$C75,'Offers'!$AF$7:$AF$608,INT(COUNTIFS('Offers'!$B$7:$B$608,$B75,'Offers'!$C$7:$C$608,$C75,'Offers'!$AH$7:$AH$608,"yes")/2)+1))/2)</f>
        <v/>
      </c>
      <c r="H75" s="94">
        <f>IF(COUNTIFS('Offers'!$B$7:$B$608,$B75,'Offers'!$C$7:$C$608,$C75,'Offers'!$AH$7:$AH$608,"yes")=0,"",SUMIFS('Offers'!$H$7:$H$608,'Offers'!$B$7:$B$608,$B75,'Offers'!$C$7:$C$608,$C75,'Offers'!$AF$7:$AF$608,COUNTIFS('Offers'!$B$7:$B$608,$B75,'Offers'!$C$7:$C$608,$C75,'Offers'!$AH$7:$AH$608,"yes")))</f>
        <v/>
      </c>
      <c r="I75" s="95">
        <f>IF(COUNTIFS('Offers'!$B$7:$B$608,$B75,'Offers'!$C$7:$C$608,$C75,'Offers'!$AI$7:$AI$608,"yes")=0,"",SUMIFS('Offers'!$I$7:$I$608,'Offers'!$B$7:$B$608,$B75,'Offers'!$C$7:$C$608,$C75,'Offers'!$AG$7:$AG$608,1))</f>
        <v/>
      </c>
      <c r="J75" s="95">
        <f>IF(COUNTIFS('Offers'!$B$7:$B$608,$B75,'Offers'!$C$7:$C$608,$C75,'Offers'!$AI$7:$AI$608,"yes")=0,"",(SUMIFS('Offers'!$I$7:$I$608,'Offers'!$B$7:$B$608,$B75,'Offers'!$C$7:$C$608,$C75,'Offers'!$AG$7:$AG$608,ROUNDUP(COUNTIFS('Offers'!$B$7:$B$608,$B75,'Offers'!$C$7:$C$608,$C75,'Offers'!$AI$7:$AI$608,"yes")/2,0))+SUMIFS('Offers'!$I$7:$I$608,'Offers'!$B$7:$B$608,$B75,'Offers'!$C$7:$C$608,$C75,'Offers'!$AG$7:$AG$608,INT(COUNTIFS('Offers'!$B$7:$B$608,$B75,'Offers'!$C$7:$C$608,$C75,'Offers'!$AI$7:$AI$608,"yes")/2)+1))/2)</f>
        <v/>
      </c>
      <c r="K75" s="95">
        <f>IF(COUNTIFS('Offers'!$B$7:$B$608,$B75,'Offers'!$C$7:$C$608,$C75,'Offers'!$AI$7:$AI$608,"yes")=0,"",SUMIFS('Offers'!$I$7:$I$608,'Offers'!$B$7:$B$608,$B75,'Offers'!$C$7:$C$608,$C75,'Offers'!$AG$7:$AG$608,COUNTIFS('Offers'!$B$7:$B$608,$B75,'Offers'!$C$7:$C$608,$C75,'Offers'!$AI$7:$AI$608,"yes")))</f>
        <v/>
      </c>
      <c r="L75" s="55" t="n"/>
      <c r="M75" s="55" t="n"/>
      <c r="N75" s="55" t="n"/>
      <c r="O75" s="2">
        <f>IF('Compare'!$E$5="Local prices",IF(F75="","",IF('Compare'!$C$5="Minimum",F75,IF('Compare'!$C$5="Maximum",H75,G75))),IF(I75="","",IF('Compare'!$C$5="Minimum",I75,IF('Compare'!$C$5="Maximum",K75,J75))))</f>
        <v/>
      </c>
    </row>
    <row r="76" ht="44" customHeight="1">
      <c r="A76" s="2" t="n"/>
      <c r="B76" s="27" t="inlineStr">
        <is>
          <t>PP dough box 600 × 400 × 100 mm</t>
        </is>
      </c>
      <c r="C76" s="27" t="inlineStr">
        <is>
          <t>Germany</t>
        </is>
      </c>
      <c r="D76" s="27" t="inlineStr">
        <is>
          <t>EUR</t>
        </is>
      </c>
      <c r="E76" s="27" t="inlineStr">
        <is>
          <t>Net per piece</t>
        </is>
      </c>
      <c r="F76" s="96">
        <f>IF(COUNTIFS('Offers'!$B$7:$B$608,$B76,'Offers'!$C$7:$C$608,$C76,'Offers'!$AH$7:$AH$608,"yes")=0,"",SUMIFS('Offers'!$H$7:$H$608,'Offers'!$B$7:$B$608,$B76,'Offers'!$C$7:$C$608,$C76,'Offers'!$AF$7:$AF$608,1))</f>
        <v/>
      </c>
      <c r="G76" s="96">
        <f>IF(COUNTIFS('Offers'!$B$7:$B$608,$B76,'Offers'!$C$7:$C$608,$C76,'Offers'!$AH$7:$AH$608,"yes")=0,"",(SUMIFS('Offers'!$H$7:$H$608,'Offers'!$B$7:$B$608,$B76,'Offers'!$C$7:$C$608,$C76,'Offers'!$AF$7:$AF$608,ROUNDUP(COUNTIFS('Offers'!$B$7:$B$608,$B76,'Offers'!$C$7:$C$608,$C76,'Offers'!$AH$7:$AH$608,"yes")/2,0))+SUMIFS('Offers'!$H$7:$H$608,'Offers'!$B$7:$B$608,$B76,'Offers'!$C$7:$C$608,$C76,'Offers'!$AF$7:$AF$608,INT(COUNTIFS('Offers'!$B$7:$B$608,$B76,'Offers'!$C$7:$C$608,$C76,'Offers'!$AH$7:$AH$608,"yes")/2)+1))/2)</f>
        <v/>
      </c>
      <c r="H76" s="96">
        <f>IF(COUNTIFS('Offers'!$B$7:$B$608,$B76,'Offers'!$C$7:$C$608,$C76,'Offers'!$AH$7:$AH$608,"yes")=0,"",SUMIFS('Offers'!$H$7:$H$608,'Offers'!$B$7:$B$608,$B76,'Offers'!$C$7:$C$608,$C76,'Offers'!$AF$7:$AF$608,COUNTIFS('Offers'!$B$7:$B$608,$B76,'Offers'!$C$7:$C$608,$C76,'Offers'!$AH$7:$AH$608,"yes")))</f>
        <v/>
      </c>
      <c r="I76" s="97">
        <f>IF(COUNTIFS('Offers'!$B$7:$B$608,$B76,'Offers'!$C$7:$C$608,$C76,'Offers'!$AI$7:$AI$608,"yes")=0,"",SUMIFS('Offers'!$I$7:$I$608,'Offers'!$B$7:$B$608,$B76,'Offers'!$C$7:$C$608,$C76,'Offers'!$AG$7:$AG$608,1))</f>
        <v/>
      </c>
      <c r="J76" s="97">
        <f>IF(COUNTIFS('Offers'!$B$7:$B$608,$B76,'Offers'!$C$7:$C$608,$C76,'Offers'!$AI$7:$AI$608,"yes")=0,"",(SUMIFS('Offers'!$I$7:$I$608,'Offers'!$B$7:$B$608,$B76,'Offers'!$C$7:$C$608,$C76,'Offers'!$AG$7:$AG$608,ROUNDUP(COUNTIFS('Offers'!$B$7:$B$608,$B76,'Offers'!$C$7:$C$608,$C76,'Offers'!$AI$7:$AI$608,"yes")/2,0))+SUMIFS('Offers'!$I$7:$I$608,'Offers'!$B$7:$B$608,$B76,'Offers'!$C$7:$C$608,$C76,'Offers'!$AG$7:$AG$608,INT(COUNTIFS('Offers'!$B$7:$B$608,$B76,'Offers'!$C$7:$C$608,$C76,'Offers'!$AI$7:$AI$608,"yes")/2)+1))/2)</f>
        <v/>
      </c>
      <c r="K76" s="97">
        <f>IF(COUNTIFS('Offers'!$B$7:$B$608,$B76,'Offers'!$C$7:$C$608,$C76,'Offers'!$AI$7:$AI$608,"yes")=0,"",SUMIFS('Offers'!$I$7:$I$608,'Offers'!$B$7:$B$608,$B76,'Offers'!$C$7:$C$608,$C76,'Offers'!$AG$7:$AG$608,COUNTIFS('Offers'!$B$7:$B$608,$B76,'Offers'!$C$7:$C$608,$C76,'Offers'!$AI$7:$AI$608,"yes")))</f>
        <v/>
      </c>
      <c r="L76" s="55" t="n"/>
      <c r="M76" s="55" t="n"/>
      <c r="N76" s="55" t="n"/>
      <c r="O76" s="19">
        <f>IF('Compare'!$E$5="Local prices",IF(F76="","",IF('Compare'!$C$5="Minimum",F76,IF('Compare'!$C$5="Maximum",H76,G76))),IF(I76="","",IF('Compare'!$C$5="Minimum",I76,IF('Compare'!$C$5="Maximum",K76,J76))))</f>
        <v/>
      </c>
    </row>
    <row r="77" ht="44" customHeight="1">
      <c r="A77" s="2" t="n"/>
      <c r="B77" s="24" t="inlineStr">
        <is>
          <t>PP dough box 600 × 400 × 100 mm</t>
        </is>
      </c>
      <c r="C77" s="24" t="inlineStr">
        <is>
          <t>Czech</t>
        </is>
      </c>
      <c r="D77" s="24" t="inlineStr">
        <is>
          <t>CZK</t>
        </is>
      </c>
      <c r="E77" s="24" t="inlineStr">
        <is>
          <t>Net per piece</t>
        </is>
      </c>
      <c r="F77" s="94">
        <f>IF(COUNTIFS('Offers'!$B$7:$B$608,$B77,'Offers'!$C$7:$C$608,$C77,'Offers'!$AH$7:$AH$608,"yes")=0,"",SUMIFS('Offers'!$H$7:$H$608,'Offers'!$B$7:$B$608,$B77,'Offers'!$C$7:$C$608,$C77,'Offers'!$AF$7:$AF$608,1))</f>
        <v/>
      </c>
      <c r="G77" s="94">
        <f>IF(COUNTIFS('Offers'!$B$7:$B$608,$B77,'Offers'!$C$7:$C$608,$C77,'Offers'!$AH$7:$AH$608,"yes")=0,"",(SUMIFS('Offers'!$H$7:$H$608,'Offers'!$B$7:$B$608,$B77,'Offers'!$C$7:$C$608,$C77,'Offers'!$AF$7:$AF$608,ROUNDUP(COUNTIFS('Offers'!$B$7:$B$608,$B77,'Offers'!$C$7:$C$608,$C77,'Offers'!$AH$7:$AH$608,"yes")/2,0))+SUMIFS('Offers'!$H$7:$H$608,'Offers'!$B$7:$B$608,$B77,'Offers'!$C$7:$C$608,$C77,'Offers'!$AF$7:$AF$608,INT(COUNTIFS('Offers'!$B$7:$B$608,$B77,'Offers'!$C$7:$C$608,$C77,'Offers'!$AH$7:$AH$608,"yes")/2)+1))/2)</f>
        <v/>
      </c>
      <c r="H77" s="94">
        <f>IF(COUNTIFS('Offers'!$B$7:$B$608,$B77,'Offers'!$C$7:$C$608,$C77,'Offers'!$AH$7:$AH$608,"yes")=0,"",SUMIFS('Offers'!$H$7:$H$608,'Offers'!$B$7:$B$608,$B77,'Offers'!$C$7:$C$608,$C77,'Offers'!$AF$7:$AF$608,COUNTIFS('Offers'!$B$7:$B$608,$B77,'Offers'!$C$7:$C$608,$C77,'Offers'!$AH$7:$AH$608,"yes")))</f>
        <v/>
      </c>
      <c r="I77" s="95">
        <f>IF(COUNTIFS('Offers'!$B$7:$B$608,$B77,'Offers'!$C$7:$C$608,$C77,'Offers'!$AI$7:$AI$608,"yes")=0,"",SUMIFS('Offers'!$I$7:$I$608,'Offers'!$B$7:$B$608,$B77,'Offers'!$C$7:$C$608,$C77,'Offers'!$AG$7:$AG$608,1))</f>
        <v/>
      </c>
      <c r="J77" s="95">
        <f>IF(COUNTIFS('Offers'!$B$7:$B$608,$B77,'Offers'!$C$7:$C$608,$C77,'Offers'!$AI$7:$AI$608,"yes")=0,"",(SUMIFS('Offers'!$I$7:$I$608,'Offers'!$B$7:$B$608,$B77,'Offers'!$C$7:$C$608,$C77,'Offers'!$AG$7:$AG$608,ROUNDUP(COUNTIFS('Offers'!$B$7:$B$608,$B77,'Offers'!$C$7:$C$608,$C77,'Offers'!$AI$7:$AI$608,"yes")/2,0))+SUMIFS('Offers'!$I$7:$I$608,'Offers'!$B$7:$B$608,$B77,'Offers'!$C$7:$C$608,$C77,'Offers'!$AG$7:$AG$608,INT(COUNTIFS('Offers'!$B$7:$B$608,$B77,'Offers'!$C$7:$C$608,$C77,'Offers'!$AI$7:$AI$608,"yes")/2)+1))/2)</f>
        <v/>
      </c>
      <c r="K77" s="95">
        <f>IF(COUNTIFS('Offers'!$B$7:$B$608,$B77,'Offers'!$C$7:$C$608,$C77,'Offers'!$AI$7:$AI$608,"yes")=0,"",SUMIFS('Offers'!$I$7:$I$608,'Offers'!$B$7:$B$608,$B77,'Offers'!$C$7:$C$608,$C77,'Offers'!$AG$7:$AG$608,COUNTIFS('Offers'!$B$7:$B$608,$B77,'Offers'!$C$7:$C$608,$C77,'Offers'!$AI$7:$AI$608,"yes")))</f>
        <v/>
      </c>
      <c r="L77" s="55" t="n"/>
      <c r="M77" s="55" t="n"/>
      <c r="N77" s="55" t="n"/>
      <c r="O77" s="2">
        <f>IF('Compare'!$E$5="Local prices",IF(F77="","",IF('Compare'!$C$5="Minimum",F77,IF('Compare'!$C$5="Maximum",H77,G77))),IF(I77="","",IF('Compare'!$C$5="Minimum",I77,IF('Compare'!$C$5="Maximum",K77,J77))))</f>
        <v/>
      </c>
    </row>
    <row r="78" ht="44" customHeight="1">
      <c r="A78" s="2" t="n"/>
      <c r="B78" s="27" t="inlineStr">
        <is>
          <t>PP dough box 600 × 400 × 100 mm</t>
        </is>
      </c>
      <c r="C78" s="27" t="inlineStr">
        <is>
          <t>Slovakia</t>
        </is>
      </c>
      <c r="D78" s="27" t="inlineStr">
        <is>
          <t>EUR</t>
        </is>
      </c>
      <c r="E78" s="27" t="inlineStr">
        <is>
          <t>Net per piece</t>
        </is>
      </c>
      <c r="F78" s="96">
        <f>IF(COUNTIFS('Offers'!$B$7:$B$608,$B78,'Offers'!$C$7:$C$608,$C78,'Offers'!$AH$7:$AH$608,"yes")=0,"",SUMIFS('Offers'!$H$7:$H$608,'Offers'!$B$7:$B$608,$B78,'Offers'!$C$7:$C$608,$C78,'Offers'!$AF$7:$AF$608,1))</f>
        <v/>
      </c>
      <c r="G78" s="96">
        <f>IF(COUNTIFS('Offers'!$B$7:$B$608,$B78,'Offers'!$C$7:$C$608,$C78,'Offers'!$AH$7:$AH$608,"yes")=0,"",(SUMIFS('Offers'!$H$7:$H$608,'Offers'!$B$7:$B$608,$B78,'Offers'!$C$7:$C$608,$C78,'Offers'!$AF$7:$AF$608,ROUNDUP(COUNTIFS('Offers'!$B$7:$B$608,$B78,'Offers'!$C$7:$C$608,$C78,'Offers'!$AH$7:$AH$608,"yes")/2,0))+SUMIFS('Offers'!$H$7:$H$608,'Offers'!$B$7:$B$608,$B78,'Offers'!$C$7:$C$608,$C78,'Offers'!$AF$7:$AF$608,INT(COUNTIFS('Offers'!$B$7:$B$608,$B78,'Offers'!$C$7:$C$608,$C78,'Offers'!$AH$7:$AH$608,"yes")/2)+1))/2)</f>
        <v/>
      </c>
      <c r="H78" s="96">
        <f>IF(COUNTIFS('Offers'!$B$7:$B$608,$B78,'Offers'!$C$7:$C$608,$C78,'Offers'!$AH$7:$AH$608,"yes")=0,"",SUMIFS('Offers'!$H$7:$H$608,'Offers'!$B$7:$B$608,$B78,'Offers'!$C$7:$C$608,$C78,'Offers'!$AF$7:$AF$608,COUNTIFS('Offers'!$B$7:$B$608,$B78,'Offers'!$C$7:$C$608,$C78,'Offers'!$AH$7:$AH$608,"yes")))</f>
        <v/>
      </c>
      <c r="I78" s="97">
        <f>IF(COUNTIFS('Offers'!$B$7:$B$608,$B78,'Offers'!$C$7:$C$608,$C78,'Offers'!$AI$7:$AI$608,"yes")=0,"",SUMIFS('Offers'!$I$7:$I$608,'Offers'!$B$7:$B$608,$B78,'Offers'!$C$7:$C$608,$C78,'Offers'!$AG$7:$AG$608,1))</f>
        <v/>
      </c>
      <c r="J78" s="97">
        <f>IF(COUNTIFS('Offers'!$B$7:$B$608,$B78,'Offers'!$C$7:$C$608,$C78,'Offers'!$AI$7:$AI$608,"yes")=0,"",(SUMIFS('Offers'!$I$7:$I$608,'Offers'!$B$7:$B$608,$B78,'Offers'!$C$7:$C$608,$C78,'Offers'!$AG$7:$AG$608,ROUNDUP(COUNTIFS('Offers'!$B$7:$B$608,$B78,'Offers'!$C$7:$C$608,$C78,'Offers'!$AI$7:$AI$608,"yes")/2,0))+SUMIFS('Offers'!$I$7:$I$608,'Offers'!$B$7:$B$608,$B78,'Offers'!$C$7:$C$608,$C78,'Offers'!$AG$7:$AG$608,INT(COUNTIFS('Offers'!$B$7:$B$608,$B78,'Offers'!$C$7:$C$608,$C78,'Offers'!$AI$7:$AI$608,"yes")/2)+1))/2)</f>
        <v/>
      </c>
      <c r="K78" s="97">
        <f>IF(COUNTIFS('Offers'!$B$7:$B$608,$B78,'Offers'!$C$7:$C$608,$C78,'Offers'!$AI$7:$AI$608,"yes")=0,"",SUMIFS('Offers'!$I$7:$I$608,'Offers'!$B$7:$B$608,$B78,'Offers'!$C$7:$C$608,$C78,'Offers'!$AG$7:$AG$608,COUNTIFS('Offers'!$B$7:$B$608,$B78,'Offers'!$C$7:$C$608,$C78,'Offers'!$AI$7:$AI$608,"yes")))</f>
        <v/>
      </c>
      <c r="L78" s="55" t="n"/>
      <c r="M78" s="55" t="n"/>
      <c r="N78" s="55" t="n"/>
      <c r="O78" s="19">
        <f>IF('Compare'!$E$5="Local prices",IF(F78="","",IF('Compare'!$C$5="Minimum",F78,IF('Compare'!$C$5="Maximum",H78,G78))),IF(I78="","",IF('Compare'!$C$5="Minimum",I78,IF('Compare'!$C$5="Maximum",K78,J78))))</f>
        <v/>
      </c>
    </row>
    <row r="79" ht="44" customHeight="1">
      <c r="A79" s="2" t="n"/>
      <c r="B79" s="24" t="inlineStr">
        <is>
          <t>Lid for 600 × 400 mm dough box</t>
        </is>
      </c>
      <c r="C79" s="24" t="inlineStr">
        <is>
          <t>Hungary</t>
        </is>
      </c>
      <c r="D79" s="24" t="inlineStr">
        <is>
          <t>HUF</t>
        </is>
      </c>
      <c r="E79" s="24" t="inlineStr">
        <is>
          <t>Net per piece</t>
        </is>
      </c>
      <c r="F79" s="94">
        <f>IF(COUNTIFS('Offers'!$B$7:$B$608,$B79,'Offers'!$C$7:$C$608,$C79,'Offers'!$AH$7:$AH$608,"yes")=0,"",SUMIFS('Offers'!$H$7:$H$608,'Offers'!$B$7:$B$608,$B79,'Offers'!$C$7:$C$608,$C79,'Offers'!$AF$7:$AF$608,1))</f>
        <v/>
      </c>
      <c r="G79" s="94">
        <f>IF(COUNTIFS('Offers'!$B$7:$B$608,$B79,'Offers'!$C$7:$C$608,$C79,'Offers'!$AH$7:$AH$608,"yes")=0,"",(SUMIFS('Offers'!$H$7:$H$608,'Offers'!$B$7:$B$608,$B79,'Offers'!$C$7:$C$608,$C79,'Offers'!$AF$7:$AF$608,ROUNDUP(COUNTIFS('Offers'!$B$7:$B$608,$B79,'Offers'!$C$7:$C$608,$C79,'Offers'!$AH$7:$AH$608,"yes")/2,0))+SUMIFS('Offers'!$H$7:$H$608,'Offers'!$B$7:$B$608,$B79,'Offers'!$C$7:$C$608,$C79,'Offers'!$AF$7:$AF$608,INT(COUNTIFS('Offers'!$B$7:$B$608,$B79,'Offers'!$C$7:$C$608,$C79,'Offers'!$AH$7:$AH$608,"yes")/2)+1))/2)</f>
        <v/>
      </c>
      <c r="H79" s="94">
        <f>IF(COUNTIFS('Offers'!$B$7:$B$608,$B79,'Offers'!$C$7:$C$608,$C79,'Offers'!$AH$7:$AH$608,"yes")=0,"",SUMIFS('Offers'!$H$7:$H$608,'Offers'!$B$7:$B$608,$B79,'Offers'!$C$7:$C$608,$C79,'Offers'!$AF$7:$AF$608,COUNTIFS('Offers'!$B$7:$B$608,$B79,'Offers'!$C$7:$C$608,$C79,'Offers'!$AH$7:$AH$608,"yes")))</f>
        <v/>
      </c>
      <c r="I79" s="95">
        <f>IF(COUNTIFS('Offers'!$B$7:$B$608,$B79,'Offers'!$C$7:$C$608,$C79,'Offers'!$AI$7:$AI$608,"yes")=0,"",SUMIFS('Offers'!$I$7:$I$608,'Offers'!$B$7:$B$608,$B79,'Offers'!$C$7:$C$608,$C79,'Offers'!$AG$7:$AG$608,1))</f>
        <v/>
      </c>
      <c r="J79" s="95">
        <f>IF(COUNTIFS('Offers'!$B$7:$B$608,$B79,'Offers'!$C$7:$C$608,$C79,'Offers'!$AI$7:$AI$608,"yes")=0,"",(SUMIFS('Offers'!$I$7:$I$608,'Offers'!$B$7:$B$608,$B79,'Offers'!$C$7:$C$608,$C79,'Offers'!$AG$7:$AG$608,ROUNDUP(COUNTIFS('Offers'!$B$7:$B$608,$B79,'Offers'!$C$7:$C$608,$C79,'Offers'!$AI$7:$AI$608,"yes")/2,0))+SUMIFS('Offers'!$I$7:$I$608,'Offers'!$B$7:$B$608,$B79,'Offers'!$C$7:$C$608,$C79,'Offers'!$AG$7:$AG$608,INT(COUNTIFS('Offers'!$B$7:$B$608,$B79,'Offers'!$C$7:$C$608,$C79,'Offers'!$AI$7:$AI$608,"yes")/2)+1))/2)</f>
        <v/>
      </c>
      <c r="K79" s="95">
        <f>IF(COUNTIFS('Offers'!$B$7:$B$608,$B79,'Offers'!$C$7:$C$608,$C79,'Offers'!$AI$7:$AI$608,"yes")=0,"",SUMIFS('Offers'!$I$7:$I$608,'Offers'!$B$7:$B$608,$B79,'Offers'!$C$7:$C$608,$C79,'Offers'!$AG$7:$AG$608,COUNTIFS('Offers'!$B$7:$B$608,$B79,'Offers'!$C$7:$C$608,$C79,'Offers'!$AI$7:$AI$608,"yes")))</f>
        <v/>
      </c>
      <c r="L79" s="55" t="n"/>
      <c r="M79" s="55" t="n"/>
      <c r="N79" s="55" t="n"/>
      <c r="O79" s="2">
        <f>IF('Compare'!$E$5="Local prices",IF(F79="","",IF('Compare'!$C$5="Minimum",F79,IF('Compare'!$C$5="Maximum",H79,G79))),IF(I79="","",IF('Compare'!$C$5="Minimum",I79,IF('Compare'!$C$5="Maximum",K79,J79))))</f>
        <v/>
      </c>
    </row>
    <row r="80" ht="44" customHeight="1">
      <c r="A80" s="2" t="n"/>
      <c r="B80" s="27" t="inlineStr">
        <is>
          <t>Lid for 600 × 400 mm dough box</t>
        </is>
      </c>
      <c r="C80" s="27" t="inlineStr">
        <is>
          <t>Romania</t>
        </is>
      </c>
      <c r="D80" s="27" t="inlineStr">
        <is>
          <t>RON</t>
        </is>
      </c>
      <c r="E80" s="27" t="inlineStr">
        <is>
          <t>Net per piece</t>
        </is>
      </c>
      <c r="F80" s="96">
        <f>IF(COUNTIFS('Offers'!$B$7:$B$608,$B80,'Offers'!$C$7:$C$608,$C80,'Offers'!$AH$7:$AH$608,"yes")=0,"",SUMIFS('Offers'!$H$7:$H$608,'Offers'!$B$7:$B$608,$B80,'Offers'!$C$7:$C$608,$C80,'Offers'!$AF$7:$AF$608,1))</f>
        <v/>
      </c>
      <c r="G80" s="96">
        <f>IF(COUNTIFS('Offers'!$B$7:$B$608,$B80,'Offers'!$C$7:$C$608,$C80,'Offers'!$AH$7:$AH$608,"yes")=0,"",(SUMIFS('Offers'!$H$7:$H$608,'Offers'!$B$7:$B$608,$B80,'Offers'!$C$7:$C$608,$C80,'Offers'!$AF$7:$AF$608,ROUNDUP(COUNTIFS('Offers'!$B$7:$B$608,$B80,'Offers'!$C$7:$C$608,$C80,'Offers'!$AH$7:$AH$608,"yes")/2,0))+SUMIFS('Offers'!$H$7:$H$608,'Offers'!$B$7:$B$608,$B80,'Offers'!$C$7:$C$608,$C80,'Offers'!$AF$7:$AF$608,INT(COUNTIFS('Offers'!$B$7:$B$608,$B80,'Offers'!$C$7:$C$608,$C80,'Offers'!$AH$7:$AH$608,"yes")/2)+1))/2)</f>
        <v/>
      </c>
      <c r="H80" s="96">
        <f>IF(COUNTIFS('Offers'!$B$7:$B$608,$B80,'Offers'!$C$7:$C$608,$C80,'Offers'!$AH$7:$AH$608,"yes")=0,"",SUMIFS('Offers'!$H$7:$H$608,'Offers'!$B$7:$B$608,$B80,'Offers'!$C$7:$C$608,$C80,'Offers'!$AF$7:$AF$608,COUNTIFS('Offers'!$B$7:$B$608,$B80,'Offers'!$C$7:$C$608,$C80,'Offers'!$AH$7:$AH$608,"yes")))</f>
        <v/>
      </c>
      <c r="I80" s="97">
        <f>IF(COUNTIFS('Offers'!$B$7:$B$608,$B80,'Offers'!$C$7:$C$608,$C80,'Offers'!$AI$7:$AI$608,"yes")=0,"",SUMIFS('Offers'!$I$7:$I$608,'Offers'!$B$7:$B$608,$B80,'Offers'!$C$7:$C$608,$C80,'Offers'!$AG$7:$AG$608,1))</f>
        <v/>
      </c>
      <c r="J80" s="97">
        <f>IF(COUNTIFS('Offers'!$B$7:$B$608,$B80,'Offers'!$C$7:$C$608,$C80,'Offers'!$AI$7:$AI$608,"yes")=0,"",(SUMIFS('Offers'!$I$7:$I$608,'Offers'!$B$7:$B$608,$B80,'Offers'!$C$7:$C$608,$C80,'Offers'!$AG$7:$AG$608,ROUNDUP(COUNTIFS('Offers'!$B$7:$B$608,$B80,'Offers'!$C$7:$C$608,$C80,'Offers'!$AI$7:$AI$608,"yes")/2,0))+SUMIFS('Offers'!$I$7:$I$608,'Offers'!$B$7:$B$608,$B80,'Offers'!$C$7:$C$608,$C80,'Offers'!$AG$7:$AG$608,INT(COUNTIFS('Offers'!$B$7:$B$608,$B80,'Offers'!$C$7:$C$608,$C80,'Offers'!$AI$7:$AI$608,"yes")/2)+1))/2)</f>
        <v/>
      </c>
      <c r="K80" s="97">
        <f>IF(COUNTIFS('Offers'!$B$7:$B$608,$B80,'Offers'!$C$7:$C$608,$C80,'Offers'!$AI$7:$AI$608,"yes")=0,"",SUMIFS('Offers'!$I$7:$I$608,'Offers'!$B$7:$B$608,$B80,'Offers'!$C$7:$C$608,$C80,'Offers'!$AG$7:$AG$608,COUNTIFS('Offers'!$B$7:$B$608,$B80,'Offers'!$C$7:$C$608,$C80,'Offers'!$AI$7:$AI$608,"yes")))</f>
        <v/>
      </c>
      <c r="L80" s="55" t="n"/>
      <c r="M80" s="55" t="n"/>
      <c r="N80" s="55" t="n"/>
      <c r="O80" s="19">
        <f>IF('Compare'!$E$5="Local prices",IF(F80="","",IF('Compare'!$C$5="Minimum",F80,IF('Compare'!$C$5="Maximum",H80,G80))),IF(I80="","",IF('Compare'!$C$5="Minimum",I80,IF('Compare'!$C$5="Maximum",K80,J80))))</f>
        <v/>
      </c>
    </row>
    <row r="81" ht="44" customHeight="1">
      <c r="A81" s="2" t="n"/>
      <c r="B81" s="24" t="inlineStr">
        <is>
          <t>Lid for 600 × 400 mm dough box</t>
        </is>
      </c>
      <c r="C81" s="24" t="inlineStr">
        <is>
          <t>Austria</t>
        </is>
      </c>
      <c r="D81" s="24" t="inlineStr">
        <is>
          <t>EUR</t>
        </is>
      </c>
      <c r="E81" s="24" t="inlineStr">
        <is>
          <t>Net per piece</t>
        </is>
      </c>
      <c r="F81" s="94">
        <f>IF(COUNTIFS('Offers'!$B$7:$B$608,$B81,'Offers'!$C$7:$C$608,$C81,'Offers'!$AH$7:$AH$608,"yes")=0,"",SUMIFS('Offers'!$H$7:$H$608,'Offers'!$B$7:$B$608,$B81,'Offers'!$C$7:$C$608,$C81,'Offers'!$AF$7:$AF$608,1))</f>
        <v/>
      </c>
      <c r="G81" s="94">
        <f>IF(COUNTIFS('Offers'!$B$7:$B$608,$B81,'Offers'!$C$7:$C$608,$C81,'Offers'!$AH$7:$AH$608,"yes")=0,"",(SUMIFS('Offers'!$H$7:$H$608,'Offers'!$B$7:$B$608,$B81,'Offers'!$C$7:$C$608,$C81,'Offers'!$AF$7:$AF$608,ROUNDUP(COUNTIFS('Offers'!$B$7:$B$608,$B81,'Offers'!$C$7:$C$608,$C81,'Offers'!$AH$7:$AH$608,"yes")/2,0))+SUMIFS('Offers'!$H$7:$H$608,'Offers'!$B$7:$B$608,$B81,'Offers'!$C$7:$C$608,$C81,'Offers'!$AF$7:$AF$608,INT(COUNTIFS('Offers'!$B$7:$B$608,$B81,'Offers'!$C$7:$C$608,$C81,'Offers'!$AH$7:$AH$608,"yes")/2)+1))/2)</f>
        <v/>
      </c>
      <c r="H81" s="94">
        <f>IF(COUNTIFS('Offers'!$B$7:$B$608,$B81,'Offers'!$C$7:$C$608,$C81,'Offers'!$AH$7:$AH$608,"yes")=0,"",SUMIFS('Offers'!$H$7:$H$608,'Offers'!$B$7:$B$608,$B81,'Offers'!$C$7:$C$608,$C81,'Offers'!$AF$7:$AF$608,COUNTIFS('Offers'!$B$7:$B$608,$B81,'Offers'!$C$7:$C$608,$C81,'Offers'!$AH$7:$AH$608,"yes")))</f>
        <v/>
      </c>
      <c r="I81" s="95">
        <f>IF(COUNTIFS('Offers'!$B$7:$B$608,$B81,'Offers'!$C$7:$C$608,$C81,'Offers'!$AI$7:$AI$608,"yes")=0,"",SUMIFS('Offers'!$I$7:$I$608,'Offers'!$B$7:$B$608,$B81,'Offers'!$C$7:$C$608,$C81,'Offers'!$AG$7:$AG$608,1))</f>
        <v/>
      </c>
      <c r="J81" s="95">
        <f>IF(COUNTIFS('Offers'!$B$7:$B$608,$B81,'Offers'!$C$7:$C$608,$C81,'Offers'!$AI$7:$AI$608,"yes")=0,"",(SUMIFS('Offers'!$I$7:$I$608,'Offers'!$B$7:$B$608,$B81,'Offers'!$C$7:$C$608,$C81,'Offers'!$AG$7:$AG$608,ROUNDUP(COUNTIFS('Offers'!$B$7:$B$608,$B81,'Offers'!$C$7:$C$608,$C81,'Offers'!$AI$7:$AI$608,"yes")/2,0))+SUMIFS('Offers'!$I$7:$I$608,'Offers'!$B$7:$B$608,$B81,'Offers'!$C$7:$C$608,$C81,'Offers'!$AG$7:$AG$608,INT(COUNTIFS('Offers'!$B$7:$B$608,$B81,'Offers'!$C$7:$C$608,$C81,'Offers'!$AI$7:$AI$608,"yes")/2)+1))/2)</f>
        <v/>
      </c>
      <c r="K81" s="95">
        <f>IF(COUNTIFS('Offers'!$B$7:$B$608,$B81,'Offers'!$C$7:$C$608,$C81,'Offers'!$AI$7:$AI$608,"yes")=0,"",SUMIFS('Offers'!$I$7:$I$608,'Offers'!$B$7:$B$608,$B81,'Offers'!$C$7:$C$608,$C81,'Offers'!$AG$7:$AG$608,COUNTIFS('Offers'!$B$7:$B$608,$B81,'Offers'!$C$7:$C$608,$C81,'Offers'!$AI$7:$AI$608,"yes")))</f>
        <v/>
      </c>
      <c r="L81" s="55" t="n"/>
      <c r="M81" s="55" t="n"/>
      <c r="N81" s="55" t="n"/>
      <c r="O81" s="2">
        <f>IF('Compare'!$E$5="Local prices",IF(F81="","",IF('Compare'!$C$5="Minimum",F81,IF('Compare'!$C$5="Maximum",H81,G81))),IF(I81="","",IF('Compare'!$C$5="Minimum",I81,IF('Compare'!$C$5="Maximum",K81,J81))))</f>
        <v/>
      </c>
    </row>
    <row r="82" ht="44" customHeight="1">
      <c r="A82" s="2" t="n"/>
      <c r="B82" s="27" t="inlineStr">
        <is>
          <t>Lid for 600 × 400 mm dough box</t>
        </is>
      </c>
      <c r="C82" s="27" t="inlineStr">
        <is>
          <t>Germany</t>
        </is>
      </c>
      <c r="D82" s="27" t="inlineStr">
        <is>
          <t>EUR</t>
        </is>
      </c>
      <c r="E82" s="27" t="inlineStr">
        <is>
          <t>Net per piece</t>
        </is>
      </c>
      <c r="F82" s="96">
        <f>IF(COUNTIFS('Offers'!$B$7:$B$608,$B82,'Offers'!$C$7:$C$608,$C82,'Offers'!$AH$7:$AH$608,"yes")=0,"",SUMIFS('Offers'!$H$7:$H$608,'Offers'!$B$7:$B$608,$B82,'Offers'!$C$7:$C$608,$C82,'Offers'!$AF$7:$AF$608,1))</f>
        <v/>
      </c>
      <c r="G82" s="96">
        <f>IF(COUNTIFS('Offers'!$B$7:$B$608,$B82,'Offers'!$C$7:$C$608,$C82,'Offers'!$AH$7:$AH$608,"yes")=0,"",(SUMIFS('Offers'!$H$7:$H$608,'Offers'!$B$7:$B$608,$B82,'Offers'!$C$7:$C$608,$C82,'Offers'!$AF$7:$AF$608,ROUNDUP(COUNTIFS('Offers'!$B$7:$B$608,$B82,'Offers'!$C$7:$C$608,$C82,'Offers'!$AH$7:$AH$608,"yes")/2,0))+SUMIFS('Offers'!$H$7:$H$608,'Offers'!$B$7:$B$608,$B82,'Offers'!$C$7:$C$608,$C82,'Offers'!$AF$7:$AF$608,INT(COUNTIFS('Offers'!$B$7:$B$608,$B82,'Offers'!$C$7:$C$608,$C82,'Offers'!$AH$7:$AH$608,"yes")/2)+1))/2)</f>
        <v/>
      </c>
      <c r="H82" s="96">
        <f>IF(COUNTIFS('Offers'!$B$7:$B$608,$B82,'Offers'!$C$7:$C$608,$C82,'Offers'!$AH$7:$AH$608,"yes")=0,"",SUMIFS('Offers'!$H$7:$H$608,'Offers'!$B$7:$B$608,$B82,'Offers'!$C$7:$C$608,$C82,'Offers'!$AF$7:$AF$608,COUNTIFS('Offers'!$B$7:$B$608,$B82,'Offers'!$C$7:$C$608,$C82,'Offers'!$AH$7:$AH$608,"yes")))</f>
        <v/>
      </c>
      <c r="I82" s="97">
        <f>IF(COUNTIFS('Offers'!$B$7:$B$608,$B82,'Offers'!$C$7:$C$608,$C82,'Offers'!$AI$7:$AI$608,"yes")=0,"",SUMIFS('Offers'!$I$7:$I$608,'Offers'!$B$7:$B$608,$B82,'Offers'!$C$7:$C$608,$C82,'Offers'!$AG$7:$AG$608,1))</f>
        <v/>
      </c>
      <c r="J82" s="97">
        <f>IF(COUNTIFS('Offers'!$B$7:$B$608,$B82,'Offers'!$C$7:$C$608,$C82,'Offers'!$AI$7:$AI$608,"yes")=0,"",(SUMIFS('Offers'!$I$7:$I$608,'Offers'!$B$7:$B$608,$B82,'Offers'!$C$7:$C$608,$C82,'Offers'!$AG$7:$AG$608,ROUNDUP(COUNTIFS('Offers'!$B$7:$B$608,$B82,'Offers'!$C$7:$C$608,$C82,'Offers'!$AI$7:$AI$608,"yes")/2,0))+SUMIFS('Offers'!$I$7:$I$608,'Offers'!$B$7:$B$608,$B82,'Offers'!$C$7:$C$608,$C82,'Offers'!$AG$7:$AG$608,INT(COUNTIFS('Offers'!$B$7:$B$608,$B82,'Offers'!$C$7:$C$608,$C82,'Offers'!$AI$7:$AI$608,"yes")/2)+1))/2)</f>
        <v/>
      </c>
      <c r="K82" s="97">
        <f>IF(COUNTIFS('Offers'!$B$7:$B$608,$B82,'Offers'!$C$7:$C$608,$C82,'Offers'!$AI$7:$AI$608,"yes")=0,"",SUMIFS('Offers'!$I$7:$I$608,'Offers'!$B$7:$B$608,$B82,'Offers'!$C$7:$C$608,$C82,'Offers'!$AG$7:$AG$608,COUNTIFS('Offers'!$B$7:$B$608,$B82,'Offers'!$C$7:$C$608,$C82,'Offers'!$AI$7:$AI$608,"yes")))</f>
        <v/>
      </c>
      <c r="L82" s="55" t="n"/>
      <c r="M82" s="55" t="n"/>
      <c r="N82" s="55" t="n"/>
      <c r="O82" s="19">
        <f>IF('Compare'!$E$5="Local prices",IF(F82="","",IF('Compare'!$C$5="Minimum",F82,IF('Compare'!$C$5="Maximum",H82,G82))),IF(I82="","",IF('Compare'!$C$5="Minimum",I82,IF('Compare'!$C$5="Maximum",K82,J82))))</f>
        <v/>
      </c>
    </row>
    <row r="83" ht="44" customHeight="1">
      <c r="A83" s="2" t="n"/>
      <c r="B83" s="24" t="inlineStr">
        <is>
          <t>Lid for 600 × 400 mm dough box</t>
        </is>
      </c>
      <c r="C83" s="24" t="inlineStr">
        <is>
          <t>Czech</t>
        </is>
      </c>
      <c r="D83" s="24" t="inlineStr">
        <is>
          <t>CZK</t>
        </is>
      </c>
      <c r="E83" s="24" t="inlineStr">
        <is>
          <t>Net per piece</t>
        </is>
      </c>
      <c r="F83" s="94">
        <f>IF(COUNTIFS('Offers'!$B$7:$B$608,$B83,'Offers'!$C$7:$C$608,$C83,'Offers'!$AH$7:$AH$608,"yes")=0,"",SUMIFS('Offers'!$H$7:$H$608,'Offers'!$B$7:$B$608,$B83,'Offers'!$C$7:$C$608,$C83,'Offers'!$AF$7:$AF$608,1))</f>
        <v/>
      </c>
      <c r="G83" s="94">
        <f>IF(COUNTIFS('Offers'!$B$7:$B$608,$B83,'Offers'!$C$7:$C$608,$C83,'Offers'!$AH$7:$AH$608,"yes")=0,"",(SUMIFS('Offers'!$H$7:$H$608,'Offers'!$B$7:$B$608,$B83,'Offers'!$C$7:$C$608,$C83,'Offers'!$AF$7:$AF$608,ROUNDUP(COUNTIFS('Offers'!$B$7:$B$608,$B83,'Offers'!$C$7:$C$608,$C83,'Offers'!$AH$7:$AH$608,"yes")/2,0))+SUMIFS('Offers'!$H$7:$H$608,'Offers'!$B$7:$B$608,$B83,'Offers'!$C$7:$C$608,$C83,'Offers'!$AF$7:$AF$608,INT(COUNTIFS('Offers'!$B$7:$B$608,$B83,'Offers'!$C$7:$C$608,$C83,'Offers'!$AH$7:$AH$608,"yes")/2)+1))/2)</f>
        <v/>
      </c>
      <c r="H83" s="94">
        <f>IF(COUNTIFS('Offers'!$B$7:$B$608,$B83,'Offers'!$C$7:$C$608,$C83,'Offers'!$AH$7:$AH$608,"yes")=0,"",SUMIFS('Offers'!$H$7:$H$608,'Offers'!$B$7:$B$608,$B83,'Offers'!$C$7:$C$608,$C83,'Offers'!$AF$7:$AF$608,COUNTIFS('Offers'!$B$7:$B$608,$B83,'Offers'!$C$7:$C$608,$C83,'Offers'!$AH$7:$AH$608,"yes")))</f>
        <v/>
      </c>
      <c r="I83" s="95">
        <f>IF(COUNTIFS('Offers'!$B$7:$B$608,$B83,'Offers'!$C$7:$C$608,$C83,'Offers'!$AI$7:$AI$608,"yes")=0,"",SUMIFS('Offers'!$I$7:$I$608,'Offers'!$B$7:$B$608,$B83,'Offers'!$C$7:$C$608,$C83,'Offers'!$AG$7:$AG$608,1))</f>
        <v/>
      </c>
      <c r="J83" s="95">
        <f>IF(COUNTIFS('Offers'!$B$7:$B$608,$B83,'Offers'!$C$7:$C$608,$C83,'Offers'!$AI$7:$AI$608,"yes")=0,"",(SUMIFS('Offers'!$I$7:$I$608,'Offers'!$B$7:$B$608,$B83,'Offers'!$C$7:$C$608,$C83,'Offers'!$AG$7:$AG$608,ROUNDUP(COUNTIFS('Offers'!$B$7:$B$608,$B83,'Offers'!$C$7:$C$608,$C83,'Offers'!$AI$7:$AI$608,"yes")/2,0))+SUMIFS('Offers'!$I$7:$I$608,'Offers'!$B$7:$B$608,$B83,'Offers'!$C$7:$C$608,$C83,'Offers'!$AG$7:$AG$608,INT(COUNTIFS('Offers'!$B$7:$B$608,$B83,'Offers'!$C$7:$C$608,$C83,'Offers'!$AI$7:$AI$608,"yes")/2)+1))/2)</f>
        <v/>
      </c>
      <c r="K83" s="95">
        <f>IF(COUNTIFS('Offers'!$B$7:$B$608,$B83,'Offers'!$C$7:$C$608,$C83,'Offers'!$AI$7:$AI$608,"yes")=0,"",SUMIFS('Offers'!$I$7:$I$608,'Offers'!$B$7:$B$608,$B83,'Offers'!$C$7:$C$608,$C83,'Offers'!$AG$7:$AG$608,COUNTIFS('Offers'!$B$7:$B$608,$B83,'Offers'!$C$7:$C$608,$C83,'Offers'!$AI$7:$AI$608,"yes")))</f>
        <v/>
      </c>
      <c r="L83" s="55" t="n"/>
      <c r="M83" s="55" t="n"/>
      <c r="N83" s="55" t="n"/>
      <c r="O83" s="2">
        <f>IF('Compare'!$E$5="Local prices",IF(F83="","",IF('Compare'!$C$5="Minimum",F83,IF('Compare'!$C$5="Maximum",H83,G83))),IF(I83="","",IF('Compare'!$C$5="Minimum",I83,IF('Compare'!$C$5="Maximum",K83,J83))))</f>
        <v/>
      </c>
    </row>
    <row r="84" ht="44" customHeight="1">
      <c r="A84" s="2" t="n"/>
      <c r="B84" s="27" t="inlineStr">
        <is>
          <t>Lid for 600 × 400 mm dough box</t>
        </is>
      </c>
      <c r="C84" s="27" t="inlineStr">
        <is>
          <t>Slovakia</t>
        </is>
      </c>
      <c r="D84" s="27" t="inlineStr">
        <is>
          <t>EUR</t>
        </is>
      </c>
      <c r="E84" s="27" t="inlineStr">
        <is>
          <t>Net per piece</t>
        </is>
      </c>
      <c r="F84" s="96">
        <f>IF(COUNTIFS('Offers'!$B$7:$B$608,$B84,'Offers'!$C$7:$C$608,$C84,'Offers'!$AH$7:$AH$608,"yes")=0,"",SUMIFS('Offers'!$H$7:$H$608,'Offers'!$B$7:$B$608,$B84,'Offers'!$C$7:$C$608,$C84,'Offers'!$AF$7:$AF$608,1))</f>
        <v/>
      </c>
      <c r="G84" s="96">
        <f>IF(COUNTIFS('Offers'!$B$7:$B$608,$B84,'Offers'!$C$7:$C$608,$C84,'Offers'!$AH$7:$AH$608,"yes")=0,"",(SUMIFS('Offers'!$H$7:$H$608,'Offers'!$B$7:$B$608,$B84,'Offers'!$C$7:$C$608,$C84,'Offers'!$AF$7:$AF$608,ROUNDUP(COUNTIFS('Offers'!$B$7:$B$608,$B84,'Offers'!$C$7:$C$608,$C84,'Offers'!$AH$7:$AH$608,"yes")/2,0))+SUMIFS('Offers'!$H$7:$H$608,'Offers'!$B$7:$B$608,$B84,'Offers'!$C$7:$C$608,$C84,'Offers'!$AF$7:$AF$608,INT(COUNTIFS('Offers'!$B$7:$B$608,$B84,'Offers'!$C$7:$C$608,$C84,'Offers'!$AH$7:$AH$608,"yes")/2)+1))/2)</f>
        <v/>
      </c>
      <c r="H84" s="96">
        <f>IF(COUNTIFS('Offers'!$B$7:$B$608,$B84,'Offers'!$C$7:$C$608,$C84,'Offers'!$AH$7:$AH$608,"yes")=0,"",SUMIFS('Offers'!$H$7:$H$608,'Offers'!$B$7:$B$608,$B84,'Offers'!$C$7:$C$608,$C84,'Offers'!$AF$7:$AF$608,COUNTIFS('Offers'!$B$7:$B$608,$B84,'Offers'!$C$7:$C$608,$C84,'Offers'!$AH$7:$AH$608,"yes")))</f>
        <v/>
      </c>
      <c r="I84" s="97">
        <f>IF(COUNTIFS('Offers'!$B$7:$B$608,$B84,'Offers'!$C$7:$C$608,$C84,'Offers'!$AI$7:$AI$608,"yes")=0,"",SUMIFS('Offers'!$I$7:$I$608,'Offers'!$B$7:$B$608,$B84,'Offers'!$C$7:$C$608,$C84,'Offers'!$AG$7:$AG$608,1))</f>
        <v/>
      </c>
      <c r="J84" s="97">
        <f>IF(COUNTIFS('Offers'!$B$7:$B$608,$B84,'Offers'!$C$7:$C$608,$C84,'Offers'!$AI$7:$AI$608,"yes")=0,"",(SUMIFS('Offers'!$I$7:$I$608,'Offers'!$B$7:$B$608,$B84,'Offers'!$C$7:$C$608,$C84,'Offers'!$AG$7:$AG$608,ROUNDUP(COUNTIFS('Offers'!$B$7:$B$608,$B84,'Offers'!$C$7:$C$608,$C84,'Offers'!$AI$7:$AI$608,"yes")/2,0))+SUMIFS('Offers'!$I$7:$I$608,'Offers'!$B$7:$B$608,$B84,'Offers'!$C$7:$C$608,$C84,'Offers'!$AG$7:$AG$608,INT(COUNTIFS('Offers'!$B$7:$B$608,$B84,'Offers'!$C$7:$C$608,$C84,'Offers'!$AI$7:$AI$608,"yes")/2)+1))/2)</f>
        <v/>
      </c>
      <c r="K84" s="97">
        <f>IF(COUNTIFS('Offers'!$B$7:$B$608,$B84,'Offers'!$C$7:$C$608,$C84,'Offers'!$AI$7:$AI$608,"yes")=0,"",SUMIFS('Offers'!$I$7:$I$608,'Offers'!$B$7:$B$608,$B84,'Offers'!$C$7:$C$608,$C84,'Offers'!$AG$7:$AG$608,COUNTIFS('Offers'!$B$7:$B$608,$B84,'Offers'!$C$7:$C$608,$C84,'Offers'!$AI$7:$AI$608,"yes")))</f>
        <v/>
      </c>
      <c r="L84" s="55" t="n"/>
      <c r="M84" s="55" t="n"/>
      <c r="N84" s="55" t="n"/>
      <c r="O84" s="19">
        <f>IF('Compare'!$E$5="Local prices",IF(F84="","",IF('Compare'!$C$5="Minimum",F84,IF('Compare'!$C$5="Maximum",H84,G84))),IF(I84="","",IF('Compare'!$C$5="Minimum",I84,IF('Compare'!$C$5="Maximum",K84,J84))))</f>
        <v/>
      </c>
    </row>
    <row r="85" ht="44" customHeight="1">
      <c r="A85" s="2" t="n"/>
      <c r="B85" s="24" t="inlineStr">
        <is>
          <t>PE dough box 600 × 400 × 75 mm</t>
        </is>
      </c>
      <c r="C85" s="24" t="inlineStr">
        <is>
          <t>Hungary</t>
        </is>
      </c>
      <c r="D85" s="24" t="inlineStr">
        <is>
          <t>HUF</t>
        </is>
      </c>
      <c r="E85" s="24" t="inlineStr">
        <is>
          <t>Net per piece</t>
        </is>
      </c>
      <c r="F85" s="94">
        <f>IF(COUNTIFS('Offers'!$B$7:$B$608,$B85,'Offers'!$C$7:$C$608,$C85,'Offers'!$AH$7:$AH$608,"yes")=0,"",SUMIFS('Offers'!$H$7:$H$608,'Offers'!$B$7:$B$608,$B85,'Offers'!$C$7:$C$608,$C85,'Offers'!$AF$7:$AF$608,1))</f>
        <v/>
      </c>
      <c r="G85" s="94">
        <f>IF(COUNTIFS('Offers'!$B$7:$B$608,$B85,'Offers'!$C$7:$C$608,$C85,'Offers'!$AH$7:$AH$608,"yes")=0,"",(SUMIFS('Offers'!$H$7:$H$608,'Offers'!$B$7:$B$608,$B85,'Offers'!$C$7:$C$608,$C85,'Offers'!$AF$7:$AF$608,ROUNDUP(COUNTIFS('Offers'!$B$7:$B$608,$B85,'Offers'!$C$7:$C$608,$C85,'Offers'!$AH$7:$AH$608,"yes")/2,0))+SUMIFS('Offers'!$H$7:$H$608,'Offers'!$B$7:$B$608,$B85,'Offers'!$C$7:$C$608,$C85,'Offers'!$AF$7:$AF$608,INT(COUNTIFS('Offers'!$B$7:$B$608,$B85,'Offers'!$C$7:$C$608,$C85,'Offers'!$AH$7:$AH$608,"yes")/2)+1))/2)</f>
        <v/>
      </c>
      <c r="H85" s="94">
        <f>IF(COUNTIFS('Offers'!$B$7:$B$608,$B85,'Offers'!$C$7:$C$608,$C85,'Offers'!$AH$7:$AH$608,"yes")=0,"",SUMIFS('Offers'!$H$7:$H$608,'Offers'!$B$7:$B$608,$B85,'Offers'!$C$7:$C$608,$C85,'Offers'!$AF$7:$AF$608,COUNTIFS('Offers'!$B$7:$B$608,$B85,'Offers'!$C$7:$C$608,$C85,'Offers'!$AH$7:$AH$608,"yes")))</f>
        <v/>
      </c>
      <c r="I85" s="95">
        <f>IF(COUNTIFS('Offers'!$B$7:$B$608,$B85,'Offers'!$C$7:$C$608,$C85,'Offers'!$AI$7:$AI$608,"yes")=0,"",SUMIFS('Offers'!$I$7:$I$608,'Offers'!$B$7:$B$608,$B85,'Offers'!$C$7:$C$608,$C85,'Offers'!$AG$7:$AG$608,1))</f>
        <v/>
      </c>
      <c r="J85" s="95">
        <f>IF(COUNTIFS('Offers'!$B$7:$B$608,$B85,'Offers'!$C$7:$C$608,$C85,'Offers'!$AI$7:$AI$608,"yes")=0,"",(SUMIFS('Offers'!$I$7:$I$608,'Offers'!$B$7:$B$608,$B85,'Offers'!$C$7:$C$608,$C85,'Offers'!$AG$7:$AG$608,ROUNDUP(COUNTIFS('Offers'!$B$7:$B$608,$B85,'Offers'!$C$7:$C$608,$C85,'Offers'!$AI$7:$AI$608,"yes")/2,0))+SUMIFS('Offers'!$I$7:$I$608,'Offers'!$B$7:$B$608,$B85,'Offers'!$C$7:$C$608,$C85,'Offers'!$AG$7:$AG$608,INT(COUNTIFS('Offers'!$B$7:$B$608,$B85,'Offers'!$C$7:$C$608,$C85,'Offers'!$AI$7:$AI$608,"yes")/2)+1))/2)</f>
        <v/>
      </c>
      <c r="K85" s="95">
        <f>IF(COUNTIFS('Offers'!$B$7:$B$608,$B85,'Offers'!$C$7:$C$608,$C85,'Offers'!$AI$7:$AI$608,"yes")=0,"",SUMIFS('Offers'!$I$7:$I$608,'Offers'!$B$7:$B$608,$B85,'Offers'!$C$7:$C$608,$C85,'Offers'!$AG$7:$AG$608,COUNTIFS('Offers'!$B$7:$B$608,$B85,'Offers'!$C$7:$C$608,$C85,'Offers'!$AI$7:$AI$608,"yes")))</f>
        <v/>
      </c>
      <c r="L85" s="55" t="n"/>
      <c r="M85" s="55" t="n"/>
      <c r="N85" s="55" t="n"/>
      <c r="O85" s="2">
        <f>IF('Compare'!$E$5="Local prices",IF(F85="","",IF('Compare'!$C$5="Minimum",F85,IF('Compare'!$C$5="Maximum",H85,G85))),IF(I85="","",IF('Compare'!$C$5="Minimum",I85,IF('Compare'!$C$5="Maximum",K85,J85))))</f>
        <v/>
      </c>
    </row>
    <row r="86" ht="44" customHeight="1">
      <c r="A86" s="2" t="n"/>
      <c r="B86" s="27" t="inlineStr">
        <is>
          <t>PE dough box 600 × 400 × 75 mm</t>
        </is>
      </c>
      <c r="C86" s="27" t="inlineStr">
        <is>
          <t>Romania</t>
        </is>
      </c>
      <c r="D86" s="27" t="inlineStr">
        <is>
          <t>RON</t>
        </is>
      </c>
      <c r="E86" s="27" t="inlineStr">
        <is>
          <t>Net per piece</t>
        </is>
      </c>
      <c r="F86" s="96">
        <f>IF(COUNTIFS('Offers'!$B$7:$B$608,$B86,'Offers'!$C$7:$C$608,$C86,'Offers'!$AH$7:$AH$608,"yes")=0,"",SUMIFS('Offers'!$H$7:$H$608,'Offers'!$B$7:$B$608,$B86,'Offers'!$C$7:$C$608,$C86,'Offers'!$AF$7:$AF$608,1))</f>
        <v/>
      </c>
      <c r="G86" s="96">
        <f>IF(COUNTIFS('Offers'!$B$7:$B$608,$B86,'Offers'!$C$7:$C$608,$C86,'Offers'!$AH$7:$AH$608,"yes")=0,"",(SUMIFS('Offers'!$H$7:$H$608,'Offers'!$B$7:$B$608,$B86,'Offers'!$C$7:$C$608,$C86,'Offers'!$AF$7:$AF$608,ROUNDUP(COUNTIFS('Offers'!$B$7:$B$608,$B86,'Offers'!$C$7:$C$608,$C86,'Offers'!$AH$7:$AH$608,"yes")/2,0))+SUMIFS('Offers'!$H$7:$H$608,'Offers'!$B$7:$B$608,$B86,'Offers'!$C$7:$C$608,$C86,'Offers'!$AF$7:$AF$608,INT(COUNTIFS('Offers'!$B$7:$B$608,$B86,'Offers'!$C$7:$C$608,$C86,'Offers'!$AH$7:$AH$608,"yes")/2)+1))/2)</f>
        <v/>
      </c>
      <c r="H86" s="96">
        <f>IF(COUNTIFS('Offers'!$B$7:$B$608,$B86,'Offers'!$C$7:$C$608,$C86,'Offers'!$AH$7:$AH$608,"yes")=0,"",SUMIFS('Offers'!$H$7:$H$608,'Offers'!$B$7:$B$608,$B86,'Offers'!$C$7:$C$608,$C86,'Offers'!$AF$7:$AF$608,COUNTIFS('Offers'!$B$7:$B$608,$B86,'Offers'!$C$7:$C$608,$C86,'Offers'!$AH$7:$AH$608,"yes")))</f>
        <v/>
      </c>
      <c r="I86" s="97">
        <f>IF(COUNTIFS('Offers'!$B$7:$B$608,$B86,'Offers'!$C$7:$C$608,$C86,'Offers'!$AI$7:$AI$608,"yes")=0,"",SUMIFS('Offers'!$I$7:$I$608,'Offers'!$B$7:$B$608,$B86,'Offers'!$C$7:$C$608,$C86,'Offers'!$AG$7:$AG$608,1))</f>
        <v/>
      </c>
      <c r="J86" s="97">
        <f>IF(COUNTIFS('Offers'!$B$7:$B$608,$B86,'Offers'!$C$7:$C$608,$C86,'Offers'!$AI$7:$AI$608,"yes")=0,"",(SUMIFS('Offers'!$I$7:$I$608,'Offers'!$B$7:$B$608,$B86,'Offers'!$C$7:$C$608,$C86,'Offers'!$AG$7:$AG$608,ROUNDUP(COUNTIFS('Offers'!$B$7:$B$608,$B86,'Offers'!$C$7:$C$608,$C86,'Offers'!$AI$7:$AI$608,"yes")/2,0))+SUMIFS('Offers'!$I$7:$I$608,'Offers'!$B$7:$B$608,$B86,'Offers'!$C$7:$C$608,$C86,'Offers'!$AG$7:$AG$608,INT(COUNTIFS('Offers'!$B$7:$B$608,$B86,'Offers'!$C$7:$C$608,$C86,'Offers'!$AI$7:$AI$608,"yes")/2)+1))/2)</f>
        <v/>
      </c>
      <c r="K86" s="97">
        <f>IF(COUNTIFS('Offers'!$B$7:$B$608,$B86,'Offers'!$C$7:$C$608,$C86,'Offers'!$AI$7:$AI$608,"yes")=0,"",SUMIFS('Offers'!$I$7:$I$608,'Offers'!$B$7:$B$608,$B86,'Offers'!$C$7:$C$608,$C86,'Offers'!$AG$7:$AG$608,COUNTIFS('Offers'!$B$7:$B$608,$B86,'Offers'!$C$7:$C$608,$C86,'Offers'!$AI$7:$AI$608,"yes")))</f>
        <v/>
      </c>
      <c r="L86" s="55" t="n"/>
      <c r="M86" s="55" t="n"/>
      <c r="N86" s="55" t="n"/>
      <c r="O86" s="19">
        <f>IF('Compare'!$E$5="Local prices",IF(F86="","",IF('Compare'!$C$5="Minimum",F86,IF('Compare'!$C$5="Maximum",H86,G86))),IF(I86="","",IF('Compare'!$C$5="Minimum",I86,IF('Compare'!$C$5="Maximum",K86,J86))))</f>
        <v/>
      </c>
    </row>
    <row r="87" ht="44" customHeight="1">
      <c r="A87" s="2" t="n"/>
      <c r="B87" s="24" t="inlineStr">
        <is>
          <t>PE dough box 600 × 400 × 75 mm</t>
        </is>
      </c>
      <c r="C87" s="24" t="inlineStr">
        <is>
          <t>Austria</t>
        </is>
      </c>
      <c r="D87" s="24" t="inlineStr">
        <is>
          <t>EUR</t>
        </is>
      </c>
      <c r="E87" s="24" t="inlineStr">
        <is>
          <t>Net per piece</t>
        </is>
      </c>
      <c r="F87" s="94">
        <f>IF(COUNTIFS('Offers'!$B$7:$B$608,$B87,'Offers'!$C$7:$C$608,$C87,'Offers'!$AH$7:$AH$608,"yes")=0,"",SUMIFS('Offers'!$H$7:$H$608,'Offers'!$B$7:$B$608,$B87,'Offers'!$C$7:$C$608,$C87,'Offers'!$AF$7:$AF$608,1))</f>
        <v/>
      </c>
      <c r="G87" s="94">
        <f>IF(COUNTIFS('Offers'!$B$7:$B$608,$B87,'Offers'!$C$7:$C$608,$C87,'Offers'!$AH$7:$AH$608,"yes")=0,"",(SUMIFS('Offers'!$H$7:$H$608,'Offers'!$B$7:$B$608,$B87,'Offers'!$C$7:$C$608,$C87,'Offers'!$AF$7:$AF$608,ROUNDUP(COUNTIFS('Offers'!$B$7:$B$608,$B87,'Offers'!$C$7:$C$608,$C87,'Offers'!$AH$7:$AH$608,"yes")/2,0))+SUMIFS('Offers'!$H$7:$H$608,'Offers'!$B$7:$B$608,$B87,'Offers'!$C$7:$C$608,$C87,'Offers'!$AF$7:$AF$608,INT(COUNTIFS('Offers'!$B$7:$B$608,$B87,'Offers'!$C$7:$C$608,$C87,'Offers'!$AH$7:$AH$608,"yes")/2)+1))/2)</f>
        <v/>
      </c>
      <c r="H87" s="94">
        <f>IF(COUNTIFS('Offers'!$B$7:$B$608,$B87,'Offers'!$C$7:$C$608,$C87,'Offers'!$AH$7:$AH$608,"yes")=0,"",SUMIFS('Offers'!$H$7:$H$608,'Offers'!$B$7:$B$608,$B87,'Offers'!$C$7:$C$608,$C87,'Offers'!$AF$7:$AF$608,COUNTIFS('Offers'!$B$7:$B$608,$B87,'Offers'!$C$7:$C$608,$C87,'Offers'!$AH$7:$AH$608,"yes")))</f>
        <v/>
      </c>
      <c r="I87" s="95">
        <f>IF(COUNTIFS('Offers'!$B$7:$B$608,$B87,'Offers'!$C$7:$C$608,$C87,'Offers'!$AI$7:$AI$608,"yes")=0,"",SUMIFS('Offers'!$I$7:$I$608,'Offers'!$B$7:$B$608,$B87,'Offers'!$C$7:$C$608,$C87,'Offers'!$AG$7:$AG$608,1))</f>
        <v/>
      </c>
      <c r="J87" s="95">
        <f>IF(COUNTIFS('Offers'!$B$7:$B$608,$B87,'Offers'!$C$7:$C$608,$C87,'Offers'!$AI$7:$AI$608,"yes")=0,"",(SUMIFS('Offers'!$I$7:$I$608,'Offers'!$B$7:$B$608,$B87,'Offers'!$C$7:$C$608,$C87,'Offers'!$AG$7:$AG$608,ROUNDUP(COUNTIFS('Offers'!$B$7:$B$608,$B87,'Offers'!$C$7:$C$608,$C87,'Offers'!$AI$7:$AI$608,"yes")/2,0))+SUMIFS('Offers'!$I$7:$I$608,'Offers'!$B$7:$B$608,$B87,'Offers'!$C$7:$C$608,$C87,'Offers'!$AG$7:$AG$608,INT(COUNTIFS('Offers'!$B$7:$B$608,$B87,'Offers'!$C$7:$C$608,$C87,'Offers'!$AI$7:$AI$608,"yes")/2)+1))/2)</f>
        <v/>
      </c>
      <c r="K87" s="95">
        <f>IF(COUNTIFS('Offers'!$B$7:$B$608,$B87,'Offers'!$C$7:$C$608,$C87,'Offers'!$AI$7:$AI$608,"yes")=0,"",SUMIFS('Offers'!$I$7:$I$608,'Offers'!$B$7:$B$608,$B87,'Offers'!$C$7:$C$608,$C87,'Offers'!$AG$7:$AG$608,COUNTIFS('Offers'!$B$7:$B$608,$B87,'Offers'!$C$7:$C$608,$C87,'Offers'!$AI$7:$AI$608,"yes")))</f>
        <v/>
      </c>
      <c r="L87" s="55" t="n"/>
      <c r="M87" s="55" t="n"/>
      <c r="N87" s="55" t="n"/>
      <c r="O87" s="2">
        <f>IF('Compare'!$E$5="Local prices",IF(F87="","",IF('Compare'!$C$5="Minimum",F87,IF('Compare'!$C$5="Maximum",H87,G87))),IF(I87="","",IF('Compare'!$C$5="Minimum",I87,IF('Compare'!$C$5="Maximum",K87,J87))))</f>
        <v/>
      </c>
    </row>
    <row r="88" ht="44" customHeight="1">
      <c r="A88" s="2" t="n"/>
      <c r="B88" s="27" t="inlineStr">
        <is>
          <t>PE dough box 600 × 400 × 75 mm</t>
        </is>
      </c>
      <c r="C88" s="27" t="inlineStr">
        <is>
          <t>Germany</t>
        </is>
      </c>
      <c r="D88" s="27" t="inlineStr">
        <is>
          <t>EUR</t>
        </is>
      </c>
      <c r="E88" s="27" t="inlineStr">
        <is>
          <t>Net per piece</t>
        </is>
      </c>
      <c r="F88" s="96">
        <f>IF(COUNTIFS('Offers'!$B$7:$B$608,$B88,'Offers'!$C$7:$C$608,$C88,'Offers'!$AH$7:$AH$608,"yes")=0,"",SUMIFS('Offers'!$H$7:$H$608,'Offers'!$B$7:$B$608,$B88,'Offers'!$C$7:$C$608,$C88,'Offers'!$AF$7:$AF$608,1))</f>
        <v/>
      </c>
      <c r="G88" s="96">
        <f>IF(COUNTIFS('Offers'!$B$7:$B$608,$B88,'Offers'!$C$7:$C$608,$C88,'Offers'!$AH$7:$AH$608,"yes")=0,"",(SUMIFS('Offers'!$H$7:$H$608,'Offers'!$B$7:$B$608,$B88,'Offers'!$C$7:$C$608,$C88,'Offers'!$AF$7:$AF$608,ROUNDUP(COUNTIFS('Offers'!$B$7:$B$608,$B88,'Offers'!$C$7:$C$608,$C88,'Offers'!$AH$7:$AH$608,"yes")/2,0))+SUMIFS('Offers'!$H$7:$H$608,'Offers'!$B$7:$B$608,$B88,'Offers'!$C$7:$C$608,$C88,'Offers'!$AF$7:$AF$608,INT(COUNTIFS('Offers'!$B$7:$B$608,$B88,'Offers'!$C$7:$C$608,$C88,'Offers'!$AH$7:$AH$608,"yes")/2)+1))/2)</f>
        <v/>
      </c>
      <c r="H88" s="96">
        <f>IF(COUNTIFS('Offers'!$B$7:$B$608,$B88,'Offers'!$C$7:$C$608,$C88,'Offers'!$AH$7:$AH$608,"yes")=0,"",SUMIFS('Offers'!$H$7:$H$608,'Offers'!$B$7:$B$608,$B88,'Offers'!$C$7:$C$608,$C88,'Offers'!$AF$7:$AF$608,COUNTIFS('Offers'!$B$7:$B$608,$B88,'Offers'!$C$7:$C$608,$C88,'Offers'!$AH$7:$AH$608,"yes")))</f>
        <v/>
      </c>
      <c r="I88" s="97">
        <f>IF(COUNTIFS('Offers'!$B$7:$B$608,$B88,'Offers'!$C$7:$C$608,$C88,'Offers'!$AI$7:$AI$608,"yes")=0,"",SUMIFS('Offers'!$I$7:$I$608,'Offers'!$B$7:$B$608,$B88,'Offers'!$C$7:$C$608,$C88,'Offers'!$AG$7:$AG$608,1))</f>
        <v/>
      </c>
      <c r="J88" s="97">
        <f>IF(COUNTIFS('Offers'!$B$7:$B$608,$B88,'Offers'!$C$7:$C$608,$C88,'Offers'!$AI$7:$AI$608,"yes")=0,"",(SUMIFS('Offers'!$I$7:$I$608,'Offers'!$B$7:$B$608,$B88,'Offers'!$C$7:$C$608,$C88,'Offers'!$AG$7:$AG$608,ROUNDUP(COUNTIFS('Offers'!$B$7:$B$608,$B88,'Offers'!$C$7:$C$608,$C88,'Offers'!$AI$7:$AI$608,"yes")/2,0))+SUMIFS('Offers'!$I$7:$I$608,'Offers'!$B$7:$B$608,$B88,'Offers'!$C$7:$C$608,$C88,'Offers'!$AG$7:$AG$608,INT(COUNTIFS('Offers'!$B$7:$B$608,$B88,'Offers'!$C$7:$C$608,$C88,'Offers'!$AI$7:$AI$608,"yes")/2)+1))/2)</f>
        <v/>
      </c>
      <c r="K88" s="97">
        <f>IF(COUNTIFS('Offers'!$B$7:$B$608,$B88,'Offers'!$C$7:$C$608,$C88,'Offers'!$AI$7:$AI$608,"yes")=0,"",SUMIFS('Offers'!$I$7:$I$608,'Offers'!$B$7:$B$608,$B88,'Offers'!$C$7:$C$608,$C88,'Offers'!$AG$7:$AG$608,COUNTIFS('Offers'!$B$7:$B$608,$B88,'Offers'!$C$7:$C$608,$C88,'Offers'!$AI$7:$AI$608,"yes")))</f>
        <v/>
      </c>
      <c r="L88" s="55" t="n"/>
      <c r="M88" s="55" t="n"/>
      <c r="N88" s="55" t="n"/>
      <c r="O88" s="19">
        <f>IF('Compare'!$E$5="Local prices",IF(F88="","",IF('Compare'!$C$5="Minimum",F88,IF('Compare'!$C$5="Maximum",H88,G88))),IF(I88="","",IF('Compare'!$C$5="Minimum",I88,IF('Compare'!$C$5="Maximum",K88,J88))))</f>
        <v/>
      </c>
    </row>
    <row r="89" ht="44" customHeight="1">
      <c r="A89" s="2" t="n"/>
      <c r="B89" s="24" t="inlineStr">
        <is>
          <t>PE dough box 600 × 400 × 75 mm</t>
        </is>
      </c>
      <c r="C89" s="24" t="inlineStr">
        <is>
          <t>Czech</t>
        </is>
      </c>
      <c r="D89" s="24" t="inlineStr">
        <is>
          <t>CZK</t>
        </is>
      </c>
      <c r="E89" s="24" t="inlineStr">
        <is>
          <t>Net per piece</t>
        </is>
      </c>
      <c r="F89" s="94">
        <f>IF(COUNTIFS('Offers'!$B$7:$B$608,$B89,'Offers'!$C$7:$C$608,$C89,'Offers'!$AH$7:$AH$608,"yes")=0,"",SUMIFS('Offers'!$H$7:$H$608,'Offers'!$B$7:$B$608,$B89,'Offers'!$C$7:$C$608,$C89,'Offers'!$AF$7:$AF$608,1))</f>
        <v/>
      </c>
      <c r="G89" s="94">
        <f>IF(COUNTIFS('Offers'!$B$7:$B$608,$B89,'Offers'!$C$7:$C$608,$C89,'Offers'!$AH$7:$AH$608,"yes")=0,"",(SUMIFS('Offers'!$H$7:$H$608,'Offers'!$B$7:$B$608,$B89,'Offers'!$C$7:$C$608,$C89,'Offers'!$AF$7:$AF$608,ROUNDUP(COUNTIFS('Offers'!$B$7:$B$608,$B89,'Offers'!$C$7:$C$608,$C89,'Offers'!$AH$7:$AH$608,"yes")/2,0))+SUMIFS('Offers'!$H$7:$H$608,'Offers'!$B$7:$B$608,$B89,'Offers'!$C$7:$C$608,$C89,'Offers'!$AF$7:$AF$608,INT(COUNTIFS('Offers'!$B$7:$B$608,$B89,'Offers'!$C$7:$C$608,$C89,'Offers'!$AH$7:$AH$608,"yes")/2)+1))/2)</f>
        <v/>
      </c>
      <c r="H89" s="94">
        <f>IF(COUNTIFS('Offers'!$B$7:$B$608,$B89,'Offers'!$C$7:$C$608,$C89,'Offers'!$AH$7:$AH$608,"yes")=0,"",SUMIFS('Offers'!$H$7:$H$608,'Offers'!$B$7:$B$608,$B89,'Offers'!$C$7:$C$608,$C89,'Offers'!$AF$7:$AF$608,COUNTIFS('Offers'!$B$7:$B$608,$B89,'Offers'!$C$7:$C$608,$C89,'Offers'!$AH$7:$AH$608,"yes")))</f>
        <v/>
      </c>
      <c r="I89" s="95">
        <f>IF(COUNTIFS('Offers'!$B$7:$B$608,$B89,'Offers'!$C$7:$C$608,$C89,'Offers'!$AI$7:$AI$608,"yes")=0,"",SUMIFS('Offers'!$I$7:$I$608,'Offers'!$B$7:$B$608,$B89,'Offers'!$C$7:$C$608,$C89,'Offers'!$AG$7:$AG$608,1))</f>
        <v/>
      </c>
      <c r="J89" s="95">
        <f>IF(COUNTIFS('Offers'!$B$7:$B$608,$B89,'Offers'!$C$7:$C$608,$C89,'Offers'!$AI$7:$AI$608,"yes")=0,"",(SUMIFS('Offers'!$I$7:$I$608,'Offers'!$B$7:$B$608,$B89,'Offers'!$C$7:$C$608,$C89,'Offers'!$AG$7:$AG$608,ROUNDUP(COUNTIFS('Offers'!$B$7:$B$608,$B89,'Offers'!$C$7:$C$608,$C89,'Offers'!$AI$7:$AI$608,"yes")/2,0))+SUMIFS('Offers'!$I$7:$I$608,'Offers'!$B$7:$B$608,$B89,'Offers'!$C$7:$C$608,$C89,'Offers'!$AG$7:$AG$608,INT(COUNTIFS('Offers'!$B$7:$B$608,$B89,'Offers'!$C$7:$C$608,$C89,'Offers'!$AI$7:$AI$608,"yes")/2)+1))/2)</f>
        <v/>
      </c>
      <c r="K89" s="95">
        <f>IF(COUNTIFS('Offers'!$B$7:$B$608,$B89,'Offers'!$C$7:$C$608,$C89,'Offers'!$AI$7:$AI$608,"yes")=0,"",SUMIFS('Offers'!$I$7:$I$608,'Offers'!$B$7:$B$608,$B89,'Offers'!$C$7:$C$608,$C89,'Offers'!$AG$7:$AG$608,COUNTIFS('Offers'!$B$7:$B$608,$B89,'Offers'!$C$7:$C$608,$C89,'Offers'!$AI$7:$AI$608,"yes")))</f>
        <v/>
      </c>
      <c r="L89" s="55" t="n"/>
      <c r="M89" s="55" t="n"/>
      <c r="N89" s="55" t="n"/>
      <c r="O89" s="2">
        <f>IF('Compare'!$E$5="Local prices",IF(F89="","",IF('Compare'!$C$5="Minimum",F89,IF('Compare'!$C$5="Maximum",H89,G89))),IF(I89="","",IF('Compare'!$C$5="Minimum",I89,IF('Compare'!$C$5="Maximum",K89,J89))))</f>
        <v/>
      </c>
    </row>
    <row r="90" ht="44" customHeight="1">
      <c r="A90" s="2" t="n"/>
      <c r="B90" s="27" t="inlineStr">
        <is>
          <t>PE dough box 600 × 400 × 75 mm</t>
        </is>
      </c>
      <c r="C90" s="27" t="inlineStr">
        <is>
          <t>Slovakia</t>
        </is>
      </c>
      <c r="D90" s="27" t="inlineStr">
        <is>
          <t>EUR</t>
        </is>
      </c>
      <c r="E90" s="27" t="inlineStr">
        <is>
          <t>Net per piece</t>
        </is>
      </c>
      <c r="F90" s="96">
        <f>IF(COUNTIFS('Offers'!$B$7:$B$608,$B90,'Offers'!$C$7:$C$608,$C90,'Offers'!$AH$7:$AH$608,"yes")=0,"",SUMIFS('Offers'!$H$7:$H$608,'Offers'!$B$7:$B$608,$B90,'Offers'!$C$7:$C$608,$C90,'Offers'!$AF$7:$AF$608,1))</f>
        <v/>
      </c>
      <c r="G90" s="96">
        <f>IF(COUNTIFS('Offers'!$B$7:$B$608,$B90,'Offers'!$C$7:$C$608,$C90,'Offers'!$AH$7:$AH$608,"yes")=0,"",(SUMIFS('Offers'!$H$7:$H$608,'Offers'!$B$7:$B$608,$B90,'Offers'!$C$7:$C$608,$C90,'Offers'!$AF$7:$AF$608,ROUNDUP(COUNTIFS('Offers'!$B$7:$B$608,$B90,'Offers'!$C$7:$C$608,$C90,'Offers'!$AH$7:$AH$608,"yes")/2,0))+SUMIFS('Offers'!$H$7:$H$608,'Offers'!$B$7:$B$608,$B90,'Offers'!$C$7:$C$608,$C90,'Offers'!$AF$7:$AF$608,INT(COUNTIFS('Offers'!$B$7:$B$608,$B90,'Offers'!$C$7:$C$608,$C90,'Offers'!$AH$7:$AH$608,"yes")/2)+1))/2)</f>
        <v/>
      </c>
      <c r="H90" s="96">
        <f>IF(COUNTIFS('Offers'!$B$7:$B$608,$B90,'Offers'!$C$7:$C$608,$C90,'Offers'!$AH$7:$AH$608,"yes")=0,"",SUMIFS('Offers'!$H$7:$H$608,'Offers'!$B$7:$B$608,$B90,'Offers'!$C$7:$C$608,$C90,'Offers'!$AF$7:$AF$608,COUNTIFS('Offers'!$B$7:$B$608,$B90,'Offers'!$C$7:$C$608,$C90,'Offers'!$AH$7:$AH$608,"yes")))</f>
        <v/>
      </c>
      <c r="I90" s="97">
        <f>IF(COUNTIFS('Offers'!$B$7:$B$608,$B90,'Offers'!$C$7:$C$608,$C90,'Offers'!$AI$7:$AI$608,"yes")=0,"",SUMIFS('Offers'!$I$7:$I$608,'Offers'!$B$7:$B$608,$B90,'Offers'!$C$7:$C$608,$C90,'Offers'!$AG$7:$AG$608,1))</f>
        <v/>
      </c>
      <c r="J90" s="97">
        <f>IF(COUNTIFS('Offers'!$B$7:$B$608,$B90,'Offers'!$C$7:$C$608,$C90,'Offers'!$AI$7:$AI$608,"yes")=0,"",(SUMIFS('Offers'!$I$7:$I$608,'Offers'!$B$7:$B$608,$B90,'Offers'!$C$7:$C$608,$C90,'Offers'!$AG$7:$AG$608,ROUNDUP(COUNTIFS('Offers'!$B$7:$B$608,$B90,'Offers'!$C$7:$C$608,$C90,'Offers'!$AI$7:$AI$608,"yes")/2,0))+SUMIFS('Offers'!$I$7:$I$608,'Offers'!$B$7:$B$608,$B90,'Offers'!$C$7:$C$608,$C90,'Offers'!$AG$7:$AG$608,INT(COUNTIFS('Offers'!$B$7:$B$608,$B90,'Offers'!$C$7:$C$608,$C90,'Offers'!$AI$7:$AI$608,"yes")/2)+1))/2)</f>
        <v/>
      </c>
      <c r="K90" s="97">
        <f>IF(COUNTIFS('Offers'!$B$7:$B$608,$B90,'Offers'!$C$7:$C$608,$C90,'Offers'!$AI$7:$AI$608,"yes")=0,"",SUMIFS('Offers'!$I$7:$I$608,'Offers'!$B$7:$B$608,$B90,'Offers'!$C$7:$C$608,$C90,'Offers'!$AG$7:$AG$608,COUNTIFS('Offers'!$B$7:$B$608,$B90,'Offers'!$C$7:$C$608,$C90,'Offers'!$AI$7:$AI$608,"yes")))</f>
        <v/>
      </c>
      <c r="L90" s="55" t="n"/>
      <c r="M90" s="55" t="n"/>
      <c r="N90" s="55" t="n"/>
      <c r="O90" s="19">
        <f>IF('Compare'!$E$5="Local prices",IF(F90="","",IF('Compare'!$C$5="Minimum",F90,IF('Compare'!$C$5="Maximum",H90,G90))),IF(I90="","",IF('Compare'!$C$5="Minimum",I90,IF('Compare'!$C$5="Maximum",K90,J90))))</f>
        <v/>
      </c>
    </row>
    <row r="91" ht="44" customHeight="1">
      <c r="A91" s="2" t="n"/>
      <c r="B91" s="24" t="inlineStr">
        <is>
          <t>Front-load GN 1/1 thermobox, 80–90 L</t>
        </is>
      </c>
      <c r="C91" s="24" t="inlineStr">
        <is>
          <t>Hungary</t>
        </is>
      </c>
      <c r="D91" s="24" t="inlineStr">
        <is>
          <t>HUF</t>
        </is>
      </c>
      <c r="E91" s="24" t="inlineStr">
        <is>
          <t>Net per piece</t>
        </is>
      </c>
      <c r="F91" s="94">
        <f>IF(COUNTIFS('Offers'!$B$7:$B$608,$B91,'Offers'!$C$7:$C$608,$C91,'Offers'!$AH$7:$AH$608,"yes")=0,"",SUMIFS('Offers'!$H$7:$H$608,'Offers'!$B$7:$B$608,$B91,'Offers'!$C$7:$C$608,$C91,'Offers'!$AF$7:$AF$608,1))</f>
        <v/>
      </c>
      <c r="G91" s="94">
        <f>IF(COUNTIFS('Offers'!$B$7:$B$608,$B91,'Offers'!$C$7:$C$608,$C91,'Offers'!$AH$7:$AH$608,"yes")=0,"",(SUMIFS('Offers'!$H$7:$H$608,'Offers'!$B$7:$B$608,$B91,'Offers'!$C$7:$C$608,$C91,'Offers'!$AF$7:$AF$608,ROUNDUP(COUNTIFS('Offers'!$B$7:$B$608,$B91,'Offers'!$C$7:$C$608,$C91,'Offers'!$AH$7:$AH$608,"yes")/2,0))+SUMIFS('Offers'!$H$7:$H$608,'Offers'!$B$7:$B$608,$B91,'Offers'!$C$7:$C$608,$C91,'Offers'!$AF$7:$AF$608,INT(COUNTIFS('Offers'!$B$7:$B$608,$B91,'Offers'!$C$7:$C$608,$C91,'Offers'!$AH$7:$AH$608,"yes")/2)+1))/2)</f>
        <v/>
      </c>
      <c r="H91" s="94">
        <f>IF(COUNTIFS('Offers'!$B$7:$B$608,$B91,'Offers'!$C$7:$C$608,$C91,'Offers'!$AH$7:$AH$608,"yes")=0,"",SUMIFS('Offers'!$H$7:$H$608,'Offers'!$B$7:$B$608,$B91,'Offers'!$C$7:$C$608,$C91,'Offers'!$AF$7:$AF$608,COUNTIFS('Offers'!$B$7:$B$608,$B91,'Offers'!$C$7:$C$608,$C91,'Offers'!$AH$7:$AH$608,"yes")))</f>
        <v/>
      </c>
      <c r="I91" s="95">
        <f>IF(COUNTIFS('Offers'!$B$7:$B$608,$B91,'Offers'!$C$7:$C$608,$C91,'Offers'!$AI$7:$AI$608,"yes")=0,"",SUMIFS('Offers'!$I$7:$I$608,'Offers'!$B$7:$B$608,$B91,'Offers'!$C$7:$C$608,$C91,'Offers'!$AG$7:$AG$608,1))</f>
        <v/>
      </c>
      <c r="J91" s="95">
        <f>IF(COUNTIFS('Offers'!$B$7:$B$608,$B91,'Offers'!$C$7:$C$608,$C91,'Offers'!$AI$7:$AI$608,"yes")=0,"",(SUMIFS('Offers'!$I$7:$I$608,'Offers'!$B$7:$B$608,$B91,'Offers'!$C$7:$C$608,$C91,'Offers'!$AG$7:$AG$608,ROUNDUP(COUNTIFS('Offers'!$B$7:$B$608,$B91,'Offers'!$C$7:$C$608,$C91,'Offers'!$AI$7:$AI$608,"yes")/2,0))+SUMIFS('Offers'!$I$7:$I$608,'Offers'!$B$7:$B$608,$B91,'Offers'!$C$7:$C$608,$C91,'Offers'!$AG$7:$AG$608,INT(COUNTIFS('Offers'!$B$7:$B$608,$B91,'Offers'!$C$7:$C$608,$C91,'Offers'!$AI$7:$AI$608,"yes")/2)+1))/2)</f>
        <v/>
      </c>
      <c r="K91" s="95">
        <f>IF(COUNTIFS('Offers'!$B$7:$B$608,$B91,'Offers'!$C$7:$C$608,$C91,'Offers'!$AI$7:$AI$608,"yes")=0,"",SUMIFS('Offers'!$I$7:$I$608,'Offers'!$B$7:$B$608,$B91,'Offers'!$C$7:$C$608,$C91,'Offers'!$AG$7:$AG$608,COUNTIFS('Offers'!$B$7:$B$608,$B91,'Offers'!$C$7:$C$608,$C91,'Offers'!$AI$7:$AI$608,"yes")))</f>
        <v/>
      </c>
      <c r="L91" s="55" t="n"/>
      <c r="M91" s="55" t="n"/>
      <c r="N91" s="55" t="n"/>
      <c r="O91" s="2">
        <f>IF('Compare'!$E$5="Local prices",IF(F91="","",IF('Compare'!$C$5="Minimum",F91,IF('Compare'!$C$5="Maximum",H91,G91))),IF(I91="","",IF('Compare'!$C$5="Minimum",I91,IF('Compare'!$C$5="Maximum",K91,J91))))</f>
        <v/>
      </c>
    </row>
    <row r="92" ht="44" customHeight="1">
      <c r="A92" s="2" t="n"/>
      <c r="B92" s="27" t="inlineStr">
        <is>
          <t>Front-load GN 1/1 thermobox, 80–90 L</t>
        </is>
      </c>
      <c r="C92" s="27" t="inlineStr">
        <is>
          <t>Romania</t>
        </is>
      </c>
      <c r="D92" s="27" t="inlineStr">
        <is>
          <t>RON</t>
        </is>
      </c>
      <c r="E92" s="27" t="inlineStr">
        <is>
          <t>Net per piece</t>
        </is>
      </c>
      <c r="F92" s="96">
        <f>IF(COUNTIFS('Offers'!$B$7:$B$608,$B92,'Offers'!$C$7:$C$608,$C92,'Offers'!$AH$7:$AH$608,"yes")=0,"",SUMIFS('Offers'!$H$7:$H$608,'Offers'!$B$7:$B$608,$B92,'Offers'!$C$7:$C$608,$C92,'Offers'!$AF$7:$AF$608,1))</f>
        <v/>
      </c>
      <c r="G92" s="96">
        <f>IF(COUNTIFS('Offers'!$B$7:$B$608,$B92,'Offers'!$C$7:$C$608,$C92,'Offers'!$AH$7:$AH$608,"yes")=0,"",(SUMIFS('Offers'!$H$7:$H$608,'Offers'!$B$7:$B$608,$B92,'Offers'!$C$7:$C$608,$C92,'Offers'!$AF$7:$AF$608,ROUNDUP(COUNTIFS('Offers'!$B$7:$B$608,$B92,'Offers'!$C$7:$C$608,$C92,'Offers'!$AH$7:$AH$608,"yes")/2,0))+SUMIFS('Offers'!$H$7:$H$608,'Offers'!$B$7:$B$608,$B92,'Offers'!$C$7:$C$608,$C92,'Offers'!$AF$7:$AF$608,INT(COUNTIFS('Offers'!$B$7:$B$608,$B92,'Offers'!$C$7:$C$608,$C92,'Offers'!$AH$7:$AH$608,"yes")/2)+1))/2)</f>
        <v/>
      </c>
      <c r="H92" s="96">
        <f>IF(COUNTIFS('Offers'!$B$7:$B$608,$B92,'Offers'!$C$7:$C$608,$C92,'Offers'!$AH$7:$AH$608,"yes")=0,"",SUMIFS('Offers'!$H$7:$H$608,'Offers'!$B$7:$B$608,$B92,'Offers'!$C$7:$C$608,$C92,'Offers'!$AF$7:$AF$608,COUNTIFS('Offers'!$B$7:$B$608,$B92,'Offers'!$C$7:$C$608,$C92,'Offers'!$AH$7:$AH$608,"yes")))</f>
        <v/>
      </c>
      <c r="I92" s="97">
        <f>IF(COUNTIFS('Offers'!$B$7:$B$608,$B92,'Offers'!$C$7:$C$608,$C92,'Offers'!$AI$7:$AI$608,"yes")=0,"",SUMIFS('Offers'!$I$7:$I$608,'Offers'!$B$7:$B$608,$B92,'Offers'!$C$7:$C$608,$C92,'Offers'!$AG$7:$AG$608,1))</f>
        <v/>
      </c>
      <c r="J92" s="97">
        <f>IF(COUNTIFS('Offers'!$B$7:$B$608,$B92,'Offers'!$C$7:$C$608,$C92,'Offers'!$AI$7:$AI$608,"yes")=0,"",(SUMIFS('Offers'!$I$7:$I$608,'Offers'!$B$7:$B$608,$B92,'Offers'!$C$7:$C$608,$C92,'Offers'!$AG$7:$AG$608,ROUNDUP(COUNTIFS('Offers'!$B$7:$B$608,$B92,'Offers'!$C$7:$C$608,$C92,'Offers'!$AI$7:$AI$608,"yes")/2,0))+SUMIFS('Offers'!$I$7:$I$608,'Offers'!$B$7:$B$608,$B92,'Offers'!$C$7:$C$608,$C92,'Offers'!$AG$7:$AG$608,INT(COUNTIFS('Offers'!$B$7:$B$608,$B92,'Offers'!$C$7:$C$608,$C92,'Offers'!$AI$7:$AI$608,"yes")/2)+1))/2)</f>
        <v/>
      </c>
      <c r="K92" s="97">
        <f>IF(COUNTIFS('Offers'!$B$7:$B$608,$B92,'Offers'!$C$7:$C$608,$C92,'Offers'!$AI$7:$AI$608,"yes")=0,"",SUMIFS('Offers'!$I$7:$I$608,'Offers'!$B$7:$B$608,$B92,'Offers'!$C$7:$C$608,$C92,'Offers'!$AG$7:$AG$608,COUNTIFS('Offers'!$B$7:$B$608,$B92,'Offers'!$C$7:$C$608,$C92,'Offers'!$AI$7:$AI$608,"yes")))</f>
        <v/>
      </c>
      <c r="L92" s="55" t="n"/>
      <c r="M92" s="55" t="n"/>
      <c r="N92" s="55" t="n"/>
      <c r="O92" s="19">
        <f>IF('Compare'!$E$5="Local prices",IF(F92="","",IF('Compare'!$C$5="Minimum",F92,IF('Compare'!$C$5="Maximum",H92,G92))),IF(I92="","",IF('Compare'!$C$5="Minimum",I92,IF('Compare'!$C$5="Maximum",K92,J92))))</f>
        <v/>
      </c>
    </row>
    <row r="93" ht="44" customHeight="1">
      <c r="A93" s="2" t="n"/>
      <c r="B93" s="24" t="inlineStr">
        <is>
          <t>Front-load GN 1/1 thermobox, 80–90 L</t>
        </is>
      </c>
      <c r="C93" s="24" t="inlineStr">
        <is>
          <t>Austria</t>
        </is>
      </c>
      <c r="D93" s="24" t="inlineStr">
        <is>
          <t>EUR</t>
        </is>
      </c>
      <c r="E93" s="24" t="inlineStr">
        <is>
          <t>Net per piece</t>
        </is>
      </c>
      <c r="F93" s="94">
        <f>IF(COUNTIFS('Offers'!$B$7:$B$608,$B93,'Offers'!$C$7:$C$608,$C93,'Offers'!$AH$7:$AH$608,"yes")=0,"",SUMIFS('Offers'!$H$7:$H$608,'Offers'!$B$7:$B$608,$B93,'Offers'!$C$7:$C$608,$C93,'Offers'!$AF$7:$AF$608,1))</f>
        <v/>
      </c>
      <c r="G93" s="94">
        <f>IF(COUNTIFS('Offers'!$B$7:$B$608,$B93,'Offers'!$C$7:$C$608,$C93,'Offers'!$AH$7:$AH$608,"yes")=0,"",(SUMIFS('Offers'!$H$7:$H$608,'Offers'!$B$7:$B$608,$B93,'Offers'!$C$7:$C$608,$C93,'Offers'!$AF$7:$AF$608,ROUNDUP(COUNTIFS('Offers'!$B$7:$B$608,$B93,'Offers'!$C$7:$C$608,$C93,'Offers'!$AH$7:$AH$608,"yes")/2,0))+SUMIFS('Offers'!$H$7:$H$608,'Offers'!$B$7:$B$608,$B93,'Offers'!$C$7:$C$608,$C93,'Offers'!$AF$7:$AF$608,INT(COUNTIFS('Offers'!$B$7:$B$608,$B93,'Offers'!$C$7:$C$608,$C93,'Offers'!$AH$7:$AH$608,"yes")/2)+1))/2)</f>
        <v/>
      </c>
      <c r="H93" s="94">
        <f>IF(COUNTIFS('Offers'!$B$7:$B$608,$B93,'Offers'!$C$7:$C$608,$C93,'Offers'!$AH$7:$AH$608,"yes")=0,"",SUMIFS('Offers'!$H$7:$H$608,'Offers'!$B$7:$B$608,$B93,'Offers'!$C$7:$C$608,$C93,'Offers'!$AF$7:$AF$608,COUNTIFS('Offers'!$B$7:$B$608,$B93,'Offers'!$C$7:$C$608,$C93,'Offers'!$AH$7:$AH$608,"yes")))</f>
        <v/>
      </c>
      <c r="I93" s="95">
        <f>IF(COUNTIFS('Offers'!$B$7:$B$608,$B93,'Offers'!$C$7:$C$608,$C93,'Offers'!$AI$7:$AI$608,"yes")=0,"",SUMIFS('Offers'!$I$7:$I$608,'Offers'!$B$7:$B$608,$B93,'Offers'!$C$7:$C$608,$C93,'Offers'!$AG$7:$AG$608,1))</f>
        <v/>
      </c>
      <c r="J93" s="95">
        <f>IF(COUNTIFS('Offers'!$B$7:$B$608,$B93,'Offers'!$C$7:$C$608,$C93,'Offers'!$AI$7:$AI$608,"yes")=0,"",(SUMIFS('Offers'!$I$7:$I$608,'Offers'!$B$7:$B$608,$B93,'Offers'!$C$7:$C$608,$C93,'Offers'!$AG$7:$AG$608,ROUNDUP(COUNTIFS('Offers'!$B$7:$B$608,$B93,'Offers'!$C$7:$C$608,$C93,'Offers'!$AI$7:$AI$608,"yes")/2,0))+SUMIFS('Offers'!$I$7:$I$608,'Offers'!$B$7:$B$608,$B93,'Offers'!$C$7:$C$608,$C93,'Offers'!$AG$7:$AG$608,INT(COUNTIFS('Offers'!$B$7:$B$608,$B93,'Offers'!$C$7:$C$608,$C93,'Offers'!$AI$7:$AI$608,"yes")/2)+1))/2)</f>
        <v/>
      </c>
      <c r="K93" s="95">
        <f>IF(COUNTIFS('Offers'!$B$7:$B$608,$B93,'Offers'!$C$7:$C$608,$C93,'Offers'!$AI$7:$AI$608,"yes")=0,"",SUMIFS('Offers'!$I$7:$I$608,'Offers'!$B$7:$B$608,$B93,'Offers'!$C$7:$C$608,$C93,'Offers'!$AG$7:$AG$608,COUNTIFS('Offers'!$B$7:$B$608,$B93,'Offers'!$C$7:$C$608,$C93,'Offers'!$AI$7:$AI$608,"yes")))</f>
        <v/>
      </c>
      <c r="L93" s="55" t="n"/>
      <c r="M93" s="55" t="n"/>
      <c r="N93" s="55" t="n"/>
      <c r="O93" s="2">
        <f>IF('Compare'!$E$5="Local prices",IF(F93="","",IF('Compare'!$C$5="Minimum",F93,IF('Compare'!$C$5="Maximum",H93,G93))),IF(I93="","",IF('Compare'!$C$5="Minimum",I93,IF('Compare'!$C$5="Maximum",K93,J93))))</f>
        <v/>
      </c>
    </row>
    <row r="94" ht="44" customHeight="1">
      <c r="A94" s="2" t="n"/>
      <c r="B94" s="27" t="inlineStr">
        <is>
          <t>Front-load GN 1/1 thermobox, 80–90 L</t>
        </is>
      </c>
      <c r="C94" s="27" t="inlineStr">
        <is>
          <t>Germany</t>
        </is>
      </c>
      <c r="D94" s="27" t="inlineStr">
        <is>
          <t>EUR</t>
        </is>
      </c>
      <c r="E94" s="27" t="inlineStr">
        <is>
          <t>Net per piece</t>
        </is>
      </c>
      <c r="F94" s="96">
        <f>IF(COUNTIFS('Offers'!$B$7:$B$608,$B94,'Offers'!$C$7:$C$608,$C94,'Offers'!$AH$7:$AH$608,"yes")=0,"",SUMIFS('Offers'!$H$7:$H$608,'Offers'!$B$7:$B$608,$B94,'Offers'!$C$7:$C$608,$C94,'Offers'!$AF$7:$AF$608,1))</f>
        <v/>
      </c>
      <c r="G94" s="96">
        <f>IF(COUNTIFS('Offers'!$B$7:$B$608,$B94,'Offers'!$C$7:$C$608,$C94,'Offers'!$AH$7:$AH$608,"yes")=0,"",(SUMIFS('Offers'!$H$7:$H$608,'Offers'!$B$7:$B$608,$B94,'Offers'!$C$7:$C$608,$C94,'Offers'!$AF$7:$AF$608,ROUNDUP(COUNTIFS('Offers'!$B$7:$B$608,$B94,'Offers'!$C$7:$C$608,$C94,'Offers'!$AH$7:$AH$608,"yes")/2,0))+SUMIFS('Offers'!$H$7:$H$608,'Offers'!$B$7:$B$608,$B94,'Offers'!$C$7:$C$608,$C94,'Offers'!$AF$7:$AF$608,INT(COUNTIFS('Offers'!$B$7:$B$608,$B94,'Offers'!$C$7:$C$608,$C94,'Offers'!$AH$7:$AH$608,"yes")/2)+1))/2)</f>
        <v/>
      </c>
      <c r="H94" s="96">
        <f>IF(COUNTIFS('Offers'!$B$7:$B$608,$B94,'Offers'!$C$7:$C$608,$C94,'Offers'!$AH$7:$AH$608,"yes")=0,"",SUMIFS('Offers'!$H$7:$H$608,'Offers'!$B$7:$B$608,$B94,'Offers'!$C$7:$C$608,$C94,'Offers'!$AF$7:$AF$608,COUNTIFS('Offers'!$B$7:$B$608,$B94,'Offers'!$C$7:$C$608,$C94,'Offers'!$AH$7:$AH$608,"yes")))</f>
        <v/>
      </c>
      <c r="I94" s="97">
        <f>IF(COUNTIFS('Offers'!$B$7:$B$608,$B94,'Offers'!$C$7:$C$608,$C94,'Offers'!$AI$7:$AI$608,"yes")=0,"",SUMIFS('Offers'!$I$7:$I$608,'Offers'!$B$7:$B$608,$B94,'Offers'!$C$7:$C$608,$C94,'Offers'!$AG$7:$AG$608,1))</f>
        <v/>
      </c>
      <c r="J94" s="97">
        <f>IF(COUNTIFS('Offers'!$B$7:$B$608,$B94,'Offers'!$C$7:$C$608,$C94,'Offers'!$AI$7:$AI$608,"yes")=0,"",(SUMIFS('Offers'!$I$7:$I$608,'Offers'!$B$7:$B$608,$B94,'Offers'!$C$7:$C$608,$C94,'Offers'!$AG$7:$AG$608,ROUNDUP(COUNTIFS('Offers'!$B$7:$B$608,$B94,'Offers'!$C$7:$C$608,$C94,'Offers'!$AI$7:$AI$608,"yes")/2,0))+SUMIFS('Offers'!$I$7:$I$608,'Offers'!$B$7:$B$608,$B94,'Offers'!$C$7:$C$608,$C94,'Offers'!$AG$7:$AG$608,INT(COUNTIFS('Offers'!$B$7:$B$608,$B94,'Offers'!$C$7:$C$608,$C94,'Offers'!$AI$7:$AI$608,"yes")/2)+1))/2)</f>
        <v/>
      </c>
      <c r="K94" s="97">
        <f>IF(COUNTIFS('Offers'!$B$7:$B$608,$B94,'Offers'!$C$7:$C$608,$C94,'Offers'!$AI$7:$AI$608,"yes")=0,"",SUMIFS('Offers'!$I$7:$I$608,'Offers'!$B$7:$B$608,$B94,'Offers'!$C$7:$C$608,$C94,'Offers'!$AG$7:$AG$608,COUNTIFS('Offers'!$B$7:$B$608,$B94,'Offers'!$C$7:$C$608,$C94,'Offers'!$AI$7:$AI$608,"yes")))</f>
        <v/>
      </c>
      <c r="L94" s="55" t="n"/>
      <c r="M94" s="55" t="n"/>
      <c r="N94" s="55" t="n"/>
      <c r="O94" s="19">
        <f>IF('Compare'!$E$5="Local prices",IF(F94="","",IF('Compare'!$C$5="Minimum",F94,IF('Compare'!$C$5="Maximum",H94,G94))),IF(I94="","",IF('Compare'!$C$5="Minimum",I94,IF('Compare'!$C$5="Maximum",K94,J94))))</f>
        <v/>
      </c>
    </row>
    <row r="95" ht="44" customHeight="1">
      <c r="A95" s="2" t="n"/>
      <c r="B95" s="24" t="inlineStr">
        <is>
          <t>Front-load GN 1/1 thermobox, 80–90 L</t>
        </is>
      </c>
      <c r="C95" s="24" t="inlineStr">
        <is>
          <t>Czech</t>
        </is>
      </c>
      <c r="D95" s="24" t="inlineStr">
        <is>
          <t>CZK</t>
        </is>
      </c>
      <c r="E95" s="24" t="inlineStr">
        <is>
          <t>Net per piece</t>
        </is>
      </c>
      <c r="F95" s="94">
        <f>IF(COUNTIFS('Offers'!$B$7:$B$608,$B95,'Offers'!$C$7:$C$608,$C95,'Offers'!$AH$7:$AH$608,"yes")=0,"",SUMIFS('Offers'!$H$7:$H$608,'Offers'!$B$7:$B$608,$B95,'Offers'!$C$7:$C$608,$C95,'Offers'!$AF$7:$AF$608,1))</f>
        <v/>
      </c>
      <c r="G95" s="94">
        <f>IF(COUNTIFS('Offers'!$B$7:$B$608,$B95,'Offers'!$C$7:$C$608,$C95,'Offers'!$AH$7:$AH$608,"yes")=0,"",(SUMIFS('Offers'!$H$7:$H$608,'Offers'!$B$7:$B$608,$B95,'Offers'!$C$7:$C$608,$C95,'Offers'!$AF$7:$AF$608,ROUNDUP(COUNTIFS('Offers'!$B$7:$B$608,$B95,'Offers'!$C$7:$C$608,$C95,'Offers'!$AH$7:$AH$608,"yes")/2,0))+SUMIFS('Offers'!$H$7:$H$608,'Offers'!$B$7:$B$608,$B95,'Offers'!$C$7:$C$608,$C95,'Offers'!$AF$7:$AF$608,INT(COUNTIFS('Offers'!$B$7:$B$608,$B95,'Offers'!$C$7:$C$608,$C95,'Offers'!$AH$7:$AH$608,"yes")/2)+1))/2)</f>
        <v/>
      </c>
      <c r="H95" s="94">
        <f>IF(COUNTIFS('Offers'!$B$7:$B$608,$B95,'Offers'!$C$7:$C$608,$C95,'Offers'!$AH$7:$AH$608,"yes")=0,"",SUMIFS('Offers'!$H$7:$H$608,'Offers'!$B$7:$B$608,$B95,'Offers'!$C$7:$C$608,$C95,'Offers'!$AF$7:$AF$608,COUNTIFS('Offers'!$B$7:$B$608,$B95,'Offers'!$C$7:$C$608,$C95,'Offers'!$AH$7:$AH$608,"yes")))</f>
        <v/>
      </c>
      <c r="I95" s="95">
        <f>IF(COUNTIFS('Offers'!$B$7:$B$608,$B95,'Offers'!$C$7:$C$608,$C95,'Offers'!$AI$7:$AI$608,"yes")=0,"",SUMIFS('Offers'!$I$7:$I$608,'Offers'!$B$7:$B$608,$B95,'Offers'!$C$7:$C$608,$C95,'Offers'!$AG$7:$AG$608,1))</f>
        <v/>
      </c>
      <c r="J95" s="95">
        <f>IF(COUNTIFS('Offers'!$B$7:$B$608,$B95,'Offers'!$C$7:$C$608,$C95,'Offers'!$AI$7:$AI$608,"yes")=0,"",(SUMIFS('Offers'!$I$7:$I$608,'Offers'!$B$7:$B$608,$B95,'Offers'!$C$7:$C$608,$C95,'Offers'!$AG$7:$AG$608,ROUNDUP(COUNTIFS('Offers'!$B$7:$B$608,$B95,'Offers'!$C$7:$C$608,$C95,'Offers'!$AI$7:$AI$608,"yes")/2,0))+SUMIFS('Offers'!$I$7:$I$608,'Offers'!$B$7:$B$608,$B95,'Offers'!$C$7:$C$608,$C95,'Offers'!$AG$7:$AG$608,INT(COUNTIFS('Offers'!$B$7:$B$608,$B95,'Offers'!$C$7:$C$608,$C95,'Offers'!$AI$7:$AI$608,"yes")/2)+1))/2)</f>
        <v/>
      </c>
      <c r="K95" s="95">
        <f>IF(COUNTIFS('Offers'!$B$7:$B$608,$B95,'Offers'!$C$7:$C$608,$C95,'Offers'!$AI$7:$AI$608,"yes")=0,"",SUMIFS('Offers'!$I$7:$I$608,'Offers'!$B$7:$B$608,$B95,'Offers'!$C$7:$C$608,$C95,'Offers'!$AG$7:$AG$608,COUNTIFS('Offers'!$B$7:$B$608,$B95,'Offers'!$C$7:$C$608,$C95,'Offers'!$AI$7:$AI$608,"yes")))</f>
        <v/>
      </c>
      <c r="L95" s="55" t="n"/>
      <c r="M95" s="55" t="n"/>
      <c r="N95" s="55" t="n"/>
      <c r="O95" s="2">
        <f>IF('Compare'!$E$5="Local prices",IF(F95="","",IF('Compare'!$C$5="Minimum",F95,IF('Compare'!$C$5="Maximum",H95,G95))),IF(I95="","",IF('Compare'!$C$5="Minimum",I95,IF('Compare'!$C$5="Maximum",K95,J95))))</f>
        <v/>
      </c>
    </row>
    <row r="96" ht="44" customHeight="1">
      <c r="A96" s="2" t="n"/>
      <c r="B96" s="27" t="inlineStr">
        <is>
          <t>Front-load GN 1/1 thermobox, 80–90 L</t>
        </is>
      </c>
      <c r="C96" s="27" t="inlineStr">
        <is>
          <t>Slovakia</t>
        </is>
      </c>
      <c r="D96" s="27" t="inlineStr">
        <is>
          <t>EUR</t>
        </is>
      </c>
      <c r="E96" s="27" t="inlineStr">
        <is>
          <t>Net per piece</t>
        </is>
      </c>
      <c r="F96" s="96">
        <f>IF(COUNTIFS('Offers'!$B$7:$B$608,$B96,'Offers'!$C$7:$C$608,$C96,'Offers'!$AH$7:$AH$608,"yes")=0,"",SUMIFS('Offers'!$H$7:$H$608,'Offers'!$B$7:$B$608,$B96,'Offers'!$C$7:$C$608,$C96,'Offers'!$AF$7:$AF$608,1))</f>
        <v/>
      </c>
      <c r="G96" s="96">
        <f>IF(COUNTIFS('Offers'!$B$7:$B$608,$B96,'Offers'!$C$7:$C$608,$C96,'Offers'!$AH$7:$AH$608,"yes")=0,"",(SUMIFS('Offers'!$H$7:$H$608,'Offers'!$B$7:$B$608,$B96,'Offers'!$C$7:$C$608,$C96,'Offers'!$AF$7:$AF$608,ROUNDUP(COUNTIFS('Offers'!$B$7:$B$608,$B96,'Offers'!$C$7:$C$608,$C96,'Offers'!$AH$7:$AH$608,"yes")/2,0))+SUMIFS('Offers'!$H$7:$H$608,'Offers'!$B$7:$B$608,$B96,'Offers'!$C$7:$C$608,$C96,'Offers'!$AF$7:$AF$608,INT(COUNTIFS('Offers'!$B$7:$B$608,$B96,'Offers'!$C$7:$C$608,$C96,'Offers'!$AH$7:$AH$608,"yes")/2)+1))/2)</f>
        <v/>
      </c>
      <c r="H96" s="96">
        <f>IF(COUNTIFS('Offers'!$B$7:$B$608,$B96,'Offers'!$C$7:$C$608,$C96,'Offers'!$AH$7:$AH$608,"yes")=0,"",SUMIFS('Offers'!$H$7:$H$608,'Offers'!$B$7:$B$608,$B96,'Offers'!$C$7:$C$608,$C96,'Offers'!$AF$7:$AF$608,COUNTIFS('Offers'!$B$7:$B$608,$B96,'Offers'!$C$7:$C$608,$C96,'Offers'!$AH$7:$AH$608,"yes")))</f>
        <v/>
      </c>
      <c r="I96" s="97">
        <f>IF(COUNTIFS('Offers'!$B$7:$B$608,$B96,'Offers'!$C$7:$C$608,$C96,'Offers'!$AI$7:$AI$608,"yes")=0,"",SUMIFS('Offers'!$I$7:$I$608,'Offers'!$B$7:$B$608,$B96,'Offers'!$C$7:$C$608,$C96,'Offers'!$AG$7:$AG$608,1))</f>
        <v/>
      </c>
      <c r="J96" s="97">
        <f>IF(COUNTIFS('Offers'!$B$7:$B$608,$B96,'Offers'!$C$7:$C$608,$C96,'Offers'!$AI$7:$AI$608,"yes")=0,"",(SUMIFS('Offers'!$I$7:$I$608,'Offers'!$B$7:$B$608,$B96,'Offers'!$C$7:$C$608,$C96,'Offers'!$AG$7:$AG$608,ROUNDUP(COUNTIFS('Offers'!$B$7:$B$608,$B96,'Offers'!$C$7:$C$608,$C96,'Offers'!$AI$7:$AI$608,"yes")/2,0))+SUMIFS('Offers'!$I$7:$I$608,'Offers'!$B$7:$B$608,$B96,'Offers'!$C$7:$C$608,$C96,'Offers'!$AG$7:$AG$608,INT(COUNTIFS('Offers'!$B$7:$B$608,$B96,'Offers'!$C$7:$C$608,$C96,'Offers'!$AI$7:$AI$608,"yes")/2)+1))/2)</f>
        <v/>
      </c>
      <c r="K96" s="97">
        <f>IF(COUNTIFS('Offers'!$B$7:$B$608,$B96,'Offers'!$C$7:$C$608,$C96,'Offers'!$AI$7:$AI$608,"yes")=0,"",SUMIFS('Offers'!$I$7:$I$608,'Offers'!$B$7:$B$608,$B96,'Offers'!$C$7:$C$608,$C96,'Offers'!$AG$7:$AG$608,COUNTIFS('Offers'!$B$7:$B$608,$B96,'Offers'!$C$7:$C$608,$C96,'Offers'!$AI$7:$AI$608,"yes")))</f>
        <v/>
      </c>
      <c r="L96" s="55" t="n"/>
      <c r="M96" s="55" t="n"/>
      <c r="N96" s="55" t="n"/>
      <c r="O96" s="19">
        <f>IF('Compare'!$E$5="Local prices",IF(F96="","",IF('Compare'!$C$5="Minimum",F96,IF('Compare'!$C$5="Maximum",H96,G96))),IF(I96="","",IF('Compare'!$C$5="Minimum",I96,IF('Compare'!$C$5="Maximum",K96,J96))))</f>
        <v/>
      </c>
    </row>
    <row r="97" ht="44" customHeight="1">
      <c r="A97" s="2" t="n"/>
      <c r="B97" s="24" t="inlineStr">
        <is>
          <t>Service tray approx. 370 × 530 mm</t>
        </is>
      </c>
      <c r="C97" s="24" t="inlineStr">
        <is>
          <t>Hungary</t>
        </is>
      </c>
      <c r="D97" s="24" t="inlineStr">
        <is>
          <t>HUF</t>
        </is>
      </c>
      <c r="E97" s="24" t="inlineStr">
        <is>
          <t>Net per piece</t>
        </is>
      </c>
      <c r="F97" s="94">
        <f>IF(COUNTIFS('Offers'!$B$7:$B$608,$B97,'Offers'!$C$7:$C$608,$C97,'Offers'!$AH$7:$AH$608,"yes")=0,"",SUMIFS('Offers'!$H$7:$H$608,'Offers'!$B$7:$B$608,$B97,'Offers'!$C$7:$C$608,$C97,'Offers'!$AF$7:$AF$608,1))</f>
        <v/>
      </c>
      <c r="G97" s="94">
        <f>IF(COUNTIFS('Offers'!$B$7:$B$608,$B97,'Offers'!$C$7:$C$608,$C97,'Offers'!$AH$7:$AH$608,"yes")=0,"",(SUMIFS('Offers'!$H$7:$H$608,'Offers'!$B$7:$B$608,$B97,'Offers'!$C$7:$C$608,$C97,'Offers'!$AF$7:$AF$608,ROUNDUP(COUNTIFS('Offers'!$B$7:$B$608,$B97,'Offers'!$C$7:$C$608,$C97,'Offers'!$AH$7:$AH$608,"yes")/2,0))+SUMIFS('Offers'!$H$7:$H$608,'Offers'!$B$7:$B$608,$B97,'Offers'!$C$7:$C$608,$C97,'Offers'!$AF$7:$AF$608,INT(COUNTIFS('Offers'!$B$7:$B$608,$B97,'Offers'!$C$7:$C$608,$C97,'Offers'!$AH$7:$AH$608,"yes")/2)+1))/2)</f>
        <v/>
      </c>
      <c r="H97" s="94">
        <f>IF(COUNTIFS('Offers'!$B$7:$B$608,$B97,'Offers'!$C$7:$C$608,$C97,'Offers'!$AH$7:$AH$608,"yes")=0,"",SUMIFS('Offers'!$H$7:$H$608,'Offers'!$B$7:$B$608,$B97,'Offers'!$C$7:$C$608,$C97,'Offers'!$AF$7:$AF$608,COUNTIFS('Offers'!$B$7:$B$608,$B97,'Offers'!$C$7:$C$608,$C97,'Offers'!$AH$7:$AH$608,"yes")))</f>
        <v/>
      </c>
      <c r="I97" s="95">
        <f>IF(COUNTIFS('Offers'!$B$7:$B$608,$B97,'Offers'!$C$7:$C$608,$C97,'Offers'!$AI$7:$AI$608,"yes")=0,"",SUMIFS('Offers'!$I$7:$I$608,'Offers'!$B$7:$B$608,$B97,'Offers'!$C$7:$C$608,$C97,'Offers'!$AG$7:$AG$608,1))</f>
        <v/>
      </c>
      <c r="J97" s="95">
        <f>IF(COUNTIFS('Offers'!$B$7:$B$608,$B97,'Offers'!$C$7:$C$608,$C97,'Offers'!$AI$7:$AI$608,"yes")=0,"",(SUMIFS('Offers'!$I$7:$I$608,'Offers'!$B$7:$B$608,$B97,'Offers'!$C$7:$C$608,$C97,'Offers'!$AG$7:$AG$608,ROUNDUP(COUNTIFS('Offers'!$B$7:$B$608,$B97,'Offers'!$C$7:$C$608,$C97,'Offers'!$AI$7:$AI$608,"yes")/2,0))+SUMIFS('Offers'!$I$7:$I$608,'Offers'!$B$7:$B$608,$B97,'Offers'!$C$7:$C$608,$C97,'Offers'!$AG$7:$AG$608,INT(COUNTIFS('Offers'!$B$7:$B$608,$B97,'Offers'!$C$7:$C$608,$C97,'Offers'!$AI$7:$AI$608,"yes")/2)+1))/2)</f>
        <v/>
      </c>
      <c r="K97" s="95">
        <f>IF(COUNTIFS('Offers'!$B$7:$B$608,$B97,'Offers'!$C$7:$C$608,$C97,'Offers'!$AI$7:$AI$608,"yes")=0,"",SUMIFS('Offers'!$I$7:$I$608,'Offers'!$B$7:$B$608,$B97,'Offers'!$C$7:$C$608,$C97,'Offers'!$AG$7:$AG$608,COUNTIFS('Offers'!$B$7:$B$608,$B97,'Offers'!$C$7:$C$608,$C97,'Offers'!$AI$7:$AI$608,"yes")))</f>
        <v/>
      </c>
      <c r="L97" s="55" t="n"/>
      <c r="M97" s="55" t="n"/>
      <c r="N97" s="55" t="n"/>
      <c r="O97" s="2">
        <f>IF('Compare'!$E$5="Local prices",IF(F97="","",IF('Compare'!$C$5="Minimum",F97,IF('Compare'!$C$5="Maximum",H97,G97))),IF(I97="","",IF('Compare'!$C$5="Minimum",I97,IF('Compare'!$C$5="Maximum",K97,J97))))</f>
        <v/>
      </c>
    </row>
    <row r="98" ht="44" customHeight="1">
      <c r="A98" s="2" t="n"/>
      <c r="B98" s="27" t="inlineStr">
        <is>
          <t>Service tray approx. 370 × 530 mm</t>
        </is>
      </c>
      <c r="C98" s="27" t="inlineStr">
        <is>
          <t>Romania</t>
        </is>
      </c>
      <c r="D98" s="27" t="inlineStr">
        <is>
          <t>RON</t>
        </is>
      </c>
      <c r="E98" s="27" t="inlineStr">
        <is>
          <t>Net per piece</t>
        </is>
      </c>
      <c r="F98" s="96">
        <f>IF(COUNTIFS('Offers'!$B$7:$B$608,$B98,'Offers'!$C$7:$C$608,$C98,'Offers'!$AH$7:$AH$608,"yes")=0,"",SUMIFS('Offers'!$H$7:$H$608,'Offers'!$B$7:$B$608,$B98,'Offers'!$C$7:$C$608,$C98,'Offers'!$AF$7:$AF$608,1))</f>
        <v/>
      </c>
      <c r="G98" s="96">
        <f>IF(COUNTIFS('Offers'!$B$7:$B$608,$B98,'Offers'!$C$7:$C$608,$C98,'Offers'!$AH$7:$AH$608,"yes")=0,"",(SUMIFS('Offers'!$H$7:$H$608,'Offers'!$B$7:$B$608,$B98,'Offers'!$C$7:$C$608,$C98,'Offers'!$AF$7:$AF$608,ROUNDUP(COUNTIFS('Offers'!$B$7:$B$608,$B98,'Offers'!$C$7:$C$608,$C98,'Offers'!$AH$7:$AH$608,"yes")/2,0))+SUMIFS('Offers'!$H$7:$H$608,'Offers'!$B$7:$B$608,$B98,'Offers'!$C$7:$C$608,$C98,'Offers'!$AF$7:$AF$608,INT(COUNTIFS('Offers'!$B$7:$B$608,$B98,'Offers'!$C$7:$C$608,$C98,'Offers'!$AH$7:$AH$608,"yes")/2)+1))/2)</f>
        <v/>
      </c>
      <c r="H98" s="96">
        <f>IF(COUNTIFS('Offers'!$B$7:$B$608,$B98,'Offers'!$C$7:$C$608,$C98,'Offers'!$AH$7:$AH$608,"yes")=0,"",SUMIFS('Offers'!$H$7:$H$608,'Offers'!$B$7:$B$608,$B98,'Offers'!$C$7:$C$608,$C98,'Offers'!$AF$7:$AF$608,COUNTIFS('Offers'!$B$7:$B$608,$B98,'Offers'!$C$7:$C$608,$C98,'Offers'!$AH$7:$AH$608,"yes")))</f>
        <v/>
      </c>
      <c r="I98" s="97">
        <f>IF(COUNTIFS('Offers'!$B$7:$B$608,$B98,'Offers'!$C$7:$C$608,$C98,'Offers'!$AI$7:$AI$608,"yes")=0,"",SUMIFS('Offers'!$I$7:$I$608,'Offers'!$B$7:$B$608,$B98,'Offers'!$C$7:$C$608,$C98,'Offers'!$AG$7:$AG$608,1))</f>
        <v/>
      </c>
      <c r="J98" s="97">
        <f>IF(COUNTIFS('Offers'!$B$7:$B$608,$B98,'Offers'!$C$7:$C$608,$C98,'Offers'!$AI$7:$AI$608,"yes")=0,"",(SUMIFS('Offers'!$I$7:$I$608,'Offers'!$B$7:$B$608,$B98,'Offers'!$C$7:$C$608,$C98,'Offers'!$AG$7:$AG$608,ROUNDUP(COUNTIFS('Offers'!$B$7:$B$608,$B98,'Offers'!$C$7:$C$608,$C98,'Offers'!$AI$7:$AI$608,"yes")/2,0))+SUMIFS('Offers'!$I$7:$I$608,'Offers'!$B$7:$B$608,$B98,'Offers'!$C$7:$C$608,$C98,'Offers'!$AG$7:$AG$608,INT(COUNTIFS('Offers'!$B$7:$B$608,$B98,'Offers'!$C$7:$C$608,$C98,'Offers'!$AI$7:$AI$608,"yes")/2)+1))/2)</f>
        <v/>
      </c>
      <c r="K98" s="97">
        <f>IF(COUNTIFS('Offers'!$B$7:$B$608,$B98,'Offers'!$C$7:$C$608,$C98,'Offers'!$AI$7:$AI$608,"yes")=0,"",SUMIFS('Offers'!$I$7:$I$608,'Offers'!$B$7:$B$608,$B98,'Offers'!$C$7:$C$608,$C98,'Offers'!$AG$7:$AG$608,COUNTIFS('Offers'!$B$7:$B$608,$B98,'Offers'!$C$7:$C$608,$C98,'Offers'!$AI$7:$AI$608,"yes")))</f>
        <v/>
      </c>
      <c r="L98" s="55" t="n"/>
      <c r="M98" s="55" t="n"/>
      <c r="N98" s="55" t="n"/>
      <c r="O98" s="19">
        <f>IF('Compare'!$E$5="Local prices",IF(F98="","",IF('Compare'!$C$5="Minimum",F98,IF('Compare'!$C$5="Maximum",H98,G98))),IF(I98="","",IF('Compare'!$C$5="Minimum",I98,IF('Compare'!$C$5="Maximum",K98,J98))))</f>
        <v/>
      </c>
    </row>
    <row r="99" ht="44" customHeight="1">
      <c r="A99" s="2" t="n"/>
      <c r="B99" s="24" t="inlineStr">
        <is>
          <t>Service tray approx. 370 × 530 mm</t>
        </is>
      </c>
      <c r="C99" s="24" t="inlineStr">
        <is>
          <t>Austria</t>
        </is>
      </c>
      <c r="D99" s="24" t="inlineStr">
        <is>
          <t>EUR</t>
        </is>
      </c>
      <c r="E99" s="24" t="inlineStr">
        <is>
          <t>Net per piece</t>
        </is>
      </c>
      <c r="F99" s="94">
        <f>IF(COUNTIFS('Offers'!$B$7:$B$608,$B99,'Offers'!$C$7:$C$608,$C99,'Offers'!$AH$7:$AH$608,"yes")=0,"",SUMIFS('Offers'!$H$7:$H$608,'Offers'!$B$7:$B$608,$B99,'Offers'!$C$7:$C$608,$C99,'Offers'!$AF$7:$AF$608,1))</f>
        <v/>
      </c>
      <c r="G99" s="94">
        <f>IF(COUNTIFS('Offers'!$B$7:$B$608,$B99,'Offers'!$C$7:$C$608,$C99,'Offers'!$AH$7:$AH$608,"yes")=0,"",(SUMIFS('Offers'!$H$7:$H$608,'Offers'!$B$7:$B$608,$B99,'Offers'!$C$7:$C$608,$C99,'Offers'!$AF$7:$AF$608,ROUNDUP(COUNTIFS('Offers'!$B$7:$B$608,$B99,'Offers'!$C$7:$C$608,$C99,'Offers'!$AH$7:$AH$608,"yes")/2,0))+SUMIFS('Offers'!$H$7:$H$608,'Offers'!$B$7:$B$608,$B99,'Offers'!$C$7:$C$608,$C99,'Offers'!$AF$7:$AF$608,INT(COUNTIFS('Offers'!$B$7:$B$608,$B99,'Offers'!$C$7:$C$608,$C99,'Offers'!$AH$7:$AH$608,"yes")/2)+1))/2)</f>
        <v/>
      </c>
      <c r="H99" s="94">
        <f>IF(COUNTIFS('Offers'!$B$7:$B$608,$B99,'Offers'!$C$7:$C$608,$C99,'Offers'!$AH$7:$AH$608,"yes")=0,"",SUMIFS('Offers'!$H$7:$H$608,'Offers'!$B$7:$B$608,$B99,'Offers'!$C$7:$C$608,$C99,'Offers'!$AF$7:$AF$608,COUNTIFS('Offers'!$B$7:$B$608,$B99,'Offers'!$C$7:$C$608,$C99,'Offers'!$AH$7:$AH$608,"yes")))</f>
        <v/>
      </c>
      <c r="I99" s="95">
        <f>IF(COUNTIFS('Offers'!$B$7:$B$608,$B99,'Offers'!$C$7:$C$608,$C99,'Offers'!$AI$7:$AI$608,"yes")=0,"",SUMIFS('Offers'!$I$7:$I$608,'Offers'!$B$7:$B$608,$B99,'Offers'!$C$7:$C$608,$C99,'Offers'!$AG$7:$AG$608,1))</f>
        <v/>
      </c>
      <c r="J99" s="95">
        <f>IF(COUNTIFS('Offers'!$B$7:$B$608,$B99,'Offers'!$C$7:$C$608,$C99,'Offers'!$AI$7:$AI$608,"yes")=0,"",(SUMIFS('Offers'!$I$7:$I$608,'Offers'!$B$7:$B$608,$B99,'Offers'!$C$7:$C$608,$C99,'Offers'!$AG$7:$AG$608,ROUNDUP(COUNTIFS('Offers'!$B$7:$B$608,$B99,'Offers'!$C$7:$C$608,$C99,'Offers'!$AI$7:$AI$608,"yes")/2,0))+SUMIFS('Offers'!$I$7:$I$608,'Offers'!$B$7:$B$608,$B99,'Offers'!$C$7:$C$608,$C99,'Offers'!$AG$7:$AG$608,INT(COUNTIFS('Offers'!$B$7:$B$608,$B99,'Offers'!$C$7:$C$608,$C99,'Offers'!$AI$7:$AI$608,"yes")/2)+1))/2)</f>
        <v/>
      </c>
      <c r="K99" s="95">
        <f>IF(COUNTIFS('Offers'!$B$7:$B$608,$B99,'Offers'!$C$7:$C$608,$C99,'Offers'!$AI$7:$AI$608,"yes")=0,"",SUMIFS('Offers'!$I$7:$I$608,'Offers'!$B$7:$B$608,$B99,'Offers'!$C$7:$C$608,$C99,'Offers'!$AG$7:$AG$608,COUNTIFS('Offers'!$B$7:$B$608,$B99,'Offers'!$C$7:$C$608,$C99,'Offers'!$AI$7:$AI$608,"yes")))</f>
        <v/>
      </c>
      <c r="L99" s="55" t="n"/>
      <c r="M99" s="55" t="n"/>
      <c r="N99" s="55" t="n"/>
      <c r="O99" s="2">
        <f>IF('Compare'!$E$5="Local prices",IF(F99="","",IF('Compare'!$C$5="Minimum",F99,IF('Compare'!$C$5="Maximum",H99,G99))),IF(I99="","",IF('Compare'!$C$5="Minimum",I99,IF('Compare'!$C$5="Maximum",K99,J99))))</f>
        <v/>
      </c>
    </row>
    <row r="100" ht="44" customHeight="1">
      <c r="A100" s="2" t="n"/>
      <c r="B100" s="27" t="inlineStr">
        <is>
          <t>Service tray approx. 370 × 530 mm</t>
        </is>
      </c>
      <c r="C100" s="27" t="inlineStr">
        <is>
          <t>Germany</t>
        </is>
      </c>
      <c r="D100" s="27" t="inlineStr">
        <is>
          <t>EUR</t>
        </is>
      </c>
      <c r="E100" s="27" t="inlineStr">
        <is>
          <t>Net per piece</t>
        </is>
      </c>
      <c r="F100" s="96">
        <f>IF(COUNTIFS('Offers'!$B$7:$B$608,$B100,'Offers'!$C$7:$C$608,$C100,'Offers'!$AH$7:$AH$608,"yes")=0,"",SUMIFS('Offers'!$H$7:$H$608,'Offers'!$B$7:$B$608,$B100,'Offers'!$C$7:$C$608,$C100,'Offers'!$AF$7:$AF$608,1))</f>
        <v/>
      </c>
      <c r="G100" s="96">
        <f>IF(COUNTIFS('Offers'!$B$7:$B$608,$B100,'Offers'!$C$7:$C$608,$C100,'Offers'!$AH$7:$AH$608,"yes")=0,"",(SUMIFS('Offers'!$H$7:$H$608,'Offers'!$B$7:$B$608,$B100,'Offers'!$C$7:$C$608,$C100,'Offers'!$AF$7:$AF$608,ROUNDUP(COUNTIFS('Offers'!$B$7:$B$608,$B100,'Offers'!$C$7:$C$608,$C100,'Offers'!$AH$7:$AH$608,"yes")/2,0))+SUMIFS('Offers'!$H$7:$H$608,'Offers'!$B$7:$B$608,$B100,'Offers'!$C$7:$C$608,$C100,'Offers'!$AF$7:$AF$608,INT(COUNTIFS('Offers'!$B$7:$B$608,$B100,'Offers'!$C$7:$C$608,$C100,'Offers'!$AH$7:$AH$608,"yes")/2)+1))/2)</f>
        <v/>
      </c>
      <c r="H100" s="96">
        <f>IF(COUNTIFS('Offers'!$B$7:$B$608,$B100,'Offers'!$C$7:$C$608,$C100,'Offers'!$AH$7:$AH$608,"yes")=0,"",SUMIFS('Offers'!$H$7:$H$608,'Offers'!$B$7:$B$608,$B100,'Offers'!$C$7:$C$608,$C100,'Offers'!$AF$7:$AF$608,COUNTIFS('Offers'!$B$7:$B$608,$B100,'Offers'!$C$7:$C$608,$C100,'Offers'!$AH$7:$AH$608,"yes")))</f>
        <v/>
      </c>
      <c r="I100" s="97">
        <f>IF(COUNTIFS('Offers'!$B$7:$B$608,$B100,'Offers'!$C$7:$C$608,$C100,'Offers'!$AI$7:$AI$608,"yes")=0,"",SUMIFS('Offers'!$I$7:$I$608,'Offers'!$B$7:$B$608,$B100,'Offers'!$C$7:$C$608,$C100,'Offers'!$AG$7:$AG$608,1))</f>
        <v/>
      </c>
      <c r="J100" s="97">
        <f>IF(COUNTIFS('Offers'!$B$7:$B$608,$B100,'Offers'!$C$7:$C$608,$C100,'Offers'!$AI$7:$AI$608,"yes")=0,"",(SUMIFS('Offers'!$I$7:$I$608,'Offers'!$B$7:$B$608,$B100,'Offers'!$C$7:$C$608,$C100,'Offers'!$AG$7:$AG$608,ROUNDUP(COUNTIFS('Offers'!$B$7:$B$608,$B100,'Offers'!$C$7:$C$608,$C100,'Offers'!$AI$7:$AI$608,"yes")/2,0))+SUMIFS('Offers'!$I$7:$I$608,'Offers'!$B$7:$B$608,$B100,'Offers'!$C$7:$C$608,$C100,'Offers'!$AG$7:$AG$608,INT(COUNTIFS('Offers'!$B$7:$B$608,$B100,'Offers'!$C$7:$C$608,$C100,'Offers'!$AI$7:$AI$608,"yes")/2)+1))/2)</f>
        <v/>
      </c>
      <c r="K100" s="97">
        <f>IF(COUNTIFS('Offers'!$B$7:$B$608,$B100,'Offers'!$C$7:$C$608,$C100,'Offers'!$AI$7:$AI$608,"yes")=0,"",SUMIFS('Offers'!$I$7:$I$608,'Offers'!$B$7:$B$608,$B100,'Offers'!$C$7:$C$608,$C100,'Offers'!$AG$7:$AG$608,COUNTIFS('Offers'!$B$7:$B$608,$B100,'Offers'!$C$7:$C$608,$C100,'Offers'!$AI$7:$AI$608,"yes")))</f>
        <v/>
      </c>
      <c r="L100" s="55" t="n"/>
      <c r="M100" s="55" t="n"/>
      <c r="N100" s="55" t="n"/>
      <c r="O100" s="19">
        <f>IF('Compare'!$E$5="Local prices",IF(F100="","",IF('Compare'!$C$5="Minimum",F100,IF('Compare'!$C$5="Maximum",H100,G100))),IF(I100="","",IF('Compare'!$C$5="Minimum",I100,IF('Compare'!$C$5="Maximum",K100,J100))))</f>
        <v/>
      </c>
    </row>
    <row r="101" ht="44" customHeight="1">
      <c r="A101" s="2" t="n"/>
      <c r="B101" s="24" t="inlineStr">
        <is>
          <t>Service tray approx. 370 × 530 mm</t>
        </is>
      </c>
      <c r="C101" s="24" t="inlineStr">
        <is>
          <t>Czech</t>
        </is>
      </c>
      <c r="D101" s="24" t="inlineStr">
        <is>
          <t>CZK</t>
        </is>
      </c>
      <c r="E101" s="24" t="inlineStr">
        <is>
          <t>Net per piece</t>
        </is>
      </c>
      <c r="F101" s="94">
        <f>IF(COUNTIFS('Offers'!$B$7:$B$608,$B101,'Offers'!$C$7:$C$608,$C101,'Offers'!$AH$7:$AH$608,"yes")=0,"",SUMIFS('Offers'!$H$7:$H$608,'Offers'!$B$7:$B$608,$B101,'Offers'!$C$7:$C$608,$C101,'Offers'!$AF$7:$AF$608,1))</f>
        <v/>
      </c>
      <c r="G101" s="94">
        <f>IF(COUNTIFS('Offers'!$B$7:$B$608,$B101,'Offers'!$C$7:$C$608,$C101,'Offers'!$AH$7:$AH$608,"yes")=0,"",(SUMIFS('Offers'!$H$7:$H$608,'Offers'!$B$7:$B$608,$B101,'Offers'!$C$7:$C$608,$C101,'Offers'!$AF$7:$AF$608,ROUNDUP(COUNTIFS('Offers'!$B$7:$B$608,$B101,'Offers'!$C$7:$C$608,$C101,'Offers'!$AH$7:$AH$608,"yes")/2,0))+SUMIFS('Offers'!$H$7:$H$608,'Offers'!$B$7:$B$608,$B101,'Offers'!$C$7:$C$608,$C101,'Offers'!$AF$7:$AF$608,INT(COUNTIFS('Offers'!$B$7:$B$608,$B101,'Offers'!$C$7:$C$608,$C101,'Offers'!$AH$7:$AH$608,"yes")/2)+1))/2)</f>
        <v/>
      </c>
      <c r="H101" s="94">
        <f>IF(COUNTIFS('Offers'!$B$7:$B$608,$B101,'Offers'!$C$7:$C$608,$C101,'Offers'!$AH$7:$AH$608,"yes")=0,"",SUMIFS('Offers'!$H$7:$H$608,'Offers'!$B$7:$B$608,$B101,'Offers'!$C$7:$C$608,$C101,'Offers'!$AF$7:$AF$608,COUNTIFS('Offers'!$B$7:$B$608,$B101,'Offers'!$C$7:$C$608,$C101,'Offers'!$AH$7:$AH$608,"yes")))</f>
        <v/>
      </c>
      <c r="I101" s="95">
        <f>IF(COUNTIFS('Offers'!$B$7:$B$608,$B101,'Offers'!$C$7:$C$608,$C101,'Offers'!$AI$7:$AI$608,"yes")=0,"",SUMIFS('Offers'!$I$7:$I$608,'Offers'!$B$7:$B$608,$B101,'Offers'!$C$7:$C$608,$C101,'Offers'!$AG$7:$AG$608,1))</f>
        <v/>
      </c>
      <c r="J101" s="95">
        <f>IF(COUNTIFS('Offers'!$B$7:$B$608,$B101,'Offers'!$C$7:$C$608,$C101,'Offers'!$AI$7:$AI$608,"yes")=0,"",(SUMIFS('Offers'!$I$7:$I$608,'Offers'!$B$7:$B$608,$B101,'Offers'!$C$7:$C$608,$C101,'Offers'!$AG$7:$AG$608,ROUNDUP(COUNTIFS('Offers'!$B$7:$B$608,$B101,'Offers'!$C$7:$C$608,$C101,'Offers'!$AI$7:$AI$608,"yes")/2,0))+SUMIFS('Offers'!$I$7:$I$608,'Offers'!$B$7:$B$608,$B101,'Offers'!$C$7:$C$608,$C101,'Offers'!$AG$7:$AG$608,INT(COUNTIFS('Offers'!$B$7:$B$608,$B101,'Offers'!$C$7:$C$608,$C101,'Offers'!$AI$7:$AI$608,"yes")/2)+1))/2)</f>
        <v/>
      </c>
      <c r="K101" s="95">
        <f>IF(COUNTIFS('Offers'!$B$7:$B$608,$B101,'Offers'!$C$7:$C$608,$C101,'Offers'!$AI$7:$AI$608,"yes")=0,"",SUMIFS('Offers'!$I$7:$I$608,'Offers'!$B$7:$B$608,$B101,'Offers'!$C$7:$C$608,$C101,'Offers'!$AG$7:$AG$608,COUNTIFS('Offers'!$B$7:$B$608,$B101,'Offers'!$C$7:$C$608,$C101,'Offers'!$AI$7:$AI$608,"yes")))</f>
        <v/>
      </c>
      <c r="L101" s="55" t="n"/>
      <c r="M101" s="55" t="n"/>
      <c r="N101" s="55" t="n"/>
      <c r="O101" s="2">
        <f>IF('Compare'!$E$5="Local prices",IF(F101="","",IF('Compare'!$C$5="Minimum",F101,IF('Compare'!$C$5="Maximum",H101,G101))),IF(I101="","",IF('Compare'!$C$5="Minimum",I101,IF('Compare'!$C$5="Maximum",K101,J101))))</f>
        <v/>
      </c>
    </row>
    <row r="102" ht="44" customHeight="1">
      <c r="A102" s="2" t="n"/>
      <c r="B102" s="27" t="inlineStr">
        <is>
          <t>Service tray approx. 370 × 530 mm</t>
        </is>
      </c>
      <c r="C102" s="27" t="inlineStr">
        <is>
          <t>Slovakia</t>
        </is>
      </c>
      <c r="D102" s="27" t="inlineStr">
        <is>
          <t>EUR</t>
        </is>
      </c>
      <c r="E102" s="27" t="inlineStr">
        <is>
          <t>Net per piece</t>
        </is>
      </c>
      <c r="F102" s="96">
        <f>IF(COUNTIFS('Offers'!$B$7:$B$608,$B102,'Offers'!$C$7:$C$608,$C102,'Offers'!$AH$7:$AH$608,"yes")=0,"",SUMIFS('Offers'!$H$7:$H$608,'Offers'!$B$7:$B$608,$B102,'Offers'!$C$7:$C$608,$C102,'Offers'!$AF$7:$AF$608,1))</f>
        <v/>
      </c>
      <c r="G102" s="96">
        <f>IF(COUNTIFS('Offers'!$B$7:$B$608,$B102,'Offers'!$C$7:$C$608,$C102,'Offers'!$AH$7:$AH$608,"yes")=0,"",(SUMIFS('Offers'!$H$7:$H$608,'Offers'!$B$7:$B$608,$B102,'Offers'!$C$7:$C$608,$C102,'Offers'!$AF$7:$AF$608,ROUNDUP(COUNTIFS('Offers'!$B$7:$B$608,$B102,'Offers'!$C$7:$C$608,$C102,'Offers'!$AH$7:$AH$608,"yes")/2,0))+SUMIFS('Offers'!$H$7:$H$608,'Offers'!$B$7:$B$608,$B102,'Offers'!$C$7:$C$608,$C102,'Offers'!$AF$7:$AF$608,INT(COUNTIFS('Offers'!$B$7:$B$608,$B102,'Offers'!$C$7:$C$608,$C102,'Offers'!$AH$7:$AH$608,"yes")/2)+1))/2)</f>
        <v/>
      </c>
      <c r="H102" s="96">
        <f>IF(COUNTIFS('Offers'!$B$7:$B$608,$B102,'Offers'!$C$7:$C$608,$C102,'Offers'!$AH$7:$AH$608,"yes")=0,"",SUMIFS('Offers'!$H$7:$H$608,'Offers'!$B$7:$B$608,$B102,'Offers'!$C$7:$C$608,$C102,'Offers'!$AF$7:$AF$608,COUNTIFS('Offers'!$B$7:$B$608,$B102,'Offers'!$C$7:$C$608,$C102,'Offers'!$AH$7:$AH$608,"yes")))</f>
        <v/>
      </c>
      <c r="I102" s="97">
        <f>IF(COUNTIFS('Offers'!$B$7:$B$608,$B102,'Offers'!$C$7:$C$608,$C102,'Offers'!$AI$7:$AI$608,"yes")=0,"",SUMIFS('Offers'!$I$7:$I$608,'Offers'!$B$7:$B$608,$B102,'Offers'!$C$7:$C$608,$C102,'Offers'!$AG$7:$AG$608,1))</f>
        <v/>
      </c>
      <c r="J102" s="97">
        <f>IF(COUNTIFS('Offers'!$B$7:$B$608,$B102,'Offers'!$C$7:$C$608,$C102,'Offers'!$AI$7:$AI$608,"yes")=0,"",(SUMIFS('Offers'!$I$7:$I$608,'Offers'!$B$7:$B$608,$B102,'Offers'!$C$7:$C$608,$C102,'Offers'!$AG$7:$AG$608,ROUNDUP(COUNTIFS('Offers'!$B$7:$B$608,$B102,'Offers'!$C$7:$C$608,$C102,'Offers'!$AI$7:$AI$608,"yes")/2,0))+SUMIFS('Offers'!$I$7:$I$608,'Offers'!$B$7:$B$608,$B102,'Offers'!$C$7:$C$608,$C102,'Offers'!$AG$7:$AG$608,INT(COUNTIFS('Offers'!$B$7:$B$608,$B102,'Offers'!$C$7:$C$608,$C102,'Offers'!$AI$7:$AI$608,"yes")/2)+1))/2)</f>
        <v/>
      </c>
      <c r="K102" s="97">
        <f>IF(COUNTIFS('Offers'!$B$7:$B$608,$B102,'Offers'!$C$7:$C$608,$C102,'Offers'!$AI$7:$AI$608,"yes")=0,"",SUMIFS('Offers'!$I$7:$I$608,'Offers'!$B$7:$B$608,$B102,'Offers'!$C$7:$C$608,$C102,'Offers'!$AG$7:$AG$608,COUNTIFS('Offers'!$B$7:$B$608,$B102,'Offers'!$C$7:$C$608,$C102,'Offers'!$AI$7:$AI$608,"yes")))</f>
        <v/>
      </c>
      <c r="L102" s="55" t="n"/>
      <c r="M102" s="55" t="n"/>
      <c r="N102" s="55" t="n"/>
      <c r="O102" s="19">
        <f>IF('Compare'!$E$5="Local prices",IF(F102="","",IF('Compare'!$C$5="Minimum",F102,IF('Compare'!$C$5="Maximum",H102,G102))),IF(I102="","",IF('Compare'!$C$5="Minimum",I102,IF('Compare'!$C$5="Maximum",K102,J102))))</f>
        <v/>
      </c>
    </row>
    <row r="103" ht="44" customHeight="1">
      <c r="A103" s="2" t="n"/>
      <c r="B103" s="24" t="inlineStr">
        <is>
          <t>Thermo tray + lid, 5–6 compartments</t>
        </is>
      </c>
      <c r="C103" s="24" t="inlineStr">
        <is>
          <t>Hungary</t>
        </is>
      </c>
      <c r="D103" s="24" t="inlineStr">
        <is>
          <t>HUF</t>
        </is>
      </c>
      <c r="E103" s="24" t="inlineStr">
        <is>
          <t>Net per piece</t>
        </is>
      </c>
      <c r="F103" s="94">
        <f>IF(COUNTIFS('Offers'!$B$7:$B$608,$B103,'Offers'!$C$7:$C$608,$C103,'Offers'!$AH$7:$AH$608,"yes")=0,"",SUMIFS('Offers'!$H$7:$H$608,'Offers'!$B$7:$B$608,$B103,'Offers'!$C$7:$C$608,$C103,'Offers'!$AF$7:$AF$608,1))</f>
        <v/>
      </c>
      <c r="G103" s="94">
        <f>IF(COUNTIFS('Offers'!$B$7:$B$608,$B103,'Offers'!$C$7:$C$608,$C103,'Offers'!$AH$7:$AH$608,"yes")=0,"",(SUMIFS('Offers'!$H$7:$H$608,'Offers'!$B$7:$B$608,$B103,'Offers'!$C$7:$C$608,$C103,'Offers'!$AF$7:$AF$608,ROUNDUP(COUNTIFS('Offers'!$B$7:$B$608,$B103,'Offers'!$C$7:$C$608,$C103,'Offers'!$AH$7:$AH$608,"yes")/2,0))+SUMIFS('Offers'!$H$7:$H$608,'Offers'!$B$7:$B$608,$B103,'Offers'!$C$7:$C$608,$C103,'Offers'!$AF$7:$AF$608,INT(COUNTIFS('Offers'!$B$7:$B$608,$B103,'Offers'!$C$7:$C$608,$C103,'Offers'!$AH$7:$AH$608,"yes")/2)+1))/2)</f>
        <v/>
      </c>
      <c r="H103" s="94">
        <f>IF(COUNTIFS('Offers'!$B$7:$B$608,$B103,'Offers'!$C$7:$C$608,$C103,'Offers'!$AH$7:$AH$608,"yes")=0,"",SUMIFS('Offers'!$H$7:$H$608,'Offers'!$B$7:$B$608,$B103,'Offers'!$C$7:$C$608,$C103,'Offers'!$AF$7:$AF$608,COUNTIFS('Offers'!$B$7:$B$608,$B103,'Offers'!$C$7:$C$608,$C103,'Offers'!$AH$7:$AH$608,"yes")))</f>
        <v/>
      </c>
      <c r="I103" s="95">
        <f>IF(COUNTIFS('Offers'!$B$7:$B$608,$B103,'Offers'!$C$7:$C$608,$C103,'Offers'!$AI$7:$AI$608,"yes")=0,"",SUMIFS('Offers'!$I$7:$I$608,'Offers'!$B$7:$B$608,$B103,'Offers'!$C$7:$C$608,$C103,'Offers'!$AG$7:$AG$608,1))</f>
        <v/>
      </c>
      <c r="J103" s="95">
        <f>IF(COUNTIFS('Offers'!$B$7:$B$608,$B103,'Offers'!$C$7:$C$608,$C103,'Offers'!$AI$7:$AI$608,"yes")=0,"",(SUMIFS('Offers'!$I$7:$I$608,'Offers'!$B$7:$B$608,$B103,'Offers'!$C$7:$C$608,$C103,'Offers'!$AG$7:$AG$608,ROUNDUP(COUNTIFS('Offers'!$B$7:$B$608,$B103,'Offers'!$C$7:$C$608,$C103,'Offers'!$AI$7:$AI$608,"yes")/2,0))+SUMIFS('Offers'!$I$7:$I$608,'Offers'!$B$7:$B$608,$B103,'Offers'!$C$7:$C$608,$C103,'Offers'!$AG$7:$AG$608,INT(COUNTIFS('Offers'!$B$7:$B$608,$B103,'Offers'!$C$7:$C$608,$C103,'Offers'!$AI$7:$AI$608,"yes")/2)+1))/2)</f>
        <v/>
      </c>
      <c r="K103" s="95">
        <f>IF(COUNTIFS('Offers'!$B$7:$B$608,$B103,'Offers'!$C$7:$C$608,$C103,'Offers'!$AI$7:$AI$608,"yes")=0,"",SUMIFS('Offers'!$I$7:$I$608,'Offers'!$B$7:$B$608,$B103,'Offers'!$C$7:$C$608,$C103,'Offers'!$AG$7:$AG$608,COUNTIFS('Offers'!$B$7:$B$608,$B103,'Offers'!$C$7:$C$608,$C103,'Offers'!$AI$7:$AI$608,"yes")))</f>
        <v/>
      </c>
      <c r="L103" s="55" t="n"/>
      <c r="M103" s="55" t="n"/>
      <c r="N103" s="55" t="n"/>
      <c r="O103" s="2">
        <f>IF('Compare'!$E$5="Local prices",IF(F103="","",IF('Compare'!$C$5="Minimum",F103,IF('Compare'!$C$5="Maximum",H103,G103))),IF(I103="","",IF('Compare'!$C$5="Minimum",I103,IF('Compare'!$C$5="Maximum",K103,J103))))</f>
        <v/>
      </c>
    </row>
    <row r="104" ht="44" customHeight="1">
      <c r="A104" s="2" t="n"/>
      <c r="B104" s="27" t="inlineStr">
        <is>
          <t>Thermo tray + lid, 5–6 compartments</t>
        </is>
      </c>
      <c r="C104" s="27" t="inlineStr">
        <is>
          <t>Romania</t>
        </is>
      </c>
      <c r="D104" s="27" t="inlineStr">
        <is>
          <t>RON</t>
        </is>
      </c>
      <c r="E104" s="27" t="inlineStr">
        <is>
          <t>Net per piece</t>
        </is>
      </c>
      <c r="F104" s="96">
        <f>IF(COUNTIFS('Offers'!$B$7:$B$608,$B104,'Offers'!$C$7:$C$608,$C104,'Offers'!$AH$7:$AH$608,"yes")=0,"",SUMIFS('Offers'!$H$7:$H$608,'Offers'!$B$7:$B$608,$B104,'Offers'!$C$7:$C$608,$C104,'Offers'!$AF$7:$AF$608,1))</f>
        <v/>
      </c>
      <c r="G104" s="96">
        <f>IF(COUNTIFS('Offers'!$B$7:$B$608,$B104,'Offers'!$C$7:$C$608,$C104,'Offers'!$AH$7:$AH$608,"yes")=0,"",(SUMIFS('Offers'!$H$7:$H$608,'Offers'!$B$7:$B$608,$B104,'Offers'!$C$7:$C$608,$C104,'Offers'!$AF$7:$AF$608,ROUNDUP(COUNTIFS('Offers'!$B$7:$B$608,$B104,'Offers'!$C$7:$C$608,$C104,'Offers'!$AH$7:$AH$608,"yes")/2,0))+SUMIFS('Offers'!$H$7:$H$608,'Offers'!$B$7:$B$608,$B104,'Offers'!$C$7:$C$608,$C104,'Offers'!$AF$7:$AF$608,INT(COUNTIFS('Offers'!$B$7:$B$608,$B104,'Offers'!$C$7:$C$608,$C104,'Offers'!$AH$7:$AH$608,"yes")/2)+1))/2)</f>
        <v/>
      </c>
      <c r="H104" s="96">
        <f>IF(COUNTIFS('Offers'!$B$7:$B$608,$B104,'Offers'!$C$7:$C$608,$C104,'Offers'!$AH$7:$AH$608,"yes")=0,"",SUMIFS('Offers'!$H$7:$H$608,'Offers'!$B$7:$B$608,$B104,'Offers'!$C$7:$C$608,$C104,'Offers'!$AF$7:$AF$608,COUNTIFS('Offers'!$B$7:$B$608,$B104,'Offers'!$C$7:$C$608,$C104,'Offers'!$AH$7:$AH$608,"yes")))</f>
        <v/>
      </c>
      <c r="I104" s="97">
        <f>IF(COUNTIFS('Offers'!$B$7:$B$608,$B104,'Offers'!$C$7:$C$608,$C104,'Offers'!$AI$7:$AI$608,"yes")=0,"",SUMIFS('Offers'!$I$7:$I$608,'Offers'!$B$7:$B$608,$B104,'Offers'!$C$7:$C$608,$C104,'Offers'!$AG$7:$AG$608,1))</f>
        <v/>
      </c>
      <c r="J104" s="97">
        <f>IF(COUNTIFS('Offers'!$B$7:$B$608,$B104,'Offers'!$C$7:$C$608,$C104,'Offers'!$AI$7:$AI$608,"yes")=0,"",(SUMIFS('Offers'!$I$7:$I$608,'Offers'!$B$7:$B$608,$B104,'Offers'!$C$7:$C$608,$C104,'Offers'!$AG$7:$AG$608,ROUNDUP(COUNTIFS('Offers'!$B$7:$B$608,$B104,'Offers'!$C$7:$C$608,$C104,'Offers'!$AI$7:$AI$608,"yes")/2,0))+SUMIFS('Offers'!$I$7:$I$608,'Offers'!$B$7:$B$608,$B104,'Offers'!$C$7:$C$608,$C104,'Offers'!$AG$7:$AG$608,INT(COUNTIFS('Offers'!$B$7:$B$608,$B104,'Offers'!$C$7:$C$608,$C104,'Offers'!$AI$7:$AI$608,"yes")/2)+1))/2)</f>
        <v/>
      </c>
      <c r="K104" s="97">
        <f>IF(COUNTIFS('Offers'!$B$7:$B$608,$B104,'Offers'!$C$7:$C$608,$C104,'Offers'!$AI$7:$AI$608,"yes")=0,"",SUMIFS('Offers'!$I$7:$I$608,'Offers'!$B$7:$B$608,$B104,'Offers'!$C$7:$C$608,$C104,'Offers'!$AG$7:$AG$608,COUNTIFS('Offers'!$B$7:$B$608,$B104,'Offers'!$C$7:$C$608,$C104,'Offers'!$AI$7:$AI$608,"yes")))</f>
        <v/>
      </c>
      <c r="L104" s="55" t="n"/>
      <c r="M104" s="55" t="n"/>
      <c r="N104" s="55" t="n"/>
      <c r="O104" s="19">
        <f>IF('Compare'!$E$5="Local prices",IF(F104="","",IF('Compare'!$C$5="Minimum",F104,IF('Compare'!$C$5="Maximum",H104,G104))),IF(I104="","",IF('Compare'!$C$5="Minimum",I104,IF('Compare'!$C$5="Maximum",K104,J104))))</f>
        <v/>
      </c>
    </row>
    <row r="105" ht="44" customHeight="1">
      <c r="A105" s="2" t="n"/>
      <c r="B105" s="24" t="inlineStr">
        <is>
          <t>Thermo tray + lid, 5–6 compartments</t>
        </is>
      </c>
      <c r="C105" s="24" t="inlineStr">
        <is>
          <t>Austria</t>
        </is>
      </c>
      <c r="D105" s="24" t="inlineStr">
        <is>
          <t>EUR</t>
        </is>
      </c>
      <c r="E105" s="24" t="inlineStr">
        <is>
          <t>Net per piece</t>
        </is>
      </c>
      <c r="F105" s="94">
        <f>IF(COUNTIFS('Offers'!$B$7:$B$608,$B105,'Offers'!$C$7:$C$608,$C105,'Offers'!$AH$7:$AH$608,"yes")=0,"",SUMIFS('Offers'!$H$7:$H$608,'Offers'!$B$7:$B$608,$B105,'Offers'!$C$7:$C$608,$C105,'Offers'!$AF$7:$AF$608,1))</f>
        <v/>
      </c>
      <c r="G105" s="94">
        <f>IF(COUNTIFS('Offers'!$B$7:$B$608,$B105,'Offers'!$C$7:$C$608,$C105,'Offers'!$AH$7:$AH$608,"yes")=0,"",(SUMIFS('Offers'!$H$7:$H$608,'Offers'!$B$7:$B$608,$B105,'Offers'!$C$7:$C$608,$C105,'Offers'!$AF$7:$AF$608,ROUNDUP(COUNTIFS('Offers'!$B$7:$B$608,$B105,'Offers'!$C$7:$C$608,$C105,'Offers'!$AH$7:$AH$608,"yes")/2,0))+SUMIFS('Offers'!$H$7:$H$608,'Offers'!$B$7:$B$608,$B105,'Offers'!$C$7:$C$608,$C105,'Offers'!$AF$7:$AF$608,INT(COUNTIFS('Offers'!$B$7:$B$608,$B105,'Offers'!$C$7:$C$608,$C105,'Offers'!$AH$7:$AH$608,"yes")/2)+1))/2)</f>
        <v/>
      </c>
      <c r="H105" s="94">
        <f>IF(COUNTIFS('Offers'!$B$7:$B$608,$B105,'Offers'!$C$7:$C$608,$C105,'Offers'!$AH$7:$AH$608,"yes")=0,"",SUMIFS('Offers'!$H$7:$H$608,'Offers'!$B$7:$B$608,$B105,'Offers'!$C$7:$C$608,$C105,'Offers'!$AF$7:$AF$608,COUNTIFS('Offers'!$B$7:$B$608,$B105,'Offers'!$C$7:$C$608,$C105,'Offers'!$AH$7:$AH$608,"yes")))</f>
        <v/>
      </c>
      <c r="I105" s="95">
        <f>IF(COUNTIFS('Offers'!$B$7:$B$608,$B105,'Offers'!$C$7:$C$608,$C105,'Offers'!$AI$7:$AI$608,"yes")=0,"",SUMIFS('Offers'!$I$7:$I$608,'Offers'!$B$7:$B$608,$B105,'Offers'!$C$7:$C$608,$C105,'Offers'!$AG$7:$AG$608,1))</f>
        <v/>
      </c>
      <c r="J105" s="95">
        <f>IF(COUNTIFS('Offers'!$B$7:$B$608,$B105,'Offers'!$C$7:$C$608,$C105,'Offers'!$AI$7:$AI$608,"yes")=0,"",(SUMIFS('Offers'!$I$7:$I$608,'Offers'!$B$7:$B$608,$B105,'Offers'!$C$7:$C$608,$C105,'Offers'!$AG$7:$AG$608,ROUNDUP(COUNTIFS('Offers'!$B$7:$B$608,$B105,'Offers'!$C$7:$C$608,$C105,'Offers'!$AI$7:$AI$608,"yes")/2,0))+SUMIFS('Offers'!$I$7:$I$608,'Offers'!$B$7:$B$608,$B105,'Offers'!$C$7:$C$608,$C105,'Offers'!$AG$7:$AG$608,INT(COUNTIFS('Offers'!$B$7:$B$608,$B105,'Offers'!$C$7:$C$608,$C105,'Offers'!$AI$7:$AI$608,"yes")/2)+1))/2)</f>
        <v/>
      </c>
      <c r="K105" s="95">
        <f>IF(COUNTIFS('Offers'!$B$7:$B$608,$B105,'Offers'!$C$7:$C$608,$C105,'Offers'!$AI$7:$AI$608,"yes")=0,"",SUMIFS('Offers'!$I$7:$I$608,'Offers'!$B$7:$B$608,$B105,'Offers'!$C$7:$C$608,$C105,'Offers'!$AG$7:$AG$608,COUNTIFS('Offers'!$B$7:$B$608,$B105,'Offers'!$C$7:$C$608,$C105,'Offers'!$AI$7:$AI$608,"yes")))</f>
        <v/>
      </c>
      <c r="L105" s="55" t="n"/>
      <c r="M105" s="55" t="n"/>
      <c r="N105" s="55" t="n"/>
      <c r="O105" s="2">
        <f>IF('Compare'!$E$5="Local prices",IF(F105="","",IF('Compare'!$C$5="Minimum",F105,IF('Compare'!$C$5="Maximum",H105,G105))),IF(I105="","",IF('Compare'!$C$5="Minimum",I105,IF('Compare'!$C$5="Maximum",K105,J105))))</f>
        <v/>
      </c>
    </row>
    <row r="106" ht="44" customHeight="1">
      <c r="A106" s="2" t="n"/>
      <c r="B106" s="27" t="inlineStr">
        <is>
          <t>Thermo tray + lid, 5–6 compartments</t>
        </is>
      </c>
      <c r="C106" s="27" t="inlineStr">
        <is>
          <t>Germany</t>
        </is>
      </c>
      <c r="D106" s="27" t="inlineStr">
        <is>
          <t>EUR</t>
        </is>
      </c>
      <c r="E106" s="27" t="inlineStr">
        <is>
          <t>Net per piece</t>
        </is>
      </c>
      <c r="F106" s="96">
        <f>IF(COUNTIFS('Offers'!$B$7:$B$608,$B106,'Offers'!$C$7:$C$608,$C106,'Offers'!$AH$7:$AH$608,"yes")=0,"",SUMIFS('Offers'!$H$7:$H$608,'Offers'!$B$7:$B$608,$B106,'Offers'!$C$7:$C$608,$C106,'Offers'!$AF$7:$AF$608,1))</f>
        <v/>
      </c>
      <c r="G106" s="96">
        <f>IF(COUNTIFS('Offers'!$B$7:$B$608,$B106,'Offers'!$C$7:$C$608,$C106,'Offers'!$AH$7:$AH$608,"yes")=0,"",(SUMIFS('Offers'!$H$7:$H$608,'Offers'!$B$7:$B$608,$B106,'Offers'!$C$7:$C$608,$C106,'Offers'!$AF$7:$AF$608,ROUNDUP(COUNTIFS('Offers'!$B$7:$B$608,$B106,'Offers'!$C$7:$C$608,$C106,'Offers'!$AH$7:$AH$608,"yes")/2,0))+SUMIFS('Offers'!$H$7:$H$608,'Offers'!$B$7:$B$608,$B106,'Offers'!$C$7:$C$608,$C106,'Offers'!$AF$7:$AF$608,INT(COUNTIFS('Offers'!$B$7:$B$608,$B106,'Offers'!$C$7:$C$608,$C106,'Offers'!$AH$7:$AH$608,"yes")/2)+1))/2)</f>
        <v/>
      </c>
      <c r="H106" s="96">
        <f>IF(COUNTIFS('Offers'!$B$7:$B$608,$B106,'Offers'!$C$7:$C$608,$C106,'Offers'!$AH$7:$AH$608,"yes")=0,"",SUMIFS('Offers'!$H$7:$H$608,'Offers'!$B$7:$B$608,$B106,'Offers'!$C$7:$C$608,$C106,'Offers'!$AF$7:$AF$608,COUNTIFS('Offers'!$B$7:$B$608,$B106,'Offers'!$C$7:$C$608,$C106,'Offers'!$AH$7:$AH$608,"yes")))</f>
        <v/>
      </c>
      <c r="I106" s="97">
        <f>IF(COUNTIFS('Offers'!$B$7:$B$608,$B106,'Offers'!$C$7:$C$608,$C106,'Offers'!$AI$7:$AI$608,"yes")=0,"",SUMIFS('Offers'!$I$7:$I$608,'Offers'!$B$7:$B$608,$B106,'Offers'!$C$7:$C$608,$C106,'Offers'!$AG$7:$AG$608,1))</f>
        <v/>
      </c>
      <c r="J106" s="97">
        <f>IF(COUNTIFS('Offers'!$B$7:$B$608,$B106,'Offers'!$C$7:$C$608,$C106,'Offers'!$AI$7:$AI$608,"yes")=0,"",(SUMIFS('Offers'!$I$7:$I$608,'Offers'!$B$7:$B$608,$B106,'Offers'!$C$7:$C$608,$C106,'Offers'!$AG$7:$AG$608,ROUNDUP(COUNTIFS('Offers'!$B$7:$B$608,$B106,'Offers'!$C$7:$C$608,$C106,'Offers'!$AI$7:$AI$608,"yes")/2,0))+SUMIFS('Offers'!$I$7:$I$608,'Offers'!$B$7:$B$608,$B106,'Offers'!$C$7:$C$608,$C106,'Offers'!$AG$7:$AG$608,INT(COUNTIFS('Offers'!$B$7:$B$608,$B106,'Offers'!$C$7:$C$608,$C106,'Offers'!$AI$7:$AI$608,"yes")/2)+1))/2)</f>
        <v/>
      </c>
      <c r="K106" s="97">
        <f>IF(COUNTIFS('Offers'!$B$7:$B$608,$B106,'Offers'!$C$7:$C$608,$C106,'Offers'!$AI$7:$AI$608,"yes")=0,"",SUMIFS('Offers'!$I$7:$I$608,'Offers'!$B$7:$B$608,$B106,'Offers'!$C$7:$C$608,$C106,'Offers'!$AG$7:$AG$608,COUNTIFS('Offers'!$B$7:$B$608,$B106,'Offers'!$C$7:$C$608,$C106,'Offers'!$AI$7:$AI$608,"yes")))</f>
        <v/>
      </c>
      <c r="L106" s="55" t="n"/>
      <c r="M106" s="55" t="n"/>
      <c r="N106" s="55" t="n"/>
      <c r="O106" s="19">
        <f>IF('Compare'!$E$5="Local prices",IF(F106="","",IF('Compare'!$C$5="Minimum",F106,IF('Compare'!$C$5="Maximum",H106,G106))),IF(I106="","",IF('Compare'!$C$5="Minimum",I106,IF('Compare'!$C$5="Maximum",K106,J106))))</f>
        <v/>
      </c>
    </row>
    <row r="107" ht="44" customHeight="1">
      <c r="A107" s="2" t="n"/>
      <c r="B107" s="24" t="inlineStr">
        <is>
          <t>Thermo tray + lid, 5–6 compartments</t>
        </is>
      </c>
      <c r="C107" s="24" t="inlineStr">
        <is>
          <t>Czech</t>
        </is>
      </c>
      <c r="D107" s="24" t="inlineStr">
        <is>
          <t>CZK</t>
        </is>
      </c>
      <c r="E107" s="24" t="inlineStr">
        <is>
          <t>Net per piece</t>
        </is>
      </c>
      <c r="F107" s="94">
        <f>IF(COUNTIFS('Offers'!$B$7:$B$608,$B107,'Offers'!$C$7:$C$608,$C107,'Offers'!$AH$7:$AH$608,"yes")=0,"",SUMIFS('Offers'!$H$7:$H$608,'Offers'!$B$7:$B$608,$B107,'Offers'!$C$7:$C$608,$C107,'Offers'!$AF$7:$AF$608,1))</f>
        <v/>
      </c>
      <c r="G107" s="94">
        <f>IF(COUNTIFS('Offers'!$B$7:$B$608,$B107,'Offers'!$C$7:$C$608,$C107,'Offers'!$AH$7:$AH$608,"yes")=0,"",(SUMIFS('Offers'!$H$7:$H$608,'Offers'!$B$7:$B$608,$B107,'Offers'!$C$7:$C$608,$C107,'Offers'!$AF$7:$AF$608,ROUNDUP(COUNTIFS('Offers'!$B$7:$B$608,$B107,'Offers'!$C$7:$C$608,$C107,'Offers'!$AH$7:$AH$608,"yes")/2,0))+SUMIFS('Offers'!$H$7:$H$608,'Offers'!$B$7:$B$608,$B107,'Offers'!$C$7:$C$608,$C107,'Offers'!$AF$7:$AF$608,INT(COUNTIFS('Offers'!$B$7:$B$608,$B107,'Offers'!$C$7:$C$608,$C107,'Offers'!$AH$7:$AH$608,"yes")/2)+1))/2)</f>
        <v/>
      </c>
      <c r="H107" s="94">
        <f>IF(COUNTIFS('Offers'!$B$7:$B$608,$B107,'Offers'!$C$7:$C$608,$C107,'Offers'!$AH$7:$AH$608,"yes")=0,"",SUMIFS('Offers'!$H$7:$H$608,'Offers'!$B$7:$B$608,$B107,'Offers'!$C$7:$C$608,$C107,'Offers'!$AF$7:$AF$608,COUNTIFS('Offers'!$B$7:$B$608,$B107,'Offers'!$C$7:$C$608,$C107,'Offers'!$AH$7:$AH$608,"yes")))</f>
        <v/>
      </c>
      <c r="I107" s="95">
        <f>IF(COUNTIFS('Offers'!$B$7:$B$608,$B107,'Offers'!$C$7:$C$608,$C107,'Offers'!$AI$7:$AI$608,"yes")=0,"",SUMIFS('Offers'!$I$7:$I$608,'Offers'!$B$7:$B$608,$B107,'Offers'!$C$7:$C$608,$C107,'Offers'!$AG$7:$AG$608,1))</f>
        <v/>
      </c>
      <c r="J107" s="95">
        <f>IF(COUNTIFS('Offers'!$B$7:$B$608,$B107,'Offers'!$C$7:$C$608,$C107,'Offers'!$AI$7:$AI$608,"yes")=0,"",(SUMIFS('Offers'!$I$7:$I$608,'Offers'!$B$7:$B$608,$B107,'Offers'!$C$7:$C$608,$C107,'Offers'!$AG$7:$AG$608,ROUNDUP(COUNTIFS('Offers'!$B$7:$B$608,$B107,'Offers'!$C$7:$C$608,$C107,'Offers'!$AI$7:$AI$608,"yes")/2,0))+SUMIFS('Offers'!$I$7:$I$608,'Offers'!$B$7:$B$608,$B107,'Offers'!$C$7:$C$608,$C107,'Offers'!$AG$7:$AG$608,INT(COUNTIFS('Offers'!$B$7:$B$608,$B107,'Offers'!$C$7:$C$608,$C107,'Offers'!$AI$7:$AI$608,"yes")/2)+1))/2)</f>
        <v/>
      </c>
      <c r="K107" s="95">
        <f>IF(COUNTIFS('Offers'!$B$7:$B$608,$B107,'Offers'!$C$7:$C$608,$C107,'Offers'!$AI$7:$AI$608,"yes")=0,"",SUMIFS('Offers'!$I$7:$I$608,'Offers'!$B$7:$B$608,$B107,'Offers'!$C$7:$C$608,$C107,'Offers'!$AG$7:$AG$608,COUNTIFS('Offers'!$B$7:$B$608,$B107,'Offers'!$C$7:$C$608,$C107,'Offers'!$AI$7:$AI$608,"yes")))</f>
        <v/>
      </c>
      <c r="L107" s="55" t="n"/>
      <c r="M107" s="55" t="n"/>
      <c r="N107" s="55" t="n"/>
      <c r="O107" s="2">
        <f>IF('Compare'!$E$5="Local prices",IF(F107="","",IF('Compare'!$C$5="Minimum",F107,IF('Compare'!$C$5="Maximum",H107,G107))),IF(I107="","",IF('Compare'!$C$5="Minimum",I107,IF('Compare'!$C$5="Maximum",K107,J107))))</f>
        <v/>
      </c>
    </row>
    <row r="108" ht="44" customHeight="1">
      <c r="A108" s="2" t="n"/>
      <c r="B108" s="27" t="inlineStr">
        <is>
          <t>Thermo tray + lid, 5–6 compartments</t>
        </is>
      </c>
      <c r="C108" s="27" t="inlineStr">
        <is>
          <t>Slovakia</t>
        </is>
      </c>
      <c r="D108" s="27" t="inlineStr">
        <is>
          <t>EUR</t>
        </is>
      </c>
      <c r="E108" s="27" t="inlineStr">
        <is>
          <t>Net per piece</t>
        </is>
      </c>
      <c r="F108" s="96">
        <f>IF(COUNTIFS('Offers'!$B$7:$B$608,$B108,'Offers'!$C$7:$C$608,$C108,'Offers'!$AH$7:$AH$608,"yes")=0,"",SUMIFS('Offers'!$H$7:$H$608,'Offers'!$B$7:$B$608,$B108,'Offers'!$C$7:$C$608,$C108,'Offers'!$AF$7:$AF$608,1))</f>
        <v/>
      </c>
      <c r="G108" s="96">
        <f>IF(COUNTIFS('Offers'!$B$7:$B$608,$B108,'Offers'!$C$7:$C$608,$C108,'Offers'!$AH$7:$AH$608,"yes")=0,"",(SUMIFS('Offers'!$H$7:$H$608,'Offers'!$B$7:$B$608,$B108,'Offers'!$C$7:$C$608,$C108,'Offers'!$AF$7:$AF$608,ROUNDUP(COUNTIFS('Offers'!$B$7:$B$608,$B108,'Offers'!$C$7:$C$608,$C108,'Offers'!$AH$7:$AH$608,"yes")/2,0))+SUMIFS('Offers'!$H$7:$H$608,'Offers'!$B$7:$B$608,$B108,'Offers'!$C$7:$C$608,$C108,'Offers'!$AF$7:$AF$608,INT(COUNTIFS('Offers'!$B$7:$B$608,$B108,'Offers'!$C$7:$C$608,$C108,'Offers'!$AH$7:$AH$608,"yes")/2)+1))/2)</f>
        <v/>
      </c>
      <c r="H108" s="96">
        <f>IF(COUNTIFS('Offers'!$B$7:$B$608,$B108,'Offers'!$C$7:$C$608,$C108,'Offers'!$AH$7:$AH$608,"yes")=0,"",SUMIFS('Offers'!$H$7:$H$608,'Offers'!$B$7:$B$608,$B108,'Offers'!$C$7:$C$608,$C108,'Offers'!$AF$7:$AF$608,COUNTIFS('Offers'!$B$7:$B$608,$B108,'Offers'!$C$7:$C$608,$C108,'Offers'!$AH$7:$AH$608,"yes")))</f>
        <v/>
      </c>
      <c r="I108" s="97">
        <f>IF(COUNTIFS('Offers'!$B$7:$B$608,$B108,'Offers'!$C$7:$C$608,$C108,'Offers'!$AI$7:$AI$608,"yes")=0,"",SUMIFS('Offers'!$I$7:$I$608,'Offers'!$B$7:$B$608,$B108,'Offers'!$C$7:$C$608,$C108,'Offers'!$AG$7:$AG$608,1))</f>
        <v/>
      </c>
      <c r="J108" s="97">
        <f>IF(COUNTIFS('Offers'!$B$7:$B$608,$B108,'Offers'!$C$7:$C$608,$C108,'Offers'!$AI$7:$AI$608,"yes")=0,"",(SUMIFS('Offers'!$I$7:$I$608,'Offers'!$B$7:$B$608,$B108,'Offers'!$C$7:$C$608,$C108,'Offers'!$AG$7:$AG$608,ROUNDUP(COUNTIFS('Offers'!$B$7:$B$608,$B108,'Offers'!$C$7:$C$608,$C108,'Offers'!$AI$7:$AI$608,"yes")/2,0))+SUMIFS('Offers'!$I$7:$I$608,'Offers'!$B$7:$B$608,$B108,'Offers'!$C$7:$C$608,$C108,'Offers'!$AG$7:$AG$608,INT(COUNTIFS('Offers'!$B$7:$B$608,$B108,'Offers'!$C$7:$C$608,$C108,'Offers'!$AI$7:$AI$608,"yes")/2)+1))/2)</f>
        <v/>
      </c>
      <c r="K108" s="97">
        <f>IF(COUNTIFS('Offers'!$B$7:$B$608,$B108,'Offers'!$C$7:$C$608,$C108,'Offers'!$AI$7:$AI$608,"yes")=0,"",SUMIFS('Offers'!$I$7:$I$608,'Offers'!$B$7:$B$608,$B108,'Offers'!$C$7:$C$608,$C108,'Offers'!$AG$7:$AG$608,COUNTIFS('Offers'!$B$7:$B$608,$B108,'Offers'!$C$7:$C$608,$C108,'Offers'!$AI$7:$AI$608,"yes")))</f>
        <v/>
      </c>
      <c r="L108" s="55" t="n"/>
      <c r="M108" s="55" t="n"/>
      <c r="N108" s="55" t="n"/>
      <c r="O108" s="19">
        <f>IF('Compare'!$E$5="Local prices",IF(F108="","",IF('Compare'!$C$5="Minimum",F108,IF('Compare'!$C$5="Maximum",H108,G108))),IF(I108="","",IF('Compare'!$C$5="Minimum",I108,IF('Compare'!$C$5="Maximum",K108,J108))))</f>
        <v/>
      </c>
    </row>
    <row r="109" ht="44" customHeight="1">
      <c r="A109" s="2" t="n"/>
      <c r="B109" s="24" t="inlineStr">
        <is>
          <t>GN 1/1 PP container, 65 mm</t>
        </is>
      </c>
      <c r="C109" s="24" t="inlineStr">
        <is>
          <t>Hungary</t>
        </is>
      </c>
      <c r="D109" s="24" t="inlineStr">
        <is>
          <t>HUF</t>
        </is>
      </c>
      <c r="E109" s="24" t="inlineStr">
        <is>
          <t>Net per piece</t>
        </is>
      </c>
      <c r="F109" s="94">
        <f>IF(COUNTIFS('Offers'!$B$7:$B$608,$B109,'Offers'!$C$7:$C$608,$C109,'Offers'!$AH$7:$AH$608,"yes")=0,"",SUMIFS('Offers'!$H$7:$H$608,'Offers'!$B$7:$B$608,$B109,'Offers'!$C$7:$C$608,$C109,'Offers'!$AF$7:$AF$608,1))</f>
        <v/>
      </c>
      <c r="G109" s="94">
        <f>IF(COUNTIFS('Offers'!$B$7:$B$608,$B109,'Offers'!$C$7:$C$608,$C109,'Offers'!$AH$7:$AH$608,"yes")=0,"",(SUMIFS('Offers'!$H$7:$H$608,'Offers'!$B$7:$B$608,$B109,'Offers'!$C$7:$C$608,$C109,'Offers'!$AF$7:$AF$608,ROUNDUP(COUNTIFS('Offers'!$B$7:$B$608,$B109,'Offers'!$C$7:$C$608,$C109,'Offers'!$AH$7:$AH$608,"yes")/2,0))+SUMIFS('Offers'!$H$7:$H$608,'Offers'!$B$7:$B$608,$B109,'Offers'!$C$7:$C$608,$C109,'Offers'!$AF$7:$AF$608,INT(COUNTIFS('Offers'!$B$7:$B$608,$B109,'Offers'!$C$7:$C$608,$C109,'Offers'!$AH$7:$AH$608,"yes")/2)+1))/2)</f>
        <v/>
      </c>
      <c r="H109" s="94">
        <f>IF(COUNTIFS('Offers'!$B$7:$B$608,$B109,'Offers'!$C$7:$C$608,$C109,'Offers'!$AH$7:$AH$608,"yes")=0,"",SUMIFS('Offers'!$H$7:$H$608,'Offers'!$B$7:$B$608,$B109,'Offers'!$C$7:$C$608,$C109,'Offers'!$AF$7:$AF$608,COUNTIFS('Offers'!$B$7:$B$608,$B109,'Offers'!$C$7:$C$608,$C109,'Offers'!$AH$7:$AH$608,"yes")))</f>
        <v/>
      </c>
      <c r="I109" s="95">
        <f>IF(COUNTIFS('Offers'!$B$7:$B$608,$B109,'Offers'!$C$7:$C$608,$C109,'Offers'!$AI$7:$AI$608,"yes")=0,"",SUMIFS('Offers'!$I$7:$I$608,'Offers'!$B$7:$B$608,$B109,'Offers'!$C$7:$C$608,$C109,'Offers'!$AG$7:$AG$608,1))</f>
        <v/>
      </c>
      <c r="J109" s="95">
        <f>IF(COUNTIFS('Offers'!$B$7:$B$608,$B109,'Offers'!$C$7:$C$608,$C109,'Offers'!$AI$7:$AI$608,"yes")=0,"",(SUMIFS('Offers'!$I$7:$I$608,'Offers'!$B$7:$B$608,$B109,'Offers'!$C$7:$C$608,$C109,'Offers'!$AG$7:$AG$608,ROUNDUP(COUNTIFS('Offers'!$B$7:$B$608,$B109,'Offers'!$C$7:$C$608,$C109,'Offers'!$AI$7:$AI$608,"yes")/2,0))+SUMIFS('Offers'!$I$7:$I$608,'Offers'!$B$7:$B$608,$B109,'Offers'!$C$7:$C$608,$C109,'Offers'!$AG$7:$AG$608,INT(COUNTIFS('Offers'!$B$7:$B$608,$B109,'Offers'!$C$7:$C$608,$C109,'Offers'!$AI$7:$AI$608,"yes")/2)+1))/2)</f>
        <v/>
      </c>
      <c r="K109" s="95">
        <f>IF(COUNTIFS('Offers'!$B$7:$B$608,$B109,'Offers'!$C$7:$C$608,$C109,'Offers'!$AI$7:$AI$608,"yes")=0,"",SUMIFS('Offers'!$I$7:$I$608,'Offers'!$B$7:$B$608,$B109,'Offers'!$C$7:$C$608,$C109,'Offers'!$AG$7:$AG$608,COUNTIFS('Offers'!$B$7:$B$608,$B109,'Offers'!$C$7:$C$608,$C109,'Offers'!$AI$7:$AI$608,"yes")))</f>
        <v/>
      </c>
      <c r="L109" s="55" t="n"/>
      <c r="M109" s="55" t="n"/>
      <c r="N109" s="55" t="n"/>
      <c r="O109" s="2">
        <f>IF('Compare'!$E$5="Local prices",IF(F109="","",IF('Compare'!$C$5="Minimum",F109,IF('Compare'!$C$5="Maximum",H109,G109))),IF(I109="","",IF('Compare'!$C$5="Minimum",I109,IF('Compare'!$C$5="Maximum",K109,J109))))</f>
        <v/>
      </c>
    </row>
    <row r="110" ht="44" customHeight="1">
      <c r="A110" s="2" t="n"/>
      <c r="B110" s="27" t="inlineStr">
        <is>
          <t>GN 1/1 PP container, 65 mm</t>
        </is>
      </c>
      <c r="C110" s="27" t="inlineStr">
        <is>
          <t>Romania</t>
        </is>
      </c>
      <c r="D110" s="27" t="inlineStr">
        <is>
          <t>RON</t>
        </is>
      </c>
      <c r="E110" s="27" t="inlineStr">
        <is>
          <t>Net per piece</t>
        </is>
      </c>
      <c r="F110" s="96">
        <f>IF(COUNTIFS('Offers'!$B$7:$B$608,$B110,'Offers'!$C$7:$C$608,$C110,'Offers'!$AH$7:$AH$608,"yes")=0,"",SUMIFS('Offers'!$H$7:$H$608,'Offers'!$B$7:$B$608,$B110,'Offers'!$C$7:$C$608,$C110,'Offers'!$AF$7:$AF$608,1))</f>
        <v/>
      </c>
      <c r="G110" s="96">
        <f>IF(COUNTIFS('Offers'!$B$7:$B$608,$B110,'Offers'!$C$7:$C$608,$C110,'Offers'!$AH$7:$AH$608,"yes")=0,"",(SUMIFS('Offers'!$H$7:$H$608,'Offers'!$B$7:$B$608,$B110,'Offers'!$C$7:$C$608,$C110,'Offers'!$AF$7:$AF$608,ROUNDUP(COUNTIFS('Offers'!$B$7:$B$608,$B110,'Offers'!$C$7:$C$608,$C110,'Offers'!$AH$7:$AH$608,"yes")/2,0))+SUMIFS('Offers'!$H$7:$H$608,'Offers'!$B$7:$B$608,$B110,'Offers'!$C$7:$C$608,$C110,'Offers'!$AF$7:$AF$608,INT(COUNTIFS('Offers'!$B$7:$B$608,$B110,'Offers'!$C$7:$C$608,$C110,'Offers'!$AH$7:$AH$608,"yes")/2)+1))/2)</f>
        <v/>
      </c>
      <c r="H110" s="96">
        <f>IF(COUNTIFS('Offers'!$B$7:$B$608,$B110,'Offers'!$C$7:$C$608,$C110,'Offers'!$AH$7:$AH$608,"yes")=0,"",SUMIFS('Offers'!$H$7:$H$608,'Offers'!$B$7:$B$608,$B110,'Offers'!$C$7:$C$608,$C110,'Offers'!$AF$7:$AF$608,COUNTIFS('Offers'!$B$7:$B$608,$B110,'Offers'!$C$7:$C$608,$C110,'Offers'!$AH$7:$AH$608,"yes")))</f>
        <v/>
      </c>
      <c r="I110" s="97">
        <f>IF(COUNTIFS('Offers'!$B$7:$B$608,$B110,'Offers'!$C$7:$C$608,$C110,'Offers'!$AI$7:$AI$608,"yes")=0,"",SUMIFS('Offers'!$I$7:$I$608,'Offers'!$B$7:$B$608,$B110,'Offers'!$C$7:$C$608,$C110,'Offers'!$AG$7:$AG$608,1))</f>
        <v/>
      </c>
      <c r="J110" s="97">
        <f>IF(COUNTIFS('Offers'!$B$7:$B$608,$B110,'Offers'!$C$7:$C$608,$C110,'Offers'!$AI$7:$AI$608,"yes")=0,"",(SUMIFS('Offers'!$I$7:$I$608,'Offers'!$B$7:$B$608,$B110,'Offers'!$C$7:$C$608,$C110,'Offers'!$AG$7:$AG$608,ROUNDUP(COUNTIFS('Offers'!$B$7:$B$608,$B110,'Offers'!$C$7:$C$608,$C110,'Offers'!$AI$7:$AI$608,"yes")/2,0))+SUMIFS('Offers'!$I$7:$I$608,'Offers'!$B$7:$B$608,$B110,'Offers'!$C$7:$C$608,$C110,'Offers'!$AG$7:$AG$608,INT(COUNTIFS('Offers'!$B$7:$B$608,$B110,'Offers'!$C$7:$C$608,$C110,'Offers'!$AI$7:$AI$608,"yes")/2)+1))/2)</f>
        <v/>
      </c>
      <c r="K110" s="97">
        <f>IF(COUNTIFS('Offers'!$B$7:$B$608,$B110,'Offers'!$C$7:$C$608,$C110,'Offers'!$AI$7:$AI$608,"yes")=0,"",SUMIFS('Offers'!$I$7:$I$608,'Offers'!$B$7:$B$608,$B110,'Offers'!$C$7:$C$608,$C110,'Offers'!$AG$7:$AG$608,COUNTIFS('Offers'!$B$7:$B$608,$B110,'Offers'!$C$7:$C$608,$C110,'Offers'!$AI$7:$AI$608,"yes")))</f>
        <v/>
      </c>
      <c r="L110" s="55" t="n"/>
      <c r="M110" s="55" t="n"/>
      <c r="N110" s="55" t="n"/>
      <c r="O110" s="19">
        <f>IF('Compare'!$E$5="Local prices",IF(F110="","",IF('Compare'!$C$5="Minimum",F110,IF('Compare'!$C$5="Maximum",H110,G110))),IF(I110="","",IF('Compare'!$C$5="Minimum",I110,IF('Compare'!$C$5="Maximum",K110,J110))))</f>
        <v/>
      </c>
    </row>
    <row r="111" ht="44" customHeight="1">
      <c r="A111" s="2" t="n"/>
      <c r="B111" s="24" t="inlineStr">
        <is>
          <t>GN 1/1 PP container, 65 mm</t>
        </is>
      </c>
      <c r="C111" s="24" t="inlineStr">
        <is>
          <t>Austria</t>
        </is>
      </c>
      <c r="D111" s="24" t="inlineStr">
        <is>
          <t>EUR</t>
        </is>
      </c>
      <c r="E111" s="24" t="inlineStr">
        <is>
          <t>Net per piece</t>
        </is>
      </c>
      <c r="F111" s="94">
        <f>IF(COUNTIFS('Offers'!$B$7:$B$608,$B111,'Offers'!$C$7:$C$608,$C111,'Offers'!$AH$7:$AH$608,"yes")=0,"",SUMIFS('Offers'!$H$7:$H$608,'Offers'!$B$7:$B$608,$B111,'Offers'!$C$7:$C$608,$C111,'Offers'!$AF$7:$AF$608,1))</f>
        <v/>
      </c>
      <c r="G111" s="94">
        <f>IF(COUNTIFS('Offers'!$B$7:$B$608,$B111,'Offers'!$C$7:$C$608,$C111,'Offers'!$AH$7:$AH$608,"yes")=0,"",(SUMIFS('Offers'!$H$7:$H$608,'Offers'!$B$7:$B$608,$B111,'Offers'!$C$7:$C$608,$C111,'Offers'!$AF$7:$AF$608,ROUNDUP(COUNTIFS('Offers'!$B$7:$B$608,$B111,'Offers'!$C$7:$C$608,$C111,'Offers'!$AH$7:$AH$608,"yes")/2,0))+SUMIFS('Offers'!$H$7:$H$608,'Offers'!$B$7:$B$608,$B111,'Offers'!$C$7:$C$608,$C111,'Offers'!$AF$7:$AF$608,INT(COUNTIFS('Offers'!$B$7:$B$608,$B111,'Offers'!$C$7:$C$608,$C111,'Offers'!$AH$7:$AH$608,"yes")/2)+1))/2)</f>
        <v/>
      </c>
      <c r="H111" s="94">
        <f>IF(COUNTIFS('Offers'!$B$7:$B$608,$B111,'Offers'!$C$7:$C$608,$C111,'Offers'!$AH$7:$AH$608,"yes")=0,"",SUMIFS('Offers'!$H$7:$H$608,'Offers'!$B$7:$B$608,$B111,'Offers'!$C$7:$C$608,$C111,'Offers'!$AF$7:$AF$608,COUNTIFS('Offers'!$B$7:$B$608,$B111,'Offers'!$C$7:$C$608,$C111,'Offers'!$AH$7:$AH$608,"yes")))</f>
        <v/>
      </c>
      <c r="I111" s="95">
        <f>IF(COUNTIFS('Offers'!$B$7:$B$608,$B111,'Offers'!$C$7:$C$608,$C111,'Offers'!$AI$7:$AI$608,"yes")=0,"",SUMIFS('Offers'!$I$7:$I$608,'Offers'!$B$7:$B$608,$B111,'Offers'!$C$7:$C$608,$C111,'Offers'!$AG$7:$AG$608,1))</f>
        <v/>
      </c>
      <c r="J111" s="95">
        <f>IF(COUNTIFS('Offers'!$B$7:$B$608,$B111,'Offers'!$C$7:$C$608,$C111,'Offers'!$AI$7:$AI$608,"yes")=0,"",(SUMIFS('Offers'!$I$7:$I$608,'Offers'!$B$7:$B$608,$B111,'Offers'!$C$7:$C$608,$C111,'Offers'!$AG$7:$AG$608,ROUNDUP(COUNTIFS('Offers'!$B$7:$B$608,$B111,'Offers'!$C$7:$C$608,$C111,'Offers'!$AI$7:$AI$608,"yes")/2,0))+SUMIFS('Offers'!$I$7:$I$608,'Offers'!$B$7:$B$608,$B111,'Offers'!$C$7:$C$608,$C111,'Offers'!$AG$7:$AG$608,INT(COUNTIFS('Offers'!$B$7:$B$608,$B111,'Offers'!$C$7:$C$608,$C111,'Offers'!$AI$7:$AI$608,"yes")/2)+1))/2)</f>
        <v/>
      </c>
      <c r="K111" s="95">
        <f>IF(COUNTIFS('Offers'!$B$7:$B$608,$B111,'Offers'!$C$7:$C$608,$C111,'Offers'!$AI$7:$AI$608,"yes")=0,"",SUMIFS('Offers'!$I$7:$I$608,'Offers'!$B$7:$B$608,$B111,'Offers'!$C$7:$C$608,$C111,'Offers'!$AG$7:$AG$608,COUNTIFS('Offers'!$B$7:$B$608,$B111,'Offers'!$C$7:$C$608,$C111,'Offers'!$AI$7:$AI$608,"yes")))</f>
        <v/>
      </c>
      <c r="L111" s="55" t="n"/>
      <c r="M111" s="55" t="n"/>
      <c r="N111" s="55" t="n"/>
      <c r="O111" s="2">
        <f>IF('Compare'!$E$5="Local prices",IF(F111="","",IF('Compare'!$C$5="Minimum",F111,IF('Compare'!$C$5="Maximum",H111,G111))),IF(I111="","",IF('Compare'!$C$5="Minimum",I111,IF('Compare'!$C$5="Maximum",K111,J111))))</f>
        <v/>
      </c>
    </row>
    <row r="112" ht="44" customHeight="1">
      <c r="A112" s="2" t="n"/>
      <c r="B112" s="27" t="inlineStr">
        <is>
          <t>GN 1/1 PP container, 65 mm</t>
        </is>
      </c>
      <c r="C112" s="27" t="inlineStr">
        <is>
          <t>Germany</t>
        </is>
      </c>
      <c r="D112" s="27" t="inlineStr">
        <is>
          <t>EUR</t>
        </is>
      </c>
      <c r="E112" s="27" t="inlineStr">
        <is>
          <t>Net per piece</t>
        </is>
      </c>
      <c r="F112" s="96">
        <f>IF(COUNTIFS('Offers'!$B$7:$B$608,$B112,'Offers'!$C$7:$C$608,$C112,'Offers'!$AH$7:$AH$608,"yes")=0,"",SUMIFS('Offers'!$H$7:$H$608,'Offers'!$B$7:$B$608,$B112,'Offers'!$C$7:$C$608,$C112,'Offers'!$AF$7:$AF$608,1))</f>
        <v/>
      </c>
      <c r="G112" s="96">
        <f>IF(COUNTIFS('Offers'!$B$7:$B$608,$B112,'Offers'!$C$7:$C$608,$C112,'Offers'!$AH$7:$AH$608,"yes")=0,"",(SUMIFS('Offers'!$H$7:$H$608,'Offers'!$B$7:$B$608,$B112,'Offers'!$C$7:$C$608,$C112,'Offers'!$AF$7:$AF$608,ROUNDUP(COUNTIFS('Offers'!$B$7:$B$608,$B112,'Offers'!$C$7:$C$608,$C112,'Offers'!$AH$7:$AH$608,"yes")/2,0))+SUMIFS('Offers'!$H$7:$H$608,'Offers'!$B$7:$B$608,$B112,'Offers'!$C$7:$C$608,$C112,'Offers'!$AF$7:$AF$608,INT(COUNTIFS('Offers'!$B$7:$B$608,$B112,'Offers'!$C$7:$C$608,$C112,'Offers'!$AH$7:$AH$608,"yes")/2)+1))/2)</f>
        <v/>
      </c>
      <c r="H112" s="96">
        <f>IF(COUNTIFS('Offers'!$B$7:$B$608,$B112,'Offers'!$C$7:$C$608,$C112,'Offers'!$AH$7:$AH$608,"yes")=0,"",SUMIFS('Offers'!$H$7:$H$608,'Offers'!$B$7:$B$608,$B112,'Offers'!$C$7:$C$608,$C112,'Offers'!$AF$7:$AF$608,COUNTIFS('Offers'!$B$7:$B$608,$B112,'Offers'!$C$7:$C$608,$C112,'Offers'!$AH$7:$AH$608,"yes")))</f>
        <v/>
      </c>
      <c r="I112" s="97">
        <f>IF(COUNTIFS('Offers'!$B$7:$B$608,$B112,'Offers'!$C$7:$C$608,$C112,'Offers'!$AI$7:$AI$608,"yes")=0,"",SUMIFS('Offers'!$I$7:$I$608,'Offers'!$B$7:$B$608,$B112,'Offers'!$C$7:$C$608,$C112,'Offers'!$AG$7:$AG$608,1))</f>
        <v/>
      </c>
      <c r="J112" s="97">
        <f>IF(COUNTIFS('Offers'!$B$7:$B$608,$B112,'Offers'!$C$7:$C$608,$C112,'Offers'!$AI$7:$AI$608,"yes")=0,"",(SUMIFS('Offers'!$I$7:$I$608,'Offers'!$B$7:$B$608,$B112,'Offers'!$C$7:$C$608,$C112,'Offers'!$AG$7:$AG$608,ROUNDUP(COUNTIFS('Offers'!$B$7:$B$608,$B112,'Offers'!$C$7:$C$608,$C112,'Offers'!$AI$7:$AI$608,"yes")/2,0))+SUMIFS('Offers'!$I$7:$I$608,'Offers'!$B$7:$B$608,$B112,'Offers'!$C$7:$C$608,$C112,'Offers'!$AG$7:$AG$608,INT(COUNTIFS('Offers'!$B$7:$B$608,$B112,'Offers'!$C$7:$C$608,$C112,'Offers'!$AI$7:$AI$608,"yes")/2)+1))/2)</f>
        <v/>
      </c>
      <c r="K112" s="97">
        <f>IF(COUNTIFS('Offers'!$B$7:$B$608,$B112,'Offers'!$C$7:$C$608,$C112,'Offers'!$AI$7:$AI$608,"yes")=0,"",SUMIFS('Offers'!$I$7:$I$608,'Offers'!$B$7:$B$608,$B112,'Offers'!$C$7:$C$608,$C112,'Offers'!$AG$7:$AG$608,COUNTIFS('Offers'!$B$7:$B$608,$B112,'Offers'!$C$7:$C$608,$C112,'Offers'!$AI$7:$AI$608,"yes")))</f>
        <v/>
      </c>
      <c r="L112" s="55" t="n"/>
      <c r="M112" s="55" t="n"/>
      <c r="N112" s="55" t="n"/>
      <c r="O112" s="19">
        <f>IF('Compare'!$E$5="Local prices",IF(F112="","",IF('Compare'!$C$5="Minimum",F112,IF('Compare'!$C$5="Maximum",H112,G112))),IF(I112="","",IF('Compare'!$C$5="Minimum",I112,IF('Compare'!$C$5="Maximum",K112,J112))))</f>
        <v/>
      </c>
    </row>
    <row r="113" ht="44" customHeight="1">
      <c r="A113" s="2" t="n"/>
      <c r="B113" s="24" t="inlineStr">
        <is>
          <t>GN 1/1 PP container, 65 mm</t>
        </is>
      </c>
      <c r="C113" s="24" t="inlineStr">
        <is>
          <t>Czech</t>
        </is>
      </c>
      <c r="D113" s="24" t="inlineStr">
        <is>
          <t>CZK</t>
        </is>
      </c>
      <c r="E113" s="24" t="inlineStr">
        <is>
          <t>Net per piece</t>
        </is>
      </c>
      <c r="F113" s="94">
        <f>IF(COUNTIFS('Offers'!$B$7:$B$608,$B113,'Offers'!$C$7:$C$608,$C113,'Offers'!$AH$7:$AH$608,"yes")=0,"",SUMIFS('Offers'!$H$7:$H$608,'Offers'!$B$7:$B$608,$B113,'Offers'!$C$7:$C$608,$C113,'Offers'!$AF$7:$AF$608,1))</f>
        <v/>
      </c>
      <c r="G113" s="94">
        <f>IF(COUNTIFS('Offers'!$B$7:$B$608,$B113,'Offers'!$C$7:$C$608,$C113,'Offers'!$AH$7:$AH$608,"yes")=0,"",(SUMIFS('Offers'!$H$7:$H$608,'Offers'!$B$7:$B$608,$B113,'Offers'!$C$7:$C$608,$C113,'Offers'!$AF$7:$AF$608,ROUNDUP(COUNTIFS('Offers'!$B$7:$B$608,$B113,'Offers'!$C$7:$C$608,$C113,'Offers'!$AH$7:$AH$608,"yes")/2,0))+SUMIFS('Offers'!$H$7:$H$608,'Offers'!$B$7:$B$608,$B113,'Offers'!$C$7:$C$608,$C113,'Offers'!$AF$7:$AF$608,INT(COUNTIFS('Offers'!$B$7:$B$608,$B113,'Offers'!$C$7:$C$608,$C113,'Offers'!$AH$7:$AH$608,"yes")/2)+1))/2)</f>
        <v/>
      </c>
      <c r="H113" s="94">
        <f>IF(COUNTIFS('Offers'!$B$7:$B$608,$B113,'Offers'!$C$7:$C$608,$C113,'Offers'!$AH$7:$AH$608,"yes")=0,"",SUMIFS('Offers'!$H$7:$H$608,'Offers'!$B$7:$B$608,$B113,'Offers'!$C$7:$C$608,$C113,'Offers'!$AF$7:$AF$608,COUNTIFS('Offers'!$B$7:$B$608,$B113,'Offers'!$C$7:$C$608,$C113,'Offers'!$AH$7:$AH$608,"yes")))</f>
        <v/>
      </c>
      <c r="I113" s="95">
        <f>IF(COUNTIFS('Offers'!$B$7:$B$608,$B113,'Offers'!$C$7:$C$608,$C113,'Offers'!$AI$7:$AI$608,"yes")=0,"",SUMIFS('Offers'!$I$7:$I$608,'Offers'!$B$7:$B$608,$B113,'Offers'!$C$7:$C$608,$C113,'Offers'!$AG$7:$AG$608,1))</f>
        <v/>
      </c>
      <c r="J113" s="95">
        <f>IF(COUNTIFS('Offers'!$B$7:$B$608,$B113,'Offers'!$C$7:$C$608,$C113,'Offers'!$AI$7:$AI$608,"yes")=0,"",(SUMIFS('Offers'!$I$7:$I$608,'Offers'!$B$7:$B$608,$B113,'Offers'!$C$7:$C$608,$C113,'Offers'!$AG$7:$AG$608,ROUNDUP(COUNTIFS('Offers'!$B$7:$B$608,$B113,'Offers'!$C$7:$C$608,$C113,'Offers'!$AI$7:$AI$608,"yes")/2,0))+SUMIFS('Offers'!$I$7:$I$608,'Offers'!$B$7:$B$608,$B113,'Offers'!$C$7:$C$608,$C113,'Offers'!$AG$7:$AG$608,INT(COUNTIFS('Offers'!$B$7:$B$608,$B113,'Offers'!$C$7:$C$608,$C113,'Offers'!$AI$7:$AI$608,"yes")/2)+1))/2)</f>
        <v/>
      </c>
      <c r="K113" s="95">
        <f>IF(COUNTIFS('Offers'!$B$7:$B$608,$B113,'Offers'!$C$7:$C$608,$C113,'Offers'!$AI$7:$AI$608,"yes")=0,"",SUMIFS('Offers'!$I$7:$I$608,'Offers'!$B$7:$B$608,$B113,'Offers'!$C$7:$C$608,$C113,'Offers'!$AG$7:$AG$608,COUNTIFS('Offers'!$B$7:$B$608,$B113,'Offers'!$C$7:$C$608,$C113,'Offers'!$AI$7:$AI$608,"yes")))</f>
        <v/>
      </c>
      <c r="L113" s="55" t="n"/>
      <c r="M113" s="55" t="n"/>
      <c r="N113" s="55" t="n"/>
      <c r="O113" s="2">
        <f>IF('Compare'!$E$5="Local prices",IF(F113="","",IF('Compare'!$C$5="Minimum",F113,IF('Compare'!$C$5="Maximum",H113,G113))),IF(I113="","",IF('Compare'!$C$5="Minimum",I113,IF('Compare'!$C$5="Maximum",K113,J113))))</f>
        <v/>
      </c>
    </row>
    <row r="114" ht="44" customHeight="1">
      <c r="A114" s="2" t="n"/>
      <c r="B114" s="27" t="inlineStr">
        <is>
          <t>GN 1/1 PP container, 65 mm</t>
        </is>
      </c>
      <c r="C114" s="27" t="inlineStr">
        <is>
          <t>Slovakia</t>
        </is>
      </c>
      <c r="D114" s="27" t="inlineStr">
        <is>
          <t>EUR</t>
        </is>
      </c>
      <c r="E114" s="27" t="inlineStr">
        <is>
          <t>Net per piece</t>
        </is>
      </c>
      <c r="F114" s="96">
        <f>IF(COUNTIFS('Offers'!$B$7:$B$608,$B114,'Offers'!$C$7:$C$608,$C114,'Offers'!$AH$7:$AH$608,"yes")=0,"",SUMIFS('Offers'!$H$7:$H$608,'Offers'!$B$7:$B$608,$B114,'Offers'!$C$7:$C$608,$C114,'Offers'!$AF$7:$AF$608,1))</f>
        <v/>
      </c>
      <c r="G114" s="96">
        <f>IF(COUNTIFS('Offers'!$B$7:$B$608,$B114,'Offers'!$C$7:$C$608,$C114,'Offers'!$AH$7:$AH$608,"yes")=0,"",(SUMIFS('Offers'!$H$7:$H$608,'Offers'!$B$7:$B$608,$B114,'Offers'!$C$7:$C$608,$C114,'Offers'!$AF$7:$AF$608,ROUNDUP(COUNTIFS('Offers'!$B$7:$B$608,$B114,'Offers'!$C$7:$C$608,$C114,'Offers'!$AH$7:$AH$608,"yes")/2,0))+SUMIFS('Offers'!$H$7:$H$608,'Offers'!$B$7:$B$608,$B114,'Offers'!$C$7:$C$608,$C114,'Offers'!$AF$7:$AF$608,INT(COUNTIFS('Offers'!$B$7:$B$608,$B114,'Offers'!$C$7:$C$608,$C114,'Offers'!$AH$7:$AH$608,"yes")/2)+1))/2)</f>
        <v/>
      </c>
      <c r="H114" s="96">
        <f>IF(COUNTIFS('Offers'!$B$7:$B$608,$B114,'Offers'!$C$7:$C$608,$C114,'Offers'!$AH$7:$AH$608,"yes")=0,"",SUMIFS('Offers'!$H$7:$H$608,'Offers'!$B$7:$B$608,$B114,'Offers'!$C$7:$C$608,$C114,'Offers'!$AF$7:$AF$608,COUNTIFS('Offers'!$B$7:$B$608,$B114,'Offers'!$C$7:$C$608,$C114,'Offers'!$AH$7:$AH$608,"yes")))</f>
        <v/>
      </c>
      <c r="I114" s="97">
        <f>IF(COUNTIFS('Offers'!$B$7:$B$608,$B114,'Offers'!$C$7:$C$608,$C114,'Offers'!$AI$7:$AI$608,"yes")=0,"",SUMIFS('Offers'!$I$7:$I$608,'Offers'!$B$7:$B$608,$B114,'Offers'!$C$7:$C$608,$C114,'Offers'!$AG$7:$AG$608,1))</f>
        <v/>
      </c>
      <c r="J114" s="97">
        <f>IF(COUNTIFS('Offers'!$B$7:$B$608,$B114,'Offers'!$C$7:$C$608,$C114,'Offers'!$AI$7:$AI$608,"yes")=0,"",(SUMIFS('Offers'!$I$7:$I$608,'Offers'!$B$7:$B$608,$B114,'Offers'!$C$7:$C$608,$C114,'Offers'!$AG$7:$AG$608,ROUNDUP(COUNTIFS('Offers'!$B$7:$B$608,$B114,'Offers'!$C$7:$C$608,$C114,'Offers'!$AI$7:$AI$608,"yes")/2,0))+SUMIFS('Offers'!$I$7:$I$608,'Offers'!$B$7:$B$608,$B114,'Offers'!$C$7:$C$608,$C114,'Offers'!$AG$7:$AG$608,INT(COUNTIFS('Offers'!$B$7:$B$608,$B114,'Offers'!$C$7:$C$608,$C114,'Offers'!$AI$7:$AI$608,"yes")/2)+1))/2)</f>
        <v/>
      </c>
      <c r="K114" s="97">
        <f>IF(COUNTIFS('Offers'!$B$7:$B$608,$B114,'Offers'!$C$7:$C$608,$C114,'Offers'!$AI$7:$AI$608,"yes")=0,"",SUMIFS('Offers'!$I$7:$I$608,'Offers'!$B$7:$B$608,$B114,'Offers'!$C$7:$C$608,$C114,'Offers'!$AG$7:$AG$608,COUNTIFS('Offers'!$B$7:$B$608,$B114,'Offers'!$C$7:$C$608,$C114,'Offers'!$AI$7:$AI$608,"yes")))</f>
        <v/>
      </c>
      <c r="L114" s="55" t="n"/>
      <c r="M114" s="55" t="n"/>
      <c r="N114" s="55" t="n"/>
      <c r="O114" s="19">
        <f>IF('Compare'!$E$5="Local prices",IF(F114="","",IF('Compare'!$C$5="Minimum",F114,IF('Compare'!$C$5="Maximum",H114,G114))),IF(I114="","",IF('Compare'!$C$5="Minimum",I114,IF('Compare'!$C$5="Maximum",K114,J114))))</f>
        <v/>
      </c>
    </row>
    <row r="115" ht="44" customHeight="1">
      <c r="A115" s="2" t="n"/>
      <c r="B115" s="24" t="inlineStr">
        <is>
          <t>GN 1/3 PC container, 100 mm</t>
        </is>
      </c>
      <c r="C115" s="24" t="inlineStr">
        <is>
          <t>Hungary</t>
        </is>
      </c>
      <c r="D115" s="24" t="inlineStr">
        <is>
          <t>HUF</t>
        </is>
      </c>
      <c r="E115" s="24" t="inlineStr">
        <is>
          <t>Net per piece</t>
        </is>
      </c>
      <c r="F115" s="94">
        <f>IF(COUNTIFS('Offers'!$B$7:$B$608,$B115,'Offers'!$C$7:$C$608,$C115,'Offers'!$AH$7:$AH$608,"yes")=0,"",SUMIFS('Offers'!$H$7:$H$608,'Offers'!$B$7:$B$608,$B115,'Offers'!$C$7:$C$608,$C115,'Offers'!$AF$7:$AF$608,1))</f>
        <v/>
      </c>
      <c r="G115" s="94">
        <f>IF(COUNTIFS('Offers'!$B$7:$B$608,$B115,'Offers'!$C$7:$C$608,$C115,'Offers'!$AH$7:$AH$608,"yes")=0,"",(SUMIFS('Offers'!$H$7:$H$608,'Offers'!$B$7:$B$608,$B115,'Offers'!$C$7:$C$608,$C115,'Offers'!$AF$7:$AF$608,ROUNDUP(COUNTIFS('Offers'!$B$7:$B$608,$B115,'Offers'!$C$7:$C$608,$C115,'Offers'!$AH$7:$AH$608,"yes")/2,0))+SUMIFS('Offers'!$H$7:$H$608,'Offers'!$B$7:$B$608,$B115,'Offers'!$C$7:$C$608,$C115,'Offers'!$AF$7:$AF$608,INT(COUNTIFS('Offers'!$B$7:$B$608,$B115,'Offers'!$C$7:$C$608,$C115,'Offers'!$AH$7:$AH$608,"yes")/2)+1))/2)</f>
        <v/>
      </c>
      <c r="H115" s="94">
        <f>IF(COUNTIFS('Offers'!$B$7:$B$608,$B115,'Offers'!$C$7:$C$608,$C115,'Offers'!$AH$7:$AH$608,"yes")=0,"",SUMIFS('Offers'!$H$7:$H$608,'Offers'!$B$7:$B$608,$B115,'Offers'!$C$7:$C$608,$C115,'Offers'!$AF$7:$AF$608,COUNTIFS('Offers'!$B$7:$B$608,$B115,'Offers'!$C$7:$C$608,$C115,'Offers'!$AH$7:$AH$608,"yes")))</f>
        <v/>
      </c>
      <c r="I115" s="95">
        <f>IF(COUNTIFS('Offers'!$B$7:$B$608,$B115,'Offers'!$C$7:$C$608,$C115,'Offers'!$AI$7:$AI$608,"yes")=0,"",SUMIFS('Offers'!$I$7:$I$608,'Offers'!$B$7:$B$608,$B115,'Offers'!$C$7:$C$608,$C115,'Offers'!$AG$7:$AG$608,1))</f>
        <v/>
      </c>
      <c r="J115" s="95">
        <f>IF(COUNTIFS('Offers'!$B$7:$B$608,$B115,'Offers'!$C$7:$C$608,$C115,'Offers'!$AI$7:$AI$608,"yes")=0,"",(SUMIFS('Offers'!$I$7:$I$608,'Offers'!$B$7:$B$608,$B115,'Offers'!$C$7:$C$608,$C115,'Offers'!$AG$7:$AG$608,ROUNDUP(COUNTIFS('Offers'!$B$7:$B$608,$B115,'Offers'!$C$7:$C$608,$C115,'Offers'!$AI$7:$AI$608,"yes")/2,0))+SUMIFS('Offers'!$I$7:$I$608,'Offers'!$B$7:$B$608,$B115,'Offers'!$C$7:$C$608,$C115,'Offers'!$AG$7:$AG$608,INT(COUNTIFS('Offers'!$B$7:$B$608,$B115,'Offers'!$C$7:$C$608,$C115,'Offers'!$AI$7:$AI$608,"yes")/2)+1))/2)</f>
        <v/>
      </c>
      <c r="K115" s="95">
        <f>IF(COUNTIFS('Offers'!$B$7:$B$608,$B115,'Offers'!$C$7:$C$608,$C115,'Offers'!$AI$7:$AI$608,"yes")=0,"",SUMIFS('Offers'!$I$7:$I$608,'Offers'!$B$7:$B$608,$B115,'Offers'!$C$7:$C$608,$C115,'Offers'!$AG$7:$AG$608,COUNTIFS('Offers'!$B$7:$B$608,$B115,'Offers'!$C$7:$C$608,$C115,'Offers'!$AI$7:$AI$608,"yes")))</f>
        <v/>
      </c>
      <c r="L115" s="55" t="n"/>
      <c r="M115" s="55" t="n"/>
      <c r="N115" s="55" t="n"/>
      <c r="O115" s="2">
        <f>IF('Compare'!$E$5="Local prices",IF(F115="","",IF('Compare'!$C$5="Minimum",F115,IF('Compare'!$C$5="Maximum",H115,G115))),IF(I115="","",IF('Compare'!$C$5="Minimum",I115,IF('Compare'!$C$5="Maximum",K115,J115))))</f>
        <v/>
      </c>
    </row>
    <row r="116" ht="44" customHeight="1">
      <c r="A116" s="2" t="n"/>
      <c r="B116" s="27" t="inlineStr">
        <is>
          <t>GN 1/3 PC container, 100 mm</t>
        </is>
      </c>
      <c r="C116" s="27" t="inlineStr">
        <is>
          <t>Romania</t>
        </is>
      </c>
      <c r="D116" s="27" t="inlineStr">
        <is>
          <t>RON</t>
        </is>
      </c>
      <c r="E116" s="27" t="inlineStr">
        <is>
          <t>Net per piece</t>
        </is>
      </c>
      <c r="F116" s="96">
        <f>IF(COUNTIFS('Offers'!$B$7:$B$608,$B116,'Offers'!$C$7:$C$608,$C116,'Offers'!$AH$7:$AH$608,"yes")=0,"",SUMIFS('Offers'!$H$7:$H$608,'Offers'!$B$7:$B$608,$B116,'Offers'!$C$7:$C$608,$C116,'Offers'!$AF$7:$AF$608,1))</f>
        <v/>
      </c>
      <c r="G116" s="96">
        <f>IF(COUNTIFS('Offers'!$B$7:$B$608,$B116,'Offers'!$C$7:$C$608,$C116,'Offers'!$AH$7:$AH$608,"yes")=0,"",(SUMIFS('Offers'!$H$7:$H$608,'Offers'!$B$7:$B$608,$B116,'Offers'!$C$7:$C$608,$C116,'Offers'!$AF$7:$AF$608,ROUNDUP(COUNTIFS('Offers'!$B$7:$B$608,$B116,'Offers'!$C$7:$C$608,$C116,'Offers'!$AH$7:$AH$608,"yes")/2,0))+SUMIFS('Offers'!$H$7:$H$608,'Offers'!$B$7:$B$608,$B116,'Offers'!$C$7:$C$608,$C116,'Offers'!$AF$7:$AF$608,INT(COUNTIFS('Offers'!$B$7:$B$608,$B116,'Offers'!$C$7:$C$608,$C116,'Offers'!$AH$7:$AH$608,"yes")/2)+1))/2)</f>
        <v/>
      </c>
      <c r="H116" s="96">
        <f>IF(COUNTIFS('Offers'!$B$7:$B$608,$B116,'Offers'!$C$7:$C$608,$C116,'Offers'!$AH$7:$AH$608,"yes")=0,"",SUMIFS('Offers'!$H$7:$H$608,'Offers'!$B$7:$B$608,$B116,'Offers'!$C$7:$C$608,$C116,'Offers'!$AF$7:$AF$608,COUNTIFS('Offers'!$B$7:$B$608,$B116,'Offers'!$C$7:$C$608,$C116,'Offers'!$AH$7:$AH$608,"yes")))</f>
        <v/>
      </c>
      <c r="I116" s="97">
        <f>IF(COUNTIFS('Offers'!$B$7:$B$608,$B116,'Offers'!$C$7:$C$608,$C116,'Offers'!$AI$7:$AI$608,"yes")=0,"",SUMIFS('Offers'!$I$7:$I$608,'Offers'!$B$7:$B$608,$B116,'Offers'!$C$7:$C$608,$C116,'Offers'!$AG$7:$AG$608,1))</f>
        <v/>
      </c>
      <c r="J116" s="97">
        <f>IF(COUNTIFS('Offers'!$B$7:$B$608,$B116,'Offers'!$C$7:$C$608,$C116,'Offers'!$AI$7:$AI$608,"yes")=0,"",(SUMIFS('Offers'!$I$7:$I$608,'Offers'!$B$7:$B$608,$B116,'Offers'!$C$7:$C$608,$C116,'Offers'!$AG$7:$AG$608,ROUNDUP(COUNTIFS('Offers'!$B$7:$B$608,$B116,'Offers'!$C$7:$C$608,$C116,'Offers'!$AI$7:$AI$608,"yes")/2,0))+SUMIFS('Offers'!$I$7:$I$608,'Offers'!$B$7:$B$608,$B116,'Offers'!$C$7:$C$608,$C116,'Offers'!$AG$7:$AG$608,INT(COUNTIFS('Offers'!$B$7:$B$608,$B116,'Offers'!$C$7:$C$608,$C116,'Offers'!$AI$7:$AI$608,"yes")/2)+1))/2)</f>
        <v/>
      </c>
      <c r="K116" s="97">
        <f>IF(COUNTIFS('Offers'!$B$7:$B$608,$B116,'Offers'!$C$7:$C$608,$C116,'Offers'!$AI$7:$AI$608,"yes")=0,"",SUMIFS('Offers'!$I$7:$I$608,'Offers'!$B$7:$B$608,$B116,'Offers'!$C$7:$C$608,$C116,'Offers'!$AG$7:$AG$608,COUNTIFS('Offers'!$B$7:$B$608,$B116,'Offers'!$C$7:$C$608,$C116,'Offers'!$AI$7:$AI$608,"yes")))</f>
        <v/>
      </c>
      <c r="L116" s="55" t="n"/>
      <c r="M116" s="55" t="n"/>
      <c r="N116" s="55" t="n"/>
      <c r="O116" s="19">
        <f>IF('Compare'!$E$5="Local prices",IF(F116="","",IF('Compare'!$C$5="Minimum",F116,IF('Compare'!$C$5="Maximum",H116,G116))),IF(I116="","",IF('Compare'!$C$5="Minimum",I116,IF('Compare'!$C$5="Maximum",K116,J116))))</f>
        <v/>
      </c>
    </row>
    <row r="117" ht="44" customHeight="1">
      <c r="A117" s="2" t="n"/>
      <c r="B117" s="24" t="inlineStr">
        <is>
          <t>GN 1/3 PC container, 100 mm</t>
        </is>
      </c>
      <c r="C117" s="24" t="inlineStr">
        <is>
          <t>Austria</t>
        </is>
      </c>
      <c r="D117" s="24" t="inlineStr">
        <is>
          <t>EUR</t>
        </is>
      </c>
      <c r="E117" s="24" t="inlineStr">
        <is>
          <t>Net per piece</t>
        </is>
      </c>
      <c r="F117" s="94">
        <f>IF(COUNTIFS('Offers'!$B$7:$B$608,$B117,'Offers'!$C$7:$C$608,$C117,'Offers'!$AH$7:$AH$608,"yes")=0,"",SUMIFS('Offers'!$H$7:$H$608,'Offers'!$B$7:$B$608,$B117,'Offers'!$C$7:$C$608,$C117,'Offers'!$AF$7:$AF$608,1))</f>
        <v/>
      </c>
      <c r="G117" s="94">
        <f>IF(COUNTIFS('Offers'!$B$7:$B$608,$B117,'Offers'!$C$7:$C$608,$C117,'Offers'!$AH$7:$AH$608,"yes")=0,"",(SUMIFS('Offers'!$H$7:$H$608,'Offers'!$B$7:$B$608,$B117,'Offers'!$C$7:$C$608,$C117,'Offers'!$AF$7:$AF$608,ROUNDUP(COUNTIFS('Offers'!$B$7:$B$608,$B117,'Offers'!$C$7:$C$608,$C117,'Offers'!$AH$7:$AH$608,"yes")/2,0))+SUMIFS('Offers'!$H$7:$H$608,'Offers'!$B$7:$B$608,$B117,'Offers'!$C$7:$C$608,$C117,'Offers'!$AF$7:$AF$608,INT(COUNTIFS('Offers'!$B$7:$B$608,$B117,'Offers'!$C$7:$C$608,$C117,'Offers'!$AH$7:$AH$608,"yes")/2)+1))/2)</f>
        <v/>
      </c>
      <c r="H117" s="94">
        <f>IF(COUNTIFS('Offers'!$B$7:$B$608,$B117,'Offers'!$C$7:$C$608,$C117,'Offers'!$AH$7:$AH$608,"yes")=0,"",SUMIFS('Offers'!$H$7:$H$608,'Offers'!$B$7:$B$608,$B117,'Offers'!$C$7:$C$608,$C117,'Offers'!$AF$7:$AF$608,COUNTIFS('Offers'!$B$7:$B$608,$B117,'Offers'!$C$7:$C$608,$C117,'Offers'!$AH$7:$AH$608,"yes")))</f>
        <v/>
      </c>
      <c r="I117" s="95">
        <f>IF(COUNTIFS('Offers'!$B$7:$B$608,$B117,'Offers'!$C$7:$C$608,$C117,'Offers'!$AI$7:$AI$608,"yes")=0,"",SUMIFS('Offers'!$I$7:$I$608,'Offers'!$B$7:$B$608,$B117,'Offers'!$C$7:$C$608,$C117,'Offers'!$AG$7:$AG$608,1))</f>
        <v/>
      </c>
      <c r="J117" s="95">
        <f>IF(COUNTIFS('Offers'!$B$7:$B$608,$B117,'Offers'!$C$7:$C$608,$C117,'Offers'!$AI$7:$AI$608,"yes")=0,"",(SUMIFS('Offers'!$I$7:$I$608,'Offers'!$B$7:$B$608,$B117,'Offers'!$C$7:$C$608,$C117,'Offers'!$AG$7:$AG$608,ROUNDUP(COUNTIFS('Offers'!$B$7:$B$608,$B117,'Offers'!$C$7:$C$608,$C117,'Offers'!$AI$7:$AI$608,"yes")/2,0))+SUMIFS('Offers'!$I$7:$I$608,'Offers'!$B$7:$B$608,$B117,'Offers'!$C$7:$C$608,$C117,'Offers'!$AG$7:$AG$608,INT(COUNTIFS('Offers'!$B$7:$B$608,$B117,'Offers'!$C$7:$C$608,$C117,'Offers'!$AI$7:$AI$608,"yes")/2)+1))/2)</f>
        <v/>
      </c>
      <c r="K117" s="95">
        <f>IF(COUNTIFS('Offers'!$B$7:$B$608,$B117,'Offers'!$C$7:$C$608,$C117,'Offers'!$AI$7:$AI$608,"yes")=0,"",SUMIFS('Offers'!$I$7:$I$608,'Offers'!$B$7:$B$608,$B117,'Offers'!$C$7:$C$608,$C117,'Offers'!$AG$7:$AG$608,COUNTIFS('Offers'!$B$7:$B$608,$B117,'Offers'!$C$7:$C$608,$C117,'Offers'!$AI$7:$AI$608,"yes")))</f>
        <v/>
      </c>
      <c r="L117" s="55" t="n"/>
      <c r="M117" s="55" t="n"/>
      <c r="N117" s="55" t="n"/>
      <c r="O117" s="2">
        <f>IF('Compare'!$E$5="Local prices",IF(F117="","",IF('Compare'!$C$5="Minimum",F117,IF('Compare'!$C$5="Maximum",H117,G117))),IF(I117="","",IF('Compare'!$C$5="Minimum",I117,IF('Compare'!$C$5="Maximum",K117,J117))))</f>
        <v/>
      </c>
    </row>
    <row r="118" ht="44" customHeight="1">
      <c r="A118" s="2" t="n"/>
      <c r="B118" s="27" t="inlineStr">
        <is>
          <t>GN 1/3 PC container, 100 mm</t>
        </is>
      </c>
      <c r="C118" s="27" t="inlineStr">
        <is>
          <t>Germany</t>
        </is>
      </c>
      <c r="D118" s="27" t="inlineStr">
        <is>
          <t>EUR</t>
        </is>
      </c>
      <c r="E118" s="27" t="inlineStr">
        <is>
          <t>Net per piece</t>
        </is>
      </c>
      <c r="F118" s="96">
        <f>IF(COUNTIFS('Offers'!$B$7:$B$608,$B118,'Offers'!$C$7:$C$608,$C118,'Offers'!$AH$7:$AH$608,"yes")=0,"",SUMIFS('Offers'!$H$7:$H$608,'Offers'!$B$7:$B$608,$B118,'Offers'!$C$7:$C$608,$C118,'Offers'!$AF$7:$AF$608,1))</f>
        <v/>
      </c>
      <c r="G118" s="96">
        <f>IF(COUNTIFS('Offers'!$B$7:$B$608,$B118,'Offers'!$C$7:$C$608,$C118,'Offers'!$AH$7:$AH$608,"yes")=0,"",(SUMIFS('Offers'!$H$7:$H$608,'Offers'!$B$7:$B$608,$B118,'Offers'!$C$7:$C$608,$C118,'Offers'!$AF$7:$AF$608,ROUNDUP(COUNTIFS('Offers'!$B$7:$B$608,$B118,'Offers'!$C$7:$C$608,$C118,'Offers'!$AH$7:$AH$608,"yes")/2,0))+SUMIFS('Offers'!$H$7:$H$608,'Offers'!$B$7:$B$608,$B118,'Offers'!$C$7:$C$608,$C118,'Offers'!$AF$7:$AF$608,INT(COUNTIFS('Offers'!$B$7:$B$608,$B118,'Offers'!$C$7:$C$608,$C118,'Offers'!$AH$7:$AH$608,"yes")/2)+1))/2)</f>
        <v/>
      </c>
      <c r="H118" s="96">
        <f>IF(COUNTIFS('Offers'!$B$7:$B$608,$B118,'Offers'!$C$7:$C$608,$C118,'Offers'!$AH$7:$AH$608,"yes")=0,"",SUMIFS('Offers'!$H$7:$H$608,'Offers'!$B$7:$B$608,$B118,'Offers'!$C$7:$C$608,$C118,'Offers'!$AF$7:$AF$608,COUNTIFS('Offers'!$B$7:$B$608,$B118,'Offers'!$C$7:$C$608,$C118,'Offers'!$AH$7:$AH$608,"yes")))</f>
        <v/>
      </c>
      <c r="I118" s="97">
        <f>IF(COUNTIFS('Offers'!$B$7:$B$608,$B118,'Offers'!$C$7:$C$608,$C118,'Offers'!$AI$7:$AI$608,"yes")=0,"",SUMIFS('Offers'!$I$7:$I$608,'Offers'!$B$7:$B$608,$B118,'Offers'!$C$7:$C$608,$C118,'Offers'!$AG$7:$AG$608,1))</f>
        <v/>
      </c>
      <c r="J118" s="97">
        <f>IF(COUNTIFS('Offers'!$B$7:$B$608,$B118,'Offers'!$C$7:$C$608,$C118,'Offers'!$AI$7:$AI$608,"yes")=0,"",(SUMIFS('Offers'!$I$7:$I$608,'Offers'!$B$7:$B$608,$B118,'Offers'!$C$7:$C$608,$C118,'Offers'!$AG$7:$AG$608,ROUNDUP(COUNTIFS('Offers'!$B$7:$B$608,$B118,'Offers'!$C$7:$C$608,$C118,'Offers'!$AI$7:$AI$608,"yes")/2,0))+SUMIFS('Offers'!$I$7:$I$608,'Offers'!$B$7:$B$608,$B118,'Offers'!$C$7:$C$608,$C118,'Offers'!$AG$7:$AG$608,INT(COUNTIFS('Offers'!$B$7:$B$608,$B118,'Offers'!$C$7:$C$608,$C118,'Offers'!$AI$7:$AI$608,"yes")/2)+1))/2)</f>
        <v/>
      </c>
      <c r="K118" s="97">
        <f>IF(COUNTIFS('Offers'!$B$7:$B$608,$B118,'Offers'!$C$7:$C$608,$C118,'Offers'!$AI$7:$AI$608,"yes")=0,"",SUMIFS('Offers'!$I$7:$I$608,'Offers'!$B$7:$B$608,$B118,'Offers'!$C$7:$C$608,$C118,'Offers'!$AG$7:$AG$608,COUNTIFS('Offers'!$B$7:$B$608,$B118,'Offers'!$C$7:$C$608,$C118,'Offers'!$AI$7:$AI$608,"yes")))</f>
        <v/>
      </c>
      <c r="L118" s="55" t="n"/>
      <c r="M118" s="55" t="n"/>
      <c r="N118" s="55" t="n"/>
      <c r="O118" s="19">
        <f>IF('Compare'!$E$5="Local prices",IF(F118="","",IF('Compare'!$C$5="Minimum",F118,IF('Compare'!$C$5="Maximum",H118,G118))),IF(I118="","",IF('Compare'!$C$5="Minimum",I118,IF('Compare'!$C$5="Maximum",K118,J118))))</f>
        <v/>
      </c>
    </row>
    <row r="119" ht="44" customHeight="1">
      <c r="A119" s="2" t="n"/>
      <c r="B119" s="24" t="inlineStr">
        <is>
          <t>GN 1/3 PC container, 100 mm</t>
        </is>
      </c>
      <c r="C119" s="24" t="inlineStr">
        <is>
          <t>Czech</t>
        </is>
      </c>
      <c r="D119" s="24" t="inlineStr">
        <is>
          <t>CZK</t>
        </is>
      </c>
      <c r="E119" s="24" t="inlineStr">
        <is>
          <t>Net per piece</t>
        </is>
      </c>
      <c r="F119" s="94">
        <f>IF(COUNTIFS('Offers'!$B$7:$B$608,$B119,'Offers'!$C$7:$C$608,$C119,'Offers'!$AH$7:$AH$608,"yes")=0,"",SUMIFS('Offers'!$H$7:$H$608,'Offers'!$B$7:$B$608,$B119,'Offers'!$C$7:$C$608,$C119,'Offers'!$AF$7:$AF$608,1))</f>
        <v/>
      </c>
      <c r="G119" s="94">
        <f>IF(COUNTIFS('Offers'!$B$7:$B$608,$B119,'Offers'!$C$7:$C$608,$C119,'Offers'!$AH$7:$AH$608,"yes")=0,"",(SUMIFS('Offers'!$H$7:$H$608,'Offers'!$B$7:$B$608,$B119,'Offers'!$C$7:$C$608,$C119,'Offers'!$AF$7:$AF$608,ROUNDUP(COUNTIFS('Offers'!$B$7:$B$608,$B119,'Offers'!$C$7:$C$608,$C119,'Offers'!$AH$7:$AH$608,"yes")/2,0))+SUMIFS('Offers'!$H$7:$H$608,'Offers'!$B$7:$B$608,$B119,'Offers'!$C$7:$C$608,$C119,'Offers'!$AF$7:$AF$608,INT(COUNTIFS('Offers'!$B$7:$B$608,$B119,'Offers'!$C$7:$C$608,$C119,'Offers'!$AH$7:$AH$608,"yes")/2)+1))/2)</f>
        <v/>
      </c>
      <c r="H119" s="94">
        <f>IF(COUNTIFS('Offers'!$B$7:$B$608,$B119,'Offers'!$C$7:$C$608,$C119,'Offers'!$AH$7:$AH$608,"yes")=0,"",SUMIFS('Offers'!$H$7:$H$608,'Offers'!$B$7:$B$608,$B119,'Offers'!$C$7:$C$608,$C119,'Offers'!$AF$7:$AF$608,COUNTIFS('Offers'!$B$7:$B$608,$B119,'Offers'!$C$7:$C$608,$C119,'Offers'!$AH$7:$AH$608,"yes")))</f>
        <v/>
      </c>
      <c r="I119" s="95">
        <f>IF(COUNTIFS('Offers'!$B$7:$B$608,$B119,'Offers'!$C$7:$C$608,$C119,'Offers'!$AI$7:$AI$608,"yes")=0,"",SUMIFS('Offers'!$I$7:$I$608,'Offers'!$B$7:$B$608,$B119,'Offers'!$C$7:$C$608,$C119,'Offers'!$AG$7:$AG$608,1))</f>
        <v/>
      </c>
      <c r="J119" s="95">
        <f>IF(COUNTIFS('Offers'!$B$7:$B$608,$B119,'Offers'!$C$7:$C$608,$C119,'Offers'!$AI$7:$AI$608,"yes")=0,"",(SUMIFS('Offers'!$I$7:$I$608,'Offers'!$B$7:$B$608,$B119,'Offers'!$C$7:$C$608,$C119,'Offers'!$AG$7:$AG$608,ROUNDUP(COUNTIFS('Offers'!$B$7:$B$608,$B119,'Offers'!$C$7:$C$608,$C119,'Offers'!$AI$7:$AI$608,"yes")/2,0))+SUMIFS('Offers'!$I$7:$I$608,'Offers'!$B$7:$B$608,$B119,'Offers'!$C$7:$C$608,$C119,'Offers'!$AG$7:$AG$608,INT(COUNTIFS('Offers'!$B$7:$B$608,$B119,'Offers'!$C$7:$C$608,$C119,'Offers'!$AI$7:$AI$608,"yes")/2)+1))/2)</f>
        <v/>
      </c>
      <c r="K119" s="95">
        <f>IF(COUNTIFS('Offers'!$B$7:$B$608,$B119,'Offers'!$C$7:$C$608,$C119,'Offers'!$AI$7:$AI$608,"yes")=0,"",SUMIFS('Offers'!$I$7:$I$608,'Offers'!$B$7:$B$608,$B119,'Offers'!$C$7:$C$608,$C119,'Offers'!$AG$7:$AG$608,COUNTIFS('Offers'!$B$7:$B$608,$B119,'Offers'!$C$7:$C$608,$C119,'Offers'!$AI$7:$AI$608,"yes")))</f>
        <v/>
      </c>
      <c r="L119" s="55" t="n"/>
      <c r="M119" s="55" t="n"/>
      <c r="N119" s="55" t="n"/>
      <c r="O119" s="2">
        <f>IF('Compare'!$E$5="Local prices",IF(F119="","",IF('Compare'!$C$5="Minimum",F119,IF('Compare'!$C$5="Maximum",H119,G119))),IF(I119="","",IF('Compare'!$C$5="Minimum",I119,IF('Compare'!$C$5="Maximum",K119,J119))))</f>
        <v/>
      </c>
    </row>
    <row r="120" ht="44" customHeight="1">
      <c r="A120" s="2" t="n"/>
      <c r="B120" s="27" t="inlineStr">
        <is>
          <t>GN 1/3 PC container, 100 mm</t>
        </is>
      </c>
      <c r="C120" s="27" t="inlineStr">
        <is>
          <t>Slovakia</t>
        </is>
      </c>
      <c r="D120" s="27" t="inlineStr">
        <is>
          <t>EUR</t>
        </is>
      </c>
      <c r="E120" s="27" t="inlineStr">
        <is>
          <t>Net per piece</t>
        </is>
      </c>
      <c r="F120" s="96">
        <f>IF(COUNTIFS('Offers'!$B$7:$B$608,$B120,'Offers'!$C$7:$C$608,$C120,'Offers'!$AH$7:$AH$608,"yes")=0,"",SUMIFS('Offers'!$H$7:$H$608,'Offers'!$B$7:$B$608,$B120,'Offers'!$C$7:$C$608,$C120,'Offers'!$AF$7:$AF$608,1))</f>
        <v/>
      </c>
      <c r="G120" s="96">
        <f>IF(COUNTIFS('Offers'!$B$7:$B$608,$B120,'Offers'!$C$7:$C$608,$C120,'Offers'!$AH$7:$AH$608,"yes")=0,"",(SUMIFS('Offers'!$H$7:$H$608,'Offers'!$B$7:$B$608,$B120,'Offers'!$C$7:$C$608,$C120,'Offers'!$AF$7:$AF$608,ROUNDUP(COUNTIFS('Offers'!$B$7:$B$608,$B120,'Offers'!$C$7:$C$608,$C120,'Offers'!$AH$7:$AH$608,"yes")/2,0))+SUMIFS('Offers'!$H$7:$H$608,'Offers'!$B$7:$B$608,$B120,'Offers'!$C$7:$C$608,$C120,'Offers'!$AF$7:$AF$608,INT(COUNTIFS('Offers'!$B$7:$B$608,$B120,'Offers'!$C$7:$C$608,$C120,'Offers'!$AH$7:$AH$608,"yes")/2)+1))/2)</f>
        <v/>
      </c>
      <c r="H120" s="96">
        <f>IF(COUNTIFS('Offers'!$B$7:$B$608,$B120,'Offers'!$C$7:$C$608,$C120,'Offers'!$AH$7:$AH$608,"yes")=0,"",SUMIFS('Offers'!$H$7:$H$608,'Offers'!$B$7:$B$608,$B120,'Offers'!$C$7:$C$608,$C120,'Offers'!$AF$7:$AF$608,COUNTIFS('Offers'!$B$7:$B$608,$B120,'Offers'!$C$7:$C$608,$C120,'Offers'!$AH$7:$AH$608,"yes")))</f>
        <v/>
      </c>
      <c r="I120" s="97">
        <f>IF(COUNTIFS('Offers'!$B$7:$B$608,$B120,'Offers'!$C$7:$C$608,$C120,'Offers'!$AI$7:$AI$608,"yes")=0,"",SUMIFS('Offers'!$I$7:$I$608,'Offers'!$B$7:$B$608,$B120,'Offers'!$C$7:$C$608,$C120,'Offers'!$AG$7:$AG$608,1))</f>
        <v/>
      </c>
      <c r="J120" s="97">
        <f>IF(COUNTIFS('Offers'!$B$7:$B$608,$B120,'Offers'!$C$7:$C$608,$C120,'Offers'!$AI$7:$AI$608,"yes")=0,"",(SUMIFS('Offers'!$I$7:$I$608,'Offers'!$B$7:$B$608,$B120,'Offers'!$C$7:$C$608,$C120,'Offers'!$AG$7:$AG$608,ROUNDUP(COUNTIFS('Offers'!$B$7:$B$608,$B120,'Offers'!$C$7:$C$608,$C120,'Offers'!$AI$7:$AI$608,"yes")/2,0))+SUMIFS('Offers'!$I$7:$I$608,'Offers'!$B$7:$B$608,$B120,'Offers'!$C$7:$C$608,$C120,'Offers'!$AG$7:$AG$608,INT(COUNTIFS('Offers'!$B$7:$B$608,$B120,'Offers'!$C$7:$C$608,$C120,'Offers'!$AI$7:$AI$608,"yes")/2)+1))/2)</f>
        <v/>
      </c>
      <c r="K120" s="97">
        <f>IF(COUNTIFS('Offers'!$B$7:$B$608,$B120,'Offers'!$C$7:$C$608,$C120,'Offers'!$AI$7:$AI$608,"yes")=0,"",SUMIFS('Offers'!$I$7:$I$608,'Offers'!$B$7:$B$608,$B120,'Offers'!$C$7:$C$608,$C120,'Offers'!$AG$7:$AG$608,COUNTIFS('Offers'!$B$7:$B$608,$B120,'Offers'!$C$7:$C$608,$C120,'Offers'!$AI$7:$AI$608,"yes")))</f>
        <v/>
      </c>
      <c r="L120" s="55" t="n"/>
      <c r="M120" s="55" t="n"/>
      <c r="N120" s="55" t="n"/>
      <c r="O120" s="19">
        <f>IF('Compare'!$E$5="Local prices",IF(F120="","",IF('Compare'!$C$5="Minimum",F120,IF('Compare'!$C$5="Maximum",H120,G120))),IF(I120="","",IF('Compare'!$C$5="Minimum",I120,IF('Compare'!$C$5="Maximum",K120,J120))))</f>
        <v/>
      </c>
    </row>
    <row r="121" ht="44" customHeight="1">
      <c r="A121" s="2" t="n"/>
      <c r="B121" s="24" t="inlineStr">
        <is>
          <t>GN 1/2 PP container, 150 mm</t>
        </is>
      </c>
      <c r="C121" s="24" t="inlineStr">
        <is>
          <t>Hungary</t>
        </is>
      </c>
      <c r="D121" s="24" t="inlineStr">
        <is>
          <t>HUF</t>
        </is>
      </c>
      <c r="E121" s="24" t="inlineStr">
        <is>
          <t>Net per piece</t>
        </is>
      </c>
      <c r="F121" s="94">
        <f>IF(COUNTIFS('Offers'!$B$7:$B$608,$B121,'Offers'!$C$7:$C$608,$C121,'Offers'!$AH$7:$AH$608,"yes")=0,"",SUMIFS('Offers'!$H$7:$H$608,'Offers'!$B$7:$B$608,$B121,'Offers'!$C$7:$C$608,$C121,'Offers'!$AF$7:$AF$608,1))</f>
        <v/>
      </c>
      <c r="G121" s="94">
        <f>IF(COUNTIFS('Offers'!$B$7:$B$608,$B121,'Offers'!$C$7:$C$608,$C121,'Offers'!$AH$7:$AH$608,"yes")=0,"",(SUMIFS('Offers'!$H$7:$H$608,'Offers'!$B$7:$B$608,$B121,'Offers'!$C$7:$C$608,$C121,'Offers'!$AF$7:$AF$608,ROUNDUP(COUNTIFS('Offers'!$B$7:$B$608,$B121,'Offers'!$C$7:$C$608,$C121,'Offers'!$AH$7:$AH$608,"yes")/2,0))+SUMIFS('Offers'!$H$7:$H$608,'Offers'!$B$7:$B$608,$B121,'Offers'!$C$7:$C$608,$C121,'Offers'!$AF$7:$AF$608,INT(COUNTIFS('Offers'!$B$7:$B$608,$B121,'Offers'!$C$7:$C$608,$C121,'Offers'!$AH$7:$AH$608,"yes")/2)+1))/2)</f>
        <v/>
      </c>
      <c r="H121" s="94">
        <f>IF(COUNTIFS('Offers'!$B$7:$B$608,$B121,'Offers'!$C$7:$C$608,$C121,'Offers'!$AH$7:$AH$608,"yes")=0,"",SUMIFS('Offers'!$H$7:$H$608,'Offers'!$B$7:$B$608,$B121,'Offers'!$C$7:$C$608,$C121,'Offers'!$AF$7:$AF$608,COUNTIFS('Offers'!$B$7:$B$608,$B121,'Offers'!$C$7:$C$608,$C121,'Offers'!$AH$7:$AH$608,"yes")))</f>
        <v/>
      </c>
      <c r="I121" s="95">
        <f>IF(COUNTIFS('Offers'!$B$7:$B$608,$B121,'Offers'!$C$7:$C$608,$C121,'Offers'!$AI$7:$AI$608,"yes")=0,"",SUMIFS('Offers'!$I$7:$I$608,'Offers'!$B$7:$B$608,$B121,'Offers'!$C$7:$C$608,$C121,'Offers'!$AG$7:$AG$608,1))</f>
        <v/>
      </c>
      <c r="J121" s="95">
        <f>IF(COUNTIFS('Offers'!$B$7:$B$608,$B121,'Offers'!$C$7:$C$608,$C121,'Offers'!$AI$7:$AI$608,"yes")=0,"",(SUMIFS('Offers'!$I$7:$I$608,'Offers'!$B$7:$B$608,$B121,'Offers'!$C$7:$C$608,$C121,'Offers'!$AG$7:$AG$608,ROUNDUP(COUNTIFS('Offers'!$B$7:$B$608,$B121,'Offers'!$C$7:$C$608,$C121,'Offers'!$AI$7:$AI$608,"yes")/2,0))+SUMIFS('Offers'!$I$7:$I$608,'Offers'!$B$7:$B$608,$B121,'Offers'!$C$7:$C$608,$C121,'Offers'!$AG$7:$AG$608,INT(COUNTIFS('Offers'!$B$7:$B$608,$B121,'Offers'!$C$7:$C$608,$C121,'Offers'!$AI$7:$AI$608,"yes")/2)+1))/2)</f>
        <v/>
      </c>
      <c r="K121" s="95">
        <f>IF(COUNTIFS('Offers'!$B$7:$B$608,$B121,'Offers'!$C$7:$C$608,$C121,'Offers'!$AI$7:$AI$608,"yes")=0,"",SUMIFS('Offers'!$I$7:$I$608,'Offers'!$B$7:$B$608,$B121,'Offers'!$C$7:$C$608,$C121,'Offers'!$AG$7:$AG$608,COUNTIFS('Offers'!$B$7:$B$608,$B121,'Offers'!$C$7:$C$608,$C121,'Offers'!$AI$7:$AI$608,"yes")))</f>
        <v/>
      </c>
      <c r="L121" s="55" t="n"/>
      <c r="M121" s="55" t="n"/>
      <c r="N121" s="55" t="n"/>
      <c r="O121" s="2">
        <f>IF('Compare'!$E$5="Local prices",IF(F121="","",IF('Compare'!$C$5="Minimum",F121,IF('Compare'!$C$5="Maximum",H121,G121))),IF(I121="","",IF('Compare'!$C$5="Minimum",I121,IF('Compare'!$C$5="Maximum",K121,J121))))</f>
        <v/>
      </c>
    </row>
    <row r="122" ht="44" customHeight="1">
      <c r="A122" s="2" t="n"/>
      <c r="B122" s="27" t="inlineStr">
        <is>
          <t>GN 1/2 PP container, 150 mm</t>
        </is>
      </c>
      <c r="C122" s="27" t="inlineStr">
        <is>
          <t>Romania</t>
        </is>
      </c>
      <c r="D122" s="27" t="inlineStr">
        <is>
          <t>RON</t>
        </is>
      </c>
      <c r="E122" s="27" t="inlineStr">
        <is>
          <t>Net per piece</t>
        </is>
      </c>
      <c r="F122" s="96">
        <f>IF(COUNTIFS('Offers'!$B$7:$B$608,$B122,'Offers'!$C$7:$C$608,$C122,'Offers'!$AH$7:$AH$608,"yes")=0,"",SUMIFS('Offers'!$H$7:$H$608,'Offers'!$B$7:$B$608,$B122,'Offers'!$C$7:$C$608,$C122,'Offers'!$AF$7:$AF$608,1))</f>
        <v/>
      </c>
      <c r="G122" s="96">
        <f>IF(COUNTIFS('Offers'!$B$7:$B$608,$B122,'Offers'!$C$7:$C$608,$C122,'Offers'!$AH$7:$AH$608,"yes")=0,"",(SUMIFS('Offers'!$H$7:$H$608,'Offers'!$B$7:$B$608,$B122,'Offers'!$C$7:$C$608,$C122,'Offers'!$AF$7:$AF$608,ROUNDUP(COUNTIFS('Offers'!$B$7:$B$608,$B122,'Offers'!$C$7:$C$608,$C122,'Offers'!$AH$7:$AH$608,"yes")/2,0))+SUMIFS('Offers'!$H$7:$H$608,'Offers'!$B$7:$B$608,$B122,'Offers'!$C$7:$C$608,$C122,'Offers'!$AF$7:$AF$608,INT(COUNTIFS('Offers'!$B$7:$B$608,$B122,'Offers'!$C$7:$C$608,$C122,'Offers'!$AH$7:$AH$608,"yes")/2)+1))/2)</f>
        <v/>
      </c>
      <c r="H122" s="96">
        <f>IF(COUNTIFS('Offers'!$B$7:$B$608,$B122,'Offers'!$C$7:$C$608,$C122,'Offers'!$AH$7:$AH$608,"yes")=0,"",SUMIFS('Offers'!$H$7:$H$608,'Offers'!$B$7:$B$608,$B122,'Offers'!$C$7:$C$608,$C122,'Offers'!$AF$7:$AF$608,COUNTIFS('Offers'!$B$7:$B$608,$B122,'Offers'!$C$7:$C$608,$C122,'Offers'!$AH$7:$AH$608,"yes")))</f>
        <v/>
      </c>
      <c r="I122" s="97">
        <f>IF(COUNTIFS('Offers'!$B$7:$B$608,$B122,'Offers'!$C$7:$C$608,$C122,'Offers'!$AI$7:$AI$608,"yes")=0,"",SUMIFS('Offers'!$I$7:$I$608,'Offers'!$B$7:$B$608,$B122,'Offers'!$C$7:$C$608,$C122,'Offers'!$AG$7:$AG$608,1))</f>
        <v/>
      </c>
      <c r="J122" s="97">
        <f>IF(COUNTIFS('Offers'!$B$7:$B$608,$B122,'Offers'!$C$7:$C$608,$C122,'Offers'!$AI$7:$AI$608,"yes")=0,"",(SUMIFS('Offers'!$I$7:$I$608,'Offers'!$B$7:$B$608,$B122,'Offers'!$C$7:$C$608,$C122,'Offers'!$AG$7:$AG$608,ROUNDUP(COUNTIFS('Offers'!$B$7:$B$608,$B122,'Offers'!$C$7:$C$608,$C122,'Offers'!$AI$7:$AI$608,"yes")/2,0))+SUMIFS('Offers'!$I$7:$I$608,'Offers'!$B$7:$B$608,$B122,'Offers'!$C$7:$C$608,$C122,'Offers'!$AG$7:$AG$608,INT(COUNTIFS('Offers'!$B$7:$B$608,$B122,'Offers'!$C$7:$C$608,$C122,'Offers'!$AI$7:$AI$608,"yes")/2)+1))/2)</f>
        <v/>
      </c>
      <c r="K122" s="97">
        <f>IF(COUNTIFS('Offers'!$B$7:$B$608,$B122,'Offers'!$C$7:$C$608,$C122,'Offers'!$AI$7:$AI$608,"yes")=0,"",SUMIFS('Offers'!$I$7:$I$608,'Offers'!$B$7:$B$608,$B122,'Offers'!$C$7:$C$608,$C122,'Offers'!$AG$7:$AG$608,COUNTIFS('Offers'!$B$7:$B$608,$B122,'Offers'!$C$7:$C$608,$C122,'Offers'!$AI$7:$AI$608,"yes")))</f>
        <v/>
      </c>
      <c r="L122" s="55" t="n"/>
      <c r="M122" s="55" t="n"/>
      <c r="N122" s="55" t="n"/>
      <c r="O122" s="19">
        <f>IF('Compare'!$E$5="Local prices",IF(F122="","",IF('Compare'!$C$5="Minimum",F122,IF('Compare'!$C$5="Maximum",H122,G122))),IF(I122="","",IF('Compare'!$C$5="Minimum",I122,IF('Compare'!$C$5="Maximum",K122,J122))))</f>
        <v/>
      </c>
    </row>
    <row r="123" ht="44" customHeight="1">
      <c r="A123" s="2" t="n"/>
      <c r="B123" s="24" t="inlineStr">
        <is>
          <t>GN 1/2 PP container, 150 mm</t>
        </is>
      </c>
      <c r="C123" s="24" t="inlineStr">
        <is>
          <t>Austria</t>
        </is>
      </c>
      <c r="D123" s="24" t="inlineStr">
        <is>
          <t>EUR</t>
        </is>
      </c>
      <c r="E123" s="24" t="inlineStr">
        <is>
          <t>Net per piece</t>
        </is>
      </c>
      <c r="F123" s="94">
        <f>IF(COUNTIFS('Offers'!$B$7:$B$608,$B123,'Offers'!$C$7:$C$608,$C123,'Offers'!$AH$7:$AH$608,"yes")=0,"",SUMIFS('Offers'!$H$7:$H$608,'Offers'!$B$7:$B$608,$B123,'Offers'!$C$7:$C$608,$C123,'Offers'!$AF$7:$AF$608,1))</f>
        <v/>
      </c>
      <c r="G123" s="94">
        <f>IF(COUNTIFS('Offers'!$B$7:$B$608,$B123,'Offers'!$C$7:$C$608,$C123,'Offers'!$AH$7:$AH$608,"yes")=0,"",(SUMIFS('Offers'!$H$7:$H$608,'Offers'!$B$7:$B$608,$B123,'Offers'!$C$7:$C$608,$C123,'Offers'!$AF$7:$AF$608,ROUNDUP(COUNTIFS('Offers'!$B$7:$B$608,$B123,'Offers'!$C$7:$C$608,$C123,'Offers'!$AH$7:$AH$608,"yes")/2,0))+SUMIFS('Offers'!$H$7:$H$608,'Offers'!$B$7:$B$608,$B123,'Offers'!$C$7:$C$608,$C123,'Offers'!$AF$7:$AF$608,INT(COUNTIFS('Offers'!$B$7:$B$608,$B123,'Offers'!$C$7:$C$608,$C123,'Offers'!$AH$7:$AH$608,"yes")/2)+1))/2)</f>
        <v/>
      </c>
      <c r="H123" s="94">
        <f>IF(COUNTIFS('Offers'!$B$7:$B$608,$B123,'Offers'!$C$7:$C$608,$C123,'Offers'!$AH$7:$AH$608,"yes")=0,"",SUMIFS('Offers'!$H$7:$H$608,'Offers'!$B$7:$B$608,$B123,'Offers'!$C$7:$C$608,$C123,'Offers'!$AF$7:$AF$608,COUNTIFS('Offers'!$B$7:$B$608,$B123,'Offers'!$C$7:$C$608,$C123,'Offers'!$AH$7:$AH$608,"yes")))</f>
        <v/>
      </c>
      <c r="I123" s="95">
        <f>IF(COUNTIFS('Offers'!$B$7:$B$608,$B123,'Offers'!$C$7:$C$608,$C123,'Offers'!$AI$7:$AI$608,"yes")=0,"",SUMIFS('Offers'!$I$7:$I$608,'Offers'!$B$7:$B$608,$B123,'Offers'!$C$7:$C$608,$C123,'Offers'!$AG$7:$AG$608,1))</f>
        <v/>
      </c>
      <c r="J123" s="95">
        <f>IF(COUNTIFS('Offers'!$B$7:$B$608,$B123,'Offers'!$C$7:$C$608,$C123,'Offers'!$AI$7:$AI$608,"yes")=0,"",(SUMIFS('Offers'!$I$7:$I$608,'Offers'!$B$7:$B$608,$B123,'Offers'!$C$7:$C$608,$C123,'Offers'!$AG$7:$AG$608,ROUNDUP(COUNTIFS('Offers'!$B$7:$B$608,$B123,'Offers'!$C$7:$C$608,$C123,'Offers'!$AI$7:$AI$608,"yes")/2,0))+SUMIFS('Offers'!$I$7:$I$608,'Offers'!$B$7:$B$608,$B123,'Offers'!$C$7:$C$608,$C123,'Offers'!$AG$7:$AG$608,INT(COUNTIFS('Offers'!$B$7:$B$608,$B123,'Offers'!$C$7:$C$608,$C123,'Offers'!$AI$7:$AI$608,"yes")/2)+1))/2)</f>
        <v/>
      </c>
      <c r="K123" s="95">
        <f>IF(COUNTIFS('Offers'!$B$7:$B$608,$B123,'Offers'!$C$7:$C$608,$C123,'Offers'!$AI$7:$AI$608,"yes")=0,"",SUMIFS('Offers'!$I$7:$I$608,'Offers'!$B$7:$B$608,$B123,'Offers'!$C$7:$C$608,$C123,'Offers'!$AG$7:$AG$608,COUNTIFS('Offers'!$B$7:$B$608,$B123,'Offers'!$C$7:$C$608,$C123,'Offers'!$AI$7:$AI$608,"yes")))</f>
        <v/>
      </c>
      <c r="L123" s="55" t="n"/>
      <c r="M123" s="55" t="n"/>
      <c r="N123" s="55" t="n"/>
      <c r="O123" s="2">
        <f>IF('Compare'!$E$5="Local prices",IF(F123="","",IF('Compare'!$C$5="Minimum",F123,IF('Compare'!$C$5="Maximum",H123,G123))),IF(I123="","",IF('Compare'!$C$5="Minimum",I123,IF('Compare'!$C$5="Maximum",K123,J123))))</f>
        <v/>
      </c>
    </row>
    <row r="124" ht="44" customHeight="1">
      <c r="A124" s="2" t="n"/>
      <c r="B124" s="27" t="inlineStr">
        <is>
          <t>GN 1/2 PP container, 150 mm</t>
        </is>
      </c>
      <c r="C124" s="27" t="inlineStr">
        <is>
          <t>Germany</t>
        </is>
      </c>
      <c r="D124" s="27" t="inlineStr">
        <is>
          <t>EUR</t>
        </is>
      </c>
      <c r="E124" s="27" t="inlineStr">
        <is>
          <t>Net per piece</t>
        </is>
      </c>
      <c r="F124" s="96">
        <f>IF(COUNTIFS('Offers'!$B$7:$B$608,$B124,'Offers'!$C$7:$C$608,$C124,'Offers'!$AH$7:$AH$608,"yes")=0,"",SUMIFS('Offers'!$H$7:$H$608,'Offers'!$B$7:$B$608,$B124,'Offers'!$C$7:$C$608,$C124,'Offers'!$AF$7:$AF$608,1))</f>
        <v/>
      </c>
      <c r="G124" s="96">
        <f>IF(COUNTIFS('Offers'!$B$7:$B$608,$B124,'Offers'!$C$7:$C$608,$C124,'Offers'!$AH$7:$AH$608,"yes")=0,"",(SUMIFS('Offers'!$H$7:$H$608,'Offers'!$B$7:$B$608,$B124,'Offers'!$C$7:$C$608,$C124,'Offers'!$AF$7:$AF$608,ROUNDUP(COUNTIFS('Offers'!$B$7:$B$608,$B124,'Offers'!$C$7:$C$608,$C124,'Offers'!$AH$7:$AH$608,"yes")/2,0))+SUMIFS('Offers'!$H$7:$H$608,'Offers'!$B$7:$B$608,$B124,'Offers'!$C$7:$C$608,$C124,'Offers'!$AF$7:$AF$608,INT(COUNTIFS('Offers'!$B$7:$B$608,$B124,'Offers'!$C$7:$C$608,$C124,'Offers'!$AH$7:$AH$608,"yes")/2)+1))/2)</f>
        <v/>
      </c>
      <c r="H124" s="96">
        <f>IF(COUNTIFS('Offers'!$B$7:$B$608,$B124,'Offers'!$C$7:$C$608,$C124,'Offers'!$AH$7:$AH$608,"yes")=0,"",SUMIFS('Offers'!$H$7:$H$608,'Offers'!$B$7:$B$608,$B124,'Offers'!$C$7:$C$608,$C124,'Offers'!$AF$7:$AF$608,COUNTIFS('Offers'!$B$7:$B$608,$B124,'Offers'!$C$7:$C$608,$C124,'Offers'!$AH$7:$AH$608,"yes")))</f>
        <v/>
      </c>
      <c r="I124" s="97">
        <f>IF(COUNTIFS('Offers'!$B$7:$B$608,$B124,'Offers'!$C$7:$C$608,$C124,'Offers'!$AI$7:$AI$608,"yes")=0,"",SUMIFS('Offers'!$I$7:$I$608,'Offers'!$B$7:$B$608,$B124,'Offers'!$C$7:$C$608,$C124,'Offers'!$AG$7:$AG$608,1))</f>
        <v/>
      </c>
      <c r="J124" s="97">
        <f>IF(COUNTIFS('Offers'!$B$7:$B$608,$B124,'Offers'!$C$7:$C$608,$C124,'Offers'!$AI$7:$AI$608,"yes")=0,"",(SUMIFS('Offers'!$I$7:$I$608,'Offers'!$B$7:$B$608,$B124,'Offers'!$C$7:$C$608,$C124,'Offers'!$AG$7:$AG$608,ROUNDUP(COUNTIFS('Offers'!$B$7:$B$608,$B124,'Offers'!$C$7:$C$608,$C124,'Offers'!$AI$7:$AI$608,"yes")/2,0))+SUMIFS('Offers'!$I$7:$I$608,'Offers'!$B$7:$B$608,$B124,'Offers'!$C$7:$C$608,$C124,'Offers'!$AG$7:$AG$608,INT(COUNTIFS('Offers'!$B$7:$B$608,$B124,'Offers'!$C$7:$C$608,$C124,'Offers'!$AI$7:$AI$608,"yes")/2)+1))/2)</f>
        <v/>
      </c>
      <c r="K124" s="97">
        <f>IF(COUNTIFS('Offers'!$B$7:$B$608,$B124,'Offers'!$C$7:$C$608,$C124,'Offers'!$AI$7:$AI$608,"yes")=0,"",SUMIFS('Offers'!$I$7:$I$608,'Offers'!$B$7:$B$608,$B124,'Offers'!$C$7:$C$608,$C124,'Offers'!$AG$7:$AG$608,COUNTIFS('Offers'!$B$7:$B$608,$B124,'Offers'!$C$7:$C$608,$C124,'Offers'!$AI$7:$AI$608,"yes")))</f>
        <v/>
      </c>
      <c r="L124" s="55" t="n"/>
      <c r="M124" s="55" t="n"/>
      <c r="N124" s="55" t="n"/>
      <c r="O124" s="19">
        <f>IF('Compare'!$E$5="Local prices",IF(F124="","",IF('Compare'!$C$5="Minimum",F124,IF('Compare'!$C$5="Maximum",H124,G124))),IF(I124="","",IF('Compare'!$C$5="Minimum",I124,IF('Compare'!$C$5="Maximum",K124,J124))))</f>
        <v/>
      </c>
    </row>
    <row r="125" ht="44" customHeight="1">
      <c r="A125" s="2" t="n"/>
      <c r="B125" s="24" t="inlineStr">
        <is>
          <t>GN 1/2 PP container, 150 mm</t>
        </is>
      </c>
      <c r="C125" s="24" t="inlineStr">
        <is>
          <t>Czech</t>
        </is>
      </c>
      <c r="D125" s="24" t="inlineStr">
        <is>
          <t>CZK</t>
        </is>
      </c>
      <c r="E125" s="24" t="inlineStr">
        <is>
          <t>Net per piece</t>
        </is>
      </c>
      <c r="F125" s="94">
        <f>IF(COUNTIFS('Offers'!$B$7:$B$608,$B125,'Offers'!$C$7:$C$608,$C125,'Offers'!$AH$7:$AH$608,"yes")=0,"",SUMIFS('Offers'!$H$7:$H$608,'Offers'!$B$7:$B$608,$B125,'Offers'!$C$7:$C$608,$C125,'Offers'!$AF$7:$AF$608,1))</f>
        <v/>
      </c>
      <c r="G125" s="94">
        <f>IF(COUNTIFS('Offers'!$B$7:$B$608,$B125,'Offers'!$C$7:$C$608,$C125,'Offers'!$AH$7:$AH$608,"yes")=0,"",(SUMIFS('Offers'!$H$7:$H$608,'Offers'!$B$7:$B$608,$B125,'Offers'!$C$7:$C$608,$C125,'Offers'!$AF$7:$AF$608,ROUNDUP(COUNTIFS('Offers'!$B$7:$B$608,$B125,'Offers'!$C$7:$C$608,$C125,'Offers'!$AH$7:$AH$608,"yes")/2,0))+SUMIFS('Offers'!$H$7:$H$608,'Offers'!$B$7:$B$608,$B125,'Offers'!$C$7:$C$608,$C125,'Offers'!$AF$7:$AF$608,INT(COUNTIFS('Offers'!$B$7:$B$608,$B125,'Offers'!$C$7:$C$608,$C125,'Offers'!$AH$7:$AH$608,"yes")/2)+1))/2)</f>
        <v/>
      </c>
      <c r="H125" s="94">
        <f>IF(COUNTIFS('Offers'!$B$7:$B$608,$B125,'Offers'!$C$7:$C$608,$C125,'Offers'!$AH$7:$AH$608,"yes")=0,"",SUMIFS('Offers'!$H$7:$H$608,'Offers'!$B$7:$B$608,$B125,'Offers'!$C$7:$C$608,$C125,'Offers'!$AF$7:$AF$608,COUNTIFS('Offers'!$B$7:$B$608,$B125,'Offers'!$C$7:$C$608,$C125,'Offers'!$AH$7:$AH$608,"yes")))</f>
        <v/>
      </c>
      <c r="I125" s="95">
        <f>IF(COUNTIFS('Offers'!$B$7:$B$608,$B125,'Offers'!$C$7:$C$608,$C125,'Offers'!$AI$7:$AI$608,"yes")=0,"",SUMIFS('Offers'!$I$7:$I$608,'Offers'!$B$7:$B$608,$B125,'Offers'!$C$7:$C$608,$C125,'Offers'!$AG$7:$AG$608,1))</f>
        <v/>
      </c>
      <c r="J125" s="95">
        <f>IF(COUNTIFS('Offers'!$B$7:$B$608,$B125,'Offers'!$C$7:$C$608,$C125,'Offers'!$AI$7:$AI$608,"yes")=0,"",(SUMIFS('Offers'!$I$7:$I$608,'Offers'!$B$7:$B$608,$B125,'Offers'!$C$7:$C$608,$C125,'Offers'!$AG$7:$AG$608,ROUNDUP(COUNTIFS('Offers'!$B$7:$B$608,$B125,'Offers'!$C$7:$C$608,$C125,'Offers'!$AI$7:$AI$608,"yes")/2,0))+SUMIFS('Offers'!$I$7:$I$608,'Offers'!$B$7:$B$608,$B125,'Offers'!$C$7:$C$608,$C125,'Offers'!$AG$7:$AG$608,INT(COUNTIFS('Offers'!$B$7:$B$608,$B125,'Offers'!$C$7:$C$608,$C125,'Offers'!$AI$7:$AI$608,"yes")/2)+1))/2)</f>
        <v/>
      </c>
      <c r="K125" s="95">
        <f>IF(COUNTIFS('Offers'!$B$7:$B$608,$B125,'Offers'!$C$7:$C$608,$C125,'Offers'!$AI$7:$AI$608,"yes")=0,"",SUMIFS('Offers'!$I$7:$I$608,'Offers'!$B$7:$B$608,$B125,'Offers'!$C$7:$C$608,$C125,'Offers'!$AG$7:$AG$608,COUNTIFS('Offers'!$B$7:$B$608,$B125,'Offers'!$C$7:$C$608,$C125,'Offers'!$AI$7:$AI$608,"yes")))</f>
        <v/>
      </c>
      <c r="L125" s="55" t="n"/>
      <c r="M125" s="55" t="n"/>
      <c r="N125" s="55" t="n"/>
      <c r="O125" s="2">
        <f>IF('Compare'!$E$5="Local prices",IF(F125="","",IF('Compare'!$C$5="Minimum",F125,IF('Compare'!$C$5="Maximum",H125,G125))),IF(I125="","",IF('Compare'!$C$5="Minimum",I125,IF('Compare'!$C$5="Maximum",K125,J125))))</f>
        <v/>
      </c>
    </row>
    <row r="126" ht="44" customHeight="1">
      <c r="A126" s="2" t="n"/>
      <c r="B126" s="27" t="inlineStr">
        <is>
          <t>GN 1/2 PP container, 150 mm</t>
        </is>
      </c>
      <c r="C126" s="27" t="inlineStr">
        <is>
          <t>Slovakia</t>
        </is>
      </c>
      <c r="D126" s="27" t="inlineStr">
        <is>
          <t>EUR</t>
        </is>
      </c>
      <c r="E126" s="27" t="inlineStr">
        <is>
          <t>Net per piece</t>
        </is>
      </c>
      <c r="F126" s="96">
        <f>IF(COUNTIFS('Offers'!$B$7:$B$608,$B126,'Offers'!$C$7:$C$608,$C126,'Offers'!$AH$7:$AH$608,"yes")=0,"",SUMIFS('Offers'!$H$7:$H$608,'Offers'!$B$7:$B$608,$B126,'Offers'!$C$7:$C$608,$C126,'Offers'!$AF$7:$AF$608,1))</f>
        <v/>
      </c>
      <c r="G126" s="96">
        <f>IF(COUNTIFS('Offers'!$B$7:$B$608,$B126,'Offers'!$C$7:$C$608,$C126,'Offers'!$AH$7:$AH$608,"yes")=0,"",(SUMIFS('Offers'!$H$7:$H$608,'Offers'!$B$7:$B$608,$B126,'Offers'!$C$7:$C$608,$C126,'Offers'!$AF$7:$AF$608,ROUNDUP(COUNTIFS('Offers'!$B$7:$B$608,$B126,'Offers'!$C$7:$C$608,$C126,'Offers'!$AH$7:$AH$608,"yes")/2,0))+SUMIFS('Offers'!$H$7:$H$608,'Offers'!$B$7:$B$608,$B126,'Offers'!$C$7:$C$608,$C126,'Offers'!$AF$7:$AF$608,INT(COUNTIFS('Offers'!$B$7:$B$608,$B126,'Offers'!$C$7:$C$608,$C126,'Offers'!$AH$7:$AH$608,"yes")/2)+1))/2)</f>
        <v/>
      </c>
      <c r="H126" s="96">
        <f>IF(COUNTIFS('Offers'!$B$7:$B$608,$B126,'Offers'!$C$7:$C$608,$C126,'Offers'!$AH$7:$AH$608,"yes")=0,"",SUMIFS('Offers'!$H$7:$H$608,'Offers'!$B$7:$B$608,$B126,'Offers'!$C$7:$C$608,$C126,'Offers'!$AF$7:$AF$608,COUNTIFS('Offers'!$B$7:$B$608,$B126,'Offers'!$C$7:$C$608,$C126,'Offers'!$AH$7:$AH$608,"yes")))</f>
        <v/>
      </c>
      <c r="I126" s="97">
        <f>IF(COUNTIFS('Offers'!$B$7:$B$608,$B126,'Offers'!$C$7:$C$608,$C126,'Offers'!$AI$7:$AI$608,"yes")=0,"",SUMIFS('Offers'!$I$7:$I$608,'Offers'!$B$7:$B$608,$B126,'Offers'!$C$7:$C$608,$C126,'Offers'!$AG$7:$AG$608,1))</f>
        <v/>
      </c>
      <c r="J126" s="97">
        <f>IF(COUNTIFS('Offers'!$B$7:$B$608,$B126,'Offers'!$C$7:$C$608,$C126,'Offers'!$AI$7:$AI$608,"yes")=0,"",(SUMIFS('Offers'!$I$7:$I$608,'Offers'!$B$7:$B$608,$B126,'Offers'!$C$7:$C$608,$C126,'Offers'!$AG$7:$AG$608,ROUNDUP(COUNTIFS('Offers'!$B$7:$B$608,$B126,'Offers'!$C$7:$C$608,$C126,'Offers'!$AI$7:$AI$608,"yes")/2,0))+SUMIFS('Offers'!$I$7:$I$608,'Offers'!$B$7:$B$608,$B126,'Offers'!$C$7:$C$608,$C126,'Offers'!$AG$7:$AG$608,INT(COUNTIFS('Offers'!$B$7:$B$608,$B126,'Offers'!$C$7:$C$608,$C126,'Offers'!$AI$7:$AI$608,"yes")/2)+1))/2)</f>
        <v/>
      </c>
      <c r="K126" s="97">
        <f>IF(COUNTIFS('Offers'!$B$7:$B$608,$B126,'Offers'!$C$7:$C$608,$C126,'Offers'!$AI$7:$AI$608,"yes")=0,"",SUMIFS('Offers'!$I$7:$I$608,'Offers'!$B$7:$B$608,$B126,'Offers'!$C$7:$C$608,$C126,'Offers'!$AG$7:$AG$608,COUNTIFS('Offers'!$B$7:$B$608,$B126,'Offers'!$C$7:$C$608,$C126,'Offers'!$AI$7:$AI$608,"yes")))</f>
        <v/>
      </c>
      <c r="L126" s="55" t="n"/>
      <c r="M126" s="55" t="n"/>
      <c r="N126" s="55" t="n"/>
      <c r="O126" s="19">
        <f>IF('Compare'!$E$5="Local prices",IF(F126="","",IF('Compare'!$C$5="Minimum",F126,IF('Compare'!$C$5="Maximum",H126,G126))),IF(I126="","",IF('Compare'!$C$5="Minimum",I126,IF('Compare'!$C$5="Maximum",K126,J126))))</f>
        <v/>
      </c>
    </row>
    <row r="127" ht="44" customHeight="1">
      <c r="A127" s="2" t="n"/>
      <c r="B127" s="24" t="inlineStr">
        <is>
          <t>GN 1/1 PC lid</t>
        </is>
      </c>
      <c r="C127" s="24" t="inlineStr">
        <is>
          <t>Hungary</t>
        </is>
      </c>
      <c r="D127" s="24" t="inlineStr">
        <is>
          <t>HUF</t>
        </is>
      </c>
      <c r="E127" s="24" t="inlineStr">
        <is>
          <t>Net per piece</t>
        </is>
      </c>
      <c r="F127" s="94">
        <f>IF(COUNTIFS('Offers'!$B$7:$B$608,$B127,'Offers'!$C$7:$C$608,$C127,'Offers'!$AH$7:$AH$608,"yes")=0,"",SUMIFS('Offers'!$H$7:$H$608,'Offers'!$B$7:$B$608,$B127,'Offers'!$C$7:$C$608,$C127,'Offers'!$AF$7:$AF$608,1))</f>
        <v/>
      </c>
      <c r="G127" s="94">
        <f>IF(COUNTIFS('Offers'!$B$7:$B$608,$B127,'Offers'!$C$7:$C$608,$C127,'Offers'!$AH$7:$AH$608,"yes")=0,"",(SUMIFS('Offers'!$H$7:$H$608,'Offers'!$B$7:$B$608,$B127,'Offers'!$C$7:$C$608,$C127,'Offers'!$AF$7:$AF$608,ROUNDUP(COUNTIFS('Offers'!$B$7:$B$608,$B127,'Offers'!$C$7:$C$608,$C127,'Offers'!$AH$7:$AH$608,"yes")/2,0))+SUMIFS('Offers'!$H$7:$H$608,'Offers'!$B$7:$B$608,$B127,'Offers'!$C$7:$C$608,$C127,'Offers'!$AF$7:$AF$608,INT(COUNTIFS('Offers'!$B$7:$B$608,$B127,'Offers'!$C$7:$C$608,$C127,'Offers'!$AH$7:$AH$608,"yes")/2)+1))/2)</f>
        <v/>
      </c>
      <c r="H127" s="94">
        <f>IF(COUNTIFS('Offers'!$B$7:$B$608,$B127,'Offers'!$C$7:$C$608,$C127,'Offers'!$AH$7:$AH$608,"yes")=0,"",SUMIFS('Offers'!$H$7:$H$608,'Offers'!$B$7:$B$608,$B127,'Offers'!$C$7:$C$608,$C127,'Offers'!$AF$7:$AF$608,COUNTIFS('Offers'!$B$7:$B$608,$B127,'Offers'!$C$7:$C$608,$C127,'Offers'!$AH$7:$AH$608,"yes")))</f>
        <v/>
      </c>
      <c r="I127" s="95">
        <f>IF(COUNTIFS('Offers'!$B$7:$B$608,$B127,'Offers'!$C$7:$C$608,$C127,'Offers'!$AI$7:$AI$608,"yes")=0,"",SUMIFS('Offers'!$I$7:$I$608,'Offers'!$B$7:$B$608,$B127,'Offers'!$C$7:$C$608,$C127,'Offers'!$AG$7:$AG$608,1))</f>
        <v/>
      </c>
      <c r="J127" s="95">
        <f>IF(COUNTIFS('Offers'!$B$7:$B$608,$B127,'Offers'!$C$7:$C$608,$C127,'Offers'!$AI$7:$AI$608,"yes")=0,"",(SUMIFS('Offers'!$I$7:$I$608,'Offers'!$B$7:$B$608,$B127,'Offers'!$C$7:$C$608,$C127,'Offers'!$AG$7:$AG$608,ROUNDUP(COUNTIFS('Offers'!$B$7:$B$608,$B127,'Offers'!$C$7:$C$608,$C127,'Offers'!$AI$7:$AI$608,"yes")/2,0))+SUMIFS('Offers'!$I$7:$I$608,'Offers'!$B$7:$B$608,$B127,'Offers'!$C$7:$C$608,$C127,'Offers'!$AG$7:$AG$608,INT(COUNTIFS('Offers'!$B$7:$B$608,$B127,'Offers'!$C$7:$C$608,$C127,'Offers'!$AI$7:$AI$608,"yes")/2)+1))/2)</f>
        <v/>
      </c>
      <c r="K127" s="95">
        <f>IF(COUNTIFS('Offers'!$B$7:$B$608,$B127,'Offers'!$C$7:$C$608,$C127,'Offers'!$AI$7:$AI$608,"yes")=0,"",SUMIFS('Offers'!$I$7:$I$608,'Offers'!$B$7:$B$608,$B127,'Offers'!$C$7:$C$608,$C127,'Offers'!$AG$7:$AG$608,COUNTIFS('Offers'!$B$7:$B$608,$B127,'Offers'!$C$7:$C$608,$C127,'Offers'!$AI$7:$AI$608,"yes")))</f>
        <v/>
      </c>
      <c r="L127" s="55" t="n"/>
      <c r="M127" s="55" t="n"/>
      <c r="N127" s="55" t="n"/>
      <c r="O127" s="2">
        <f>IF('Compare'!$E$5="Local prices",IF(F127="","",IF('Compare'!$C$5="Minimum",F127,IF('Compare'!$C$5="Maximum",H127,G127))),IF(I127="","",IF('Compare'!$C$5="Minimum",I127,IF('Compare'!$C$5="Maximum",K127,J127))))</f>
        <v/>
      </c>
    </row>
    <row r="128" ht="44" customHeight="1">
      <c r="A128" s="2" t="n"/>
      <c r="B128" s="27" t="inlineStr">
        <is>
          <t>GN 1/1 PC lid</t>
        </is>
      </c>
      <c r="C128" s="27" t="inlineStr">
        <is>
          <t>Romania</t>
        </is>
      </c>
      <c r="D128" s="27" t="inlineStr">
        <is>
          <t>RON</t>
        </is>
      </c>
      <c r="E128" s="27" t="inlineStr">
        <is>
          <t>Net per piece</t>
        </is>
      </c>
      <c r="F128" s="96">
        <f>IF(COUNTIFS('Offers'!$B$7:$B$608,$B128,'Offers'!$C$7:$C$608,$C128,'Offers'!$AH$7:$AH$608,"yes")=0,"",SUMIFS('Offers'!$H$7:$H$608,'Offers'!$B$7:$B$608,$B128,'Offers'!$C$7:$C$608,$C128,'Offers'!$AF$7:$AF$608,1))</f>
        <v/>
      </c>
      <c r="G128" s="96">
        <f>IF(COUNTIFS('Offers'!$B$7:$B$608,$B128,'Offers'!$C$7:$C$608,$C128,'Offers'!$AH$7:$AH$608,"yes")=0,"",(SUMIFS('Offers'!$H$7:$H$608,'Offers'!$B$7:$B$608,$B128,'Offers'!$C$7:$C$608,$C128,'Offers'!$AF$7:$AF$608,ROUNDUP(COUNTIFS('Offers'!$B$7:$B$608,$B128,'Offers'!$C$7:$C$608,$C128,'Offers'!$AH$7:$AH$608,"yes")/2,0))+SUMIFS('Offers'!$H$7:$H$608,'Offers'!$B$7:$B$608,$B128,'Offers'!$C$7:$C$608,$C128,'Offers'!$AF$7:$AF$608,INT(COUNTIFS('Offers'!$B$7:$B$608,$B128,'Offers'!$C$7:$C$608,$C128,'Offers'!$AH$7:$AH$608,"yes")/2)+1))/2)</f>
        <v/>
      </c>
      <c r="H128" s="96">
        <f>IF(COUNTIFS('Offers'!$B$7:$B$608,$B128,'Offers'!$C$7:$C$608,$C128,'Offers'!$AH$7:$AH$608,"yes")=0,"",SUMIFS('Offers'!$H$7:$H$608,'Offers'!$B$7:$B$608,$B128,'Offers'!$C$7:$C$608,$C128,'Offers'!$AF$7:$AF$608,COUNTIFS('Offers'!$B$7:$B$608,$B128,'Offers'!$C$7:$C$608,$C128,'Offers'!$AH$7:$AH$608,"yes")))</f>
        <v/>
      </c>
      <c r="I128" s="97">
        <f>IF(COUNTIFS('Offers'!$B$7:$B$608,$B128,'Offers'!$C$7:$C$608,$C128,'Offers'!$AI$7:$AI$608,"yes")=0,"",SUMIFS('Offers'!$I$7:$I$608,'Offers'!$B$7:$B$608,$B128,'Offers'!$C$7:$C$608,$C128,'Offers'!$AG$7:$AG$608,1))</f>
        <v/>
      </c>
      <c r="J128" s="97">
        <f>IF(COUNTIFS('Offers'!$B$7:$B$608,$B128,'Offers'!$C$7:$C$608,$C128,'Offers'!$AI$7:$AI$608,"yes")=0,"",(SUMIFS('Offers'!$I$7:$I$608,'Offers'!$B$7:$B$608,$B128,'Offers'!$C$7:$C$608,$C128,'Offers'!$AG$7:$AG$608,ROUNDUP(COUNTIFS('Offers'!$B$7:$B$608,$B128,'Offers'!$C$7:$C$608,$C128,'Offers'!$AI$7:$AI$608,"yes")/2,0))+SUMIFS('Offers'!$I$7:$I$608,'Offers'!$B$7:$B$608,$B128,'Offers'!$C$7:$C$608,$C128,'Offers'!$AG$7:$AG$608,INT(COUNTIFS('Offers'!$B$7:$B$608,$B128,'Offers'!$C$7:$C$608,$C128,'Offers'!$AI$7:$AI$608,"yes")/2)+1))/2)</f>
        <v/>
      </c>
      <c r="K128" s="97">
        <f>IF(COUNTIFS('Offers'!$B$7:$B$608,$B128,'Offers'!$C$7:$C$608,$C128,'Offers'!$AI$7:$AI$608,"yes")=0,"",SUMIFS('Offers'!$I$7:$I$608,'Offers'!$B$7:$B$608,$B128,'Offers'!$C$7:$C$608,$C128,'Offers'!$AG$7:$AG$608,COUNTIFS('Offers'!$B$7:$B$608,$B128,'Offers'!$C$7:$C$608,$C128,'Offers'!$AI$7:$AI$608,"yes")))</f>
        <v/>
      </c>
      <c r="L128" s="55" t="n"/>
      <c r="M128" s="55" t="n"/>
      <c r="N128" s="55" t="n"/>
      <c r="O128" s="19">
        <f>IF('Compare'!$E$5="Local prices",IF(F128="","",IF('Compare'!$C$5="Minimum",F128,IF('Compare'!$C$5="Maximum",H128,G128))),IF(I128="","",IF('Compare'!$C$5="Minimum",I128,IF('Compare'!$C$5="Maximum",K128,J128))))</f>
        <v/>
      </c>
    </row>
    <row r="129" ht="44" customHeight="1">
      <c r="A129" s="2" t="n"/>
      <c r="B129" s="24" t="inlineStr">
        <is>
          <t>GN 1/1 PC lid</t>
        </is>
      </c>
      <c r="C129" s="24" t="inlineStr">
        <is>
          <t>Austria</t>
        </is>
      </c>
      <c r="D129" s="24" t="inlineStr">
        <is>
          <t>EUR</t>
        </is>
      </c>
      <c r="E129" s="24" t="inlineStr">
        <is>
          <t>Net per piece</t>
        </is>
      </c>
      <c r="F129" s="94">
        <f>IF(COUNTIFS('Offers'!$B$7:$B$608,$B129,'Offers'!$C$7:$C$608,$C129,'Offers'!$AH$7:$AH$608,"yes")=0,"",SUMIFS('Offers'!$H$7:$H$608,'Offers'!$B$7:$B$608,$B129,'Offers'!$C$7:$C$608,$C129,'Offers'!$AF$7:$AF$608,1))</f>
        <v/>
      </c>
      <c r="G129" s="94">
        <f>IF(COUNTIFS('Offers'!$B$7:$B$608,$B129,'Offers'!$C$7:$C$608,$C129,'Offers'!$AH$7:$AH$608,"yes")=0,"",(SUMIFS('Offers'!$H$7:$H$608,'Offers'!$B$7:$B$608,$B129,'Offers'!$C$7:$C$608,$C129,'Offers'!$AF$7:$AF$608,ROUNDUP(COUNTIFS('Offers'!$B$7:$B$608,$B129,'Offers'!$C$7:$C$608,$C129,'Offers'!$AH$7:$AH$608,"yes")/2,0))+SUMIFS('Offers'!$H$7:$H$608,'Offers'!$B$7:$B$608,$B129,'Offers'!$C$7:$C$608,$C129,'Offers'!$AF$7:$AF$608,INT(COUNTIFS('Offers'!$B$7:$B$608,$B129,'Offers'!$C$7:$C$608,$C129,'Offers'!$AH$7:$AH$608,"yes")/2)+1))/2)</f>
        <v/>
      </c>
      <c r="H129" s="94">
        <f>IF(COUNTIFS('Offers'!$B$7:$B$608,$B129,'Offers'!$C$7:$C$608,$C129,'Offers'!$AH$7:$AH$608,"yes")=0,"",SUMIFS('Offers'!$H$7:$H$608,'Offers'!$B$7:$B$608,$B129,'Offers'!$C$7:$C$608,$C129,'Offers'!$AF$7:$AF$608,COUNTIFS('Offers'!$B$7:$B$608,$B129,'Offers'!$C$7:$C$608,$C129,'Offers'!$AH$7:$AH$608,"yes")))</f>
        <v/>
      </c>
      <c r="I129" s="95">
        <f>IF(COUNTIFS('Offers'!$B$7:$B$608,$B129,'Offers'!$C$7:$C$608,$C129,'Offers'!$AI$7:$AI$608,"yes")=0,"",SUMIFS('Offers'!$I$7:$I$608,'Offers'!$B$7:$B$608,$B129,'Offers'!$C$7:$C$608,$C129,'Offers'!$AG$7:$AG$608,1))</f>
        <v/>
      </c>
      <c r="J129" s="95">
        <f>IF(COUNTIFS('Offers'!$B$7:$B$608,$B129,'Offers'!$C$7:$C$608,$C129,'Offers'!$AI$7:$AI$608,"yes")=0,"",(SUMIFS('Offers'!$I$7:$I$608,'Offers'!$B$7:$B$608,$B129,'Offers'!$C$7:$C$608,$C129,'Offers'!$AG$7:$AG$608,ROUNDUP(COUNTIFS('Offers'!$B$7:$B$608,$B129,'Offers'!$C$7:$C$608,$C129,'Offers'!$AI$7:$AI$608,"yes")/2,0))+SUMIFS('Offers'!$I$7:$I$608,'Offers'!$B$7:$B$608,$B129,'Offers'!$C$7:$C$608,$C129,'Offers'!$AG$7:$AG$608,INT(COUNTIFS('Offers'!$B$7:$B$608,$B129,'Offers'!$C$7:$C$608,$C129,'Offers'!$AI$7:$AI$608,"yes")/2)+1))/2)</f>
        <v/>
      </c>
      <c r="K129" s="95">
        <f>IF(COUNTIFS('Offers'!$B$7:$B$608,$B129,'Offers'!$C$7:$C$608,$C129,'Offers'!$AI$7:$AI$608,"yes")=0,"",SUMIFS('Offers'!$I$7:$I$608,'Offers'!$B$7:$B$608,$B129,'Offers'!$C$7:$C$608,$C129,'Offers'!$AG$7:$AG$608,COUNTIFS('Offers'!$B$7:$B$608,$B129,'Offers'!$C$7:$C$608,$C129,'Offers'!$AI$7:$AI$608,"yes")))</f>
        <v/>
      </c>
      <c r="L129" s="55" t="n"/>
      <c r="M129" s="55" t="n"/>
      <c r="N129" s="55" t="n"/>
      <c r="O129" s="2">
        <f>IF('Compare'!$E$5="Local prices",IF(F129="","",IF('Compare'!$C$5="Minimum",F129,IF('Compare'!$C$5="Maximum",H129,G129))),IF(I129="","",IF('Compare'!$C$5="Minimum",I129,IF('Compare'!$C$5="Maximum",K129,J129))))</f>
        <v/>
      </c>
    </row>
    <row r="130" ht="44" customHeight="1">
      <c r="A130" s="2" t="n"/>
      <c r="B130" s="27" t="inlineStr">
        <is>
          <t>GN 1/1 PC lid</t>
        </is>
      </c>
      <c r="C130" s="27" t="inlineStr">
        <is>
          <t>Germany</t>
        </is>
      </c>
      <c r="D130" s="27" t="inlineStr">
        <is>
          <t>EUR</t>
        </is>
      </c>
      <c r="E130" s="27" t="inlineStr">
        <is>
          <t>Net per piece</t>
        </is>
      </c>
      <c r="F130" s="96">
        <f>IF(COUNTIFS('Offers'!$B$7:$B$608,$B130,'Offers'!$C$7:$C$608,$C130,'Offers'!$AH$7:$AH$608,"yes")=0,"",SUMIFS('Offers'!$H$7:$H$608,'Offers'!$B$7:$B$608,$B130,'Offers'!$C$7:$C$608,$C130,'Offers'!$AF$7:$AF$608,1))</f>
        <v/>
      </c>
      <c r="G130" s="96">
        <f>IF(COUNTIFS('Offers'!$B$7:$B$608,$B130,'Offers'!$C$7:$C$608,$C130,'Offers'!$AH$7:$AH$608,"yes")=0,"",(SUMIFS('Offers'!$H$7:$H$608,'Offers'!$B$7:$B$608,$B130,'Offers'!$C$7:$C$608,$C130,'Offers'!$AF$7:$AF$608,ROUNDUP(COUNTIFS('Offers'!$B$7:$B$608,$B130,'Offers'!$C$7:$C$608,$C130,'Offers'!$AH$7:$AH$608,"yes")/2,0))+SUMIFS('Offers'!$H$7:$H$608,'Offers'!$B$7:$B$608,$B130,'Offers'!$C$7:$C$608,$C130,'Offers'!$AF$7:$AF$608,INT(COUNTIFS('Offers'!$B$7:$B$608,$B130,'Offers'!$C$7:$C$608,$C130,'Offers'!$AH$7:$AH$608,"yes")/2)+1))/2)</f>
        <v/>
      </c>
      <c r="H130" s="96">
        <f>IF(COUNTIFS('Offers'!$B$7:$B$608,$B130,'Offers'!$C$7:$C$608,$C130,'Offers'!$AH$7:$AH$608,"yes")=0,"",SUMIFS('Offers'!$H$7:$H$608,'Offers'!$B$7:$B$608,$B130,'Offers'!$C$7:$C$608,$C130,'Offers'!$AF$7:$AF$608,COUNTIFS('Offers'!$B$7:$B$608,$B130,'Offers'!$C$7:$C$608,$C130,'Offers'!$AH$7:$AH$608,"yes")))</f>
        <v/>
      </c>
      <c r="I130" s="97">
        <f>IF(COUNTIFS('Offers'!$B$7:$B$608,$B130,'Offers'!$C$7:$C$608,$C130,'Offers'!$AI$7:$AI$608,"yes")=0,"",SUMIFS('Offers'!$I$7:$I$608,'Offers'!$B$7:$B$608,$B130,'Offers'!$C$7:$C$608,$C130,'Offers'!$AG$7:$AG$608,1))</f>
        <v/>
      </c>
      <c r="J130" s="97">
        <f>IF(COUNTIFS('Offers'!$B$7:$B$608,$B130,'Offers'!$C$7:$C$608,$C130,'Offers'!$AI$7:$AI$608,"yes")=0,"",(SUMIFS('Offers'!$I$7:$I$608,'Offers'!$B$7:$B$608,$B130,'Offers'!$C$7:$C$608,$C130,'Offers'!$AG$7:$AG$608,ROUNDUP(COUNTIFS('Offers'!$B$7:$B$608,$B130,'Offers'!$C$7:$C$608,$C130,'Offers'!$AI$7:$AI$608,"yes")/2,0))+SUMIFS('Offers'!$I$7:$I$608,'Offers'!$B$7:$B$608,$B130,'Offers'!$C$7:$C$608,$C130,'Offers'!$AG$7:$AG$608,INT(COUNTIFS('Offers'!$B$7:$B$608,$B130,'Offers'!$C$7:$C$608,$C130,'Offers'!$AI$7:$AI$608,"yes")/2)+1))/2)</f>
        <v/>
      </c>
      <c r="K130" s="97">
        <f>IF(COUNTIFS('Offers'!$B$7:$B$608,$B130,'Offers'!$C$7:$C$608,$C130,'Offers'!$AI$7:$AI$608,"yes")=0,"",SUMIFS('Offers'!$I$7:$I$608,'Offers'!$B$7:$B$608,$B130,'Offers'!$C$7:$C$608,$C130,'Offers'!$AG$7:$AG$608,COUNTIFS('Offers'!$B$7:$B$608,$B130,'Offers'!$C$7:$C$608,$C130,'Offers'!$AI$7:$AI$608,"yes")))</f>
        <v/>
      </c>
      <c r="L130" s="55" t="n"/>
      <c r="M130" s="55" t="n"/>
      <c r="N130" s="55" t="n"/>
      <c r="O130" s="19">
        <f>IF('Compare'!$E$5="Local prices",IF(F130="","",IF('Compare'!$C$5="Minimum",F130,IF('Compare'!$C$5="Maximum",H130,G130))),IF(I130="","",IF('Compare'!$C$5="Minimum",I130,IF('Compare'!$C$5="Maximum",K130,J130))))</f>
        <v/>
      </c>
    </row>
    <row r="131" ht="44" customHeight="1">
      <c r="A131" s="2" t="n"/>
      <c r="B131" s="24" t="inlineStr">
        <is>
          <t>GN 1/1 PC lid</t>
        </is>
      </c>
      <c r="C131" s="24" t="inlineStr">
        <is>
          <t>Czech</t>
        </is>
      </c>
      <c r="D131" s="24" t="inlineStr">
        <is>
          <t>CZK</t>
        </is>
      </c>
      <c r="E131" s="24" t="inlineStr">
        <is>
          <t>Net per piece</t>
        </is>
      </c>
      <c r="F131" s="94">
        <f>IF(COUNTIFS('Offers'!$B$7:$B$608,$B131,'Offers'!$C$7:$C$608,$C131,'Offers'!$AH$7:$AH$608,"yes")=0,"",SUMIFS('Offers'!$H$7:$H$608,'Offers'!$B$7:$B$608,$B131,'Offers'!$C$7:$C$608,$C131,'Offers'!$AF$7:$AF$608,1))</f>
        <v/>
      </c>
      <c r="G131" s="94">
        <f>IF(COUNTIFS('Offers'!$B$7:$B$608,$B131,'Offers'!$C$7:$C$608,$C131,'Offers'!$AH$7:$AH$608,"yes")=0,"",(SUMIFS('Offers'!$H$7:$H$608,'Offers'!$B$7:$B$608,$B131,'Offers'!$C$7:$C$608,$C131,'Offers'!$AF$7:$AF$608,ROUNDUP(COUNTIFS('Offers'!$B$7:$B$608,$B131,'Offers'!$C$7:$C$608,$C131,'Offers'!$AH$7:$AH$608,"yes")/2,0))+SUMIFS('Offers'!$H$7:$H$608,'Offers'!$B$7:$B$608,$B131,'Offers'!$C$7:$C$608,$C131,'Offers'!$AF$7:$AF$608,INT(COUNTIFS('Offers'!$B$7:$B$608,$B131,'Offers'!$C$7:$C$608,$C131,'Offers'!$AH$7:$AH$608,"yes")/2)+1))/2)</f>
        <v/>
      </c>
      <c r="H131" s="94">
        <f>IF(COUNTIFS('Offers'!$B$7:$B$608,$B131,'Offers'!$C$7:$C$608,$C131,'Offers'!$AH$7:$AH$608,"yes")=0,"",SUMIFS('Offers'!$H$7:$H$608,'Offers'!$B$7:$B$608,$B131,'Offers'!$C$7:$C$608,$C131,'Offers'!$AF$7:$AF$608,COUNTIFS('Offers'!$B$7:$B$608,$B131,'Offers'!$C$7:$C$608,$C131,'Offers'!$AH$7:$AH$608,"yes")))</f>
        <v/>
      </c>
      <c r="I131" s="95">
        <f>IF(COUNTIFS('Offers'!$B$7:$B$608,$B131,'Offers'!$C$7:$C$608,$C131,'Offers'!$AI$7:$AI$608,"yes")=0,"",SUMIFS('Offers'!$I$7:$I$608,'Offers'!$B$7:$B$608,$B131,'Offers'!$C$7:$C$608,$C131,'Offers'!$AG$7:$AG$608,1))</f>
        <v/>
      </c>
      <c r="J131" s="95">
        <f>IF(COUNTIFS('Offers'!$B$7:$B$608,$B131,'Offers'!$C$7:$C$608,$C131,'Offers'!$AI$7:$AI$608,"yes")=0,"",(SUMIFS('Offers'!$I$7:$I$608,'Offers'!$B$7:$B$608,$B131,'Offers'!$C$7:$C$608,$C131,'Offers'!$AG$7:$AG$608,ROUNDUP(COUNTIFS('Offers'!$B$7:$B$608,$B131,'Offers'!$C$7:$C$608,$C131,'Offers'!$AI$7:$AI$608,"yes")/2,0))+SUMIFS('Offers'!$I$7:$I$608,'Offers'!$B$7:$B$608,$B131,'Offers'!$C$7:$C$608,$C131,'Offers'!$AG$7:$AG$608,INT(COUNTIFS('Offers'!$B$7:$B$608,$B131,'Offers'!$C$7:$C$608,$C131,'Offers'!$AI$7:$AI$608,"yes")/2)+1))/2)</f>
        <v/>
      </c>
      <c r="K131" s="95">
        <f>IF(COUNTIFS('Offers'!$B$7:$B$608,$B131,'Offers'!$C$7:$C$608,$C131,'Offers'!$AI$7:$AI$608,"yes")=0,"",SUMIFS('Offers'!$I$7:$I$608,'Offers'!$B$7:$B$608,$B131,'Offers'!$C$7:$C$608,$C131,'Offers'!$AG$7:$AG$608,COUNTIFS('Offers'!$B$7:$B$608,$B131,'Offers'!$C$7:$C$608,$C131,'Offers'!$AI$7:$AI$608,"yes")))</f>
        <v/>
      </c>
      <c r="L131" s="55" t="n"/>
      <c r="M131" s="55" t="n"/>
      <c r="N131" s="55" t="n"/>
      <c r="O131" s="2">
        <f>IF('Compare'!$E$5="Local prices",IF(F131="","",IF('Compare'!$C$5="Minimum",F131,IF('Compare'!$C$5="Maximum",H131,G131))),IF(I131="","",IF('Compare'!$C$5="Minimum",I131,IF('Compare'!$C$5="Maximum",K131,J131))))</f>
        <v/>
      </c>
    </row>
    <row r="132" ht="44" customHeight="1">
      <c r="A132" s="2" t="n"/>
      <c r="B132" s="27" t="inlineStr">
        <is>
          <t>GN 1/1 PC lid</t>
        </is>
      </c>
      <c r="C132" s="27" t="inlineStr">
        <is>
          <t>Slovakia</t>
        </is>
      </c>
      <c r="D132" s="27" t="inlineStr">
        <is>
          <t>EUR</t>
        </is>
      </c>
      <c r="E132" s="27" t="inlineStr">
        <is>
          <t>Net per piece</t>
        </is>
      </c>
      <c r="F132" s="96">
        <f>IF(COUNTIFS('Offers'!$B$7:$B$608,$B132,'Offers'!$C$7:$C$608,$C132,'Offers'!$AH$7:$AH$608,"yes")=0,"",SUMIFS('Offers'!$H$7:$H$608,'Offers'!$B$7:$B$608,$B132,'Offers'!$C$7:$C$608,$C132,'Offers'!$AF$7:$AF$608,1))</f>
        <v/>
      </c>
      <c r="G132" s="96">
        <f>IF(COUNTIFS('Offers'!$B$7:$B$608,$B132,'Offers'!$C$7:$C$608,$C132,'Offers'!$AH$7:$AH$608,"yes")=0,"",(SUMIFS('Offers'!$H$7:$H$608,'Offers'!$B$7:$B$608,$B132,'Offers'!$C$7:$C$608,$C132,'Offers'!$AF$7:$AF$608,ROUNDUP(COUNTIFS('Offers'!$B$7:$B$608,$B132,'Offers'!$C$7:$C$608,$C132,'Offers'!$AH$7:$AH$608,"yes")/2,0))+SUMIFS('Offers'!$H$7:$H$608,'Offers'!$B$7:$B$608,$B132,'Offers'!$C$7:$C$608,$C132,'Offers'!$AF$7:$AF$608,INT(COUNTIFS('Offers'!$B$7:$B$608,$B132,'Offers'!$C$7:$C$608,$C132,'Offers'!$AH$7:$AH$608,"yes")/2)+1))/2)</f>
        <v/>
      </c>
      <c r="H132" s="96">
        <f>IF(COUNTIFS('Offers'!$B$7:$B$608,$B132,'Offers'!$C$7:$C$608,$C132,'Offers'!$AH$7:$AH$608,"yes")=0,"",SUMIFS('Offers'!$H$7:$H$608,'Offers'!$B$7:$B$608,$B132,'Offers'!$C$7:$C$608,$C132,'Offers'!$AF$7:$AF$608,COUNTIFS('Offers'!$B$7:$B$608,$B132,'Offers'!$C$7:$C$608,$C132,'Offers'!$AH$7:$AH$608,"yes")))</f>
        <v/>
      </c>
      <c r="I132" s="97">
        <f>IF(COUNTIFS('Offers'!$B$7:$B$608,$B132,'Offers'!$C$7:$C$608,$C132,'Offers'!$AI$7:$AI$608,"yes")=0,"",SUMIFS('Offers'!$I$7:$I$608,'Offers'!$B$7:$B$608,$B132,'Offers'!$C$7:$C$608,$C132,'Offers'!$AG$7:$AG$608,1))</f>
        <v/>
      </c>
      <c r="J132" s="97">
        <f>IF(COUNTIFS('Offers'!$B$7:$B$608,$B132,'Offers'!$C$7:$C$608,$C132,'Offers'!$AI$7:$AI$608,"yes")=0,"",(SUMIFS('Offers'!$I$7:$I$608,'Offers'!$B$7:$B$608,$B132,'Offers'!$C$7:$C$608,$C132,'Offers'!$AG$7:$AG$608,ROUNDUP(COUNTIFS('Offers'!$B$7:$B$608,$B132,'Offers'!$C$7:$C$608,$C132,'Offers'!$AI$7:$AI$608,"yes")/2,0))+SUMIFS('Offers'!$I$7:$I$608,'Offers'!$B$7:$B$608,$B132,'Offers'!$C$7:$C$608,$C132,'Offers'!$AG$7:$AG$608,INT(COUNTIFS('Offers'!$B$7:$B$608,$B132,'Offers'!$C$7:$C$608,$C132,'Offers'!$AI$7:$AI$608,"yes")/2)+1))/2)</f>
        <v/>
      </c>
      <c r="K132" s="97">
        <f>IF(COUNTIFS('Offers'!$B$7:$B$608,$B132,'Offers'!$C$7:$C$608,$C132,'Offers'!$AI$7:$AI$608,"yes")=0,"",SUMIFS('Offers'!$I$7:$I$608,'Offers'!$B$7:$B$608,$B132,'Offers'!$C$7:$C$608,$C132,'Offers'!$AG$7:$AG$608,COUNTIFS('Offers'!$B$7:$B$608,$B132,'Offers'!$C$7:$C$608,$C132,'Offers'!$AI$7:$AI$608,"yes")))</f>
        <v/>
      </c>
      <c r="L132" s="55" t="n"/>
      <c r="M132" s="55" t="n"/>
      <c r="N132" s="55" t="n"/>
      <c r="O132" s="19">
        <f>IF('Compare'!$E$5="Local prices",IF(F132="","",IF('Compare'!$C$5="Minimum",F132,IF('Compare'!$C$5="Maximum",H132,G132))),IF(I132="","",IF('Compare'!$C$5="Minimum",I132,IF('Compare'!$C$5="Maximum",K132,J132))))</f>
        <v/>
      </c>
    </row>
    <row r="133" ht="44" customHeight="1">
      <c r="A133" s="2" t="n"/>
      <c r="B133" s="24" t="inlineStr">
        <is>
          <t>GN 1/6 PP container, 100 mm</t>
        </is>
      </c>
      <c r="C133" s="24" t="inlineStr">
        <is>
          <t>Hungary</t>
        </is>
      </c>
      <c r="D133" s="24" t="inlineStr">
        <is>
          <t>HUF</t>
        </is>
      </c>
      <c r="E133" s="24" t="inlineStr">
        <is>
          <t>Net per piece</t>
        </is>
      </c>
      <c r="F133" s="94">
        <f>IF(COUNTIFS('Offers'!$B$7:$B$608,$B133,'Offers'!$C$7:$C$608,$C133,'Offers'!$AH$7:$AH$608,"yes")=0,"",SUMIFS('Offers'!$H$7:$H$608,'Offers'!$B$7:$B$608,$B133,'Offers'!$C$7:$C$608,$C133,'Offers'!$AF$7:$AF$608,1))</f>
        <v/>
      </c>
      <c r="G133" s="94">
        <f>IF(COUNTIFS('Offers'!$B$7:$B$608,$B133,'Offers'!$C$7:$C$608,$C133,'Offers'!$AH$7:$AH$608,"yes")=0,"",(SUMIFS('Offers'!$H$7:$H$608,'Offers'!$B$7:$B$608,$B133,'Offers'!$C$7:$C$608,$C133,'Offers'!$AF$7:$AF$608,ROUNDUP(COUNTIFS('Offers'!$B$7:$B$608,$B133,'Offers'!$C$7:$C$608,$C133,'Offers'!$AH$7:$AH$608,"yes")/2,0))+SUMIFS('Offers'!$H$7:$H$608,'Offers'!$B$7:$B$608,$B133,'Offers'!$C$7:$C$608,$C133,'Offers'!$AF$7:$AF$608,INT(COUNTIFS('Offers'!$B$7:$B$608,$B133,'Offers'!$C$7:$C$608,$C133,'Offers'!$AH$7:$AH$608,"yes")/2)+1))/2)</f>
        <v/>
      </c>
      <c r="H133" s="94">
        <f>IF(COUNTIFS('Offers'!$B$7:$B$608,$B133,'Offers'!$C$7:$C$608,$C133,'Offers'!$AH$7:$AH$608,"yes")=0,"",SUMIFS('Offers'!$H$7:$H$608,'Offers'!$B$7:$B$608,$B133,'Offers'!$C$7:$C$608,$C133,'Offers'!$AF$7:$AF$608,COUNTIFS('Offers'!$B$7:$B$608,$B133,'Offers'!$C$7:$C$608,$C133,'Offers'!$AH$7:$AH$608,"yes")))</f>
        <v/>
      </c>
      <c r="I133" s="95">
        <f>IF(COUNTIFS('Offers'!$B$7:$B$608,$B133,'Offers'!$C$7:$C$608,$C133,'Offers'!$AI$7:$AI$608,"yes")=0,"",SUMIFS('Offers'!$I$7:$I$608,'Offers'!$B$7:$B$608,$B133,'Offers'!$C$7:$C$608,$C133,'Offers'!$AG$7:$AG$608,1))</f>
        <v/>
      </c>
      <c r="J133" s="95">
        <f>IF(COUNTIFS('Offers'!$B$7:$B$608,$B133,'Offers'!$C$7:$C$608,$C133,'Offers'!$AI$7:$AI$608,"yes")=0,"",(SUMIFS('Offers'!$I$7:$I$608,'Offers'!$B$7:$B$608,$B133,'Offers'!$C$7:$C$608,$C133,'Offers'!$AG$7:$AG$608,ROUNDUP(COUNTIFS('Offers'!$B$7:$B$608,$B133,'Offers'!$C$7:$C$608,$C133,'Offers'!$AI$7:$AI$608,"yes")/2,0))+SUMIFS('Offers'!$I$7:$I$608,'Offers'!$B$7:$B$608,$B133,'Offers'!$C$7:$C$608,$C133,'Offers'!$AG$7:$AG$608,INT(COUNTIFS('Offers'!$B$7:$B$608,$B133,'Offers'!$C$7:$C$608,$C133,'Offers'!$AI$7:$AI$608,"yes")/2)+1))/2)</f>
        <v/>
      </c>
      <c r="K133" s="95">
        <f>IF(COUNTIFS('Offers'!$B$7:$B$608,$B133,'Offers'!$C$7:$C$608,$C133,'Offers'!$AI$7:$AI$608,"yes")=0,"",SUMIFS('Offers'!$I$7:$I$608,'Offers'!$B$7:$B$608,$B133,'Offers'!$C$7:$C$608,$C133,'Offers'!$AG$7:$AG$608,COUNTIFS('Offers'!$B$7:$B$608,$B133,'Offers'!$C$7:$C$608,$C133,'Offers'!$AI$7:$AI$608,"yes")))</f>
        <v/>
      </c>
      <c r="L133" s="55" t="n"/>
      <c r="M133" s="55" t="n"/>
      <c r="N133" s="55" t="n"/>
      <c r="O133" s="2">
        <f>IF('Compare'!$E$5="Local prices",IF(F133="","",IF('Compare'!$C$5="Minimum",F133,IF('Compare'!$C$5="Maximum",H133,G133))),IF(I133="","",IF('Compare'!$C$5="Minimum",I133,IF('Compare'!$C$5="Maximum",K133,J133))))</f>
        <v/>
      </c>
    </row>
    <row r="134" ht="44" customHeight="1">
      <c r="A134" s="2" t="n"/>
      <c r="B134" s="27" t="inlineStr">
        <is>
          <t>GN 1/6 PP container, 100 mm</t>
        </is>
      </c>
      <c r="C134" s="27" t="inlineStr">
        <is>
          <t>Romania</t>
        </is>
      </c>
      <c r="D134" s="27" t="inlineStr">
        <is>
          <t>RON</t>
        </is>
      </c>
      <c r="E134" s="27" t="inlineStr">
        <is>
          <t>Net per piece</t>
        </is>
      </c>
      <c r="F134" s="96">
        <f>IF(COUNTIFS('Offers'!$B$7:$B$608,$B134,'Offers'!$C$7:$C$608,$C134,'Offers'!$AH$7:$AH$608,"yes")=0,"",SUMIFS('Offers'!$H$7:$H$608,'Offers'!$B$7:$B$608,$B134,'Offers'!$C$7:$C$608,$C134,'Offers'!$AF$7:$AF$608,1))</f>
        <v/>
      </c>
      <c r="G134" s="96">
        <f>IF(COUNTIFS('Offers'!$B$7:$B$608,$B134,'Offers'!$C$7:$C$608,$C134,'Offers'!$AH$7:$AH$608,"yes")=0,"",(SUMIFS('Offers'!$H$7:$H$608,'Offers'!$B$7:$B$608,$B134,'Offers'!$C$7:$C$608,$C134,'Offers'!$AF$7:$AF$608,ROUNDUP(COUNTIFS('Offers'!$B$7:$B$608,$B134,'Offers'!$C$7:$C$608,$C134,'Offers'!$AH$7:$AH$608,"yes")/2,0))+SUMIFS('Offers'!$H$7:$H$608,'Offers'!$B$7:$B$608,$B134,'Offers'!$C$7:$C$608,$C134,'Offers'!$AF$7:$AF$608,INT(COUNTIFS('Offers'!$B$7:$B$608,$B134,'Offers'!$C$7:$C$608,$C134,'Offers'!$AH$7:$AH$608,"yes")/2)+1))/2)</f>
        <v/>
      </c>
      <c r="H134" s="96">
        <f>IF(COUNTIFS('Offers'!$B$7:$B$608,$B134,'Offers'!$C$7:$C$608,$C134,'Offers'!$AH$7:$AH$608,"yes")=0,"",SUMIFS('Offers'!$H$7:$H$608,'Offers'!$B$7:$B$608,$B134,'Offers'!$C$7:$C$608,$C134,'Offers'!$AF$7:$AF$608,COUNTIFS('Offers'!$B$7:$B$608,$B134,'Offers'!$C$7:$C$608,$C134,'Offers'!$AH$7:$AH$608,"yes")))</f>
        <v/>
      </c>
      <c r="I134" s="97">
        <f>IF(COUNTIFS('Offers'!$B$7:$B$608,$B134,'Offers'!$C$7:$C$608,$C134,'Offers'!$AI$7:$AI$608,"yes")=0,"",SUMIFS('Offers'!$I$7:$I$608,'Offers'!$B$7:$B$608,$B134,'Offers'!$C$7:$C$608,$C134,'Offers'!$AG$7:$AG$608,1))</f>
        <v/>
      </c>
      <c r="J134" s="97">
        <f>IF(COUNTIFS('Offers'!$B$7:$B$608,$B134,'Offers'!$C$7:$C$608,$C134,'Offers'!$AI$7:$AI$608,"yes")=0,"",(SUMIFS('Offers'!$I$7:$I$608,'Offers'!$B$7:$B$608,$B134,'Offers'!$C$7:$C$608,$C134,'Offers'!$AG$7:$AG$608,ROUNDUP(COUNTIFS('Offers'!$B$7:$B$608,$B134,'Offers'!$C$7:$C$608,$C134,'Offers'!$AI$7:$AI$608,"yes")/2,0))+SUMIFS('Offers'!$I$7:$I$608,'Offers'!$B$7:$B$608,$B134,'Offers'!$C$7:$C$608,$C134,'Offers'!$AG$7:$AG$608,INT(COUNTIFS('Offers'!$B$7:$B$608,$B134,'Offers'!$C$7:$C$608,$C134,'Offers'!$AI$7:$AI$608,"yes")/2)+1))/2)</f>
        <v/>
      </c>
      <c r="K134" s="97">
        <f>IF(COUNTIFS('Offers'!$B$7:$B$608,$B134,'Offers'!$C$7:$C$608,$C134,'Offers'!$AI$7:$AI$608,"yes")=0,"",SUMIFS('Offers'!$I$7:$I$608,'Offers'!$B$7:$B$608,$B134,'Offers'!$C$7:$C$608,$C134,'Offers'!$AG$7:$AG$608,COUNTIFS('Offers'!$B$7:$B$608,$B134,'Offers'!$C$7:$C$608,$C134,'Offers'!$AI$7:$AI$608,"yes")))</f>
        <v/>
      </c>
      <c r="L134" s="55" t="n"/>
      <c r="M134" s="55" t="n"/>
      <c r="N134" s="55" t="n"/>
      <c r="O134" s="19">
        <f>IF('Compare'!$E$5="Local prices",IF(F134="","",IF('Compare'!$C$5="Minimum",F134,IF('Compare'!$C$5="Maximum",H134,G134))),IF(I134="","",IF('Compare'!$C$5="Minimum",I134,IF('Compare'!$C$5="Maximum",K134,J134))))</f>
        <v/>
      </c>
    </row>
    <row r="135" ht="44" customHeight="1">
      <c r="A135" s="2" t="n"/>
      <c r="B135" s="24" t="inlineStr">
        <is>
          <t>GN 1/6 PP container, 100 mm</t>
        </is>
      </c>
      <c r="C135" s="24" t="inlineStr">
        <is>
          <t>Austria</t>
        </is>
      </c>
      <c r="D135" s="24" t="inlineStr">
        <is>
          <t>EUR</t>
        </is>
      </c>
      <c r="E135" s="24" t="inlineStr">
        <is>
          <t>Net per piece</t>
        </is>
      </c>
      <c r="F135" s="94">
        <f>IF(COUNTIFS('Offers'!$B$7:$B$608,$B135,'Offers'!$C$7:$C$608,$C135,'Offers'!$AH$7:$AH$608,"yes")=0,"",SUMIFS('Offers'!$H$7:$H$608,'Offers'!$B$7:$B$608,$B135,'Offers'!$C$7:$C$608,$C135,'Offers'!$AF$7:$AF$608,1))</f>
        <v/>
      </c>
      <c r="G135" s="94">
        <f>IF(COUNTIFS('Offers'!$B$7:$B$608,$B135,'Offers'!$C$7:$C$608,$C135,'Offers'!$AH$7:$AH$608,"yes")=0,"",(SUMIFS('Offers'!$H$7:$H$608,'Offers'!$B$7:$B$608,$B135,'Offers'!$C$7:$C$608,$C135,'Offers'!$AF$7:$AF$608,ROUNDUP(COUNTIFS('Offers'!$B$7:$B$608,$B135,'Offers'!$C$7:$C$608,$C135,'Offers'!$AH$7:$AH$608,"yes")/2,0))+SUMIFS('Offers'!$H$7:$H$608,'Offers'!$B$7:$B$608,$B135,'Offers'!$C$7:$C$608,$C135,'Offers'!$AF$7:$AF$608,INT(COUNTIFS('Offers'!$B$7:$B$608,$B135,'Offers'!$C$7:$C$608,$C135,'Offers'!$AH$7:$AH$608,"yes")/2)+1))/2)</f>
        <v/>
      </c>
      <c r="H135" s="94">
        <f>IF(COUNTIFS('Offers'!$B$7:$B$608,$B135,'Offers'!$C$7:$C$608,$C135,'Offers'!$AH$7:$AH$608,"yes")=0,"",SUMIFS('Offers'!$H$7:$H$608,'Offers'!$B$7:$B$608,$B135,'Offers'!$C$7:$C$608,$C135,'Offers'!$AF$7:$AF$608,COUNTIFS('Offers'!$B$7:$B$608,$B135,'Offers'!$C$7:$C$608,$C135,'Offers'!$AH$7:$AH$608,"yes")))</f>
        <v/>
      </c>
      <c r="I135" s="95">
        <f>IF(COUNTIFS('Offers'!$B$7:$B$608,$B135,'Offers'!$C$7:$C$608,$C135,'Offers'!$AI$7:$AI$608,"yes")=0,"",SUMIFS('Offers'!$I$7:$I$608,'Offers'!$B$7:$B$608,$B135,'Offers'!$C$7:$C$608,$C135,'Offers'!$AG$7:$AG$608,1))</f>
        <v/>
      </c>
      <c r="J135" s="95">
        <f>IF(COUNTIFS('Offers'!$B$7:$B$608,$B135,'Offers'!$C$7:$C$608,$C135,'Offers'!$AI$7:$AI$608,"yes")=0,"",(SUMIFS('Offers'!$I$7:$I$608,'Offers'!$B$7:$B$608,$B135,'Offers'!$C$7:$C$608,$C135,'Offers'!$AG$7:$AG$608,ROUNDUP(COUNTIFS('Offers'!$B$7:$B$608,$B135,'Offers'!$C$7:$C$608,$C135,'Offers'!$AI$7:$AI$608,"yes")/2,0))+SUMIFS('Offers'!$I$7:$I$608,'Offers'!$B$7:$B$608,$B135,'Offers'!$C$7:$C$608,$C135,'Offers'!$AG$7:$AG$608,INT(COUNTIFS('Offers'!$B$7:$B$608,$B135,'Offers'!$C$7:$C$608,$C135,'Offers'!$AI$7:$AI$608,"yes")/2)+1))/2)</f>
        <v/>
      </c>
      <c r="K135" s="95">
        <f>IF(COUNTIFS('Offers'!$B$7:$B$608,$B135,'Offers'!$C$7:$C$608,$C135,'Offers'!$AI$7:$AI$608,"yes")=0,"",SUMIFS('Offers'!$I$7:$I$608,'Offers'!$B$7:$B$608,$B135,'Offers'!$C$7:$C$608,$C135,'Offers'!$AG$7:$AG$608,COUNTIFS('Offers'!$B$7:$B$608,$B135,'Offers'!$C$7:$C$608,$C135,'Offers'!$AI$7:$AI$608,"yes")))</f>
        <v/>
      </c>
      <c r="L135" s="55" t="n"/>
      <c r="M135" s="55" t="n"/>
      <c r="N135" s="55" t="n"/>
      <c r="O135" s="2">
        <f>IF('Compare'!$E$5="Local prices",IF(F135="","",IF('Compare'!$C$5="Minimum",F135,IF('Compare'!$C$5="Maximum",H135,G135))),IF(I135="","",IF('Compare'!$C$5="Minimum",I135,IF('Compare'!$C$5="Maximum",K135,J135))))</f>
        <v/>
      </c>
    </row>
    <row r="136" ht="44" customHeight="1">
      <c r="A136" s="2" t="n"/>
      <c r="B136" s="27" t="inlineStr">
        <is>
          <t>GN 1/6 PP container, 100 mm</t>
        </is>
      </c>
      <c r="C136" s="27" t="inlineStr">
        <is>
          <t>Germany</t>
        </is>
      </c>
      <c r="D136" s="27" t="inlineStr">
        <is>
          <t>EUR</t>
        </is>
      </c>
      <c r="E136" s="27" t="inlineStr">
        <is>
          <t>Net per piece</t>
        </is>
      </c>
      <c r="F136" s="96">
        <f>IF(COUNTIFS('Offers'!$B$7:$B$608,$B136,'Offers'!$C$7:$C$608,$C136,'Offers'!$AH$7:$AH$608,"yes")=0,"",SUMIFS('Offers'!$H$7:$H$608,'Offers'!$B$7:$B$608,$B136,'Offers'!$C$7:$C$608,$C136,'Offers'!$AF$7:$AF$608,1))</f>
        <v/>
      </c>
      <c r="G136" s="96">
        <f>IF(COUNTIFS('Offers'!$B$7:$B$608,$B136,'Offers'!$C$7:$C$608,$C136,'Offers'!$AH$7:$AH$608,"yes")=0,"",(SUMIFS('Offers'!$H$7:$H$608,'Offers'!$B$7:$B$608,$B136,'Offers'!$C$7:$C$608,$C136,'Offers'!$AF$7:$AF$608,ROUNDUP(COUNTIFS('Offers'!$B$7:$B$608,$B136,'Offers'!$C$7:$C$608,$C136,'Offers'!$AH$7:$AH$608,"yes")/2,0))+SUMIFS('Offers'!$H$7:$H$608,'Offers'!$B$7:$B$608,$B136,'Offers'!$C$7:$C$608,$C136,'Offers'!$AF$7:$AF$608,INT(COUNTIFS('Offers'!$B$7:$B$608,$B136,'Offers'!$C$7:$C$608,$C136,'Offers'!$AH$7:$AH$608,"yes")/2)+1))/2)</f>
        <v/>
      </c>
      <c r="H136" s="96">
        <f>IF(COUNTIFS('Offers'!$B$7:$B$608,$B136,'Offers'!$C$7:$C$608,$C136,'Offers'!$AH$7:$AH$608,"yes")=0,"",SUMIFS('Offers'!$H$7:$H$608,'Offers'!$B$7:$B$608,$B136,'Offers'!$C$7:$C$608,$C136,'Offers'!$AF$7:$AF$608,COUNTIFS('Offers'!$B$7:$B$608,$B136,'Offers'!$C$7:$C$608,$C136,'Offers'!$AH$7:$AH$608,"yes")))</f>
        <v/>
      </c>
      <c r="I136" s="97">
        <f>IF(COUNTIFS('Offers'!$B$7:$B$608,$B136,'Offers'!$C$7:$C$608,$C136,'Offers'!$AI$7:$AI$608,"yes")=0,"",SUMIFS('Offers'!$I$7:$I$608,'Offers'!$B$7:$B$608,$B136,'Offers'!$C$7:$C$608,$C136,'Offers'!$AG$7:$AG$608,1))</f>
        <v/>
      </c>
      <c r="J136" s="97">
        <f>IF(COUNTIFS('Offers'!$B$7:$B$608,$B136,'Offers'!$C$7:$C$608,$C136,'Offers'!$AI$7:$AI$608,"yes")=0,"",(SUMIFS('Offers'!$I$7:$I$608,'Offers'!$B$7:$B$608,$B136,'Offers'!$C$7:$C$608,$C136,'Offers'!$AG$7:$AG$608,ROUNDUP(COUNTIFS('Offers'!$B$7:$B$608,$B136,'Offers'!$C$7:$C$608,$C136,'Offers'!$AI$7:$AI$608,"yes")/2,0))+SUMIFS('Offers'!$I$7:$I$608,'Offers'!$B$7:$B$608,$B136,'Offers'!$C$7:$C$608,$C136,'Offers'!$AG$7:$AG$608,INT(COUNTIFS('Offers'!$B$7:$B$608,$B136,'Offers'!$C$7:$C$608,$C136,'Offers'!$AI$7:$AI$608,"yes")/2)+1))/2)</f>
        <v/>
      </c>
      <c r="K136" s="97">
        <f>IF(COUNTIFS('Offers'!$B$7:$B$608,$B136,'Offers'!$C$7:$C$608,$C136,'Offers'!$AI$7:$AI$608,"yes")=0,"",SUMIFS('Offers'!$I$7:$I$608,'Offers'!$B$7:$B$608,$B136,'Offers'!$C$7:$C$608,$C136,'Offers'!$AG$7:$AG$608,COUNTIFS('Offers'!$B$7:$B$608,$B136,'Offers'!$C$7:$C$608,$C136,'Offers'!$AI$7:$AI$608,"yes")))</f>
        <v/>
      </c>
      <c r="L136" s="55" t="n"/>
      <c r="M136" s="55" t="n"/>
      <c r="N136" s="55" t="n"/>
      <c r="O136" s="19">
        <f>IF('Compare'!$E$5="Local prices",IF(F136="","",IF('Compare'!$C$5="Minimum",F136,IF('Compare'!$C$5="Maximum",H136,G136))),IF(I136="","",IF('Compare'!$C$5="Minimum",I136,IF('Compare'!$C$5="Maximum",K136,J136))))</f>
        <v/>
      </c>
    </row>
    <row r="137" ht="44" customHeight="1">
      <c r="A137" s="2" t="n"/>
      <c r="B137" s="24" t="inlineStr">
        <is>
          <t>GN 1/6 PP container, 100 mm</t>
        </is>
      </c>
      <c r="C137" s="24" t="inlineStr">
        <is>
          <t>Czech</t>
        </is>
      </c>
      <c r="D137" s="24" t="inlineStr">
        <is>
          <t>CZK</t>
        </is>
      </c>
      <c r="E137" s="24" t="inlineStr">
        <is>
          <t>Net per piece</t>
        </is>
      </c>
      <c r="F137" s="94">
        <f>IF(COUNTIFS('Offers'!$B$7:$B$608,$B137,'Offers'!$C$7:$C$608,$C137,'Offers'!$AH$7:$AH$608,"yes")=0,"",SUMIFS('Offers'!$H$7:$H$608,'Offers'!$B$7:$B$608,$B137,'Offers'!$C$7:$C$608,$C137,'Offers'!$AF$7:$AF$608,1))</f>
        <v/>
      </c>
      <c r="G137" s="94">
        <f>IF(COUNTIFS('Offers'!$B$7:$B$608,$B137,'Offers'!$C$7:$C$608,$C137,'Offers'!$AH$7:$AH$608,"yes")=0,"",(SUMIFS('Offers'!$H$7:$H$608,'Offers'!$B$7:$B$608,$B137,'Offers'!$C$7:$C$608,$C137,'Offers'!$AF$7:$AF$608,ROUNDUP(COUNTIFS('Offers'!$B$7:$B$608,$B137,'Offers'!$C$7:$C$608,$C137,'Offers'!$AH$7:$AH$608,"yes")/2,0))+SUMIFS('Offers'!$H$7:$H$608,'Offers'!$B$7:$B$608,$B137,'Offers'!$C$7:$C$608,$C137,'Offers'!$AF$7:$AF$608,INT(COUNTIFS('Offers'!$B$7:$B$608,$B137,'Offers'!$C$7:$C$608,$C137,'Offers'!$AH$7:$AH$608,"yes")/2)+1))/2)</f>
        <v/>
      </c>
      <c r="H137" s="94">
        <f>IF(COUNTIFS('Offers'!$B$7:$B$608,$B137,'Offers'!$C$7:$C$608,$C137,'Offers'!$AH$7:$AH$608,"yes")=0,"",SUMIFS('Offers'!$H$7:$H$608,'Offers'!$B$7:$B$608,$B137,'Offers'!$C$7:$C$608,$C137,'Offers'!$AF$7:$AF$608,COUNTIFS('Offers'!$B$7:$B$608,$B137,'Offers'!$C$7:$C$608,$C137,'Offers'!$AH$7:$AH$608,"yes")))</f>
        <v/>
      </c>
      <c r="I137" s="95">
        <f>IF(COUNTIFS('Offers'!$B$7:$B$608,$B137,'Offers'!$C$7:$C$608,$C137,'Offers'!$AI$7:$AI$608,"yes")=0,"",SUMIFS('Offers'!$I$7:$I$608,'Offers'!$B$7:$B$608,$B137,'Offers'!$C$7:$C$608,$C137,'Offers'!$AG$7:$AG$608,1))</f>
        <v/>
      </c>
      <c r="J137" s="95">
        <f>IF(COUNTIFS('Offers'!$B$7:$B$608,$B137,'Offers'!$C$7:$C$608,$C137,'Offers'!$AI$7:$AI$608,"yes")=0,"",(SUMIFS('Offers'!$I$7:$I$608,'Offers'!$B$7:$B$608,$B137,'Offers'!$C$7:$C$608,$C137,'Offers'!$AG$7:$AG$608,ROUNDUP(COUNTIFS('Offers'!$B$7:$B$608,$B137,'Offers'!$C$7:$C$608,$C137,'Offers'!$AI$7:$AI$608,"yes")/2,0))+SUMIFS('Offers'!$I$7:$I$608,'Offers'!$B$7:$B$608,$B137,'Offers'!$C$7:$C$608,$C137,'Offers'!$AG$7:$AG$608,INT(COUNTIFS('Offers'!$B$7:$B$608,$B137,'Offers'!$C$7:$C$608,$C137,'Offers'!$AI$7:$AI$608,"yes")/2)+1))/2)</f>
        <v/>
      </c>
      <c r="K137" s="95">
        <f>IF(COUNTIFS('Offers'!$B$7:$B$608,$B137,'Offers'!$C$7:$C$608,$C137,'Offers'!$AI$7:$AI$608,"yes")=0,"",SUMIFS('Offers'!$I$7:$I$608,'Offers'!$B$7:$B$608,$B137,'Offers'!$C$7:$C$608,$C137,'Offers'!$AG$7:$AG$608,COUNTIFS('Offers'!$B$7:$B$608,$B137,'Offers'!$C$7:$C$608,$C137,'Offers'!$AI$7:$AI$608,"yes")))</f>
        <v/>
      </c>
      <c r="L137" s="55" t="n"/>
      <c r="M137" s="55" t="n"/>
      <c r="N137" s="55" t="n"/>
      <c r="O137" s="2">
        <f>IF('Compare'!$E$5="Local prices",IF(F137="","",IF('Compare'!$C$5="Minimum",F137,IF('Compare'!$C$5="Maximum",H137,G137))),IF(I137="","",IF('Compare'!$C$5="Minimum",I137,IF('Compare'!$C$5="Maximum",K137,J137))))</f>
        <v/>
      </c>
    </row>
    <row r="138" ht="44" customHeight="1">
      <c r="A138" s="2" t="n"/>
      <c r="B138" s="27" t="inlineStr">
        <is>
          <t>GN 1/6 PP container, 100 mm</t>
        </is>
      </c>
      <c r="C138" s="27" t="inlineStr">
        <is>
          <t>Slovakia</t>
        </is>
      </c>
      <c r="D138" s="27" t="inlineStr">
        <is>
          <t>EUR</t>
        </is>
      </c>
      <c r="E138" s="27" t="inlineStr">
        <is>
          <t>Net per piece</t>
        </is>
      </c>
      <c r="F138" s="96">
        <f>IF(COUNTIFS('Offers'!$B$7:$B$608,$B138,'Offers'!$C$7:$C$608,$C138,'Offers'!$AH$7:$AH$608,"yes")=0,"",SUMIFS('Offers'!$H$7:$H$608,'Offers'!$B$7:$B$608,$B138,'Offers'!$C$7:$C$608,$C138,'Offers'!$AF$7:$AF$608,1))</f>
        <v/>
      </c>
      <c r="G138" s="96">
        <f>IF(COUNTIFS('Offers'!$B$7:$B$608,$B138,'Offers'!$C$7:$C$608,$C138,'Offers'!$AH$7:$AH$608,"yes")=0,"",(SUMIFS('Offers'!$H$7:$H$608,'Offers'!$B$7:$B$608,$B138,'Offers'!$C$7:$C$608,$C138,'Offers'!$AF$7:$AF$608,ROUNDUP(COUNTIFS('Offers'!$B$7:$B$608,$B138,'Offers'!$C$7:$C$608,$C138,'Offers'!$AH$7:$AH$608,"yes")/2,0))+SUMIFS('Offers'!$H$7:$H$608,'Offers'!$B$7:$B$608,$B138,'Offers'!$C$7:$C$608,$C138,'Offers'!$AF$7:$AF$608,INT(COUNTIFS('Offers'!$B$7:$B$608,$B138,'Offers'!$C$7:$C$608,$C138,'Offers'!$AH$7:$AH$608,"yes")/2)+1))/2)</f>
        <v/>
      </c>
      <c r="H138" s="96">
        <f>IF(COUNTIFS('Offers'!$B$7:$B$608,$B138,'Offers'!$C$7:$C$608,$C138,'Offers'!$AH$7:$AH$608,"yes")=0,"",SUMIFS('Offers'!$H$7:$H$608,'Offers'!$B$7:$B$608,$B138,'Offers'!$C$7:$C$608,$C138,'Offers'!$AF$7:$AF$608,COUNTIFS('Offers'!$B$7:$B$608,$B138,'Offers'!$C$7:$C$608,$C138,'Offers'!$AH$7:$AH$608,"yes")))</f>
        <v/>
      </c>
      <c r="I138" s="97">
        <f>IF(COUNTIFS('Offers'!$B$7:$B$608,$B138,'Offers'!$C$7:$C$608,$C138,'Offers'!$AI$7:$AI$608,"yes")=0,"",SUMIFS('Offers'!$I$7:$I$608,'Offers'!$B$7:$B$608,$B138,'Offers'!$C$7:$C$608,$C138,'Offers'!$AG$7:$AG$608,1))</f>
        <v/>
      </c>
      <c r="J138" s="97">
        <f>IF(COUNTIFS('Offers'!$B$7:$B$608,$B138,'Offers'!$C$7:$C$608,$C138,'Offers'!$AI$7:$AI$608,"yes")=0,"",(SUMIFS('Offers'!$I$7:$I$608,'Offers'!$B$7:$B$608,$B138,'Offers'!$C$7:$C$608,$C138,'Offers'!$AG$7:$AG$608,ROUNDUP(COUNTIFS('Offers'!$B$7:$B$608,$B138,'Offers'!$C$7:$C$608,$C138,'Offers'!$AI$7:$AI$608,"yes")/2,0))+SUMIFS('Offers'!$I$7:$I$608,'Offers'!$B$7:$B$608,$B138,'Offers'!$C$7:$C$608,$C138,'Offers'!$AG$7:$AG$608,INT(COUNTIFS('Offers'!$B$7:$B$608,$B138,'Offers'!$C$7:$C$608,$C138,'Offers'!$AI$7:$AI$608,"yes")/2)+1))/2)</f>
        <v/>
      </c>
      <c r="K138" s="97">
        <f>IF(COUNTIFS('Offers'!$B$7:$B$608,$B138,'Offers'!$C$7:$C$608,$C138,'Offers'!$AI$7:$AI$608,"yes")=0,"",SUMIFS('Offers'!$I$7:$I$608,'Offers'!$B$7:$B$608,$B138,'Offers'!$C$7:$C$608,$C138,'Offers'!$AG$7:$AG$608,COUNTIFS('Offers'!$B$7:$B$608,$B138,'Offers'!$C$7:$C$608,$C138,'Offers'!$AI$7:$AI$608,"yes")))</f>
        <v/>
      </c>
      <c r="L138" s="55" t="n"/>
      <c r="M138" s="55" t="n"/>
      <c r="N138" s="55" t="n"/>
      <c r="O138" s="19">
        <f>IF('Compare'!$E$5="Local prices",IF(F138="","",IF('Compare'!$C$5="Minimum",F138,IF('Compare'!$C$5="Maximum",H138,G138))),IF(I138="","",IF('Compare'!$C$5="Minimum",I138,IF('Compare'!$C$5="Maximum",K138,J138))))</f>
        <v/>
      </c>
    </row>
    <row r="139" ht="44" customHeight="1">
      <c r="A139" s="2" t="n"/>
      <c r="B139" s="24" t="inlineStr">
        <is>
          <t>GN 1/9 PP container, 100 mm</t>
        </is>
      </c>
      <c r="C139" s="24" t="inlineStr">
        <is>
          <t>Hungary</t>
        </is>
      </c>
      <c r="D139" s="24" t="inlineStr">
        <is>
          <t>HUF</t>
        </is>
      </c>
      <c r="E139" s="24" t="inlineStr">
        <is>
          <t>Net per piece</t>
        </is>
      </c>
      <c r="F139" s="94">
        <f>IF(COUNTIFS('Offers'!$B$7:$B$608,$B139,'Offers'!$C$7:$C$608,$C139,'Offers'!$AH$7:$AH$608,"yes")=0,"",SUMIFS('Offers'!$H$7:$H$608,'Offers'!$B$7:$B$608,$B139,'Offers'!$C$7:$C$608,$C139,'Offers'!$AF$7:$AF$608,1))</f>
        <v/>
      </c>
      <c r="G139" s="94">
        <f>IF(COUNTIFS('Offers'!$B$7:$B$608,$B139,'Offers'!$C$7:$C$608,$C139,'Offers'!$AH$7:$AH$608,"yes")=0,"",(SUMIFS('Offers'!$H$7:$H$608,'Offers'!$B$7:$B$608,$B139,'Offers'!$C$7:$C$608,$C139,'Offers'!$AF$7:$AF$608,ROUNDUP(COUNTIFS('Offers'!$B$7:$B$608,$B139,'Offers'!$C$7:$C$608,$C139,'Offers'!$AH$7:$AH$608,"yes")/2,0))+SUMIFS('Offers'!$H$7:$H$608,'Offers'!$B$7:$B$608,$B139,'Offers'!$C$7:$C$608,$C139,'Offers'!$AF$7:$AF$608,INT(COUNTIFS('Offers'!$B$7:$B$608,$B139,'Offers'!$C$7:$C$608,$C139,'Offers'!$AH$7:$AH$608,"yes")/2)+1))/2)</f>
        <v/>
      </c>
      <c r="H139" s="94">
        <f>IF(COUNTIFS('Offers'!$B$7:$B$608,$B139,'Offers'!$C$7:$C$608,$C139,'Offers'!$AH$7:$AH$608,"yes")=0,"",SUMIFS('Offers'!$H$7:$H$608,'Offers'!$B$7:$B$608,$B139,'Offers'!$C$7:$C$608,$C139,'Offers'!$AF$7:$AF$608,COUNTIFS('Offers'!$B$7:$B$608,$B139,'Offers'!$C$7:$C$608,$C139,'Offers'!$AH$7:$AH$608,"yes")))</f>
        <v/>
      </c>
      <c r="I139" s="95">
        <f>IF(COUNTIFS('Offers'!$B$7:$B$608,$B139,'Offers'!$C$7:$C$608,$C139,'Offers'!$AI$7:$AI$608,"yes")=0,"",SUMIFS('Offers'!$I$7:$I$608,'Offers'!$B$7:$B$608,$B139,'Offers'!$C$7:$C$608,$C139,'Offers'!$AG$7:$AG$608,1))</f>
        <v/>
      </c>
      <c r="J139" s="95">
        <f>IF(COUNTIFS('Offers'!$B$7:$B$608,$B139,'Offers'!$C$7:$C$608,$C139,'Offers'!$AI$7:$AI$608,"yes")=0,"",(SUMIFS('Offers'!$I$7:$I$608,'Offers'!$B$7:$B$608,$B139,'Offers'!$C$7:$C$608,$C139,'Offers'!$AG$7:$AG$608,ROUNDUP(COUNTIFS('Offers'!$B$7:$B$608,$B139,'Offers'!$C$7:$C$608,$C139,'Offers'!$AI$7:$AI$608,"yes")/2,0))+SUMIFS('Offers'!$I$7:$I$608,'Offers'!$B$7:$B$608,$B139,'Offers'!$C$7:$C$608,$C139,'Offers'!$AG$7:$AG$608,INT(COUNTIFS('Offers'!$B$7:$B$608,$B139,'Offers'!$C$7:$C$608,$C139,'Offers'!$AI$7:$AI$608,"yes")/2)+1))/2)</f>
        <v/>
      </c>
      <c r="K139" s="95">
        <f>IF(COUNTIFS('Offers'!$B$7:$B$608,$B139,'Offers'!$C$7:$C$608,$C139,'Offers'!$AI$7:$AI$608,"yes")=0,"",SUMIFS('Offers'!$I$7:$I$608,'Offers'!$B$7:$B$608,$B139,'Offers'!$C$7:$C$608,$C139,'Offers'!$AG$7:$AG$608,COUNTIFS('Offers'!$B$7:$B$608,$B139,'Offers'!$C$7:$C$608,$C139,'Offers'!$AI$7:$AI$608,"yes")))</f>
        <v/>
      </c>
      <c r="L139" s="55" t="n"/>
      <c r="M139" s="55" t="n"/>
      <c r="N139" s="55" t="n"/>
      <c r="O139" s="2">
        <f>IF('Compare'!$E$5="Local prices",IF(F139="","",IF('Compare'!$C$5="Minimum",F139,IF('Compare'!$C$5="Maximum",H139,G139))),IF(I139="","",IF('Compare'!$C$5="Minimum",I139,IF('Compare'!$C$5="Maximum",K139,J139))))</f>
        <v/>
      </c>
    </row>
    <row r="140" ht="44" customHeight="1">
      <c r="A140" s="2" t="n"/>
      <c r="B140" s="27" t="inlineStr">
        <is>
          <t>GN 1/9 PP container, 100 mm</t>
        </is>
      </c>
      <c r="C140" s="27" t="inlineStr">
        <is>
          <t>Romania</t>
        </is>
      </c>
      <c r="D140" s="27" t="inlineStr">
        <is>
          <t>RON</t>
        </is>
      </c>
      <c r="E140" s="27" t="inlineStr">
        <is>
          <t>Net per piece</t>
        </is>
      </c>
      <c r="F140" s="96">
        <f>IF(COUNTIFS('Offers'!$B$7:$B$608,$B140,'Offers'!$C$7:$C$608,$C140,'Offers'!$AH$7:$AH$608,"yes")=0,"",SUMIFS('Offers'!$H$7:$H$608,'Offers'!$B$7:$B$608,$B140,'Offers'!$C$7:$C$608,$C140,'Offers'!$AF$7:$AF$608,1))</f>
        <v/>
      </c>
      <c r="G140" s="96">
        <f>IF(COUNTIFS('Offers'!$B$7:$B$608,$B140,'Offers'!$C$7:$C$608,$C140,'Offers'!$AH$7:$AH$608,"yes")=0,"",(SUMIFS('Offers'!$H$7:$H$608,'Offers'!$B$7:$B$608,$B140,'Offers'!$C$7:$C$608,$C140,'Offers'!$AF$7:$AF$608,ROUNDUP(COUNTIFS('Offers'!$B$7:$B$608,$B140,'Offers'!$C$7:$C$608,$C140,'Offers'!$AH$7:$AH$608,"yes")/2,0))+SUMIFS('Offers'!$H$7:$H$608,'Offers'!$B$7:$B$608,$B140,'Offers'!$C$7:$C$608,$C140,'Offers'!$AF$7:$AF$608,INT(COUNTIFS('Offers'!$B$7:$B$608,$B140,'Offers'!$C$7:$C$608,$C140,'Offers'!$AH$7:$AH$608,"yes")/2)+1))/2)</f>
        <v/>
      </c>
      <c r="H140" s="96">
        <f>IF(COUNTIFS('Offers'!$B$7:$B$608,$B140,'Offers'!$C$7:$C$608,$C140,'Offers'!$AH$7:$AH$608,"yes")=0,"",SUMIFS('Offers'!$H$7:$H$608,'Offers'!$B$7:$B$608,$B140,'Offers'!$C$7:$C$608,$C140,'Offers'!$AF$7:$AF$608,COUNTIFS('Offers'!$B$7:$B$608,$B140,'Offers'!$C$7:$C$608,$C140,'Offers'!$AH$7:$AH$608,"yes")))</f>
        <v/>
      </c>
      <c r="I140" s="97">
        <f>IF(COUNTIFS('Offers'!$B$7:$B$608,$B140,'Offers'!$C$7:$C$608,$C140,'Offers'!$AI$7:$AI$608,"yes")=0,"",SUMIFS('Offers'!$I$7:$I$608,'Offers'!$B$7:$B$608,$B140,'Offers'!$C$7:$C$608,$C140,'Offers'!$AG$7:$AG$608,1))</f>
        <v/>
      </c>
      <c r="J140" s="97">
        <f>IF(COUNTIFS('Offers'!$B$7:$B$608,$B140,'Offers'!$C$7:$C$608,$C140,'Offers'!$AI$7:$AI$608,"yes")=0,"",(SUMIFS('Offers'!$I$7:$I$608,'Offers'!$B$7:$B$608,$B140,'Offers'!$C$7:$C$608,$C140,'Offers'!$AG$7:$AG$608,ROUNDUP(COUNTIFS('Offers'!$B$7:$B$608,$B140,'Offers'!$C$7:$C$608,$C140,'Offers'!$AI$7:$AI$608,"yes")/2,0))+SUMIFS('Offers'!$I$7:$I$608,'Offers'!$B$7:$B$608,$B140,'Offers'!$C$7:$C$608,$C140,'Offers'!$AG$7:$AG$608,INT(COUNTIFS('Offers'!$B$7:$B$608,$B140,'Offers'!$C$7:$C$608,$C140,'Offers'!$AI$7:$AI$608,"yes")/2)+1))/2)</f>
        <v/>
      </c>
      <c r="K140" s="97">
        <f>IF(COUNTIFS('Offers'!$B$7:$B$608,$B140,'Offers'!$C$7:$C$608,$C140,'Offers'!$AI$7:$AI$608,"yes")=0,"",SUMIFS('Offers'!$I$7:$I$608,'Offers'!$B$7:$B$608,$B140,'Offers'!$C$7:$C$608,$C140,'Offers'!$AG$7:$AG$608,COUNTIFS('Offers'!$B$7:$B$608,$B140,'Offers'!$C$7:$C$608,$C140,'Offers'!$AI$7:$AI$608,"yes")))</f>
        <v/>
      </c>
      <c r="L140" s="55" t="n"/>
      <c r="M140" s="55" t="n"/>
      <c r="N140" s="55" t="n"/>
      <c r="O140" s="19">
        <f>IF('Compare'!$E$5="Local prices",IF(F140="","",IF('Compare'!$C$5="Minimum",F140,IF('Compare'!$C$5="Maximum",H140,G140))),IF(I140="","",IF('Compare'!$C$5="Minimum",I140,IF('Compare'!$C$5="Maximum",K140,J140))))</f>
        <v/>
      </c>
    </row>
    <row r="141" ht="44" customHeight="1">
      <c r="A141" s="2" t="n"/>
      <c r="B141" s="24" t="inlineStr">
        <is>
          <t>GN 1/9 PP container, 100 mm</t>
        </is>
      </c>
      <c r="C141" s="24" t="inlineStr">
        <is>
          <t>Austria</t>
        </is>
      </c>
      <c r="D141" s="24" t="inlineStr">
        <is>
          <t>EUR</t>
        </is>
      </c>
      <c r="E141" s="24" t="inlineStr">
        <is>
          <t>Net per piece</t>
        </is>
      </c>
      <c r="F141" s="94">
        <f>IF(COUNTIFS('Offers'!$B$7:$B$608,$B141,'Offers'!$C$7:$C$608,$C141,'Offers'!$AH$7:$AH$608,"yes")=0,"",SUMIFS('Offers'!$H$7:$H$608,'Offers'!$B$7:$B$608,$B141,'Offers'!$C$7:$C$608,$C141,'Offers'!$AF$7:$AF$608,1))</f>
        <v/>
      </c>
      <c r="G141" s="94">
        <f>IF(COUNTIFS('Offers'!$B$7:$B$608,$B141,'Offers'!$C$7:$C$608,$C141,'Offers'!$AH$7:$AH$608,"yes")=0,"",(SUMIFS('Offers'!$H$7:$H$608,'Offers'!$B$7:$B$608,$B141,'Offers'!$C$7:$C$608,$C141,'Offers'!$AF$7:$AF$608,ROUNDUP(COUNTIFS('Offers'!$B$7:$B$608,$B141,'Offers'!$C$7:$C$608,$C141,'Offers'!$AH$7:$AH$608,"yes")/2,0))+SUMIFS('Offers'!$H$7:$H$608,'Offers'!$B$7:$B$608,$B141,'Offers'!$C$7:$C$608,$C141,'Offers'!$AF$7:$AF$608,INT(COUNTIFS('Offers'!$B$7:$B$608,$B141,'Offers'!$C$7:$C$608,$C141,'Offers'!$AH$7:$AH$608,"yes")/2)+1))/2)</f>
        <v/>
      </c>
      <c r="H141" s="94">
        <f>IF(COUNTIFS('Offers'!$B$7:$B$608,$B141,'Offers'!$C$7:$C$608,$C141,'Offers'!$AH$7:$AH$608,"yes")=0,"",SUMIFS('Offers'!$H$7:$H$608,'Offers'!$B$7:$B$608,$B141,'Offers'!$C$7:$C$608,$C141,'Offers'!$AF$7:$AF$608,COUNTIFS('Offers'!$B$7:$B$608,$B141,'Offers'!$C$7:$C$608,$C141,'Offers'!$AH$7:$AH$608,"yes")))</f>
        <v/>
      </c>
      <c r="I141" s="95">
        <f>IF(COUNTIFS('Offers'!$B$7:$B$608,$B141,'Offers'!$C$7:$C$608,$C141,'Offers'!$AI$7:$AI$608,"yes")=0,"",SUMIFS('Offers'!$I$7:$I$608,'Offers'!$B$7:$B$608,$B141,'Offers'!$C$7:$C$608,$C141,'Offers'!$AG$7:$AG$608,1))</f>
        <v/>
      </c>
      <c r="J141" s="95">
        <f>IF(COUNTIFS('Offers'!$B$7:$B$608,$B141,'Offers'!$C$7:$C$608,$C141,'Offers'!$AI$7:$AI$608,"yes")=0,"",(SUMIFS('Offers'!$I$7:$I$608,'Offers'!$B$7:$B$608,$B141,'Offers'!$C$7:$C$608,$C141,'Offers'!$AG$7:$AG$608,ROUNDUP(COUNTIFS('Offers'!$B$7:$B$608,$B141,'Offers'!$C$7:$C$608,$C141,'Offers'!$AI$7:$AI$608,"yes")/2,0))+SUMIFS('Offers'!$I$7:$I$608,'Offers'!$B$7:$B$608,$B141,'Offers'!$C$7:$C$608,$C141,'Offers'!$AG$7:$AG$608,INT(COUNTIFS('Offers'!$B$7:$B$608,$B141,'Offers'!$C$7:$C$608,$C141,'Offers'!$AI$7:$AI$608,"yes")/2)+1))/2)</f>
        <v/>
      </c>
      <c r="K141" s="95">
        <f>IF(COUNTIFS('Offers'!$B$7:$B$608,$B141,'Offers'!$C$7:$C$608,$C141,'Offers'!$AI$7:$AI$608,"yes")=0,"",SUMIFS('Offers'!$I$7:$I$608,'Offers'!$B$7:$B$608,$B141,'Offers'!$C$7:$C$608,$C141,'Offers'!$AG$7:$AG$608,COUNTIFS('Offers'!$B$7:$B$608,$B141,'Offers'!$C$7:$C$608,$C141,'Offers'!$AI$7:$AI$608,"yes")))</f>
        <v/>
      </c>
      <c r="L141" s="55" t="n"/>
      <c r="M141" s="55" t="n"/>
      <c r="N141" s="55" t="n"/>
      <c r="O141" s="2">
        <f>IF('Compare'!$E$5="Local prices",IF(F141="","",IF('Compare'!$C$5="Minimum",F141,IF('Compare'!$C$5="Maximum",H141,G141))),IF(I141="","",IF('Compare'!$C$5="Minimum",I141,IF('Compare'!$C$5="Maximum",K141,J141))))</f>
        <v/>
      </c>
    </row>
    <row r="142" ht="44" customHeight="1">
      <c r="A142" s="2" t="n"/>
      <c r="B142" s="27" t="inlineStr">
        <is>
          <t>GN 1/9 PP container, 100 mm</t>
        </is>
      </c>
      <c r="C142" s="27" t="inlineStr">
        <is>
          <t>Germany</t>
        </is>
      </c>
      <c r="D142" s="27" t="inlineStr">
        <is>
          <t>EUR</t>
        </is>
      </c>
      <c r="E142" s="27" t="inlineStr">
        <is>
          <t>Net per piece</t>
        </is>
      </c>
      <c r="F142" s="96">
        <f>IF(COUNTIFS('Offers'!$B$7:$B$608,$B142,'Offers'!$C$7:$C$608,$C142,'Offers'!$AH$7:$AH$608,"yes")=0,"",SUMIFS('Offers'!$H$7:$H$608,'Offers'!$B$7:$B$608,$B142,'Offers'!$C$7:$C$608,$C142,'Offers'!$AF$7:$AF$608,1))</f>
        <v/>
      </c>
      <c r="G142" s="96">
        <f>IF(COUNTIFS('Offers'!$B$7:$B$608,$B142,'Offers'!$C$7:$C$608,$C142,'Offers'!$AH$7:$AH$608,"yes")=0,"",(SUMIFS('Offers'!$H$7:$H$608,'Offers'!$B$7:$B$608,$B142,'Offers'!$C$7:$C$608,$C142,'Offers'!$AF$7:$AF$608,ROUNDUP(COUNTIFS('Offers'!$B$7:$B$608,$B142,'Offers'!$C$7:$C$608,$C142,'Offers'!$AH$7:$AH$608,"yes")/2,0))+SUMIFS('Offers'!$H$7:$H$608,'Offers'!$B$7:$B$608,$B142,'Offers'!$C$7:$C$608,$C142,'Offers'!$AF$7:$AF$608,INT(COUNTIFS('Offers'!$B$7:$B$608,$B142,'Offers'!$C$7:$C$608,$C142,'Offers'!$AH$7:$AH$608,"yes")/2)+1))/2)</f>
        <v/>
      </c>
      <c r="H142" s="96">
        <f>IF(COUNTIFS('Offers'!$B$7:$B$608,$B142,'Offers'!$C$7:$C$608,$C142,'Offers'!$AH$7:$AH$608,"yes")=0,"",SUMIFS('Offers'!$H$7:$H$608,'Offers'!$B$7:$B$608,$B142,'Offers'!$C$7:$C$608,$C142,'Offers'!$AF$7:$AF$608,COUNTIFS('Offers'!$B$7:$B$608,$B142,'Offers'!$C$7:$C$608,$C142,'Offers'!$AH$7:$AH$608,"yes")))</f>
        <v/>
      </c>
      <c r="I142" s="97">
        <f>IF(COUNTIFS('Offers'!$B$7:$B$608,$B142,'Offers'!$C$7:$C$608,$C142,'Offers'!$AI$7:$AI$608,"yes")=0,"",SUMIFS('Offers'!$I$7:$I$608,'Offers'!$B$7:$B$608,$B142,'Offers'!$C$7:$C$608,$C142,'Offers'!$AG$7:$AG$608,1))</f>
        <v/>
      </c>
      <c r="J142" s="97">
        <f>IF(COUNTIFS('Offers'!$B$7:$B$608,$B142,'Offers'!$C$7:$C$608,$C142,'Offers'!$AI$7:$AI$608,"yes")=0,"",(SUMIFS('Offers'!$I$7:$I$608,'Offers'!$B$7:$B$608,$B142,'Offers'!$C$7:$C$608,$C142,'Offers'!$AG$7:$AG$608,ROUNDUP(COUNTIFS('Offers'!$B$7:$B$608,$B142,'Offers'!$C$7:$C$608,$C142,'Offers'!$AI$7:$AI$608,"yes")/2,0))+SUMIFS('Offers'!$I$7:$I$608,'Offers'!$B$7:$B$608,$B142,'Offers'!$C$7:$C$608,$C142,'Offers'!$AG$7:$AG$608,INT(COUNTIFS('Offers'!$B$7:$B$608,$B142,'Offers'!$C$7:$C$608,$C142,'Offers'!$AI$7:$AI$608,"yes")/2)+1))/2)</f>
        <v/>
      </c>
      <c r="K142" s="97">
        <f>IF(COUNTIFS('Offers'!$B$7:$B$608,$B142,'Offers'!$C$7:$C$608,$C142,'Offers'!$AI$7:$AI$608,"yes")=0,"",SUMIFS('Offers'!$I$7:$I$608,'Offers'!$B$7:$B$608,$B142,'Offers'!$C$7:$C$608,$C142,'Offers'!$AG$7:$AG$608,COUNTIFS('Offers'!$B$7:$B$608,$B142,'Offers'!$C$7:$C$608,$C142,'Offers'!$AI$7:$AI$608,"yes")))</f>
        <v/>
      </c>
      <c r="L142" s="55" t="n"/>
      <c r="M142" s="55" t="n"/>
      <c r="N142" s="55" t="n"/>
      <c r="O142" s="19">
        <f>IF('Compare'!$E$5="Local prices",IF(F142="","",IF('Compare'!$C$5="Minimum",F142,IF('Compare'!$C$5="Maximum",H142,G142))),IF(I142="","",IF('Compare'!$C$5="Minimum",I142,IF('Compare'!$C$5="Maximum",K142,J142))))</f>
        <v/>
      </c>
    </row>
    <row r="143" ht="44" customHeight="1">
      <c r="A143" s="2" t="n"/>
      <c r="B143" s="24" t="inlineStr">
        <is>
          <t>GN 1/9 PP container, 100 mm</t>
        </is>
      </c>
      <c r="C143" s="24" t="inlineStr">
        <is>
          <t>Czech</t>
        </is>
      </c>
      <c r="D143" s="24" t="inlineStr">
        <is>
          <t>CZK</t>
        </is>
      </c>
      <c r="E143" s="24" t="inlineStr">
        <is>
          <t>Net per piece</t>
        </is>
      </c>
      <c r="F143" s="94">
        <f>IF(COUNTIFS('Offers'!$B$7:$B$608,$B143,'Offers'!$C$7:$C$608,$C143,'Offers'!$AH$7:$AH$608,"yes")=0,"",SUMIFS('Offers'!$H$7:$H$608,'Offers'!$B$7:$B$608,$B143,'Offers'!$C$7:$C$608,$C143,'Offers'!$AF$7:$AF$608,1))</f>
        <v/>
      </c>
      <c r="G143" s="94">
        <f>IF(COUNTIFS('Offers'!$B$7:$B$608,$B143,'Offers'!$C$7:$C$608,$C143,'Offers'!$AH$7:$AH$608,"yes")=0,"",(SUMIFS('Offers'!$H$7:$H$608,'Offers'!$B$7:$B$608,$B143,'Offers'!$C$7:$C$608,$C143,'Offers'!$AF$7:$AF$608,ROUNDUP(COUNTIFS('Offers'!$B$7:$B$608,$B143,'Offers'!$C$7:$C$608,$C143,'Offers'!$AH$7:$AH$608,"yes")/2,0))+SUMIFS('Offers'!$H$7:$H$608,'Offers'!$B$7:$B$608,$B143,'Offers'!$C$7:$C$608,$C143,'Offers'!$AF$7:$AF$608,INT(COUNTIFS('Offers'!$B$7:$B$608,$B143,'Offers'!$C$7:$C$608,$C143,'Offers'!$AH$7:$AH$608,"yes")/2)+1))/2)</f>
        <v/>
      </c>
      <c r="H143" s="94">
        <f>IF(COUNTIFS('Offers'!$B$7:$B$608,$B143,'Offers'!$C$7:$C$608,$C143,'Offers'!$AH$7:$AH$608,"yes")=0,"",SUMIFS('Offers'!$H$7:$H$608,'Offers'!$B$7:$B$608,$B143,'Offers'!$C$7:$C$608,$C143,'Offers'!$AF$7:$AF$608,COUNTIFS('Offers'!$B$7:$B$608,$B143,'Offers'!$C$7:$C$608,$C143,'Offers'!$AH$7:$AH$608,"yes")))</f>
        <v/>
      </c>
      <c r="I143" s="95">
        <f>IF(COUNTIFS('Offers'!$B$7:$B$608,$B143,'Offers'!$C$7:$C$608,$C143,'Offers'!$AI$7:$AI$608,"yes")=0,"",SUMIFS('Offers'!$I$7:$I$608,'Offers'!$B$7:$B$608,$B143,'Offers'!$C$7:$C$608,$C143,'Offers'!$AG$7:$AG$608,1))</f>
        <v/>
      </c>
      <c r="J143" s="95">
        <f>IF(COUNTIFS('Offers'!$B$7:$B$608,$B143,'Offers'!$C$7:$C$608,$C143,'Offers'!$AI$7:$AI$608,"yes")=0,"",(SUMIFS('Offers'!$I$7:$I$608,'Offers'!$B$7:$B$608,$B143,'Offers'!$C$7:$C$608,$C143,'Offers'!$AG$7:$AG$608,ROUNDUP(COUNTIFS('Offers'!$B$7:$B$608,$B143,'Offers'!$C$7:$C$608,$C143,'Offers'!$AI$7:$AI$608,"yes")/2,0))+SUMIFS('Offers'!$I$7:$I$608,'Offers'!$B$7:$B$608,$B143,'Offers'!$C$7:$C$608,$C143,'Offers'!$AG$7:$AG$608,INT(COUNTIFS('Offers'!$B$7:$B$608,$B143,'Offers'!$C$7:$C$608,$C143,'Offers'!$AI$7:$AI$608,"yes")/2)+1))/2)</f>
        <v/>
      </c>
      <c r="K143" s="95">
        <f>IF(COUNTIFS('Offers'!$B$7:$B$608,$B143,'Offers'!$C$7:$C$608,$C143,'Offers'!$AI$7:$AI$608,"yes")=0,"",SUMIFS('Offers'!$I$7:$I$608,'Offers'!$B$7:$B$608,$B143,'Offers'!$C$7:$C$608,$C143,'Offers'!$AG$7:$AG$608,COUNTIFS('Offers'!$B$7:$B$608,$B143,'Offers'!$C$7:$C$608,$C143,'Offers'!$AI$7:$AI$608,"yes")))</f>
        <v/>
      </c>
      <c r="L143" s="55" t="n"/>
      <c r="M143" s="55" t="n"/>
      <c r="N143" s="55" t="n"/>
      <c r="O143" s="2">
        <f>IF('Compare'!$E$5="Local prices",IF(F143="","",IF('Compare'!$C$5="Minimum",F143,IF('Compare'!$C$5="Maximum",H143,G143))),IF(I143="","",IF('Compare'!$C$5="Minimum",I143,IF('Compare'!$C$5="Maximum",K143,J143))))</f>
        <v/>
      </c>
    </row>
    <row r="144" ht="44" customHeight="1">
      <c r="A144" s="2" t="n"/>
      <c r="B144" s="27" t="inlineStr">
        <is>
          <t>GN 1/9 PP container, 100 mm</t>
        </is>
      </c>
      <c r="C144" s="27" t="inlineStr">
        <is>
          <t>Slovakia</t>
        </is>
      </c>
      <c r="D144" s="27" t="inlineStr">
        <is>
          <t>EUR</t>
        </is>
      </c>
      <c r="E144" s="27" t="inlineStr">
        <is>
          <t>Net per piece</t>
        </is>
      </c>
      <c r="F144" s="96">
        <f>IF(COUNTIFS('Offers'!$B$7:$B$608,$B144,'Offers'!$C$7:$C$608,$C144,'Offers'!$AH$7:$AH$608,"yes")=0,"",SUMIFS('Offers'!$H$7:$H$608,'Offers'!$B$7:$B$608,$B144,'Offers'!$C$7:$C$608,$C144,'Offers'!$AF$7:$AF$608,1))</f>
        <v/>
      </c>
      <c r="G144" s="96">
        <f>IF(COUNTIFS('Offers'!$B$7:$B$608,$B144,'Offers'!$C$7:$C$608,$C144,'Offers'!$AH$7:$AH$608,"yes")=0,"",(SUMIFS('Offers'!$H$7:$H$608,'Offers'!$B$7:$B$608,$B144,'Offers'!$C$7:$C$608,$C144,'Offers'!$AF$7:$AF$608,ROUNDUP(COUNTIFS('Offers'!$B$7:$B$608,$B144,'Offers'!$C$7:$C$608,$C144,'Offers'!$AH$7:$AH$608,"yes")/2,0))+SUMIFS('Offers'!$H$7:$H$608,'Offers'!$B$7:$B$608,$B144,'Offers'!$C$7:$C$608,$C144,'Offers'!$AF$7:$AF$608,INT(COUNTIFS('Offers'!$B$7:$B$608,$B144,'Offers'!$C$7:$C$608,$C144,'Offers'!$AH$7:$AH$608,"yes")/2)+1))/2)</f>
        <v/>
      </c>
      <c r="H144" s="96">
        <f>IF(COUNTIFS('Offers'!$B$7:$B$608,$B144,'Offers'!$C$7:$C$608,$C144,'Offers'!$AH$7:$AH$608,"yes")=0,"",SUMIFS('Offers'!$H$7:$H$608,'Offers'!$B$7:$B$608,$B144,'Offers'!$C$7:$C$608,$C144,'Offers'!$AF$7:$AF$608,COUNTIFS('Offers'!$B$7:$B$608,$B144,'Offers'!$C$7:$C$608,$C144,'Offers'!$AH$7:$AH$608,"yes")))</f>
        <v/>
      </c>
      <c r="I144" s="97">
        <f>IF(COUNTIFS('Offers'!$B$7:$B$608,$B144,'Offers'!$C$7:$C$608,$C144,'Offers'!$AI$7:$AI$608,"yes")=0,"",SUMIFS('Offers'!$I$7:$I$608,'Offers'!$B$7:$B$608,$B144,'Offers'!$C$7:$C$608,$C144,'Offers'!$AG$7:$AG$608,1))</f>
        <v/>
      </c>
      <c r="J144" s="97">
        <f>IF(COUNTIFS('Offers'!$B$7:$B$608,$B144,'Offers'!$C$7:$C$608,$C144,'Offers'!$AI$7:$AI$608,"yes")=0,"",(SUMIFS('Offers'!$I$7:$I$608,'Offers'!$B$7:$B$608,$B144,'Offers'!$C$7:$C$608,$C144,'Offers'!$AG$7:$AG$608,ROUNDUP(COUNTIFS('Offers'!$B$7:$B$608,$B144,'Offers'!$C$7:$C$608,$C144,'Offers'!$AI$7:$AI$608,"yes")/2,0))+SUMIFS('Offers'!$I$7:$I$608,'Offers'!$B$7:$B$608,$B144,'Offers'!$C$7:$C$608,$C144,'Offers'!$AG$7:$AG$608,INT(COUNTIFS('Offers'!$B$7:$B$608,$B144,'Offers'!$C$7:$C$608,$C144,'Offers'!$AI$7:$AI$608,"yes")/2)+1))/2)</f>
        <v/>
      </c>
      <c r="K144" s="97">
        <f>IF(COUNTIFS('Offers'!$B$7:$B$608,$B144,'Offers'!$C$7:$C$608,$C144,'Offers'!$AI$7:$AI$608,"yes")=0,"",SUMIFS('Offers'!$I$7:$I$608,'Offers'!$B$7:$B$608,$B144,'Offers'!$C$7:$C$608,$C144,'Offers'!$AG$7:$AG$608,COUNTIFS('Offers'!$B$7:$B$608,$B144,'Offers'!$C$7:$C$608,$C144,'Offers'!$AI$7:$AI$608,"yes")))</f>
        <v/>
      </c>
      <c r="L144" s="55" t="n"/>
      <c r="M144" s="55" t="n"/>
      <c r="N144" s="55" t="n"/>
      <c r="O144" s="19">
        <f>IF('Compare'!$E$5="Local prices",IF(F144="","",IF('Compare'!$C$5="Minimum",F144,IF('Compare'!$C$5="Maximum",H144,G144))),IF(I144="","",IF('Compare'!$C$5="Minimum",I144,IF('Compare'!$C$5="Maximum",K144,J144))))</f>
        <v/>
      </c>
    </row>
    <row r="145" ht="44" customHeight="1">
      <c r="A145" s="2" t="n"/>
      <c r="B145" s="24" t="inlineStr">
        <is>
          <t>Squeeze bottle 250 ml, PP, single tip</t>
        </is>
      </c>
      <c r="C145" s="24" t="inlineStr">
        <is>
          <t>Hungary</t>
        </is>
      </c>
      <c r="D145" s="24" t="inlineStr">
        <is>
          <t>HUF</t>
        </is>
      </c>
      <c r="E145" s="24" t="inlineStr">
        <is>
          <t>Net per piece</t>
        </is>
      </c>
      <c r="F145" s="94">
        <f>IF(COUNTIFS('Offers'!$B$7:$B$608,$B145,'Offers'!$C$7:$C$608,$C145,'Offers'!$AH$7:$AH$608,"yes")=0,"",SUMIFS('Offers'!$H$7:$H$608,'Offers'!$B$7:$B$608,$B145,'Offers'!$C$7:$C$608,$C145,'Offers'!$AF$7:$AF$608,1))</f>
        <v/>
      </c>
      <c r="G145" s="94">
        <f>IF(COUNTIFS('Offers'!$B$7:$B$608,$B145,'Offers'!$C$7:$C$608,$C145,'Offers'!$AH$7:$AH$608,"yes")=0,"",(SUMIFS('Offers'!$H$7:$H$608,'Offers'!$B$7:$B$608,$B145,'Offers'!$C$7:$C$608,$C145,'Offers'!$AF$7:$AF$608,ROUNDUP(COUNTIFS('Offers'!$B$7:$B$608,$B145,'Offers'!$C$7:$C$608,$C145,'Offers'!$AH$7:$AH$608,"yes")/2,0))+SUMIFS('Offers'!$H$7:$H$608,'Offers'!$B$7:$B$608,$B145,'Offers'!$C$7:$C$608,$C145,'Offers'!$AF$7:$AF$608,INT(COUNTIFS('Offers'!$B$7:$B$608,$B145,'Offers'!$C$7:$C$608,$C145,'Offers'!$AH$7:$AH$608,"yes")/2)+1))/2)</f>
        <v/>
      </c>
      <c r="H145" s="94">
        <f>IF(COUNTIFS('Offers'!$B$7:$B$608,$B145,'Offers'!$C$7:$C$608,$C145,'Offers'!$AH$7:$AH$608,"yes")=0,"",SUMIFS('Offers'!$H$7:$H$608,'Offers'!$B$7:$B$608,$B145,'Offers'!$C$7:$C$608,$C145,'Offers'!$AF$7:$AF$608,COUNTIFS('Offers'!$B$7:$B$608,$B145,'Offers'!$C$7:$C$608,$C145,'Offers'!$AH$7:$AH$608,"yes")))</f>
        <v/>
      </c>
      <c r="I145" s="95">
        <f>IF(COUNTIFS('Offers'!$B$7:$B$608,$B145,'Offers'!$C$7:$C$608,$C145,'Offers'!$AI$7:$AI$608,"yes")=0,"",SUMIFS('Offers'!$I$7:$I$608,'Offers'!$B$7:$B$608,$B145,'Offers'!$C$7:$C$608,$C145,'Offers'!$AG$7:$AG$608,1))</f>
        <v/>
      </c>
      <c r="J145" s="95">
        <f>IF(COUNTIFS('Offers'!$B$7:$B$608,$B145,'Offers'!$C$7:$C$608,$C145,'Offers'!$AI$7:$AI$608,"yes")=0,"",(SUMIFS('Offers'!$I$7:$I$608,'Offers'!$B$7:$B$608,$B145,'Offers'!$C$7:$C$608,$C145,'Offers'!$AG$7:$AG$608,ROUNDUP(COUNTIFS('Offers'!$B$7:$B$608,$B145,'Offers'!$C$7:$C$608,$C145,'Offers'!$AI$7:$AI$608,"yes")/2,0))+SUMIFS('Offers'!$I$7:$I$608,'Offers'!$B$7:$B$608,$B145,'Offers'!$C$7:$C$608,$C145,'Offers'!$AG$7:$AG$608,INT(COUNTIFS('Offers'!$B$7:$B$608,$B145,'Offers'!$C$7:$C$608,$C145,'Offers'!$AI$7:$AI$608,"yes")/2)+1))/2)</f>
        <v/>
      </c>
      <c r="K145" s="95">
        <f>IF(COUNTIFS('Offers'!$B$7:$B$608,$B145,'Offers'!$C$7:$C$608,$C145,'Offers'!$AI$7:$AI$608,"yes")=0,"",SUMIFS('Offers'!$I$7:$I$608,'Offers'!$B$7:$B$608,$B145,'Offers'!$C$7:$C$608,$C145,'Offers'!$AG$7:$AG$608,COUNTIFS('Offers'!$B$7:$B$608,$B145,'Offers'!$C$7:$C$608,$C145,'Offers'!$AI$7:$AI$608,"yes")))</f>
        <v/>
      </c>
      <c r="L145" s="55" t="n"/>
      <c r="M145" s="55" t="n"/>
      <c r="N145" s="55" t="n"/>
      <c r="O145" s="2">
        <f>IF('Compare'!$E$5="Local prices",IF(F145="","",IF('Compare'!$C$5="Minimum",F145,IF('Compare'!$C$5="Maximum",H145,G145))),IF(I145="","",IF('Compare'!$C$5="Minimum",I145,IF('Compare'!$C$5="Maximum",K145,J145))))</f>
        <v/>
      </c>
    </row>
    <row r="146" ht="44" customHeight="1">
      <c r="A146" s="2" t="n"/>
      <c r="B146" s="27" t="inlineStr">
        <is>
          <t>Squeeze bottle 250 ml, PP, single tip</t>
        </is>
      </c>
      <c r="C146" s="27" t="inlineStr">
        <is>
          <t>Romania</t>
        </is>
      </c>
      <c r="D146" s="27" t="inlineStr">
        <is>
          <t>RON</t>
        </is>
      </c>
      <c r="E146" s="27" t="inlineStr">
        <is>
          <t>Net per piece</t>
        </is>
      </c>
      <c r="F146" s="96">
        <f>IF(COUNTIFS('Offers'!$B$7:$B$608,$B146,'Offers'!$C$7:$C$608,$C146,'Offers'!$AH$7:$AH$608,"yes")=0,"",SUMIFS('Offers'!$H$7:$H$608,'Offers'!$B$7:$B$608,$B146,'Offers'!$C$7:$C$608,$C146,'Offers'!$AF$7:$AF$608,1))</f>
        <v/>
      </c>
      <c r="G146" s="96">
        <f>IF(COUNTIFS('Offers'!$B$7:$B$608,$B146,'Offers'!$C$7:$C$608,$C146,'Offers'!$AH$7:$AH$608,"yes")=0,"",(SUMIFS('Offers'!$H$7:$H$608,'Offers'!$B$7:$B$608,$B146,'Offers'!$C$7:$C$608,$C146,'Offers'!$AF$7:$AF$608,ROUNDUP(COUNTIFS('Offers'!$B$7:$B$608,$B146,'Offers'!$C$7:$C$608,$C146,'Offers'!$AH$7:$AH$608,"yes")/2,0))+SUMIFS('Offers'!$H$7:$H$608,'Offers'!$B$7:$B$608,$B146,'Offers'!$C$7:$C$608,$C146,'Offers'!$AF$7:$AF$608,INT(COUNTIFS('Offers'!$B$7:$B$608,$B146,'Offers'!$C$7:$C$608,$C146,'Offers'!$AH$7:$AH$608,"yes")/2)+1))/2)</f>
        <v/>
      </c>
      <c r="H146" s="96">
        <f>IF(COUNTIFS('Offers'!$B$7:$B$608,$B146,'Offers'!$C$7:$C$608,$C146,'Offers'!$AH$7:$AH$608,"yes")=0,"",SUMIFS('Offers'!$H$7:$H$608,'Offers'!$B$7:$B$608,$B146,'Offers'!$C$7:$C$608,$C146,'Offers'!$AF$7:$AF$608,COUNTIFS('Offers'!$B$7:$B$608,$B146,'Offers'!$C$7:$C$608,$C146,'Offers'!$AH$7:$AH$608,"yes")))</f>
        <v/>
      </c>
      <c r="I146" s="97">
        <f>IF(COUNTIFS('Offers'!$B$7:$B$608,$B146,'Offers'!$C$7:$C$608,$C146,'Offers'!$AI$7:$AI$608,"yes")=0,"",SUMIFS('Offers'!$I$7:$I$608,'Offers'!$B$7:$B$608,$B146,'Offers'!$C$7:$C$608,$C146,'Offers'!$AG$7:$AG$608,1))</f>
        <v/>
      </c>
      <c r="J146" s="97">
        <f>IF(COUNTIFS('Offers'!$B$7:$B$608,$B146,'Offers'!$C$7:$C$608,$C146,'Offers'!$AI$7:$AI$608,"yes")=0,"",(SUMIFS('Offers'!$I$7:$I$608,'Offers'!$B$7:$B$608,$B146,'Offers'!$C$7:$C$608,$C146,'Offers'!$AG$7:$AG$608,ROUNDUP(COUNTIFS('Offers'!$B$7:$B$608,$B146,'Offers'!$C$7:$C$608,$C146,'Offers'!$AI$7:$AI$608,"yes")/2,0))+SUMIFS('Offers'!$I$7:$I$608,'Offers'!$B$7:$B$608,$B146,'Offers'!$C$7:$C$608,$C146,'Offers'!$AG$7:$AG$608,INT(COUNTIFS('Offers'!$B$7:$B$608,$B146,'Offers'!$C$7:$C$608,$C146,'Offers'!$AI$7:$AI$608,"yes")/2)+1))/2)</f>
        <v/>
      </c>
      <c r="K146" s="97">
        <f>IF(COUNTIFS('Offers'!$B$7:$B$608,$B146,'Offers'!$C$7:$C$608,$C146,'Offers'!$AI$7:$AI$608,"yes")=0,"",SUMIFS('Offers'!$I$7:$I$608,'Offers'!$B$7:$B$608,$B146,'Offers'!$C$7:$C$608,$C146,'Offers'!$AG$7:$AG$608,COUNTIFS('Offers'!$B$7:$B$608,$B146,'Offers'!$C$7:$C$608,$C146,'Offers'!$AI$7:$AI$608,"yes")))</f>
        <v/>
      </c>
      <c r="L146" s="55" t="n"/>
      <c r="M146" s="55" t="n"/>
      <c r="N146" s="55" t="n"/>
      <c r="O146" s="19">
        <f>IF('Compare'!$E$5="Local prices",IF(F146="","",IF('Compare'!$C$5="Minimum",F146,IF('Compare'!$C$5="Maximum",H146,G146))),IF(I146="","",IF('Compare'!$C$5="Minimum",I146,IF('Compare'!$C$5="Maximum",K146,J146))))</f>
        <v/>
      </c>
    </row>
    <row r="147" ht="44" customHeight="1">
      <c r="A147" s="2" t="n"/>
      <c r="B147" s="24" t="inlineStr">
        <is>
          <t>Squeeze bottle 250 ml, PP, single tip</t>
        </is>
      </c>
      <c r="C147" s="24" t="inlineStr">
        <is>
          <t>Austria</t>
        </is>
      </c>
      <c r="D147" s="24" t="inlineStr">
        <is>
          <t>EUR</t>
        </is>
      </c>
      <c r="E147" s="24" t="inlineStr">
        <is>
          <t>Net per piece</t>
        </is>
      </c>
      <c r="F147" s="94">
        <f>IF(COUNTIFS('Offers'!$B$7:$B$608,$B147,'Offers'!$C$7:$C$608,$C147,'Offers'!$AH$7:$AH$608,"yes")=0,"",SUMIFS('Offers'!$H$7:$H$608,'Offers'!$B$7:$B$608,$B147,'Offers'!$C$7:$C$608,$C147,'Offers'!$AF$7:$AF$608,1))</f>
        <v/>
      </c>
      <c r="G147" s="94">
        <f>IF(COUNTIFS('Offers'!$B$7:$B$608,$B147,'Offers'!$C$7:$C$608,$C147,'Offers'!$AH$7:$AH$608,"yes")=0,"",(SUMIFS('Offers'!$H$7:$H$608,'Offers'!$B$7:$B$608,$B147,'Offers'!$C$7:$C$608,$C147,'Offers'!$AF$7:$AF$608,ROUNDUP(COUNTIFS('Offers'!$B$7:$B$608,$B147,'Offers'!$C$7:$C$608,$C147,'Offers'!$AH$7:$AH$608,"yes")/2,0))+SUMIFS('Offers'!$H$7:$H$608,'Offers'!$B$7:$B$608,$B147,'Offers'!$C$7:$C$608,$C147,'Offers'!$AF$7:$AF$608,INT(COUNTIFS('Offers'!$B$7:$B$608,$B147,'Offers'!$C$7:$C$608,$C147,'Offers'!$AH$7:$AH$608,"yes")/2)+1))/2)</f>
        <v/>
      </c>
      <c r="H147" s="94">
        <f>IF(COUNTIFS('Offers'!$B$7:$B$608,$B147,'Offers'!$C$7:$C$608,$C147,'Offers'!$AH$7:$AH$608,"yes")=0,"",SUMIFS('Offers'!$H$7:$H$608,'Offers'!$B$7:$B$608,$B147,'Offers'!$C$7:$C$608,$C147,'Offers'!$AF$7:$AF$608,COUNTIFS('Offers'!$B$7:$B$608,$B147,'Offers'!$C$7:$C$608,$C147,'Offers'!$AH$7:$AH$608,"yes")))</f>
        <v/>
      </c>
      <c r="I147" s="95">
        <f>IF(COUNTIFS('Offers'!$B$7:$B$608,$B147,'Offers'!$C$7:$C$608,$C147,'Offers'!$AI$7:$AI$608,"yes")=0,"",SUMIFS('Offers'!$I$7:$I$608,'Offers'!$B$7:$B$608,$B147,'Offers'!$C$7:$C$608,$C147,'Offers'!$AG$7:$AG$608,1))</f>
        <v/>
      </c>
      <c r="J147" s="95">
        <f>IF(COUNTIFS('Offers'!$B$7:$B$608,$B147,'Offers'!$C$7:$C$608,$C147,'Offers'!$AI$7:$AI$608,"yes")=0,"",(SUMIFS('Offers'!$I$7:$I$608,'Offers'!$B$7:$B$608,$B147,'Offers'!$C$7:$C$608,$C147,'Offers'!$AG$7:$AG$608,ROUNDUP(COUNTIFS('Offers'!$B$7:$B$608,$B147,'Offers'!$C$7:$C$608,$C147,'Offers'!$AI$7:$AI$608,"yes")/2,0))+SUMIFS('Offers'!$I$7:$I$608,'Offers'!$B$7:$B$608,$B147,'Offers'!$C$7:$C$608,$C147,'Offers'!$AG$7:$AG$608,INT(COUNTIFS('Offers'!$B$7:$B$608,$B147,'Offers'!$C$7:$C$608,$C147,'Offers'!$AI$7:$AI$608,"yes")/2)+1))/2)</f>
        <v/>
      </c>
      <c r="K147" s="95">
        <f>IF(COUNTIFS('Offers'!$B$7:$B$608,$B147,'Offers'!$C$7:$C$608,$C147,'Offers'!$AI$7:$AI$608,"yes")=0,"",SUMIFS('Offers'!$I$7:$I$608,'Offers'!$B$7:$B$608,$B147,'Offers'!$C$7:$C$608,$C147,'Offers'!$AG$7:$AG$608,COUNTIFS('Offers'!$B$7:$B$608,$B147,'Offers'!$C$7:$C$608,$C147,'Offers'!$AI$7:$AI$608,"yes")))</f>
        <v/>
      </c>
      <c r="L147" s="55" t="n"/>
      <c r="M147" s="55" t="n"/>
      <c r="N147" s="55" t="n"/>
      <c r="O147" s="2">
        <f>IF('Compare'!$E$5="Local prices",IF(F147="","",IF('Compare'!$C$5="Minimum",F147,IF('Compare'!$C$5="Maximum",H147,G147))),IF(I147="","",IF('Compare'!$C$5="Minimum",I147,IF('Compare'!$C$5="Maximum",K147,J147))))</f>
        <v/>
      </c>
    </row>
    <row r="148" ht="44" customHeight="1">
      <c r="A148" s="2" t="n"/>
      <c r="B148" s="27" t="inlineStr">
        <is>
          <t>Squeeze bottle 250 ml, PP, single tip</t>
        </is>
      </c>
      <c r="C148" s="27" t="inlineStr">
        <is>
          <t>Germany</t>
        </is>
      </c>
      <c r="D148" s="27" t="inlineStr">
        <is>
          <t>EUR</t>
        </is>
      </c>
      <c r="E148" s="27" t="inlineStr">
        <is>
          <t>Net per piece</t>
        </is>
      </c>
      <c r="F148" s="96">
        <f>IF(COUNTIFS('Offers'!$B$7:$B$608,$B148,'Offers'!$C$7:$C$608,$C148,'Offers'!$AH$7:$AH$608,"yes")=0,"",SUMIFS('Offers'!$H$7:$H$608,'Offers'!$B$7:$B$608,$B148,'Offers'!$C$7:$C$608,$C148,'Offers'!$AF$7:$AF$608,1))</f>
        <v/>
      </c>
      <c r="G148" s="96">
        <f>IF(COUNTIFS('Offers'!$B$7:$B$608,$B148,'Offers'!$C$7:$C$608,$C148,'Offers'!$AH$7:$AH$608,"yes")=0,"",(SUMIFS('Offers'!$H$7:$H$608,'Offers'!$B$7:$B$608,$B148,'Offers'!$C$7:$C$608,$C148,'Offers'!$AF$7:$AF$608,ROUNDUP(COUNTIFS('Offers'!$B$7:$B$608,$B148,'Offers'!$C$7:$C$608,$C148,'Offers'!$AH$7:$AH$608,"yes")/2,0))+SUMIFS('Offers'!$H$7:$H$608,'Offers'!$B$7:$B$608,$B148,'Offers'!$C$7:$C$608,$C148,'Offers'!$AF$7:$AF$608,INT(COUNTIFS('Offers'!$B$7:$B$608,$B148,'Offers'!$C$7:$C$608,$C148,'Offers'!$AH$7:$AH$608,"yes")/2)+1))/2)</f>
        <v/>
      </c>
      <c r="H148" s="96">
        <f>IF(COUNTIFS('Offers'!$B$7:$B$608,$B148,'Offers'!$C$7:$C$608,$C148,'Offers'!$AH$7:$AH$608,"yes")=0,"",SUMIFS('Offers'!$H$7:$H$608,'Offers'!$B$7:$B$608,$B148,'Offers'!$C$7:$C$608,$C148,'Offers'!$AF$7:$AF$608,COUNTIFS('Offers'!$B$7:$B$608,$B148,'Offers'!$C$7:$C$608,$C148,'Offers'!$AH$7:$AH$608,"yes")))</f>
        <v/>
      </c>
      <c r="I148" s="97">
        <f>IF(COUNTIFS('Offers'!$B$7:$B$608,$B148,'Offers'!$C$7:$C$608,$C148,'Offers'!$AI$7:$AI$608,"yes")=0,"",SUMIFS('Offers'!$I$7:$I$608,'Offers'!$B$7:$B$608,$B148,'Offers'!$C$7:$C$608,$C148,'Offers'!$AG$7:$AG$608,1))</f>
        <v/>
      </c>
      <c r="J148" s="97">
        <f>IF(COUNTIFS('Offers'!$B$7:$B$608,$B148,'Offers'!$C$7:$C$608,$C148,'Offers'!$AI$7:$AI$608,"yes")=0,"",(SUMIFS('Offers'!$I$7:$I$608,'Offers'!$B$7:$B$608,$B148,'Offers'!$C$7:$C$608,$C148,'Offers'!$AG$7:$AG$608,ROUNDUP(COUNTIFS('Offers'!$B$7:$B$608,$B148,'Offers'!$C$7:$C$608,$C148,'Offers'!$AI$7:$AI$608,"yes")/2,0))+SUMIFS('Offers'!$I$7:$I$608,'Offers'!$B$7:$B$608,$B148,'Offers'!$C$7:$C$608,$C148,'Offers'!$AG$7:$AG$608,INT(COUNTIFS('Offers'!$B$7:$B$608,$B148,'Offers'!$C$7:$C$608,$C148,'Offers'!$AI$7:$AI$608,"yes")/2)+1))/2)</f>
        <v/>
      </c>
      <c r="K148" s="97">
        <f>IF(COUNTIFS('Offers'!$B$7:$B$608,$B148,'Offers'!$C$7:$C$608,$C148,'Offers'!$AI$7:$AI$608,"yes")=0,"",SUMIFS('Offers'!$I$7:$I$608,'Offers'!$B$7:$B$608,$B148,'Offers'!$C$7:$C$608,$C148,'Offers'!$AG$7:$AG$608,COUNTIFS('Offers'!$B$7:$B$608,$B148,'Offers'!$C$7:$C$608,$C148,'Offers'!$AI$7:$AI$608,"yes")))</f>
        <v/>
      </c>
      <c r="L148" s="55" t="n"/>
      <c r="M148" s="55" t="n"/>
      <c r="N148" s="55" t="n"/>
      <c r="O148" s="19">
        <f>IF('Compare'!$E$5="Local prices",IF(F148="","",IF('Compare'!$C$5="Minimum",F148,IF('Compare'!$C$5="Maximum",H148,G148))),IF(I148="","",IF('Compare'!$C$5="Minimum",I148,IF('Compare'!$C$5="Maximum",K148,J148))))</f>
        <v/>
      </c>
    </row>
    <row r="149" ht="44" customHeight="1">
      <c r="A149" s="2" t="n"/>
      <c r="B149" s="24" t="inlineStr">
        <is>
          <t>Squeeze bottle 250 ml, PP, single tip</t>
        </is>
      </c>
      <c r="C149" s="24" t="inlineStr">
        <is>
          <t>Czech</t>
        </is>
      </c>
      <c r="D149" s="24" t="inlineStr">
        <is>
          <t>CZK</t>
        </is>
      </c>
      <c r="E149" s="24" t="inlineStr">
        <is>
          <t>Net per piece</t>
        </is>
      </c>
      <c r="F149" s="94">
        <f>IF(COUNTIFS('Offers'!$B$7:$B$608,$B149,'Offers'!$C$7:$C$608,$C149,'Offers'!$AH$7:$AH$608,"yes")=0,"",SUMIFS('Offers'!$H$7:$H$608,'Offers'!$B$7:$B$608,$B149,'Offers'!$C$7:$C$608,$C149,'Offers'!$AF$7:$AF$608,1))</f>
        <v/>
      </c>
      <c r="G149" s="94">
        <f>IF(COUNTIFS('Offers'!$B$7:$B$608,$B149,'Offers'!$C$7:$C$608,$C149,'Offers'!$AH$7:$AH$608,"yes")=0,"",(SUMIFS('Offers'!$H$7:$H$608,'Offers'!$B$7:$B$608,$B149,'Offers'!$C$7:$C$608,$C149,'Offers'!$AF$7:$AF$608,ROUNDUP(COUNTIFS('Offers'!$B$7:$B$608,$B149,'Offers'!$C$7:$C$608,$C149,'Offers'!$AH$7:$AH$608,"yes")/2,0))+SUMIFS('Offers'!$H$7:$H$608,'Offers'!$B$7:$B$608,$B149,'Offers'!$C$7:$C$608,$C149,'Offers'!$AF$7:$AF$608,INT(COUNTIFS('Offers'!$B$7:$B$608,$B149,'Offers'!$C$7:$C$608,$C149,'Offers'!$AH$7:$AH$608,"yes")/2)+1))/2)</f>
        <v/>
      </c>
      <c r="H149" s="94">
        <f>IF(COUNTIFS('Offers'!$B$7:$B$608,$B149,'Offers'!$C$7:$C$608,$C149,'Offers'!$AH$7:$AH$608,"yes")=0,"",SUMIFS('Offers'!$H$7:$H$608,'Offers'!$B$7:$B$608,$B149,'Offers'!$C$7:$C$608,$C149,'Offers'!$AF$7:$AF$608,COUNTIFS('Offers'!$B$7:$B$608,$B149,'Offers'!$C$7:$C$608,$C149,'Offers'!$AH$7:$AH$608,"yes")))</f>
        <v/>
      </c>
      <c r="I149" s="95">
        <f>IF(COUNTIFS('Offers'!$B$7:$B$608,$B149,'Offers'!$C$7:$C$608,$C149,'Offers'!$AI$7:$AI$608,"yes")=0,"",SUMIFS('Offers'!$I$7:$I$608,'Offers'!$B$7:$B$608,$B149,'Offers'!$C$7:$C$608,$C149,'Offers'!$AG$7:$AG$608,1))</f>
        <v/>
      </c>
      <c r="J149" s="95">
        <f>IF(COUNTIFS('Offers'!$B$7:$B$608,$B149,'Offers'!$C$7:$C$608,$C149,'Offers'!$AI$7:$AI$608,"yes")=0,"",(SUMIFS('Offers'!$I$7:$I$608,'Offers'!$B$7:$B$608,$B149,'Offers'!$C$7:$C$608,$C149,'Offers'!$AG$7:$AG$608,ROUNDUP(COUNTIFS('Offers'!$B$7:$B$608,$B149,'Offers'!$C$7:$C$608,$C149,'Offers'!$AI$7:$AI$608,"yes")/2,0))+SUMIFS('Offers'!$I$7:$I$608,'Offers'!$B$7:$B$608,$B149,'Offers'!$C$7:$C$608,$C149,'Offers'!$AG$7:$AG$608,INT(COUNTIFS('Offers'!$B$7:$B$608,$B149,'Offers'!$C$7:$C$608,$C149,'Offers'!$AI$7:$AI$608,"yes")/2)+1))/2)</f>
        <v/>
      </c>
      <c r="K149" s="95">
        <f>IF(COUNTIFS('Offers'!$B$7:$B$608,$B149,'Offers'!$C$7:$C$608,$C149,'Offers'!$AI$7:$AI$608,"yes")=0,"",SUMIFS('Offers'!$I$7:$I$608,'Offers'!$B$7:$B$608,$B149,'Offers'!$C$7:$C$608,$C149,'Offers'!$AG$7:$AG$608,COUNTIFS('Offers'!$B$7:$B$608,$B149,'Offers'!$C$7:$C$608,$C149,'Offers'!$AI$7:$AI$608,"yes")))</f>
        <v/>
      </c>
      <c r="L149" s="55" t="n"/>
      <c r="M149" s="55" t="n"/>
      <c r="N149" s="55" t="n"/>
      <c r="O149" s="2">
        <f>IF('Compare'!$E$5="Local prices",IF(F149="","",IF('Compare'!$C$5="Minimum",F149,IF('Compare'!$C$5="Maximum",H149,G149))),IF(I149="","",IF('Compare'!$C$5="Minimum",I149,IF('Compare'!$C$5="Maximum",K149,J149))))</f>
        <v/>
      </c>
    </row>
    <row r="150" ht="44" customHeight="1">
      <c r="A150" s="2" t="n"/>
      <c r="B150" s="27" t="inlineStr">
        <is>
          <t>Squeeze bottle 250 ml, PP, single tip</t>
        </is>
      </c>
      <c r="C150" s="27" t="inlineStr">
        <is>
          <t>Slovakia</t>
        </is>
      </c>
      <c r="D150" s="27" t="inlineStr">
        <is>
          <t>EUR</t>
        </is>
      </c>
      <c r="E150" s="27" t="inlineStr">
        <is>
          <t>Net per piece</t>
        </is>
      </c>
      <c r="F150" s="96">
        <f>IF(COUNTIFS('Offers'!$B$7:$B$608,$B150,'Offers'!$C$7:$C$608,$C150,'Offers'!$AH$7:$AH$608,"yes")=0,"",SUMIFS('Offers'!$H$7:$H$608,'Offers'!$B$7:$B$608,$B150,'Offers'!$C$7:$C$608,$C150,'Offers'!$AF$7:$AF$608,1))</f>
        <v/>
      </c>
      <c r="G150" s="96">
        <f>IF(COUNTIFS('Offers'!$B$7:$B$608,$B150,'Offers'!$C$7:$C$608,$C150,'Offers'!$AH$7:$AH$608,"yes")=0,"",(SUMIFS('Offers'!$H$7:$H$608,'Offers'!$B$7:$B$608,$B150,'Offers'!$C$7:$C$608,$C150,'Offers'!$AF$7:$AF$608,ROUNDUP(COUNTIFS('Offers'!$B$7:$B$608,$B150,'Offers'!$C$7:$C$608,$C150,'Offers'!$AH$7:$AH$608,"yes")/2,0))+SUMIFS('Offers'!$H$7:$H$608,'Offers'!$B$7:$B$608,$B150,'Offers'!$C$7:$C$608,$C150,'Offers'!$AF$7:$AF$608,INT(COUNTIFS('Offers'!$B$7:$B$608,$B150,'Offers'!$C$7:$C$608,$C150,'Offers'!$AH$7:$AH$608,"yes")/2)+1))/2)</f>
        <v/>
      </c>
      <c r="H150" s="96">
        <f>IF(COUNTIFS('Offers'!$B$7:$B$608,$B150,'Offers'!$C$7:$C$608,$C150,'Offers'!$AH$7:$AH$608,"yes")=0,"",SUMIFS('Offers'!$H$7:$H$608,'Offers'!$B$7:$B$608,$B150,'Offers'!$C$7:$C$608,$C150,'Offers'!$AF$7:$AF$608,COUNTIFS('Offers'!$B$7:$B$608,$B150,'Offers'!$C$7:$C$608,$C150,'Offers'!$AH$7:$AH$608,"yes")))</f>
        <v/>
      </c>
      <c r="I150" s="97">
        <f>IF(COUNTIFS('Offers'!$B$7:$B$608,$B150,'Offers'!$C$7:$C$608,$C150,'Offers'!$AI$7:$AI$608,"yes")=0,"",SUMIFS('Offers'!$I$7:$I$608,'Offers'!$B$7:$B$608,$B150,'Offers'!$C$7:$C$608,$C150,'Offers'!$AG$7:$AG$608,1))</f>
        <v/>
      </c>
      <c r="J150" s="97">
        <f>IF(COUNTIFS('Offers'!$B$7:$B$608,$B150,'Offers'!$C$7:$C$608,$C150,'Offers'!$AI$7:$AI$608,"yes")=0,"",(SUMIFS('Offers'!$I$7:$I$608,'Offers'!$B$7:$B$608,$B150,'Offers'!$C$7:$C$608,$C150,'Offers'!$AG$7:$AG$608,ROUNDUP(COUNTIFS('Offers'!$B$7:$B$608,$B150,'Offers'!$C$7:$C$608,$C150,'Offers'!$AI$7:$AI$608,"yes")/2,0))+SUMIFS('Offers'!$I$7:$I$608,'Offers'!$B$7:$B$608,$B150,'Offers'!$C$7:$C$608,$C150,'Offers'!$AG$7:$AG$608,INT(COUNTIFS('Offers'!$B$7:$B$608,$B150,'Offers'!$C$7:$C$608,$C150,'Offers'!$AI$7:$AI$608,"yes")/2)+1))/2)</f>
        <v/>
      </c>
      <c r="K150" s="97">
        <f>IF(COUNTIFS('Offers'!$B$7:$B$608,$B150,'Offers'!$C$7:$C$608,$C150,'Offers'!$AI$7:$AI$608,"yes")=0,"",SUMIFS('Offers'!$I$7:$I$608,'Offers'!$B$7:$B$608,$B150,'Offers'!$C$7:$C$608,$C150,'Offers'!$AG$7:$AG$608,COUNTIFS('Offers'!$B$7:$B$608,$B150,'Offers'!$C$7:$C$608,$C150,'Offers'!$AI$7:$AI$608,"yes")))</f>
        <v/>
      </c>
      <c r="L150" s="55" t="n"/>
      <c r="M150" s="55" t="n"/>
      <c r="N150" s="55" t="n"/>
      <c r="O150" s="19">
        <f>IF('Compare'!$E$5="Local prices",IF(F150="","",IF('Compare'!$C$5="Minimum",F150,IF('Compare'!$C$5="Maximum",H150,G150))),IF(I150="","",IF('Compare'!$C$5="Minimum",I150,IF('Compare'!$C$5="Maximum",K150,J150))))</f>
        <v/>
      </c>
    </row>
    <row r="151" ht="44" customHeight="1">
      <c r="A151" s="2" t="n"/>
      <c r="B151" s="24" t="inlineStr">
        <is>
          <t>Squeeze bottle 750 ml, PP, single tip</t>
        </is>
      </c>
      <c r="C151" s="24" t="inlineStr">
        <is>
          <t>Hungary</t>
        </is>
      </c>
      <c r="D151" s="24" t="inlineStr">
        <is>
          <t>HUF</t>
        </is>
      </c>
      <c r="E151" s="24" t="inlineStr">
        <is>
          <t>Net per piece</t>
        </is>
      </c>
      <c r="F151" s="94">
        <f>IF(COUNTIFS('Offers'!$B$7:$B$608,$B151,'Offers'!$C$7:$C$608,$C151,'Offers'!$AH$7:$AH$608,"yes")=0,"",SUMIFS('Offers'!$H$7:$H$608,'Offers'!$B$7:$B$608,$B151,'Offers'!$C$7:$C$608,$C151,'Offers'!$AF$7:$AF$608,1))</f>
        <v/>
      </c>
      <c r="G151" s="94">
        <f>IF(COUNTIFS('Offers'!$B$7:$B$608,$B151,'Offers'!$C$7:$C$608,$C151,'Offers'!$AH$7:$AH$608,"yes")=0,"",(SUMIFS('Offers'!$H$7:$H$608,'Offers'!$B$7:$B$608,$B151,'Offers'!$C$7:$C$608,$C151,'Offers'!$AF$7:$AF$608,ROUNDUP(COUNTIFS('Offers'!$B$7:$B$608,$B151,'Offers'!$C$7:$C$608,$C151,'Offers'!$AH$7:$AH$608,"yes")/2,0))+SUMIFS('Offers'!$H$7:$H$608,'Offers'!$B$7:$B$608,$B151,'Offers'!$C$7:$C$608,$C151,'Offers'!$AF$7:$AF$608,INT(COUNTIFS('Offers'!$B$7:$B$608,$B151,'Offers'!$C$7:$C$608,$C151,'Offers'!$AH$7:$AH$608,"yes")/2)+1))/2)</f>
        <v/>
      </c>
      <c r="H151" s="94">
        <f>IF(COUNTIFS('Offers'!$B$7:$B$608,$B151,'Offers'!$C$7:$C$608,$C151,'Offers'!$AH$7:$AH$608,"yes")=0,"",SUMIFS('Offers'!$H$7:$H$608,'Offers'!$B$7:$B$608,$B151,'Offers'!$C$7:$C$608,$C151,'Offers'!$AF$7:$AF$608,COUNTIFS('Offers'!$B$7:$B$608,$B151,'Offers'!$C$7:$C$608,$C151,'Offers'!$AH$7:$AH$608,"yes")))</f>
        <v/>
      </c>
      <c r="I151" s="95">
        <f>IF(COUNTIFS('Offers'!$B$7:$B$608,$B151,'Offers'!$C$7:$C$608,$C151,'Offers'!$AI$7:$AI$608,"yes")=0,"",SUMIFS('Offers'!$I$7:$I$608,'Offers'!$B$7:$B$608,$B151,'Offers'!$C$7:$C$608,$C151,'Offers'!$AG$7:$AG$608,1))</f>
        <v/>
      </c>
      <c r="J151" s="95">
        <f>IF(COUNTIFS('Offers'!$B$7:$B$608,$B151,'Offers'!$C$7:$C$608,$C151,'Offers'!$AI$7:$AI$608,"yes")=0,"",(SUMIFS('Offers'!$I$7:$I$608,'Offers'!$B$7:$B$608,$B151,'Offers'!$C$7:$C$608,$C151,'Offers'!$AG$7:$AG$608,ROUNDUP(COUNTIFS('Offers'!$B$7:$B$608,$B151,'Offers'!$C$7:$C$608,$C151,'Offers'!$AI$7:$AI$608,"yes")/2,0))+SUMIFS('Offers'!$I$7:$I$608,'Offers'!$B$7:$B$608,$B151,'Offers'!$C$7:$C$608,$C151,'Offers'!$AG$7:$AG$608,INT(COUNTIFS('Offers'!$B$7:$B$608,$B151,'Offers'!$C$7:$C$608,$C151,'Offers'!$AI$7:$AI$608,"yes")/2)+1))/2)</f>
        <v/>
      </c>
      <c r="K151" s="95">
        <f>IF(COUNTIFS('Offers'!$B$7:$B$608,$B151,'Offers'!$C$7:$C$608,$C151,'Offers'!$AI$7:$AI$608,"yes")=0,"",SUMIFS('Offers'!$I$7:$I$608,'Offers'!$B$7:$B$608,$B151,'Offers'!$C$7:$C$608,$C151,'Offers'!$AG$7:$AG$608,COUNTIFS('Offers'!$B$7:$B$608,$B151,'Offers'!$C$7:$C$608,$C151,'Offers'!$AI$7:$AI$608,"yes")))</f>
        <v/>
      </c>
      <c r="L151" s="55" t="n"/>
      <c r="M151" s="55" t="n"/>
      <c r="N151" s="55" t="n"/>
      <c r="O151" s="2">
        <f>IF('Compare'!$E$5="Local prices",IF(F151="","",IF('Compare'!$C$5="Minimum",F151,IF('Compare'!$C$5="Maximum",H151,G151))),IF(I151="","",IF('Compare'!$C$5="Minimum",I151,IF('Compare'!$C$5="Maximum",K151,J151))))</f>
        <v/>
      </c>
    </row>
    <row r="152" ht="44" customHeight="1">
      <c r="A152" s="2" t="n"/>
      <c r="B152" s="27" t="inlineStr">
        <is>
          <t>Squeeze bottle 750 ml, PP, single tip</t>
        </is>
      </c>
      <c r="C152" s="27" t="inlineStr">
        <is>
          <t>Romania</t>
        </is>
      </c>
      <c r="D152" s="27" t="inlineStr">
        <is>
          <t>RON</t>
        </is>
      </c>
      <c r="E152" s="27" t="inlineStr">
        <is>
          <t>Net per piece</t>
        </is>
      </c>
      <c r="F152" s="96">
        <f>IF(COUNTIFS('Offers'!$B$7:$B$608,$B152,'Offers'!$C$7:$C$608,$C152,'Offers'!$AH$7:$AH$608,"yes")=0,"",SUMIFS('Offers'!$H$7:$H$608,'Offers'!$B$7:$B$608,$B152,'Offers'!$C$7:$C$608,$C152,'Offers'!$AF$7:$AF$608,1))</f>
        <v/>
      </c>
      <c r="G152" s="96">
        <f>IF(COUNTIFS('Offers'!$B$7:$B$608,$B152,'Offers'!$C$7:$C$608,$C152,'Offers'!$AH$7:$AH$608,"yes")=0,"",(SUMIFS('Offers'!$H$7:$H$608,'Offers'!$B$7:$B$608,$B152,'Offers'!$C$7:$C$608,$C152,'Offers'!$AF$7:$AF$608,ROUNDUP(COUNTIFS('Offers'!$B$7:$B$608,$B152,'Offers'!$C$7:$C$608,$C152,'Offers'!$AH$7:$AH$608,"yes")/2,0))+SUMIFS('Offers'!$H$7:$H$608,'Offers'!$B$7:$B$608,$B152,'Offers'!$C$7:$C$608,$C152,'Offers'!$AF$7:$AF$608,INT(COUNTIFS('Offers'!$B$7:$B$608,$B152,'Offers'!$C$7:$C$608,$C152,'Offers'!$AH$7:$AH$608,"yes")/2)+1))/2)</f>
        <v/>
      </c>
      <c r="H152" s="96">
        <f>IF(COUNTIFS('Offers'!$B$7:$B$608,$B152,'Offers'!$C$7:$C$608,$C152,'Offers'!$AH$7:$AH$608,"yes")=0,"",SUMIFS('Offers'!$H$7:$H$608,'Offers'!$B$7:$B$608,$B152,'Offers'!$C$7:$C$608,$C152,'Offers'!$AF$7:$AF$608,COUNTIFS('Offers'!$B$7:$B$608,$B152,'Offers'!$C$7:$C$608,$C152,'Offers'!$AH$7:$AH$608,"yes")))</f>
        <v/>
      </c>
      <c r="I152" s="97">
        <f>IF(COUNTIFS('Offers'!$B$7:$B$608,$B152,'Offers'!$C$7:$C$608,$C152,'Offers'!$AI$7:$AI$608,"yes")=0,"",SUMIFS('Offers'!$I$7:$I$608,'Offers'!$B$7:$B$608,$B152,'Offers'!$C$7:$C$608,$C152,'Offers'!$AG$7:$AG$608,1))</f>
        <v/>
      </c>
      <c r="J152" s="97">
        <f>IF(COUNTIFS('Offers'!$B$7:$B$608,$B152,'Offers'!$C$7:$C$608,$C152,'Offers'!$AI$7:$AI$608,"yes")=0,"",(SUMIFS('Offers'!$I$7:$I$608,'Offers'!$B$7:$B$608,$B152,'Offers'!$C$7:$C$608,$C152,'Offers'!$AG$7:$AG$608,ROUNDUP(COUNTIFS('Offers'!$B$7:$B$608,$B152,'Offers'!$C$7:$C$608,$C152,'Offers'!$AI$7:$AI$608,"yes")/2,0))+SUMIFS('Offers'!$I$7:$I$608,'Offers'!$B$7:$B$608,$B152,'Offers'!$C$7:$C$608,$C152,'Offers'!$AG$7:$AG$608,INT(COUNTIFS('Offers'!$B$7:$B$608,$B152,'Offers'!$C$7:$C$608,$C152,'Offers'!$AI$7:$AI$608,"yes")/2)+1))/2)</f>
        <v/>
      </c>
      <c r="K152" s="97">
        <f>IF(COUNTIFS('Offers'!$B$7:$B$608,$B152,'Offers'!$C$7:$C$608,$C152,'Offers'!$AI$7:$AI$608,"yes")=0,"",SUMIFS('Offers'!$I$7:$I$608,'Offers'!$B$7:$B$608,$B152,'Offers'!$C$7:$C$608,$C152,'Offers'!$AG$7:$AG$608,COUNTIFS('Offers'!$B$7:$B$608,$B152,'Offers'!$C$7:$C$608,$C152,'Offers'!$AI$7:$AI$608,"yes")))</f>
        <v/>
      </c>
      <c r="L152" s="55" t="n"/>
      <c r="M152" s="55" t="n"/>
      <c r="N152" s="55" t="n"/>
      <c r="O152" s="19">
        <f>IF('Compare'!$E$5="Local prices",IF(F152="","",IF('Compare'!$C$5="Minimum",F152,IF('Compare'!$C$5="Maximum",H152,G152))),IF(I152="","",IF('Compare'!$C$5="Minimum",I152,IF('Compare'!$C$5="Maximum",K152,J152))))</f>
        <v/>
      </c>
    </row>
    <row r="153" ht="44" customHeight="1">
      <c r="A153" s="2" t="n"/>
      <c r="B153" s="24" t="inlineStr">
        <is>
          <t>Squeeze bottle 750 ml, PP, single tip</t>
        </is>
      </c>
      <c r="C153" s="24" t="inlineStr">
        <is>
          <t>Austria</t>
        </is>
      </c>
      <c r="D153" s="24" t="inlineStr">
        <is>
          <t>EUR</t>
        </is>
      </c>
      <c r="E153" s="24" t="inlineStr">
        <is>
          <t>Net per piece</t>
        </is>
      </c>
      <c r="F153" s="94">
        <f>IF(COUNTIFS('Offers'!$B$7:$B$608,$B153,'Offers'!$C$7:$C$608,$C153,'Offers'!$AH$7:$AH$608,"yes")=0,"",SUMIFS('Offers'!$H$7:$H$608,'Offers'!$B$7:$B$608,$B153,'Offers'!$C$7:$C$608,$C153,'Offers'!$AF$7:$AF$608,1))</f>
        <v/>
      </c>
      <c r="G153" s="94">
        <f>IF(COUNTIFS('Offers'!$B$7:$B$608,$B153,'Offers'!$C$7:$C$608,$C153,'Offers'!$AH$7:$AH$608,"yes")=0,"",(SUMIFS('Offers'!$H$7:$H$608,'Offers'!$B$7:$B$608,$B153,'Offers'!$C$7:$C$608,$C153,'Offers'!$AF$7:$AF$608,ROUNDUP(COUNTIFS('Offers'!$B$7:$B$608,$B153,'Offers'!$C$7:$C$608,$C153,'Offers'!$AH$7:$AH$608,"yes")/2,0))+SUMIFS('Offers'!$H$7:$H$608,'Offers'!$B$7:$B$608,$B153,'Offers'!$C$7:$C$608,$C153,'Offers'!$AF$7:$AF$608,INT(COUNTIFS('Offers'!$B$7:$B$608,$B153,'Offers'!$C$7:$C$608,$C153,'Offers'!$AH$7:$AH$608,"yes")/2)+1))/2)</f>
        <v/>
      </c>
      <c r="H153" s="94">
        <f>IF(COUNTIFS('Offers'!$B$7:$B$608,$B153,'Offers'!$C$7:$C$608,$C153,'Offers'!$AH$7:$AH$608,"yes")=0,"",SUMIFS('Offers'!$H$7:$H$608,'Offers'!$B$7:$B$608,$B153,'Offers'!$C$7:$C$608,$C153,'Offers'!$AF$7:$AF$608,COUNTIFS('Offers'!$B$7:$B$608,$B153,'Offers'!$C$7:$C$608,$C153,'Offers'!$AH$7:$AH$608,"yes")))</f>
        <v/>
      </c>
      <c r="I153" s="95">
        <f>IF(COUNTIFS('Offers'!$B$7:$B$608,$B153,'Offers'!$C$7:$C$608,$C153,'Offers'!$AI$7:$AI$608,"yes")=0,"",SUMIFS('Offers'!$I$7:$I$608,'Offers'!$B$7:$B$608,$B153,'Offers'!$C$7:$C$608,$C153,'Offers'!$AG$7:$AG$608,1))</f>
        <v/>
      </c>
      <c r="J153" s="95">
        <f>IF(COUNTIFS('Offers'!$B$7:$B$608,$B153,'Offers'!$C$7:$C$608,$C153,'Offers'!$AI$7:$AI$608,"yes")=0,"",(SUMIFS('Offers'!$I$7:$I$608,'Offers'!$B$7:$B$608,$B153,'Offers'!$C$7:$C$608,$C153,'Offers'!$AG$7:$AG$608,ROUNDUP(COUNTIFS('Offers'!$B$7:$B$608,$B153,'Offers'!$C$7:$C$608,$C153,'Offers'!$AI$7:$AI$608,"yes")/2,0))+SUMIFS('Offers'!$I$7:$I$608,'Offers'!$B$7:$B$608,$B153,'Offers'!$C$7:$C$608,$C153,'Offers'!$AG$7:$AG$608,INT(COUNTIFS('Offers'!$B$7:$B$608,$B153,'Offers'!$C$7:$C$608,$C153,'Offers'!$AI$7:$AI$608,"yes")/2)+1))/2)</f>
        <v/>
      </c>
      <c r="K153" s="95">
        <f>IF(COUNTIFS('Offers'!$B$7:$B$608,$B153,'Offers'!$C$7:$C$608,$C153,'Offers'!$AI$7:$AI$608,"yes")=0,"",SUMIFS('Offers'!$I$7:$I$608,'Offers'!$B$7:$B$608,$B153,'Offers'!$C$7:$C$608,$C153,'Offers'!$AG$7:$AG$608,COUNTIFS('Offers'!$B$7:$B$608,$B153,'Offers'!$C$7:$C$608,$C153,'Offers'!$AI$7:$AI$608,"yes")))</f>
        <v/>
      </c>
      <c r="L153" s="55" t="n"/>
      <c r="M153" s="55" t="n"/>
      <c r="N153" s="55" t="n"/>
      <c r="O153" s="2">
        <f>IF('Compare'!$E$5="Local prices",IF(F153="","",IF('Compare'!$C$5="Minimum",F153,IF('Compare'!$C$5="Maximum",H153,G153))),IF(I153="","",IF('Compare'!$C$5="Minimum",I153,IF('Compare'!$C$5="Maximum",K153,J153))))</f>
        <v/>
      </c>
    </row>
    <row r="154" ht="44" customHeight="1">
      <c r="A154" s="2" t="n"/>
      <c r="B154" s="27" t="inlineStr">
        <is>
          <t>Squeeze bottle 750 ml, PP, single tip</t>
        </is>
      </c>
      <c r="C154" s="27" t="inlineStr">
        <is>
          <t>Germany</t>
        </is>
      </c>
      <c r="D154" s="27" t="inlineStr">
        <is>
          <t>EUR</t>
        </is>
      </c>
      <c r="E154" s="27" t="inlineStr">
        <is>
          <t>Net per piece</t>
        </is>
      </c>
      <c r="F154" s="96">
        <f>IF(COUNTIFS('Offers'!$B$7:$B$608,$B154,'Offers'!$C$7:$C$608,$C154,'Offers'!$AH$7:$AH$608,"yes")=0,"",SUMIFS('Offers'!$H$7:$H$608,'Offers'!$B$7:$B$608,$B154,'Offers'!$C$7:$C$608,$C154,'Offers'!$AF$7:$AF$608,1))</f>
        <v/>
      </c>
      <c r="G154" s="96">
        <f>IF(COUNTIFS('Offers'!$B$7:$B$608,$B154,'Offers'!$C$7:$C$608,$C154,'Offers'!$AH$7:$AH$608,"yes")=0,"",(SUMIFS('Offers'!$H$7:$H$608,'Offers'!$B$7:$B$608,$B154,'Offers'!$C$7:$C$608,$C154,'Offers'!$AF$7:$AF$608,ROUNDUP(COUNTIFS('Offers'!$B$7:$B$608,$B154,'Offers'!$C$7:$C$608,$C154,'Offers'!$AH$7:$AH$608,"yes")/2,0))+SUMIFS('Offers'!$H$7:$H$608,'Offers'!$B$7:$B$608,$B154,'Offers'!$C$7:$C$608,$C154,'Offers'!$AF$7:$AF$608,INT(COUNTIFS('Offers'!$B$7:$B$608,$B154,'Offers'!$C$7:$C$608,$C154,'Offers'!$AH$7:$AH$608,"yes")/2)+1))/2)</f>
        <v/>
      </c>
      <c r="H154" s="96">
        <f>IF(COUNTIFS('Offers'!$B$7:$B$608,$B154,'Offers'!$C$7:$C$608,$C154,'Offers'!$AH$7:$AH$608,"yes")=0,"",SUMIFS('Offers'!$H$7:$H$608,'Offers'!$B$7:$B$608,$B154,'Offers'!$C$7:$C$608,$C154,'Offers'!$AF$7:$AF$608,COUNTIFS('Offers'!$B$7:$B$608,$B154,'Offers'!$C$7:$C$608,$C154,'Offers'!$AH$7:$AH$608,"yes")))</f>
        <v/>
      </c>
      <c r="I154" s="97">
        <f>IF(COUNTIFS('Offers'!$B$7:$B$608,$B154,'Offers'!$C$7:$C$608,$C154,'Offers'!$AI$7:$AI$608,"yes")=0,"",SUMIFS('Offers'!$I$7:$I$608,'Offers'!$B$7:$B$608,$B154,'Offers'!$C$7:$C$608,$C154,'Offers'!$AG$7:$AG$608,1))</f>
        <v/>
      </c>
      <c r="J154" s="97">
        <f>IF(COUNTIFS('Offers'!$B$7:$B$608,$B154,'Offers'!$C$7:$C$608,$C154,'Offers'!$AI$7:$AI$608,"yes")=0,"",(SUMIFS('Offers'!$I$7:$I$608,'Offers'!$B$7:$B$608,$B154,'Offers'!$C$7:$C$608,$C154,'Offers'!$AG$7:$AG$608,ROUNDUP(COUNTIFS('Offers'!$B$7:$B$608,$B154,'Offers'!$C$7:$C$608,$C154,'Offers'!$AI$7:$AI$608,"yes")/2,0))+SUMIFS('Offers'!$I$7:$I$608,'Offers'!$B$7:$B$608,$B154,'Offers'!$C$7:$C$608,$C154,'Offers'!$AG$7:$AG$608,INT(COUNTIFS('Offers'!$B$7:$B$608,$B154,'Offers'!$C$7:$C$608,$C154,'Offers'!$AI$7:$AI$608,"yes")/2)+1))/2)</f>
        <v/>
      </c>
      <c r="K154" s="97">
        <f>IF(COUNTIFS('Offers'!$B$7:$B$608,$B154,'Offers'!$C$7:$C$608,$C154,'Offers'!$AI$7:$AI$608,"yes")=0,"",SUMIFS('Offers'!$I$7:$I$608,'Offers'!$B$7:$B$608,$B154,'Offers'!$C$7:$C$608,$C154,'Offers'!$AG$7:$AG$608,COUNTIFS('Offers'!$B$7:$B$608,$B154,'Offers'!$C$7:$C$608,$C154,'Offers'!$AI$7:$AI$608,"yes")))</f>
        <v/>
      </c>
      <c r="L154" s="55" t="n"/>
      <c r="M154" s="55" t="n"/>
      <c r="N154" s="55" t="n"/>
      <c r="O154" s="19">
        <f>IF('Compare'!$E$5="Local prices",IF(F154="","",IF('Compare'!$C$5="Minimum",F154,IF('Compare'!$C$5="Maximum",H154,G154))),IF(I154="","",IF('Compare'!$C$5="Minimum",I154,IF('Compare'!$C$5="Maximum",K154,J154))))</f>
        <v/>
      </c>
    </row>
    <row r="155" ht="44" customHeight="1">
      <c r="A155" s="2" t="n"/>
      <c r="B155" s="24" t="inlineStr">
        <is>
          <t>Squeeze bottle 750 ml, PP, single tip</t>
        </is>
      </c>
      <c r="C155" s="24" t="inlineStr">
        <is>
          <t>Czech</t>
        </is>
      </c>
      <c r="D155" s="24" t="inlineStr">
        <is>
          <t>CZK</t>
        </is>
      </c>
      <c r="E155" s="24" t="inlineStr">
        <is>
          <t>Net per piece</t>
        </is>
      </c>
      <c r="F155" s="94">
        <f>IF(COUNTIFS('Offers'!$B$7:$B$608,$B155,'Offers'!$C$7:$C$608,$C155,'Offers'!$AH$7:$AH$608,"yes")=0,"",SUMIFS('Offers'!$H$7:$H$608,'Offers'!$B$7:$B$608,$B155,'Offers'!$C$7:$C$608,$C155,'Offers'!$AF$7:$AF$608,1))</f>
        <v/>
      </c>
      <c r="G155" s="94">
        <f>IF(COUNTIFS('Offers'!$B$7:$B$608,$B155,'Offers'!$C$7:$C$608,$C155,'Offers'!$AH$7:$AH$608,"yes")=0,"",(SUMIFS('Offers'!$H$7:$H$608,'Offers'!$B$7:$B$608,$B155,'Offers'!$C$7:$C$608,$C155,'Offers'!$AF$7:$AF$608,ROUNDUP(COUNTIFS('Offers'!$B$7:$B$608,$B155,'Offers'!$C$7:$C$608,$C155,'Offers'!$AH$7:$AH$608,"yes")/2,0))+SUMIFS('Offers'!$H$7:$H$608,'Offers'!$B$7:$B$608,$B155,'Offers'!$C$7:$C$608,$C155,'Offers'!$AF$7:$AF$608,INT(COUNTIFS('Offers'!$B$7:$B$608,$B155,'Offers'!$C$7:$C$608,$C155,'Offers'!$AH$7:$AH$608,"yes")/2)+1))/2)</f>
        <v/>
      </c>
      <c r="H155" s="94">
        <f>IF(COUNTIFS('Offers'!$B$7:$B$608,$B155,'Offers'!$C$7:$C$608,$C155,'Offers'!$AH$7:$AH$608,"yes")=0,"",SUMIFS('Offers'!$H$7:$H$608,'Offers'!$B$7:$B$608,$B155,'Offers'!$C$7:$C$608,$C155,'Offers'!$AF$7:$AF$608,COUNTIFS('Offers'!$B$7:$B$608,$B155,'Offers'!$C$7:$C$608,$C155,'Offers'!$AH$7:$AH$608,"yes")))</f>
        <v/>
      </c>
      <c r="I155" s="95">
        <f>IF(COUNTIFS('Offers'!$B$7:$B$608,$B155,'Offers'!$C$7:$C$608,$C155,'Offers'!$AI$7:$AI$608,"yes")=0,"",SUMIFS('Offers'!$I$7:$I$608,'Offers'!$B$7:$B$608,$B155,'Offers'!$C$7:$C$608,$C155,'Offers'!$AG$7:$AG$608,1))</f>
        <v/>
      </c>
      <c r="J155" s="95">
        <f>IF(COUNTIFS('Offers'!$B$7:$B$608,$B155,'Offers'!$C$7:$C$608,$C155,'Offers'!$AI$7:$AI$608,"yes")=0,"",(SUMIFS('Offers'!$I$7:$I$608,'Offers'!$B$7:$B$608,$B155,'Offers'!$C$7:$C$608,$C155,'Offers'!$AG$7:$AG$608,ROUNDUP(COUNTIFS('Offers'!$B$7:$B$608,$B155,'Offers'!$C$7:$C$608,$C155,'Offers'!$AI$7:$AI$608,"yes")/2,0))+SUMIFS('Offers'!$I$7:$I$608,'Offers'!$B$7:$B$608,$B155,'Offers'!$C$7:$C$608,$C155,'Offers'!$AG$7:$AG$608,INT(COUNTIFS('Offers'!$B$7:$B$608,$B155,'Offers'!$C$7:$C$608,$C155,'Offers'!$AI$7:$AI$608,"yes")/2)+1))/2)</f>
        <v/>
      </c>
      <c r="K155" s="95">
        <f>IF(COUNTIFS('Offers'!$B$7:$B$608,$B155,'Offers'!$C$7:$C$608,$C155,'Offers'!$AI$7:$AI$608,"yes")=0,"",SUMIFS('Offers'!$I$7:$I$608,'Offers'!$B$7:$B$608,$B155,'Offers'!$C$7:$C$608,$C155,'Offers'!$AG$7:$AG$608,COUNTIFS('Offers'!$B$7:$B$608,$B155,'Offers'!$C$7:$C$608,$C155,'Offers'!$AI$7:$AI$608,"yes")))</f>
        <v/>
      </c>
      <c r="L155" s="55" t="n"/>
      <c r="M155" s="55" t="n"/>
      <c r="N155" s="55" t="n"/>
      <c r="O155" s="2">
        <f>IF('Compare'!$E$5="Local prices",IF(F155="","",IF('Compare'!$C$5="Minimum",F155,IF('Compare'!$C$5="Maximum",H155,G155))),IF(I155="","",IF('Compare'!$C$5="Minimum",I155,IF('Compare'!$C$5="Maximum",K155,J155))))</f>
        <v/>
      </c>
    </row>
    <row r="156" ht="44" customHeight="1">
      <c r="A156" s="2" t="n"/>
      <c r="B156" s="27" t="inlineStr">
        <is>
          <t>Squeeze bottle 750 ml, PP, single tip</t>
        </is>
      </c>
      <c r="C156" s="27" t="inlineStr">
        <is>
          <t>Slovakia</t>
        </is>
      </c>
      <c r="D156" s="27" t="inlineStr">
        <is>
          <t>EUR</t>
        </is>
      </c>
      <c r="E156" s="27" t="inlineStr">
        <is>
          <t>Net per piece</t>
        </is>
      </c>
      <c r="F156" s="96">
        <f>IF(COUNTIFS('Offers'!$B$7:$B$608,$B156,'Offers'!$C$7:$C$608,$C156,'Offers'!$AH$7:$AH$608,"yes")=0,"",SUMIFS('Offers'!$H$7:$H$608,'Offers'!$B$7:$B$608,$B156,'Offers'!$C$7:$C$608,$C156,'Offers'!$AF$7:$AF$608,1))</f>
        <v/>
      </c>
      <c r="G156" s="96">
        <f>IF(COUNTIFS('Offers'!$B$7:$B$608,$B156,'Offers'!$C$7:$C$608,$C156,'Offers'!$AH$7:$AH$608,"yes")=0,"",(SUMIFS('Offers'!$H$7:$H$608,'Offers'!$B$7:$B$608,$B156,'Offers'!$C$7:$C$608,$C156,'Offers'!$AF$7:$AF$608,ROUNDUP(COUNTIFS('Offers'!$B$7:$B$608,$B156,'Offers'!$C$7:$C$608,$C156,'Offers'!$AH$7:$AH$608,"yes")/2,0))+SUMIFS('Offers'!$H$7:$H$608,'Offers'!$B$7:$B$608,$B156,'Offers'!$C$7:$C$608,$C156,'Offers'!$AF$7:$AF$608,INT(COUNTIFS('Offers'!$B$7:$B$608,$B156,'Offers'!$C$7:$C$608,$C156,'Offers'!$AH$7:$AH$608,"yes")/2)+1))/2)</f>
        <v/>
      </c>
      <c r="H156" s="96">
        <f>IF(COUNTIFS('Offers'!$B$7:$B$608,$B156,'Offers'!$C$7:$C$608,$C156,'Offers'!$AH$7:$AH$608,"yes")=0,"",SUMIFS('Offers'!$H$7:$H$608,'Offers'!$B$7:$B$608,$B156,'Offers'!$C$7:$C$608,$C156,'Offers'!$AF$7:$AF$608,COUNTIFS('Offers'!$B$7:$B$608,$B156,'Offers'!$C$7:$C$608,$C156,'Offers'!$AH$7:$AH$608,"yes")))</f>
        <v/>
      </c>
      <c r="I156" s="97">
        <f>IF(COUNTIFS('Offers'!$B$7:$B$608,$B156,'Offers'!$C$7:$C$608,$C156,'Offers'!$AI$7:$AI$608,"yes")=0,"",SUMIFS('Offers'!$I$7:$I$608,'Offers'!$B$7:$B$608,$B156,'Offers'!$C$7:$C$608,$C156,'Offers'!$AG$7:$AG$608,1))</f>
        <v/>
      </c>
      <c r="J156" s="97">
        <f>IF(COUNTIFS('Offers'!$B$7:$B$608,$B156,'Offers'!$C$7:$C$608,$C156,'Offers'!$AI$7:$AI$608,"yes")=0,"",(SUMIFS('Offers'!$I$7:$I$608,'Offers'!$B$7:$B$608,$B156,'Offers'!$C$7:$C$608,$C156,'Offers'!$AG$7:$AG$608,ROUNDUP(COUNTIFS('Offers'!$B$7:$B$608,$B156,'Offers'!$C$7:$C$608,$C156,'Offers'!$AI$7:$AI$608,"yes")/2,0))+SUMIFS('Offers'!$I$7:$I$608,'Offers'!$B$7:$B$608,$B156,'Offers'!$C$7:$C$608,$C156,'Offers'!$AG$7:$AG$608,INT(COUNTIFS('Offers'!$B$7:$B$608,$B156,'Offers'!$C$7:$C$608,$C156,'Offers'!$AI$7:$AI$608,"yes")/2)+1))/2)</f>
        <v/>
      </c>
      <c r="K156" s="97">
        <f>IF(COUNTIFS('Offers'!$B$7:$B$608,$B156,'Offers'!$C$7:$C$608,$C156,'Offers'!$AI$7:$AI$608,"yes")=0,"",SUMIFS('Offers'!$I$7:$I$608,'Offers'!$B$7:$B$608,$B156,'Offers'!$C$7:$C$608,$C156,'Offers'!$AG$7:$AG$608,COUNTIFS('Offers'!$B$7:$B$608,$B156,'Offers'!$C$7:$C$608,$C156,'Offers'!$AI$7:$AI$608,"yes")))</f>
        <v/>
      </c>
      <c r="L156" s="55" t="n"/>
      <c r="M156" s="55" t="n"/>
      <c r="N156" s="55" t="n"/>
      <c r="O156" s="19">
        <f>IF('Compare'!$E$5="Local prices",IF(F156="","",IF('Compare'!$C$5="Minimum",F156,IF('Compare'!$C$5="Maximum",H156,G156))),IF(I156="","",IF('Compare'!$C$5="Minimum",I156,IF('Compare'!$C$5="Maximum",K156,J156))))</f>
        <v/>
      </c>
    </row>
    <row r="157" ht="44" customHeight="1">
      <c r="A157" s="2" t="n"/>
      <c r="B157" s="24" t="inlineStr">
        <is>
          <t>Red PE cutting board 400 × 300 × 20 mm</t>
        </is>
      </c>
      <c r="C157" s="24" t="inlineStr">
        <is>
          <t>Hungary</t>
        </is>
      </c>
      <c r="D157" s="24" t="inlineStr">
        <is>
          <t>HUF</t>
        </is>
      </c>
      <c r="E157" s="24" t="inlineStr">
        <is>
          <t>Net per piece</t>
        </is>
      </c>
      <c r="F157" s="94">
        <f>IF(COUNTIFS('Offers'!$B$7:$B$608,$B157,'Offers'!$C$7:$C$608,$C157,'Offers'!$AH$7:$AH$608,"yes")=0,"",SUMIFS('Offers'!$H$7:$H$608,'Offers'!$B$7:$B$608,$B157,'Offers'!$C$7:$C$608,$C157,'Offers'!$AF$7:$AF$608,1))</f>
        <v/>
      </c>
      <c r="G157" s="94">
        <f>IF(COUNTIFS('Offers'!$B$7:$B$608,$B157,'Offers'!$C$7:$C$608,$C157,'Offers'!$AH$7:$AH$608,"yes")=0,"",(SUMIFS('Offers'!$H$7:$H$608,'Offers'!$B$7:$B$608,$B157,'Offers'!$C$7:$C$608,$C157,'Offers'!$AF$7:$AF$608,ROUNDUP(COUNTIFS('Offers'!$B$7:$B$608,$B157,'Offers'!$C$7:$C$608,$C157,'Offers'!$AH$7:$AH$608,"yes")/2,0))+SUMIFS('Offers'!$H$7:$H$608,'Offers'!$B$7:$B$608,$B157,'Offers'!$C$7:$C$608,$C157,'Offers'!$AF$7:$AF$608,INT(COUNTIFS('Offers'!$B$7:$B$608,$B157,'Offers'!$C$7:$C$608,$C157,'Offers'!$AH$7:$AH$608,"yes")/2)+1))/2)</f>
        <v/>
      </c>
      <c r="H157" s="94">
        <f>IF(COUNTIFS('Offers'!$B$7:$B$608,$B157,'Offers'!$C$7:$C$608,$C157,'Offers'!$AH$7:$AH$608,"yes")=0,"",SUMIFS('Offers'!$H$7:$H$608,'Offers'!$B$7:$B$608,$B157,'Offers'!$C$7:$C$608,$C157,'Offers'!$AF$7:$AF$608,COUNTIFS('Offers'!$B$7:$B$608,$B157,'Offers'!$C$7:$C$608,$C157,'Offers'!$AH$7:$AH$608,"yes")))</f>
        <v/>
      </c>
      <c r="I157" s="95">
        <f>IF(COUNTIFS('Offers'!$B$7:$B$608,$B157,'Offers'!$C$7:$C$608,$C157,'Offers'!$AI$7:$AI$608,"yes")=0,"",SUMIFS('Offers'!$I$7:$I$608,'Offers'!$B$7:$B$608,$B157,'Offers'!$C$7:$C$608,$C157,'Offers'!$AG$7:$AG$608,1))</f>
        <v/>
      </c>
      <c r="J157" s="95">
        <f>IF(COUNTIFS('Offers'!$B$7:$B$608,$B157,'Offers'!$C$7:$C$608,$C157,'Offers'!$AI$7:$AI$608,"yes")=0,"",(SUMIFS('Offers'!$I$7:$I$608,'Offers'!$B$7:$B$608,$B157,'Offers'!$C$7:$C$608,$C157,'Offers'!$AG$7:$AG$608,ROUNDUP(COUNTIFS('Offers'!$B$7:$B$608,$B157,'Offers'!$C$7:$C$608,$C157,'Offers'!$AI$7:$AI$608,"yes")/2,0))+SUMIFS('Offers'!$I$7:$I$608,'Offers'!$B$7:$B$608,$B157,'Offers'!$C$7:$C$608,$C157,'Offers'!$AG$7:$AG$608,INT(COUNTIFS('Offers'!$B$7:$B$608,$B157,'Offers'!$C$7:$C$608,$C157,'Offers'!$AI$7:$AI$608,"yes")/2)+1))/2)</f>
        <v/>
      </c>
      <c r="K157" s="95">
        <f>IF(COUNTIFS('Offers'!$B$7:$B$608,$B157,'Offers'!$C$7:$C$608,$C157,'Offers'!$AI$7:$AI$608,"yes")=0,"",SUMIFS('Offers'!$I$7:$I$608,'Offers'!$B$7:$B$608,$B157,'Offers'!$C$7:$C$608,$C157,'Offers'!$AG$7:$AG$608,COUNTIFS('Offers'!$B$7:$B$608,$B157,'Offers'!$C$7:$C$608,$C157,'Offers'!$AI$7:$AI$608,"yes")))</f>
        <v/>
      </c>
      <c r="L157" s="55" t="n"/>
      <c r="M157" s="55" t="n"/>
      <c r="N157" s="55" t="n"/>
      <c r="O157" s="2">
        <f>IF('Compare'!$E$5="Local prices",IF(F157="","",IF('Compare'!$C$5="Minimum",F157,IF('Compare'!$C$5="Maximum",H157,G157))),IF(I157="","",IF('Compare'!$C$5="Minimum",I157,IF('Compare'!$C$5="Maximum",K157,J157))))</f>
        <v/>
      </c>
    </row>
    <row r="158" ht="44" customHeight="1">
      <c r="A158" s="2" t="n"/>
      <c r="B158" s="27" t="inlineStr">
        <is>
          <t>Red PE cutting board 400 × 300 × 20 mm</t>
        </is>
      </c>
      <c r="C158" s="27" t="inlineStr">
        <is>
          <t>Romania</t>
        </is>
      </c>
      <c r="D158" s="27" t="inlineStr">
        <is>
          <t>RON</t>
        </is>
      </c>
      <c r="E158" s="27" t="inlineStr">
        <is>
          <t>Net per piece</t>
        </is>
      </c>
      <c r="F158" s="96">
        <f>IF(COUNTIFS('Offers'!$B$7:$B$608,$B158,'Offers'!$C$7:$C$608,$C158,'Offers'!$AH$7:$AH$608,"yes")=0,"",SUMIFS('Offers'!$H$7:$H$608,'Offers'!$B$7:$B$608,$B158,'Offers'!$C$7:$C$608,$C158,'Offers'!$AF$7:$AF$608,1))</f>
        <v/>
      </c>
      <c r="G158" s="96">
        <f>IF(COUNTIFS('Offers'!$B$7:$B$608,$B158,'Offers'!$C$7:$C$608,$C158,'Offers'!$AH$7:$AH$608,"yes")=0,"",(SUMIFS('Offers'!$H$7:$H$608,'Offers'!$B$7:$B$608,$B158,'Offers'!$C$7:$C$608,$C158,'Offers'!$AF$7:$AF$608,ROUNDUP(COUNTIFS('Offers'!$B$7:$B$608,$B158,'Offers'!$C$7:$C$608,$C158,'Offers'!$AH$7:$AH$608,"yes")/2,0))+SUMIFS('Offers'!$H$7:$H$608,'Offers'!$B$7:$B$608,$B158,'Offers'!$C$7:$C$608,$C158,'Offers'!$AF$7:$AF$608,INT(COUNTIFS('Offers'!$B$7:$B$608,$B158,'Offers'!$C$7:$C$608,$C158,'Offers'!$AH$7:$AH$608,"yes")/2)+1))/2)</f>
        <v/>
      </c>
      <c r="H158" s="96">
        <f>IF(COUNTIFS('Offers'!$B$7:$B$608,$B158,'Offers'!$C$7:$C$608,$C158,'Offers'!$AH$7:$AH$608,"yes")=0,"",SUMIFS('Offers'!$H$7:$H$608,'Offers'!$B$7:$B$608,$B158,'Offers'!$C$7:$C$608,$C158,'Offers'!$AF$7:$AF$608,COUNTIFS('Offers'!$B$7:$B$608,$B158,'Offers'!$C$7:$C$608,$C158,'Offers'!$AH$7:$AH$608,"yes")))</f>
        <v/>
      </c>
      <c r="I158" s="97">
        <f>IF(COUNTIFS('Offers'!$B$7:$B$608,$B158,'Offers'!$C$7:$C$608,$C158,'Offers'!$AI$7:$AI$608,"yes")=0,"",SUMIFS('Offers'!$I$7:$I$608,'Offers'!$B$7:$B$608,$B158,'Offers'!$C$7:$C$608,$C158,'Offers'!$AG$7:$AG$608,1))</f>
        <v/>
      </c>
      <c r="J158" s="97">
        <f>IF(COUNTIFS('Offers'!$B$7:$B$608,$B158,'Offers'!$C$7:$C$608,$C158,'Offers'!$AI$7:$AI$608,"yes")=0,"",(SUMIFS('Offers'!$I$7:$I$608,'Offers'!$B$7:$B$608,$B158,'Offers'!$C$7:$C$608,$C158,'Offers'!$AG$7:$AG$608,ROUNDUP(COUNTIFS('Offers'!$B$7:$B$608,$B158,'Offers'!$C$7:$C$608,$C158,'Offers'!$AI$7:$AI$608,"yes")/2,0))+SUMIFS('Offers'!$I$7:$I$608,'Offers'!$B$7:$B$608,$B158,'Offers'!$C$7:$C$608,$C158,'Offers'!$AG$7:$AG$608,INT(COUNTIFS('Offers'!$B$7:$B$608,$B158,'Offers'!$C$7:$C$608,$C158,'Offers'!$AI$7:$AI$608,"yes")/2)+1))/2)</f>
        <v/>
      </c>
      <c r="K158" s="97">
        <f>IF(COUNTIFS('Offers'!$B$7:$B$608,$B158,'Offers'!$C$7:$C$608,$C158,'Offers'!$AI$7:$AI$608,"yes")=0,"",SUMIFS('Offers'!$I$7:$I$608,'Offers'!$B$7:$B$608,$B158,'Offers'!$C$7:$C$608,$C158,'Offers'!$AG$7:$AG$608,COUNTIFS('Offers'!$B$7:$B$608,$B158,'Offers'!$C$7:$C$608,$C158,'Offers'!$AI$7:$AI$608,"yes")))</f>
        <v/>
      </c>
      <c r="L158" s="55" t="n"/>
      <c r="M158" s="55" t="n"/>
      <c r="N158" s="55" t="n"/>
      <c r="O158" s="19">
        <f>IF('Compare'!$E$5="Local prices",IF(F158="","",IF('Compare'!$C$5="Minimum",F158,IF('Compare'!$C$5="Maximum",H158,G158))),IF(I158="","",IF('Compare'!$C$5="Minimum",I158,IF('Compare'!$C$5="Maximum",K158,J158))))</f>
        <v/>
      </c>
    </row>
    <row r="159" ht="44" customHeight="1">
      <c r="A159" s="2" t="n"/>
      <c r="B159" s="24" t="inlineStr">
        <is>
          <t>Red PE cutting board 400 × 300 × 20 mm</t>
        </is>
      </c>
      <c r="C159" s="24" t="inlineStr">
        <is>
          <t>Austria</t>
        </is>
      </c>
      <c r="D159" s="24" t="inlineStr">
        <is>
          <t>EUR</t>
        </is>
      </c>
      <c r="E159" s="24" t="inlineStr">
        <is>
          <t>Net per piece</t>
        </is>
      </c>
      <c r="F159" s="94">
        <f>IF(COUNTIFS('Offers'!$B$7:$B$608,$B159,'Offers'!$C$7:$C$608,$C159,'Offers'!$AH$7:$AH$608,"yes")=0,"",SUMIFS('Offers'!$H$7:$H$608,'Offers'!$B$7:$B$608,$B159,'Offers'!$C$7:$C$608,$C159,'Offers'!$AF$7:$AF$608,1))</f>
        <v/>
      </c>
      <c r="G159" s="94">
        <f>IF(COUNTIFS('Offers'!$B$7:$B$608,$B159,'Offers'!$C$7:$C$608,$C159,'Offers'!$AH$7:$AH$608,"yes")=0,"",(SUMIFS('Offers'!$H$7:$H$608,'Offers'!$B$7:$B$608,$B159,'Offers'!$C$7:$C$608,$C159,'Offers'!$AF$7:$AF$608,ROUNDUP(COUNTIFS('Offers'!$B$7:$B$608,$B159,'Offers'!$C$7:$C$608,$C159,'Offers'!$AH$7:$AH$608,"yes")/2,0))+SUMIFS('Offers'!$H$7:$H$608,'Offers'!$B$7:$B$608,$B159,'Offers'!$C$7:$C$608,$C159,'Offers'!$AF$7:$AF$608,INT(COUNTIFS('Offers'!$B$7:$B$608,$B159,'Offers'!$C$7:$C$608,$C159,'Offers'!$AH$7:$AH$608,"yes")/2)+1))/2)</f>
        <v/>
      </c>
      <c r="H159" s="94">
        <f>IF(COUNTIFS('Offers'!$B$7:$B$608,$B159,'Offers'!$C$7:$C$608,$C159,'Offers'!$AH$7:$AH$608,"yes")=0,"",SUMIFS('Offers'!$H$7:$H$608,'Offers'!$B$7:$B$608,$B159,'Offers'!$C$7:$C$608,$C159,'Offers'!$AF$7:$AF$608,COUNTIFS('Offers'!$B$7:$B$608,$B159,'Offers'!$C$7:$C$608,$C159,'Offers'!$AH$7:$AH$608,"yes")))</f>
        <v/>
      </c>
      <c r="I159" s="95">
        <f>IF(COUNTIFS('Offers'!$B$7:$B$608,$B159,'Offers'!$C$7:$C$608,$C159,'Offers'!$AI$7:$AI$608,"yes")=0,"",SUMIFS('Offers'!$I$7:$I$608,'Offers'!$B$7:$B$608,$B159,'Offers'!$C$7:$C$608,$C159,'Offers'!$AG$7:$AG$608,1))</f>
        <v/>
      </c>
      <c r="J159" s="95">
        <f>IF(COUNTIFS('Offers'!$B$7:$B$608,$B159,'Offers'!$C$7:$C$608,$C159,'Offers'!$AI$7:$AI$608,"yes")=0,"",(SUMIFS('Offers'!$I$7:$I$608,'Offers'!$B$7:$B$608,$B159,'Offers'!$C$7:$C$608,$C159,'Offers'!$AG$7:$AG$608,ROUNDUP(COUNTIFS('Offers'!$B$7:$B$608,$B159,'Offers'!$C$7:$C$608,$C159,'Offers'!$AI$7:$AI$608,"yes")/2,0))+SUMIFS('Offers'!$I$7:$I$608,'Offers'!$B$7:$B$608,$B159,'Offers'!$C$7:$C$608,$C159,'Offers'!$AG$7:$AG$608,INT(COUNTIFS('Offers'!$B$7:$B$608,$B159,'Offers'!$C$7:$C$608,$C159,'Offers'!$AI$7:$AI$608,"yes")/2)+1))/2)</f>
        <v/>
      </c>
      <c r="K159" s="95">
        <f>IF(COUNTIFS('Offers'!$B$7:$B$608,$B159,'Offers'!$C$7:$C$608,$C159,'Offers'!$AI$7:$AI$608,"yes")=0,"",SUMIFS('Offers'!$I$7:$I$608,'Offers'!$B$7:$B$608,$B159,'Offers'!$C$7:$C$608,$C159,'Offers'!$AG$7:$AG$608,COUNTIFS('Offers'!$B$7:$B$608,$B159,'Offers'!$C$7:$C$608,$C159,'Offers'!$AI$7:$AI$608,"yes")))</f>
        <v/>
      </c>
      <c r="L159" s="55" t="n"/>
      <c r="M159" s="55" t="n"/>
      <c r="N159" s="55" t="n"/>
      <c r="O159" s="2">
        <f>IF('Compare'!$E$5="Local prices",IF(F159="","",IF('Compare'!$C$5="Minimum",F159,IF('Compare'!$C$5="Maximum",H159,G159))),IF(I159="","",IF('Compare'!$C$5="Minimum",I159,IF('Compare'!$C$5="Maximum",K159,J159))))</f>
        <v/>
      </c>
    </row>
    <row r="160" ht="44" customHeight="1">
      <c r="A160" s="2" t="n"/>
      <c r="B160" s="27" t="inlineStr">
        <is>
          <t>Red PE cutting board 400 × 300 × 20 mm</t>
        </is>
      </c>
      <c r="C160" s="27" t="inlineStr">
        <is>
          <t>Germany</t>
        </is>
      </c>
      <c r="D160" s="27" t="inlineStr">
        <is>
          <t>EUR</t>
        </is>
      </c>
      <c r="E160" s="27" t="inlineStr">
        <is>
          <t>Net per piece</t>
        </is>
      </c>
      <c r="F160" s="96">
        <f>IF(COUNTIFS('Offers'!$B$7:$B$608,$B160,'Offers'!$C$7:$C$608,$C160,'Offers'!$AH$7:$AH$608,"yes")=0,"",SUMIFS('Offers'!$H$7:$H$608,'Offers'!$B$7:$B$608,$B160,'Offers'!$C$7:$C$608,$C160,'Offers'!$AF$7:$AF$608,1))</f>
        <v/>
      </c>
      <c r="G160" s="96">
        <f>IF(COUNTIFS('Offers'!$B$7:$B$608,$B160,'Offers'!$C$7:$C$608,$C160,'Offers'!$AH$7:$AH$608,"yes")=0,"",(SUMIFS('Offers'!$H$7:$H$608,'Offers'!$B$7:$B$608,$B160,'Offers'!$C$7:$C$608,$C160,'Offers'!$AF$7:$AF$608,ROUNDUP(COUNTIFS('Offers'!$B$7:$B$608,$B160,'Offers'!$C$7:$C$608,$C160,'Offers'!$AH$7:$AH$608,"yes")/2,0))+SUMIFS('Offers'!$H$7:$H$608,'Offers'!$B$7:$B$608,$B160,'Offers'!$C$7:$C$608,$C160,'Offers'!$AF$7:$AF$608,INT(COUNTIFS('Offers'!$B$7:$B$608,$B160,'Offers'!$C$7:$C$608,$C160,'Offers'!$AH$7:$AH$608,"yes")/2)+1))/2)</f>
        <v/>
      </c>
      <c r="H160" s="96">
        <f>IF(COUNTIFS('Offers'!$B$7:$B$608,$B160,'Offers'!$C$7:$C$608,$C160,'Offers'!$AH$7:$AH$608,"yes")=0,"",SUMIFS('Offers'!$H$7:$H$608,'Offers'!$B$7:$B$608,$B160,'Offers'!$C$7:$C$608,$C160,'Offers'!$AF$7:$AF$608,COUNTIFS('Offers'!$B$7:$B$608,$B160,'Offers'!$C$7:$C$608,$C160,'Offers'!$AH$7:$AH$608,"yes")))</f>
        <v/>
      </c>
      <c r="I160" s="97">
        <f>IF(COUNTIFS('Offers'!$B$7:$B$608,$B160,'Offers'!$C$7:$C$608,$C160,'Offers'!$AI$7:$AI$608,"yes")=0,"",SUMIFS('Offers'!$I$7:$I$608,'Offers'!$B$7:$B$608,$B160,'Offers'!$C$7:$C$608,$C160,'Offers'!$AG$7:$AG$608,1))</f>
        <v/>
      </c>
      <c r="J160" s="97">
        <f>IF(COUNTIFS('Offers'!$B$7:$B$608,$B160,'Offers'!$C$7:$C$608,$C160,'Offers'!$AI$7:$AI$608,"yes")=0,"",(SUMIFS('Offers'!$I$7:$I$608,'Offers'!$B$7:$B$608,$B160,'Offers'!$C$7:$C$608,$C160,'Offers'!$AG$7:$AG$608,ROUNDUP(COUNTIFS('Offers'!$B$7:$B$608,$B160,'Offers'!$C$7:$C$608,$C160,'Offers'!$AI$7:$AI$608,"yes")/2,0))+SUMIFS('Offers'!$I$7:$I$608,'Offers'!$B$7:$B$608,$B160,'Offers'!$C$7:$C$608,$C160,'Offers'!$AG$7:$AG$608,INT(COUNTIFS('Offers'!$B$7:$B$608,$B160,'Offers'!$C$7:$C$608,$C160,'Offers'!$AI$7:$AI$608,"yes")/2)+1))/2)</f>
        <v/>
      </c>
      <c r="K160" s="97">
        <f>IF(COUNTIFS('Offers'!$B$7:$B$608,$B160,'Offers'!$C$7:$C$608,$C160,'Offers'!$AI$7:$AI$608,"yes")=0,"",SUMIFS('Offers'!$I$7:$I$608,'Offers'!$B$7:$B$608,$B160,'Offers'!$C$7:$C$608,$C160,'Offers'!$AG$7:$AG$608,COUNTIFS('Offers'!$B$7:$B$608,$B160,'Offers'!$C$7:$C$608,$C160,'Offers'!$AI$7:$AI$608,"yes")))</f>
        <v/>
      </c>
      <c r="L160" s="55" t="n"/>
      <c r="M160" s="55" t="n"/>
      <c r="N160" s="55" t="n"/>
      <c r="O160" s="19">
        <f>IF('Compare'!$E$5="Local prices",IF(F160="","",IF('Compare'!$C$5="Minimum",F160,IF('Compare'!$C$5="Maximum",H160,G160))),IF(I160="","",IF('Compare'!$C$5="Minimum",I160,IF('Compare'!$C$5="Maximum",K160,J160))))</f>
        <v/>
      </c>
    </row>
    <row r="161" ht="44" customHeight="1">
      <c r="A161" s="2" t="n"/>
      <c r="B161" s="24" t="inlineStr">
        <is>
          <t>Red PE cutting board 400 × 300 × 20 mm</t>
        </is>
      </c>
      <c r="C161" s="24" t="inlineStr">
        <is>
          <t>Czech</t>
        </is>
      </c>
      <c r="D161" s="24" t="inlineStr">
        <is>
          <t>CZK</t>
        </is>
      </c>
      <c r="E161" s="24" t="inlineStr">
        <is>
          <t>Net per piece</t>
        </is>
      </c>
      <c r="F161" s="94">
        <f>IF(COUNTIFS('Offers'!$B$7:$B$608,$B161,'Offers'!$C$7:$C$608,$C161,'Offers'!$AH$7:$AH$608,"yes")=0,"",SUMIFS('Offers'!$H$7:$H$608,'Offers'!$B$7:$B$608,$B161,'Offers'!$C$7:$C$608,$C161,'Offers'!$AF$7:$AF$608,1))</f>
        <v/>
      </c>
      <c r="G161" s="94">
        <f>IF(COUNTIFS('Offers'!$B$7:$B$608,$B161,'Offers'!$C$7:$C$608,$C161,'Offers'!$AH$7:$AH$608,"yes")=0,"",(SUMIFS('Offers'!$H$7:$H$608,'Offers'!$B$7:$B$608,$B161,'Offers'!$C$7:$C$608,$C161,'Offers'!$AF$7:$AF$608,ROUNDUP(COUNTIFS('Offers'!$B$7:$B$608,$B161,'Offers'!$C$7:$C$608,$C161,'Offers'!$AH$7:$AH$608,"yes")/2,0))+SUMIFS('Offers'!$H$7:$H$608,'Offers'!$B$7:$B$608,$B161,'Offers'!$C$7:$C$608,$C161,'Offers'!$AF$7:$AF$608,INT(COUNTIFS('Offers'!$B$7:$B$608,$B161,'Offers'!$C$7:$C$608,$C161,'Offers'!$AH$7:$AH$608,"yes")/2)+1))/2)</f>
        <v/>
      </c>
      <c r="H161" s="94">
        <f>IF(COUNTIFS('Offers'!$B$7:$B$608,$B161,'Offers'!$C$7:$C$608,$C161,'Offers'!$AH$7:$AH$608,"yes")=0,"",SUMIFS('Offers'!$H$7:$H$608,'Offers'!$B$7:$B$608,$B161,'Offers'!$C$7:$C$608,$C161,'Offers'!$AF$7:$AF$608,COUNTIFS('Offers'!$B$7:$B$608,$B161,'Offers'!$C$7:$C$608,$C161,'Offers'!$AH$7:$AH$608,"yes")))</f>
        <v/>
      </c>
      <c r="I161" s="95">
        <f>IF(COUNTIFS('Offers'!$B$7:$B$608,$B161,'Offers'!$C$7:$C$608,$C161,'Offers'!$AI$7:$AI$608,"yes")=0,"",SUMIFS('Offers'!$I$7:$I$608,'Offers'!$B$7:$B$608,$B161,'Offers'!$C$7:$C$608,$C161,'Offers'!$AG$7:$AG$608,1))</f>
        <v/>
      </c>
      <c r="J161" s="95">
        <f>IF(COUNTIFS('Offers'!$B$7:$B$608,$B161,'Offers'!$C$7:$C$608,$C161,'Offers'!$AI$7:$AI$608,"yes")=0,"",(SUMIFS('Offers'!$I$7:$I$608,'Offers'!$B$7:$B$608,$B161,'Offers'!$C$7:$C$608,$C161,'Offers'!$AG$7:$AG$608,ROUNDUP(COUNTIFS('Offers'!$B$7:$B$608,$B161,'Offers'!$C$7:$C$608,$C161,'Offers'!$AI$7:$AI$608,"yes")/2,0))+SUMIFS('Offers'!$I$7:$I$608,'Offers'!$B$7:$B$608,$B161,'Offers'!$C$7:$C$608,$C161,'Offers'!$AG$7:$AG$608,INT(COUNTIFS('Offers'!$B$7:$B$608,$B161,'Offers'!$C$7:$C$608,$C161,'Offers'!$AI$7:$AI$608,"yes")/2)+1))/2)</f>
        <v/>
      </c>
      <c r="K161" s="95">
        <f>IF(COUNTIFS('Offers'!$B$7:$B$608,$B161,'Offers'!$C$7:$C$608,$C161,'Offers'!$AI$7:$AI$608,"yes")=0,"",SUMIFS('Offers'!$I$7:$I$608,'Offers'!$B$7:$B$608,$B161,'Offers'!$C$7:$C$608,$C161,'Offers'!$AG$7:$AG$608,COUNTIFS('Offers'!$B$7:$B$608,$B161,'Offers'!$C$7:$C$608,$C161,'Offers'!$AI$7:$AI$608,"yes")))</f>
        <v/>
      </c>
      <c r="L161" s="55" t="n"/>
      <c r="M161" s="55" t="n"/>
      <c r="N161" s="55" t="n"/>
      <c r="O161" s="2">
        <f>IF('Compare'!$E$5="Local prices",IF(F161="","",IF('Compare'!$C$5="Minimum",F161,IF('Compare'!$C$5="Maximum",H161,G161))),IF(I161="","",IF('Compare'!$C$5="Minimum",I161,IF('Compare'!$C$5="Maximum",K161,J161))))</f>
        <v/>
      </c>
    </row>
    <row r="162" ht="44" customHeight="1">
      <c r="A162" s="2" t="n"/>
      <c r="B162" s="27" t="inlineStr">
        <is>
          <t>Red PE cutting board 400 × 300 × 20 mm</t>
        </is>
      </c>
      <c r="C162" s="27" t="inlineStr">
        <is>
          <t>Slovakia</t>
        </is>
      </c>
      <c r="D162" s="27" t="inlineStr">
        <is>
          <t>EUR</t>
        </is>
      </c>
      <c r="E162" s="27" t="inlineStr">
        <is>
          <t>Net per piece</t>
        </is>
      </c>
      <c r="F162" s="96">
        <f>IF(COUNTIFS('Offers'!$B$7:$B$608,$B162,'Offers'!$C$7:$C$608,$C162,'Offers'!$AH$7:$AH$608,"yes")=0,"",SUMIFS('Offers'!$H$7:$H$608,'Offers'!$B$7:$B$608,$B162,'Offers'!$C$7:$C$608,$C162,'Offers'!$AF$7:$AF$608,1))</f>
        <v/>
      </c>
      <c r="G162" s="96">
        <f>IF(COUNTIFS('Offers'!$B$7:$B$608,$B162,'Offers'!$C$7:$C$608,$C162,'Offers'!$AH$7:$AH$608,"yes")=0,"",(SUMIFS('Offers'!$H$7:$H$608,'Offers'!$B$7:$B$608,$B162,'Offers'!$C$7:$C$608,$C162,'Offers'!$AF$7:$AF$608,ROUNDUP(COUNTIFS('Offers'!$B$7:$B$608,$B162,'Offers'!$C$7:$C$608,$C162,'Offers'!$AH$7:$AH$608,"yes")/2,0))+SUMIFS('Offers'!$H$7:$H$608,'Offers'!$B$7:$B$608,$B162,'Offers'!$C$7:$C$608,$C162,'Offers'!$AF$7:$AF$608,INT(COUNTIFS('Offers'!$B$7:$B$608,$B162,'Offers'!$C$7:$C$608,$C162,'Offers'!$AH$7:$AH$608,"yes")/2)+1))/2)</f>
        <v/>
      </c>
      <c r="H162" s="96">
        <f>IF(COUNTIFS('Offers'!$B$7:$B$608,$B162,'Offers'!$C$7:$C$608,$C162,'Offers'!$AH$7:$AH$608,"yes")=0,"",SUMIFS('Offers'!$H$7:$H$608,'Offers'!$B$7:$B$608,$B162,'Offers'!$C$7:$C$608,$C162,'Offers'!$AF$7:$AF$608,COUNTIFS('Offers'!$B$7:$B$608,$B162,'Offers'!$C$7:$C$608,$C162,'Offers'!$AH$7:$AH$608,"yes")))</f>
        <v/>
      </c>
      <c r="I162" s="97">
        <f>IF(COUNTIFS('Offers'!$B$7:$B$608,$B162,'Offers'!$C$7:$C$608,$C162,'Offers'!$AI$7:$AI$608,"yes")=0,"",SUMIFS('Offers'!$I$7:$I$608,'Offers'!$B$7:$B$608,$B162,'Offers'!$C$7:$C$608,$C162,'Offers'!$AG$7:$AG$608,1))</f>
        <v/>
      </c>
      <c r="J162" s="97">
        <f>IF(COUNTIFS('Offers'!$B$7:$B$608,$B162,'Offers'!$C$7:$C$608,$C162,'Offers'!$AI$7:$AI$608,"yes")=0,"",(SUMIFS('Offers'!$I$7:$I$608,'Offers'!$B$7:$B$608,$B162,'Offers'!$C$7:$C$608,$C162,'Offers'!$AG$7:$AG$608,ROUNDUP(COUNTIFS('Offers'!$B$7:$B$608,$B162,'Offers'!$C$7:$C$608,$C162,'Offers'!$AI$7:$AI$608,"yes")/2,0))+SUMIFS('Offers'!$I$7:$I$608,'Offers'!$B$7:$B$608,$B162,'Offers'!$C$7:$C$608,$C162,'Offers'!$AG$7:$AG$608,INT(COUNTIFS('Offers'!$B$7:$B$608,$B162,'Offers'!$C$7:$C$608,$C162,'Offers'!$AI$7:$AI$608,"yes")/2)+1))/2)</f>
        <v/>
      </c>
      <c r="K162" s="97">
        <f>IF(COUNTIFS('Offers'!$B$7:$B$608,$B162,'Offers'!$C$7:$C$608,$C162,'Offers'!$AI$7:$AI$608,"yes")=0,"",SUMIFS('Offers'!$I$7:$I$608,'Offers'!$B$7:$B$608,$B162,'Offers'!$C$7:$C$608,$C162,'Offers'!$AG$7:$AG$608,COUNTIFS('Offers'!$B$7:$B$608,$B162,'Offers'!$C$7:$C$608,$C162,'Offers'!$AI$7:$AI$608,"yes")))</f>
        <v/>
      </c>
      <c r="L162" s="55" t="n"/>
      <c r="M162" s="55" t="n"/>
      <c r="N162" s="55" t="n"/>
      <c r="O162" s="19">
        <f>IF('Compare'!$E$5="Local prices",IF(F162="","",IF('Compare'!$C$5="Minimum",F162,IF('Compare'!$C$5="Maximum",H162,G162))),IF(I162="","",IF('Compare'!$C$5="Minimum",I162,IF('Compare'!$C$5="Maximum",K162,J162))))</f>
        <v/>
      </c>
    </row>
    <row r="163" ht="44" customHeight="1">
      <c r="A163" s="2" t="n"/>
      <c r="B163" s="24" t="inlineStr">
        <is>
          <t>PP dough box 600 × 400 × 75 mm, no lid</t>
        </is>
      </c>
      <c r="C163" s="24" t="inlineStr">
        <is>
          <t>Hungary</t>
        </is>
      </c>
      <c r="D163" s="24" t="inlineStr">
        <is>
          <t>HUF</t>
        </is>
      </c>
      <c r="E163" s="24" t="inlineStr">
        <is>
          <t>Net per piece</t>
        </is>
      </c>
      <c r="F163" s="94">
        <f>IF(COUNTIFS('Offers'!$B$7:$B$608,$B163,'Offers'!$C$7:$C$608,$C163,'Offers'!$AH$7:$AH$608,"yes")=0,"",SUMIFS('Offers'!$H$7:$H$608,'Offers'!$B$7:$B$608,$B163,'Offers'!$C$7:$C$608,$C163,'Offers'!$AF$7:$AF$608,1))</f>
        <v/>
      </c>
      <c r="G163" s="94">
        <f>IF(COUNTIFS('Offers'!$B$7:$B$608,$B163,'Offers'!$C$7:$C$608,$C163,'Offers'!$AH$7:$AH$608,"yes")=0,"",(SUMIFS('Offers'!$H$7:$H$608,'Offers'!$B$7:$B$608,$B163,'Offers'!$C$7:$C$608,$C163,'Offers'!$AF$7:$AF$608,ROUNDUP(COUNTIFS('Offers'!$B$7:$B$608,$B163,'Offers'!$C$7:$C$608,$C163,'Offers'!$AH$7:$AH$608,"yes")/2,0))+SUMIFS('Offers'!$H$7:$H$608,'Offers'!$B$7:$B$608,$B163,'Offers'!$C$7:$C$608,$C163,'Offers'!$AF$7:$AF$608,INT(COUNTIFS('Offers'!$B$7:$B$608,$B163,'Offers'!$C$7:$C$608,$C163,'Offers'!$AH$7:$AH$608,"yes")/2)+1))/2)</f>
        <v/>
      </c>
      <c r="H163" s="94">
        <f>IF(COUNTIFS('Offers'!$B$7:$B$608,$B163,'Offers'!$C$7:$C$608,$C163,'Offers'!$AH$7:$AH$608,"yes")=0,"",SUMIFS('Offers'!$H$7:$H$608,'Offers'!$B$7:$B$608,$B163,'Offers'!$C$7:$C$608,$C163,'Offers'!$AF$7:$AF$608,COUNTIFS('Offers'!$B$7:$B$608,$B163,'Offers'!$C$7:$C$608,$C163,'Offers'!$AH$7:$AH$608,"yes")))</f>
        <v/>
      </c>
      <c r="I163" s="95">
        <f>IF(COUNTIFS('Offers'!$B$7:$B$608,$B163,'Offers'!$C$7:$C$608,$C163,'Offers'!$AI$7:$AI$608,"yes")=0,"",SUMIFS('Offers'!$I$7:$I$608,'Offers'!$B$7:$B$608,$B163,'Offers'!$C$7:$C$608,$C163,'Offers'!$AG$7:$AG$608,1))</f>
        <v/>
      </c>
      <c r="J163" s="95">
        <f>IF(COUNTIFS('Offers'!$B$7:$B$608,$B163,'Offers'!$C$7:$C$608,$C163,'Offers'!$AI$7:$AI$608,"yes")=0,"",(SUMIFS('Offers'!$I$7:$I$608,'Offers'!$B$7:$B$608,$B163,'Offers'!$C$7:$C$608,$C163,'Offers'!$AG$7:$AG$608,ROUNDUP(COUNTIFS('Offers'!$B$7:$B$608,$B163,'Offers'!$C$7:$C$608,$C163,'Offers'!$AI$7:$AI$608,"yes")/2,0))+SUMIFS('Offers'!$I$7:$I$608,'Offers'!$B$7:$B$608,$B163,'Offers'!$C$7:$C$608,$C163,'Offers'!$AG$7:$AG$608,INT(COUNTIFS('Offers'!$B$7:$B$608,$B163,'Offers'!$C$7:$C$608,$C163,'Offers'!$AI$7:$AI$608,"yes")/2)+1))/2)</f>
        <v/>
      </c>
      <c r="K163" s="95">
        <f>IF(COUNTIFS('Offers'!$B$7:$B$608,$B163,'Offers'!$C$7:$C$608,$C163,'Offers'!$AI$7:$AI$608,"yes")=0,"",SUMIFS('Offers'!$I$7:$I$608,'Offers'!$B$7:$B$608,$B163,'Offers'!$C$7:$C$608,$C163,'Offers'!$AG$7:$AG$608,COUNTIFS('Offers'!$B$7:$B$608,$B163,'Offers'!$C$7:$C$608,$C163,'Offers'!$AI$7:$AI$608,"yes")))</f>
        <v/>
      </c>
      <c r="L163" s="55" t="n"/>
      <c r="M163" s="55" t="n"/>
      <c r="N163" s="55" t="n"/>
      <c r="O163" s="2">
        <f>IF('Compare'!$E$5="Local prices",IF(F163="","",IF('Compare'!$C$5="Minimum",F163,IF('Compare'!$C$5="Maximum",H163,G163))),IF(I163="","",IF('Compare'!$C$5="Minimum",I163,IF('Compare'!$C$5="Maximum",K163,J163))))</f>
        <v/>
      </c>
    </row>
    <row r="164" ht="44" customHeight="1">
      <c r="A164" s="2" t="n"/>
      <c r="B164" s="27" t="inlineStr">
        <is>
          <t>PP dough box 600 × 400 × 75 mm, no lid</t>
        </is>
      </c>
      <c r="C164" s="27" t="inlineStr">
        <is>
          <t>Romania</t>
        </is>
      </c>
      <c r="D164" s="27" t="inlineStr">
        <is>
          <t>RON</t>
        </is>
      </c>
      <c r="E164" s="27" t="inlineStr">
        <is>
          <t>Net per piece</t>
        </is>
      </c>
      <c r="F164" s="96">
        <f>IF(COUNTIFS('Offers'!$B$7:$B$608,$B164,'Offers'!$C$7:$C$608,$C164,'Offers'!$AH$7:$AH$608,"yes")=0,"",SUMIFS('Offers'!$H$7:$H$608,'Offers'!$B$7:$B$608,$B164,'Offers'!$C$7:$C$608,$C164,'Offers'!$AF$7:$AF$608,1))</f>
        <v/>
      </c>
      <c r="G164" s="96">
        <f>IF(COUNTIFS('Offers'!$B$7:$B$608,$B164,'Offers'!$C$7:$C$608,$C164,'Offers'!$AH$7:$AH$608,"yes")=0,"",(SUMIFS('Offers'!$H$7:$H$608,'Offers'!$B$7:$B$608,$B164,'Offers'!$C$7:$C$608,$C164,'Offers'!$AF$7:$AF$608,ROUNDUP(COUNTIFS('Offers'!$B$7:$B$608,$B164,'Offers'!$C$7:$C$608,$C164,'Offers'!$AH$7:$AH$608,"yes")/2,0))+SUMIFS('Offers'!$H$7:$H$608,'Offers'!$B$7:$B$608,$B164,'Offers'!$C$7:$C$608,$C164,'Offers'!$AF$7:$AF$608,INT(COUNTIFS('Offers'!$B$7:$B$608,$B164,'Offers'!$C$7:$C$608,$C164,'Offers'!$AH$7:$AH$608,"yes")/2)+1))/2)</f>
        <v/>
      </c>
      <c r="H164" s="96">
        <f>IF(COUNTIFS('Offers'!$B$7:$B$608,$B164,'Offers'!$C$7:$C$608,$C164,'Offers'!$AH$7:$AH$608,"yes")=0,"",SUMIFS('Offers'!$H$7:$H$608,'Offers'!$B$7:$B$608,$B164,'Offers'!$C$7:$C$608,$C164,'Offers'!$AF$7:$AF$608,COUNTIFS('Offers'!$B$7:$B$608,$B164,'Offers'!$C$7:$C$608,$C164,'Offers'!$AH$7:$AH$608,"yes")))</f>
        <v/>
      </c>
      <c r="I164" s="97">
        <f>IF(COUNTIFS('Offers'!$B$7:$B$608,$B164,'Offers'!$C$7:$C$608,$C164,'Offers'!$AI$7:$AI$608,"yes")=0,"",SUMIFS('Offers'!$I$7:$I$608,'Offers'!$B$7:$B$608,$B164,'Offers'!$C$7:$C$608,$C164,'Offers'!$AG$7:$AG$608,1))</f>
        <v/>
      </c>
      <c r="J164" s="97">
        <f>IF(COUNTIFS('Offers'!$B$7:$B$608,$B164,'Offers'!$C$7:$C$608,$C164,'Offers'!$AI$7:$AI$608,"yes")=0,"",(SUMIFS('Offers'!$I$7:$I$608,'Offers'!$B$7:$B$608,$B164,'Offers'!$C$7:$C$608,$C164,'Offers'!$AG$7:$AG$608,ROUNDUP(COUNTIFS('Offers'!$B$7:$B$608,$B164,'Offers'!$C$7:$C$608,$C164,'Offers'!$AI$7:$AI$608,"yes")/2,0))+SUMIFS('Offers'!$I$7:$I$608,'Offers'!$B$7:$B$608,$B164,'Offers'!$C$7:$C$608,$C164,'Offers'!$AG$7:$AG$608,INT(COUNTIFS('Offers'!$B$7:$B$608,$B164,'Offers'!$C$7:$C$608,$C164,'Offers'!$AI$7:$AI$608,"yes")/2)+1))/2)</f>
        <v/>
      </c>
      <c r="K164" s="97">
        <f>IF(COUNTIFS('Offers'!$B$7:$B$608,$B164,'Offers'!$C$7:$C$608,$C164,'Offers'!$AI$7:$AI$608,"yes")=0,"",SUMIFS('Offers'!$I$7:$I$608,'Offers'!$B$7:$B$608,$B164,'Offers'!$C$7:$C$608,$C164,'Offers'!$AG$7:$AG$608,COUNTIFS('Offers'!$B$7:$B$608,$B164,'Offers'!$C$7:$C$608,$C164,'Offers'!$AI$7:$AI$608,"yes")))</f>
        <v/>
      </c>
      <c r="L164" s="55" t="n"/>
      <c r="M164" s="55" t="n"/>
      <c r="N164" s="55" t="n"/>
      <c r="O164" s="19">
        <f>IF('Compare'!$E$5="Local prices",IF(F164="","",IF('Compare'!$C$5="Minimum",F164,IF('Compare'!$C$5="Maximum",H164,G164))),IF(I164="","",IF('Compare'!$C$5="Minimum",I164,IF('Compare'!$C$5="Maximum",K164,J164))))</f>
        <v/>
      </c>
    </row>
    <row r="165" ht="44" customHeight="1">
      <c r="A165" s="2" t="n"/>
      <c r="B165" s="24" t="inlineStr">
        <is>
          <t>PP dough box 600 × 400 × 75 mm, no lid</t>
        </is>
      </c>
      <c r="C165" s="24" t="inlineStr">
        <is>
          <t>Austria</t>
        </is>
      </c>
      <c r="D165" s="24" t="inlineStr">
        <is>
          <t>EUR</t>
        </is>
      </c>
      <c r="E165" s="24" t="inlineStr">
        <is>
          <t>Net per piece</t>
        </is>
      </c>
      <c r="F165" s="94">
        <f>IF(COUNTIFS('Offers'!$B$7:$B$608,$B165,'Offers'!$C$7:$C$608,$C165,'Offers'!$AH$7:$AH$608,"yes")=0,"",SUMIFS('Offers'!$H$7:$H$608,'Offers'!$B$7:$B$608,$B165,'Offers'!$C$7:$C$608,$C165,'Offers'!$AF$7:$AF$608,1))</f>
        <v/>
      </c>
      <c r="G165" s="94">
        <f>IF(COUNTIFS('Offers'!$B$7:$B$608,$B165,'Offers'!$C$7:$C$608,$C165,'Offers'!$AH$7:$AH$608,"yes")=0,"",(SUMIFS('Offers'!$H$7:$H$608,'Offers'!$B$7:$B$608,$B165,'Offers'!$C$7:$C$608,$C165,'Offers'!$AF$7:$AF$608,ROUNDUP(COUNTIFS('Offers'!$B$7:$B$608,$B165,'Offers'!$C$7:$C$608,$C165,'Offers'!$AH$7:$AH$608,"yes")/2,0))+SUMIFS('Offers'!$H$7:$H$608,'Offers'!$B$7:$B$608,$B165,'Offers'!$C$7:$C$608,$C165,'Offers'!$AF$7:$AF$608,INT(COUNTIFS('Offers'!$B$7:$B$608,$B165,'Offers'!$C$7:$C$608,$C165,'Offers'!$AH$7:$AH$608,"yes")/2)+1))/2)</f>
        <v/>
      </c>
      <c r="H165" s="94">
        <f>IF(COUNTIFS('Offers'!$B$7:$B$608,$B165,'Offers'!$C$7:$C$608,$C165,'Offers'!$AH$7:$AH$608,"yes")=0,"",SUMIFS('Offers'!$H$7:$H$608,'Offers'!$B$7:$B$608,$B165,'Offers'!$C$7:$C$608,$C165,'Offers'!$AF$7:$AF$608,COUNTIFS('Offers'!$B$7:$B$608,$B165,'Offers'!$C$7:$C$608,$C165,'Offers'!$AH$7:$AH$608,"yes")))</f>
        <v/>
      </c>
      <c r="I165" s="95">
        <f>IF(COUNTIFS('Offers'!$B$7:$B$608,$B165,'Offers'!$C$7:$C$608,$C165,'Offers'!$AI$7:$AI$608,"yes")=0,"",SUMIFS('Offers'!$I$7:$I$608,'Offers'!$B$7:$B$608,$B165,'Offers'!$C$7:$C$608,$C165,'Offers'!$AG$7:$AG$608,1))</f>
        <v/>
      </c>
      <c r="J165" s="95">
        <f>IF(COUNTIFS('Offers'!$B$7:$B$608,$B165,'Offers'!$C$7:$C$608,$C165,'Offers'!$AI$7:$AI$608,"yes")=0,"",(SUMIFS('Offers'!$I$7:$I$608,'Offers'!$B$7:$B$608,$B165,'Offers'!$C$7:$C$608,$C165,'Offers'!$AG$7:$AG$608,ROUNDUP(COUNTIFS('Offers'!$B$7:$B$608,$B165,'Offers'!$C$7:$C$608,$C165,'Offers'!$AI$7:$AI$608,"yes")/2,0))+SUMIFS('Offers'!$I$7:$I$608,'Offers'!$B$7:$B$608,$B165,'Offers'!$C$7:$C$608,$C165,'Offers'!$AG$7:$AG$608,INT(COUNTIFS('Offers'!$B$7:$B$608,$B165,'Offers'!$C$7:$C$608,$C165,'Offers'!$AI$7:$AI$608,"yes")/2)+1))/2)</f>
        <v/>
      </c>
      <c r="K165" s="95">
        <f>IF(COUNTIFS('Offers'!$B$7:$B$608,$B165,'Offers'!$C$7:$C$608,$C165,'Offers'!$AI$7:$AI$608,"yes")=0,"",SUMIFS('Offers'!$I$7:$I$608,'Offers'!$B$7:$B$608,$B165,'Offers'!$C$7:$C$608,$C165,'Offers'!$AG$7:$AG$608,COUNTIFS('Offers'!$B$7:$B$608,$B165,'Offers'!$C$7:$C$608,$C165,'Offers'!$AI$7:$AI$608,"yes")))</f>
        <v/>
      </c>
      <c r="L165" s="55" t="n"/>
      <c r="M165" s="55" t="n"/>
      <c r="N165" s="55" t="n"/>
      <c r="O165" s="2">
        <f>IF('Compare'!$E$5="Local prices",IF(F165="","",IF('Compare'!$C$5="Minimum",F165,IF('Compare'!$C$5="Maximum",H165,G165))),IF(I165="","",IF('Compare'!$C$5="Minimum",I165,IF('Compare'!$C$5="Maximum",K165,J165))))</f>
        <v/>
      </c>
    </row>
    <row r="166" ht="44" customHeight="1">
      <c r="A166" s="2" t="n"/>
      <c r="B166" s="27" t="inlineStr">
        <is>
          <t>PP dough box 600 × 400 × 75 mm, no lid</t>
        </is>
      </c>
      <c r="C166" s="27" t="inlineStr">
        <is>
          <t>Germany</t>
        </is>
      </c>
      <c r="D166" s="27" t="inlineStr">
        <is>
          <t>EUR</t>
        </is>
      </c>
      <c r="E166" s="27" t="inlineStr">
        <is>
          <t>Net per piece</t>
        </is>
      </c>
      <c r="F166" s="96">
        <f>IF(COUNTIFS('Offers'!$B$7:$B$608,$B166,'Offers'!$C$7:$C$608,$C166,'Offers'!$AH$7:$AH$608,"yes")=0,"",SUMIFS('Offers'!$H$7:$H$608,'Offers'!$B$7:$B$608,$B166,'Offers'!$C$7:$C$608,$C166,'Offers'!$AF$7:$AF$608,1))</f>
        <v/>
      </c>
      <c r="G166" s="96">
        <f>IF(COUNTIFS('Offers'!$B$7:$B$608,$B166,'Offers'!$C$7:$C$608,$C166,'Offers'!$AH$7:$AH$608,"yes")=0,"",(SUMIFS('Offers'!$H$7:$H$608,'Offers'!$B$7:$B$608,$B166,'Offers'!$C$7:$C$608,$C166,'Offers'!$AF$7:$AF$608,ROUNDUP(COUNTIFS('Offers'!$B$7:$B$608,$B166,'Offers'!$C$7:$C$608,$C166,'Offers'!$AH$7:$AH$608,"yes")/2,0))+SUMIFS('Offers'!$H$7:$H$608,'Offers'!$B$7:$B$608,$B166,'Offers'!$C$7:$C$608,$C166,'Offers'!$AF$7:$AF$608,INT(COUNTIFS('Offers'!$B$7:$B$608,$B166,'Offers'!$C$7:$C$608,$C166,'Offers'!$AH$7:$AH$608,"yes")/2)+1))/2)</f>
        <v/>
      </c>
      <c r="H166" s="96">
        <f>IF(COUNTIFS('Offers'!$B$7:$B$608,$B166,'Offers'!$C$7:$C$608,$C166,'Offers'!$AH$7:$AH$608,"yes")=0,"",SUMIFS('Offers'!$H$7:$H$608,'Offers'!$B$7:$B$608,$B166,'Offers'!$C$7:$C$608,$C166,'Offers'!$AF$7:$AF$608,COUNTIFS('Offers'!$B$7:$B$608,$B166,'Offers'!$C$7:$C$608,$C166,'Offers'!$AH$7:$AH$608,"yes")))</f>
        <v/>
      </c>
      <c r="I166" s="97">
        <f>IF(COUNTIFS('Offers'!$B$7:$B$608,$B166,'Offers'!$C$7:$C$608,$C166,'Offers'!$AI$7:$AI$608,"yes")=0,"",SUMIFS('Offers'!$I$7:$I$608,'Offers'!$B$7:$B$608,$B166,'Offers'!$C$7:$C$608,$C166,'Offers'!$AG$7:$AG$608,1))</f>
        <v/>
      </c>
      <c r="J166" s="97">
        <f>IF(COUNTIFS('Offers'!$B$7:$B$608,$B166,'Offers'!$C$7:$C$608,$C166,'Offers'!$AI$7:$AI$608,"yes")=0,"",(SUMIFS('Offers'!$I$7:$I$608,'Offers'!$B$7:$B$608,$B166,'Offers'!$C$7:$C$608,$C166,'Offers'!$AG$7:$AG$608,ROUNDUP(COUNTIFS('Offers'!$B$7:$B$608,$B166,'Offers'!$C$7:$C$608,$C166,'Offers'!$AI$7:$AI$608,"yes")/2,0))+SUMIFS('Offers'!$I$7:$I$608,'Offers'!$B$7:$B$608,$B166,'Offers'!$C$7:$C$608,$C166,'Offers'!$AG$7:$AG$608,INT(COUNTIFS('Offers'!$B$7:$B$608,$B166,'Offers'!$C$7:$C$608,$C166,'Offers'!$AI$7:$AI$608,"yes")/2)+1))/2)</f>
        <v/>
      </c>
      <c r="K166" s="97">
        <f>IF(COUNTIFS('Offers'!$B$7:$B$608,$B166,'Offers'!$C$7:$C$608,$C166,'Offers'!$AI$7:$AI$608,"yes")=0,"",SUMIFS('Offers'!$I$7:$I$608,'Offers'!$B$7:$B$608,$B166,'Offers'!$C$7:$C$608,$C166,'Offers'!$AG$7:$AG$608,COUNTIFS('Offers'!$B$7:$B$608,$B166,'Offers'!$C$7:$C$608,$C166,'Offers'!$AI$7:$AI$608,"yes")))</f>
        <v/>
      </c>
      <c r="L166" s="55" t="n"/>
      <c r="M166" s="55" t="n"/>
      <c r="N166" s="55" t="n"/>
      <c r="O166" s="19">
        <f>IF('Compare'!$E$5="Local prices",IF(F166="","",IF('Compare'!$C$5="Minimum",F166,IF('Compare'!$C$5="Maximum",H166,G166))),IF(I166="","",IF('Compare'!$C$5="Minimum",I166,IF('Compare'!$C$5="Maximum",K166,J166))))</f>
        <v/>
      </c>
    </row>
    <row r="167" ht="44" customHeight="1">
      <c r="A167" s="2" t="n"/>
      <c r="B167" s="24" t="inlineStr">
        <is>
          <t>PP dough box 600 × 400 × 75 mm, no lid</t>
        </is>
      </c>
      <c r="C167" s="24" t="inlineStr">
        <is>
          <t>Czech</t>
        </is>
      </c>
      <c r="D167" s="24" t="inlineStr">
        <is>
          <t>CZK</t>
        </is>
      </c>
      <c r="E167" s="24" t="inlineStr">
        <is>
          <t>Net per piece</t>
        </is>
      </c>
      <c r="F167" s="94">
        <f>IF(COUNTIFS('Offers'!$B$7:$B$608,$B167,'Offers'!$C$7:$C$608,$C167,'Offers'!$AH$7:$AH$608,"yes")=0,"",SUMIFS('Offers'!$H$7:$H$608,'Offers'!$B$7:$B$608,$B167,'Offers'!$C$7:$C$608,$C167,'Offers'!$AF$7:$AF$608,1))</f>
        <v/>
      </c>
      <c r="G167" s="94">
        <f>IF(COUNTIFS('Offers'!$B$7:$B$608,$B167,'Offers'!$C$7:$C$608,$C167,'Offers'!$AH$7:$AH$608,"yes")=0,"",(SUMIFS('Offers'!$H$7:$H$608,'Offers'!$B$7:$B$608,$B167,'Offers'!$C$7:$C$608,$C167,'Offers'!$AF$7:$AF$608,ROUNDUP(COUNTIFS('Offers'!$B$7:$B$608,$B167,'Offers'!$C$7:$C$608,$C167,'Offers'!$AH$7:$AH$608,"yes")/2,0))+SUMIFS('Offers'!$H$7:$H$608,'Offers'!$B$7:$B$608,$B167,'Offers'!$C$7:$C$608,$C167,'Offers'!$AF$7:$AF$608,INT(COUNTIFS('Offers'!$B$7:$B$608,$B167,'Offers'!$C$7:$C$608,$C167,'Offers'!$AH$7:$AH$608,"yes")/2)+1))/2)</f>
        <v/>
      </c>
      <c r="H167" s="94">
        <f>IF(COUNTIFS('Offers'!$B$7:$B$608,$B167,'Offers'!$C$7:$C$608,$C167,'Offers'!$AH$7:$AH$608,"yes")=0,"",SUMIFS('Offers'!$H$7:$H$608,'Offers'!$B$7:$B$608,$B167,'Offers'!$C$7:$C$608,$C167,'Offers'!$AF$7:$AF$608,COUNTIFS('Offers'!$B$7:$B$608,$B167,'Offers'!$C$7:$C$608,$C167,'Offers'!$AH$7:$AH$608,"yes")))</f>
        <v/>
      </c>
      <c r="I167" s="95">
        <f>IF(COUNTIFS('Offers'!$B$7:$B$608,$B167,'Offers'!$C$7:$C$608,$C167,'Offers'!$AI$7:$AI$608,"yes")=0,"",SUMIFS('Offers'!$I$7:$I$608,'Offers'!$B$7:$B$608,$B167,'Offers'!$C$7:$C$608,$C167,'Offers'!$AG$7:$AG$608,1))</f>
        <v/>
      </c>
      <c r="J167" s="95">
        <f>IF(COUNTIFS('Offers'!$B$7:$B$608,$B167,'Offers'!$C$7:$C$608,$C167,'Offers'!$AI$7:$AI$608,"yes")=0,"",(SUMIFS('Offers'!$I$7:$I$608,'Offers'!$B$7:$B$608,$B167,'Offers'!$C$7:$C$608,$C167,'Offers'!$AG$7:$AG$608,ROUNDUP(COUNTIFS('Offers'!$B$7:$B$608,$B167,'Offers'!$C$7:$C$608,$C167,'Offers'!$AI$7:$AI$608,"yes")/2,0))+SUMIFS('Offers'!$I$7:$I$608,'Offers'!$B$7:$B$608,$B167,'Offers'!$C$7:$C$608,$C167,'Offers'!$AG$7:$AG$608,INT(COUNTIFS('Offers'!$B$7:$B$608,$B167,'Offers'!$C$7:$C$608,$C167,'Offers'!$AI$7:$AI$608,"yes")/2)+1))/2)</f>
        <v/>
      </c>
      <c r="K167" s="95">
        <f>IF(COUNTIFS('Offers'!$B$7:$B$608,$B167,'Offers'!$C$7:$C$608,$C167,'Offers'!$AI$7:$AI$608,"yes")=0,"",SUMIFS('Offers'!$I$7:$I$608,'Offers'!$B$7:$B$608,$B167,'Offers'!$C$7:$C$608,$C167,'Offers'!$AG$7:$AG$608,COUNTIFS('Offers'!$B$7:$B$608,$B167,'Offers'!$C$7:$C$608,$C167,'Offers'!$AI$7:$AI$608,"yes")))</f>
        <v/>
      </c>
      <c r="L167" s="55" t="n"/>
      <c r="M167" s="55" t="n"/>
      <c r="N167" s="55" t="n"/>
      <c r="O167" s="2">
        <f>IF('Compare'!$E$5="Local prices",IF(F167="","",IF('Compare'!$C$5="Minimum",F167,IF('Compare'!$C$5="Maximum",H167,G167))),IF(I167="","",IF('Compare'!$C$5="Minimum",I167,IF('Compare'!$C$5="Maximum",K167,J167))))</f>
        <v/>
      </c>
    </row>
    <row r="168" ht="44" customHeight="1">
      <c r="A168" s="2" t="n"/>
      <c r="B168" s="27" t="inlineStr">
        <is>
          <t>PP dough box 600 × 400 × 75 mm, no lid</t>
        </is>
      </c>
      <c r="C168" s="27" t="inlineStr">
        <is>
          <t>Slovakia</t>
        </is>
      </c>
      <c r="D168" s="27" t="inlineStr">
        <is>
          <t>EUR</t>
        </is>
      </c>
      <c r="E168" s="27" t="inlineStr">
        <is>
          <t>Net per piece</t>
        </is>
      </c>
      <c r="F168" s="96">
        <f>IF(COUNTIFS('Offers'!$B$7:$B$608,$B168,'Offers'!$C$7:$C$608,$C168,'Offers'!$AH$7:$AH$608,"yes")=0,"",SUMIFS('Offers'!$H$7:$H$608,'Offers'!$B$7:$B$608,$B168,'Offers'!$C$7:$C$608,$C168,'Offers'!$AF$7:$AF$608,1))</f>
        <v/>
      </c>
      <c r="G168" s="96">
        <f>IF(COUNTIFS('Offers'!$B$7:$B$608,$B168,'Offers'!$C$7:$C$608,$C168,'Offers'!$AH$7:$AH$608,"yes")=0,"",(SUMIFS('Offers'!$H$7:$H$608,'Offers'!$B$7:$B$608,$B168,'Offers'!$C$7:$C$608,$C168,'Offers'!$AF$7:$AF$608,ROUNDUP(COUNTIFS('Offers'!$B$7:$B$608,$B168,'Offers'!$C$7:$C$608,$C168,'Offers'!$AH$7:$AH$608,"yes")/2,0))+SUMIFS('Offers'!$H$7:$H$608,'Offers'!$B$7:$B$608,$B168,'Offers'!$C$7:$C$608,$C168,'Offers'!$AF$7:$AF$608,INT(COUNTIFS('Offers'!$B$7:$B$608,$B168,'Offers'!$C$7:$C$608,$C168,'Offers'!$AH$7:$AH$608,"yes")/2)+1))/2)</f>
        <v/>
      </c>
      <c r="H168" s="96">
        <f>IF(COUNTIFS('Offers'!$B$7:$B$608,$B168,'Offers'!$C$7:$C$608,$C168,'Offers'!$AH$7:$AH$608,"yes")=0,"",SUMIFS('Offers'!$H$7:$H$608,'Offers'!$B$7:$B$608,$B168,'Offers'!$C$7:$C$608,$C168,'Offers'!$AF$7:$AF$608,COUNTIFS('Offers'!$B$7:$B$608,$B168,'Offers'!$C$7:$C$608,$C168,'Offers'!$AH$7:$AH$608,"yes")))</f>
        <v/>
      </c>
      <c r="I168" s="97">
        <f>IF(COUNTIFS('Offers'!$B$7:$B$608,$B168,'Offers'!$C$7:$C$608,$C168,'Offers'!$AI$7:$AI$608,"yes")=0,"",SUMIFS('Offers'!$I$7:$I$608,'Offers'!$B$7:$B$608,$B168,'Offers'!$C$7:$C$608,$C168,'Offers'!$AG$7:$AG$608,1))</f>
        <v/>
      </c>
      <c r="J168" s="97">
        <f>IF(COUNTIFS('Offers'!$B$7:$B$608,$B168,'Offers'!$C$7:$C$608,$C168,'Offers'!$AI$7:$AI$608,"yes")=0,"",(SUMIFS('Offers'!$I$7:$I$608,'Offers'!$B$7:$B$608,$B168,'Offers'!$C$7:$C$608,$C168,'Offers'!$AG$7:$AG$608,ROUNDUP(COUNTIFS('Offers'!$B$7:$B$608,$B168,'Offers'!$C$7:$C$608,$C168,'Offers'!$AI$7:$AI$608,"yes")/2,0))+SUMIFS('Offers'!$I$7:$I$608,'Offers'!$B$7:$B$608,$B168,'Offers'!$C$7:$C$608,$C168,'Offers'!$AG$7:$AG$608,INT(COUNTIFS('Offers'!$B$7:$B$608,$B168,'Offers'!$C$7:$C$608,$C168,'Offers'!$AI$7:$AI$608,"yes")/2)+1))/2)</f>
        <v/>
      </c>
      <c r="K168" s="97">
        <f>IF(COUNTIFS('Offers'!$B$7:$B$608,$B168,'Offers'!$C$7:$C$608,$C168,'Offers'!$AI$7:$AI$608,"yes")=0,"",SUMIFS('Offers'!$I$7:$I$608,'Offers'!$B$7:$B$608,$B168,'Offers'!$C$7:$C$608,$C168,'Offers'!$AG$7:$AG$608,COUNTIFS('Offers'!$B$7:$B$608,$B168,'Offers'!$C$7:$C$608,$C168,'Offers'!$AI$7:$AI$608,"yes")))</f>
        <v/>
      </c>
      <c r="L168" s="55" t="n"/>
      <c r="M168" s="55" t="n"/>
      <c r="N168" s="55" t="n"/>
      <c r="O168" s="19">
        <f>IF('Compare'!$E$5="Local prices",IF(F168="","",IF('Compare'!$C$5="Minimum",F168,IF('Compare'!$C$5="Maximum",H168,G168))),IF(I168="","",IF('Compare'!$C$5="Minimum",I168,IF('Compare'!$C$5="Maximum",K168,J168))))</f>
        <v/>
      </c>
    </row>
    <row r="169" ht="44" customHeight="1">
      <c r="A169" s="2" t="n"/>
      <c r="B169" s="24" t="inlineStr">
        <is>
          <t>GN 1/1 PC container, 100 mm</t>
        </is>
      </c>
      <c r="C169" s="24" t="inlineStr">
        <is>
          <t>Hungary</t>
        </is>
      </c>
      <c r="D169" s="24" t="inlineStr">
        <is>
          <t>HUF</t>
        </is>
      </c>
      <c r="E169" s="24" t="inlineStr">
        <is>
          <t>Net per piece</t>
        </is>
      </c>
      <c r="F169" s="94">
        <f>IF(COUNTIFS('Offers'!$B$7:$B$608,$B169,'Offers'!$C$7:$C$608,$C169,'Offers'!$AH$7:$AH$608,"yes")=0,"",SUMIFS('Offers'!$H$7:$H$608,'Offers'!$B$7:$B$608,$B169,'Offers'!$C$7:$C$608,$C169,'Offers'!$AF$7:$AF$608,1))</f>
        <v/>
      </c>
      <c r="G169" s="94">
        <f>IF(COUNTIFS('Offers'!$B$7:$B$608,$B169,'Offers'!$C$7:$C$608,$C169,'Offers'!$AH$7:$AH$608,"yes")=0,"",(SUMIFS('Offers'!$H$7:$H$608,'Offers'!$B$7:$B$608,$B169,'Offers'!$C$7:$C$608,$C169,'Offers'!$AF$7:$AF$608,ROUNDUP(COUNTIFS('Offers'!$B$7:$B$608,$B169,'Offers'!$C$7:$C$608,$C169,'Offers'!$AH$7:$AH$608,"yes")/2,0))+SUMIFS('Offers'!$H$7:$H$608,'Offers'!$B$7:$B$608,$B169,'Offers'!$C$7:$C$608,$C169,'Offers'!$AF$7:$AF$608,INT(COUNTIFS('Offers'!$B$7:$B$608,$B169,'Offers'!$C$7:$C$608,$C169,'Offers'!$AH$7:$AH$608,"yes")/2)+1))/2)</f>
        <v/>
      </c>
      <c r="H169" s="94">
        <f>IF(COUNTIFS('Offers'!$B$7:$B$608,$B169,'Offers'!$C$7:$C$608,$C169,'Offers'!$AH$7:$AH$608,"yes")=0,"",SUMIFS('Offers'!$H$7:$H$608,'Offers'!$B$7:$B$608,$B169,'Offers'!$C$7:$C$608,$C169,'Offers'!$AF$7:$AF$608,COUNTIFS('Offers'!$B$7:$B$608,$B169,'Offers'!$C$7:$C$608,$C169,'Offers'!$AH$7:$AH$608,"yes")))</f>
        <v/>
      </c>
      <c r="I169" s="95">
        <f>IF(COUNTIFS('Offers'!$B$7:$B$608,$B169,'Offers'!$C$7:$C$608,$C169,'Offers'!$AI$7:$AI$608,"yes")=0,"",SUMIFS('Offers'!$I$7:$I$608,'Offers'!$B$7:$B$608,$B169,'Offers'!$C$7:$C$608,$C169,'Offers'!$AG$7:$AG$608,1))</f>
        <v/>
      </c>
      <c r="J169" s="95">
        <f>IF(COUNTIFS('Offers'!$B$7:$B$608,$B169,'Offers'!$C$7:$C$608,$C169,'Offers'!$AI$7:$AI$608,"yes")=0,"",(SUMIFS('Offers'!$I$7:$I$608,'Offers'!$B$7:$B$608,$B169,'Offers'!$C$7:$C$608,$C169,'Offers'!$AG$7:$AG$608,ROUNDUP(COUNTIFS('Offers'!$B$7:$B$608,$B169,'Offers'!$C$7:$C$608,$C169,'Offers'!$AI$7:$AI$608,"yes")/2,0))+SUMIFS('Offers'!$I$7:$I$608,'Offers'!$B$7:$B$608,$B169,'Offers'!$C$7:$C$608,$C169,'Offers'!$AG$7:$AG$608,INT(COUNTIFS('Offers'!$B$7:$B$608,$B169,'Offers'!$C$7:$C$608,$C169,'Offers'!$AI$7:$AI$608,"yes")/2)+1))/2)</f>
        <v/>
      </c>
      <c r="K169" s="95">
        <f>IF(COUNTIFS('Offers'!$B$7:$B$608,$B169,'Offers'!$C$7:$C$608,$C169,'Offers'!$AI$7:$AI$608,"yes")=0,"",SUMIFS('Offers'!$I$7:$I$608,'Offers'!$B$7:$B$608,$B169,'Offers'!$C$7:$C$608,$C169,'Offers'!$AG$7:$AG$608,COUNTIFS('Offers'!$B$7:$B$608,$B169,'Offers'!$C$7:$C$608,$C169,'Offers'!$AI$7:$AI$608,"yes")))</f>
        <v/>
      </c>
      <c r="L169" s="55" t="n"/>
      <c r="M169" s="55" t="n"/>
      <c r="N169" s="55" t="n"/>
      <c r="O169" s="2">
        <f>IF('Compare'!$E$5="Local prices",IF(F169="","",IF('Compare'!$C$5="Minimum",F169,IF('Compare'!$C$5="Maximum",H169,G169))),IF(I169="","",IF('Compare'!$C$5="Minimum",I169,IF('Compare'!$C$5="Maximum",K169,J169))))</f>
        <v/>
      </c>
    </row>
    <row r="170" ht="44" customHeight="1">
      <c r="A170" s="2" t="n"/>
      <c r="B170" s="27" t="inlineStr">
        <is>
          <t>GN 1/1 PC container, 100 mm</t>
        </is>
      </c>
      <c r="C170" s="27" t="inlineStr">
        <is>
          <t>Romania</t>
        </is>
      </c>
      <c r="D170" s="27" t="inlineStr">
        <is>
          <t>RON</t>
        </is>
      </c>
      <c r="E170" s="27" t="inlineStr">
        <is>
          <t>Net per piece</t>
        </is>
      </c>
      <c r="F170" s="96">
        <f>IF(COUNTIFS('Offers'!$B$7:$B$608,$B170,'Offers'!$C$7:$C$608,$C170,'Offers'!$AH$7:$AH$608,"yes")=0,"",SUMIFS('Offers'!$H$7:$H$608,'Offers'!$B$7:$B$608,$B170,'Offers'!$C$7:$C$608,$C170,'Offers'!$AF$7:$AF$608,1))</f>
        <v/>
      </c>
      <c r="G170" s="96">
        <f>IF(COUNTIFS('Offers'!$B$7:$B$608,$B170,'Offers'!$C$7:$C$608,$C170,'Offers'!$AH$7:$AH$608,"yes")=0,"",(SUMIFS('Offers'!$H$7:$H$608,'Offers'!$B$7:$B$608,$B170,'Offers'!$C$7:$C$608,$C170,'Offers'!$AF$7:$AF$608,ROUNDUP(COUNTIFS('Offers'!$B$7:$B$608,$B170,'Offers'!$C$7:$C$608,$C170,'Offers'!$AH$7:$AH$608,"yes")/2,0))+SUMIFS('Offers'!$H$7:$H$608,'Offers'!$B$7:$B$608,$B170,'Offers'!$C$7:$C$608,$C170,'Offers'!$AF$7:$AF$608,INT(COUNTIFS('Offers'!$B$7:$B$608,$B170,'Offers'!$C$7:$C$608,$C170,'Offers'!$AH$7:$AH$608,"yes")/2)+1))/2)</f>
        <v/>
      </c>
      <c r="H170" s="96">
        <f>IF(COUNTIFS('Offers'!$B$7:$B$608,$B170,'Offers'!$C$7:$C$608,$C170,'Offers'!$AH$7:$AH$608,"yes")=0,"",SUMIFS('Offers'!$H$7:$H$608,'Offers'!$B$7:$B$608,$B170,'Offers'!$C$7:$C$608,$C170,'Offers'!$AF$7:$AF$608,COUNTIFS('Offers'!$B$7:$B$608,$B170,'Offers'!$C$7:$C$608,$C170,'Offers'!$AH$7:$AH$608,"yes")))</f>
        <v/>
      </c>
      <c r="I170" s="97">
        <f>IF(COUNTIFS('Offers'!$B$7:$B$608,$B170,'Offers'!$C$7:$C$608,$C170,'Offers'!$AI$7:$AI$608,"yes")=0,"",SUMIFS('Offers'!$I$7:$I$608,'Offers'!$B$7:$B$608,$B170,'Offers'!$C$7:$C$608,$C170,'Offers'!$AG$7:$AG$608,1))</f>
        <v/>
      </c>
      <c r="J170" s="97">
        <f>IF(COUNTIFS('Offers'!$B$7:$B$608,$B170,'Offers'!$C$7:$C$608,$C170,'Offers'!$AI$7:$AI$608,"yes")=0,"",(SUMIFS('Offers'!$I$7:$I$608,'Offers'!$B$7:$B$608,$B170,'Offers'!$C$7:$C$608,$C170,'Offers'!$AG$7:$AG$608,ROUNDUP(COUNTIFS('Offers'!$B$7:$B$608,$B170,'Offers'!$C$7:$C$608,$C170,'Offers'!$AI$7:$AI$608,"yes")/2,0))+SUMIFS('Offers'!$I$7:$I$608,'Offers'!$B$7:$B$608,$B170,'Offers'!$C$7:$C$608,$C170,'Offers'!$AG$7:$AG$608,INT(COUNTIFS('Offers'!$B$7:$B$608,$B170,'Offers'!$C$7:$C$608,$C170,'Offers'!$AI$7:$AI$608,"yes")/2)+1))/2)</f>
        <v/>
      </c>
      <c r="K170" s="97">
        <f>IF(COUNTIFS('Offers'!$B$7:$B$608,$B170,'Offers'!$C$7:$C$608,$C170,'Offers'!$AI$7:$AI$608,"yes")=0,"",SUMIFS('Offers'!$I$7:$I$608,'Offers'!$B$7:$B$608,$B170,'Offers'!$C$7:$C$608,$C170,'Offers'!$AG$7:$AG$608,COUNTIFS('Offers'!$B$7:$B$608,$B170,'Offers'!$C$7:$C$608,$C170,'Offers'!$AI$7:$AI$608,"yes")))</f>
        <v/>
      </c>
      <c r="L170" s="55" t="n"/>
      <c r="M170" s="55" t="n"/>
      <c r="N170" s="55" t="n"/>
      <c r="O170" s="19">
        <f>IF('Compare'!$E$5="Local prices",IF(F170="","",IF('Compare'!$C$5="Minimum",F170,IF('Compare'!$C$5="Maximum",H170,G170))),IF(I170="","",IF('Compare'!$C$5="Minimum",I170,IF('Compare'!$C$5="Maximum",K170,J170))))</f>
        <v/>
      </c>
    </row>
    <row r="171" ht="44" customHeight="1">
      <c r="A171" s="2" t="n"/>
      <c r="B171" s="24" t="inlineStr">
        <is>
          <t>GN 1/1 PC container, 100 mm</t>
        </is>
      </c>
      <c r="C171" s="24" t="inlineStr">
        <is>
          <t>Austria</t>
        </is>
      </c>
      <c r="D171" s="24" t="inlineStr">
        <is>
          <t>EUR</t>
        </is>
      </c>
      <c r="E171" s="24" t="inlineStr">
        <is>
          <t>Net per piece</t>
        </is>
      </c>
      <c r="F171" s="94">
        <f>IF(COUNTIFS('Offers'!$B$7:$B$608,$B171,'Offers'!$C$7:$C$608,$C171,'Offers'!$AH$7:$AH$608,"yes")=0,"",SUMIFS('Offers'!$H$7:$H$608,'Offers'!$B$7:$B$608,$B171,'Offers'!$C$7:$C$608,$C171,'Offers'!$AF$7:$AF$608,1))</f>
        <v/>
      </c>
      <c r="G171" s="94">
        <f>IF(COUNTIFS('Offers'!$B$7:$B$608,$B171,'Offers'!$C$7:$C$608,$C171,'Offers'!$AH$7:$AH$608,"yes")=0,"",(SUMIFS('Offers'!$H$7:$H$608,'Offers'!$B$7:$B$608,$B171,'Offers'!$C$7:$C$608,$C171,'Offers'!$AF$7:$AF$608,ROUNDUP(COUNTIFS('Offers'!$B$7:$B$608,$B171,'Offers'!$C$7:$C$608,$C171,'Offers'!$AH$7:$AH$608,"yes")/2,0))+SUMIFS('Offers'!$H$7:$H$608,'Offers'!$B$7:$B$608,$B171,'Offers'!$C$7:$C$608,$C171,'Offers'!$AF$7:$AF$608,INT(COUNTIFS('Offers'!$B$7:$B$608,$B171,'Offers'!$C$7:$C$608,$C171,'Offers'!$AH$7:$AH$608,"yes")/2)+1))/2)</f>
        <v/>
      </c>
      <c r="H171" s="94">
        <f>IF(COUNTIFS('Offers'!$B$7:$B$608,$B171,'Offers'!$C$7:$C$608,$C171,'Offers'!$AH$7:$AH$608,"yes")=0,"",SUMIFS('Offers'!$H$7:$H$608,'Offers'!$B$7:$B$608,$B171,'Offers'!$C$7:$C$608,$C171,'Offers'!$AF$7:$AF$608,COUNTIFS('Offers'!$B$7:$B$608,$B171,'Offers'!$C$7:$C$608,$C171,'Offers'!$AH$7:$AH$608,"yes")))</f>
        <v/>
      </c>
      <c r="I171" s="95">
        <f>IF(COUNTIFS('Offers'!$B$7:$B$608,$B171,'Offers'!$C$7:$C$608,$C171,'Offers'!$AI$7:$AI$608,"yes")=0,"",SUMIFS('Offers'!$I$7:$I$608,'Offers'!$B$7:$B$608,$B171,'Offers'!$C$7:$C$608,$C171,'Offers'!$AG$7:$AG$608,1))</f>
        <v/>
      </c>
      <c r="J171" s="95">
        <f>IF(COUNTIFS('Offers'!$B$7:$B$608,$B171,'Offers'!$C$7:$C$608,$C171,'Offers'!$AI$7:$AI$608,"yes")=0,"",(SUMIFS('Offers'!$I$7:$I$608,'Offers'!$B$7:$B$608,$B171,'Offers'!$C$7:$C$608,$C171,'Offers'!$AG$7:$AG$608,ROUNDUP(COUNTIFS('Offers'!$B$7:$B$608,$B171,'Offers'!$C$7:$C$608,$C171,'Offers'!$AI$7:$AI$608,"yes")/2,0))+SUMIFS('Offers'!$I$7:$I$608,'Offers'!$B$7:$B$608,$B171,'Offers'!$C$7:$C$608,$C171,'Offers'!$AG$7:$AG$608,INT(COUNTIFS('Offers'!$B$7:$B$608,$B171,'Offers'!$C$7:$C$608,$C171,'Offers'!$AI$7:$AI$608,"yes")/2)+1))/2)</f>
        <v/>
      </c>
      <c r="K171" s="95">
        <f>IF(COUNTIFS('Offers'!$B$7:$B$608,$B171,'Offers'!$C$7:$C$608,$C171,'Offers'!$AI$7:$AI$608,"yes")=0,"",SUMIFS('Offers'!$I$7:$I$608,'Offers'!$B$7:$B$608,$B171,'Offers'!$C$7:$C$608,$C171,'Offers'!$AG$7:$AG$608,COUNTIFS('Offers'!$B$7:$B$608,$B171,'Offers'!$C$7:$C$608,$C171,'Offers'!$AI$7:$AI$608,"yes")))</f>
        <v/>
      </c>
      <c r="L171" s="55" t="n"/>
      <c r="M171" s="55" t="n"/>
      <c r="N171" s="55" t="n"/>
      <c r="O171" s="2">
        <f>IF('Compare'!$E$5="Local prices",IF(F171="","",IF('Compare'!$C$5="Minimum",F171,IF('Compare'!$C$5="Maximum",H171,G171))),IF(I171="","",IF('Compare'!$C$5="Minimum",I171,IF('Compare'!$C$5="Maximum",K171,J171))))</f>
        <v/>
      </c>
    </row>
    <row r="172" ht="44" customHeight="1">
      <c r="A172" s="2" t="n"/>
      <c r="B172" s="27" t="inlineStr">
        <is>
          <t>GN 1/1 PC container, 100 mm</t>
        </is>
      </c>
      <c r="C172" s="27" t="inlineStr">
        <is>
          <t>Germany</t>
        </is>
      </c>
      <c r="D172" s="27" t="inlineStr">
        <is>
          <t>EUR</t>
        </is>
      </c>
      <c r="E172" s="27" t="inlineStr">
        <is>
          <t>Net per piece</t>
        </is>
      </c>
      <c r="F172" s="96">
        <f>IF(COUNTIFS('Offers'!$B$7:$B$608,$B172,'Offers'!$C$7:$C$608,$C172,'Offers'!$AH$7:$AH$608,"yes")=0,"",SUMIFS('Offers'!$H$7:$H$608,'Offers'!$B$7:$B$608,$B172,'Offers'!$C$7:$C$608,$C172,'Offers'!$AF$7:$AF$608,1))</f>
        <v/>
      </c>
      <c r="G172" s="96">
        <f>IF(COUNTIFS('Offers'!$B$7:$B$608,$B172,'Offers'!$C$7:$C$608,$C172,'Offers'!$AH$7:$AH$608,"yes")=0,"",(SUMIFS('Offers'!$H$7:$H$608,'Offers'!$B$7:$B$608,$B172,'Offers'!$C$7:$C$608,$C172,'Offers'!$AF$7:$AF$608,ROUNDUP(COUNTIFS('Offers'!$B$7:$B$608,$B172,'Offers'!$C$7:$C$608,$C172,'Offers'!$AH$7:$AH$608,"yes")/2,0))+SUMIFS('Offers'!$H$7:$H$608,'Offers'!$B$7:$B$608,$B172,'Offers'!$C$7:$C$608,$C172,'Offers'!$AF$7:$AF$608,INT(COUNTIFS('Offers'!$B$7:$B$608,$B172,'Offers'!$C$7:$C$608,$C172,'Offers'!$AH$7:$AH$608,"yes")/2)+1))/2)</f>
        <v/>
      </c>
      <c r="H172" s="96">
        <f>IF(COUNTIFS('Offers'!$B$7:$B$608,$B172,'Offers'!$C$7:$C$608,$C172,'Offers'!$AH$7:$AH$608,"yes")=0,"",SUMIFS('Offers'!$H$7:$H$608,'Offers'!$B$7:$B$608,$B172,'Offers'!$C$7:$C$608,$C172,'Offers'!$AF$7:$AF$608,COUNTIFS('Offers'!$B$7:$B$608,$B172,'Offers'!$C$7:$C$608,$C172,'Offers'!$AH$7:$AH$608,"yes")))</f>
        <v/>
      </c>
      <c r="I172" s="97">
        <f>IF(COUNTIFS('Offers'!$B$7:$B$608,$B172,'Offers'!$C$7:$C$608,$C172,'Offers'!$AI$7:$AI$608,"yes")=0,"",SUMIFS('Offers'!$I$7:$I$608,'Offers'!$B$7:$B$608,$B172,'Offers'!$C$7:$C$608,$C172,'Offers'!$AG$7:$AG$608,1))</f>
        <v/>
      </c>
      <c r="J172" s="97">
        <f>IF(COUNTIFS('Offers'!$B$7:$B$608,$B172,'Offers'!$C$7:$C$608,$C172,'Offers'!$AI$7:$AI$608,"yes")=0,"",(SUMIFS('Offers'!$I$7:$I$608,'Offers'!$B$7:$B$608,$B172,'Offers'!$C$7:$C$608,$C172,'Offers'!$AG$7:$AG$608,ROUNDUP(COUNTIFS('Offers'!$B$7:$B$608,$B172,'Offers'!$C$7:$C$608,$C172,'Offers'!$AI$7:$AI$608,"yes")/2,0))+SUMIFS('Offers'!$I$7:$I$608,'Offers'!$B$7:$B$608,$B172,'Offers'!$C$7:$C$608,$C172,'Offers'!$AG$7:$AG$608,INT(COUNTIFS('Offers'!$B$7:$B$608,$B172,'Offers'!$C$7:$C$608,$C172,'Offers'!$AI$7:$AI$608,"yes")/2)+1))/2)</f>
        <v/>
      </c>
      <c r="K172" s="97">
        <f>IF(COUNTIFS('Offers'!$B$7:$B$608,$B172,'Offers'!$C$7:$C$608,$C172,'Offers'!$AI$7:$AI$608,"yes")=0,"",SUMIFS('Offers'!$I$7:$I$608,'Offers'!$B$7:$B$608,$B172,'Offers'!$C$7:$C$608,$C172,'Offers'!$AG$7:$AG$608,COUNTIFS('Offers'!$B$7:$B$608,$B172,'Offers'!$C$7:$C$608,$C172,'Offers'!$AI$7:$AI$608,"yes")))</f>
        <v/>
      </c>
      <c r="L172" s="55" t="n"/>
      <c r="M172" s="55" t="n"/>
      <c r="N172" s="55" t="n"/>
      <c r="O172" s="19">
        <f>IF('Compare'!$E$5="Local prices",IF(F172="","",IF('Compare'!$C$5="Minimum",F172,IF('Compare'!$C$5="Maximum",H172,G172))),IF(I172="","",IF('Compare'!$C$5="Minimum",I172,IF('Compare'!$C$5="Maximum",K172,J172))))</f>
        <v/>
      </c>
    </row>
    <row r="173" ht="44" customHeight="1">
      <c r="A173" s="2" t="n"/>
      <c r="B173" s="24" t="inlineStr">
        <is>
          <t>GN 1/1 PC container, 100 mm</t>
        </is>
      </c>
      <c r="C173" s="24" t="inlineStr">
        <is>
          <t>Czech</t>
        </is>
      </c>
      <c r="D173" s="24" t="inlineStr">
        <is>
          <t>CZK</t>
        </is>
      </c>
      <c r="E173" s="24" t="inlineStr">
        <is>
          <t>Net per piece</t>
        </is>
      </c>
      <c r="F173" s="94">
        <f>IF(COUNTIFS('Offers'!$B$7:$B$608,$B173,'Offers'!$C$7:$C$608,$C173,'Offers'!$AH$7:$AH$608,"yes")=0,"",SUMIFS('Offers'!$H$7:$H$608,'Offers'!$B$7:$B$608,$B173,'Offers'!$C$7:$C$608,$C173,'Offers'!$AF$7:$AF$608,1))</f>
        <v/>
      </c>
      <c r="G173" s="94">
        <f>IF(COUNTIFS('Offers'!$B$7:$B$608,$B173,'Offers'!$C$7:$C$608,$C173,'Offers'!$AH$7:$AH$608,"yes")=0,"",(SUMIFS('Offers'!$H$7:$H$608,'Offers'!$B$7:$B$608,$B173,'Offers'!$C$7:$C$608,$C173,'Offers'!$AF$7:$AF$608,ROUNDUP(COUNTIFS('Offers'!$B$7:$B$608,$B173,'Offers'!$C$7:$C$608,$C173,'Offers'!$AH$7:$AH$608,"yes")/2,0))+SUMIFS('Offers'!$H$7:$H$608,'Offers'!$B$7:$B$608,$B173,'Offers'!$C$7:$C$608,$C173,'Offers'!$AF$7:$AF$608,INT(COUNTIFS('Offers'!$B$7:$B$608,$B173,'Offers'!$C$7:$C$608,$C173,'Offers'!$AH$7:$AH$608,"yes")/2)+1))/2)</f>
        <v/>
      </c>
      <c r="H173" s="94">
        <f>IF(COUNTIFS('Offers'!$B$7:$B$608,$B173,'Offers'!$C$7:$C$608,$C173,'Offers'!$AH$7:$AH$608,"yes")=0,"",SUMIFS('Offers'!$H$7:$H$608,'Offers'!$B$7:$B$608,$B173,'Offers'!$C$7:$C$608,$C173,'Offers'!$AF$7:$AF$608,COUNTIFS('Offers'!$B$7:$B$608,$B173,'Offers'!$C$7:$C$608,$C173,'Offers'!$AH$7:$AH$608,"yes")))</f>
        <v/>
      </c>
      <c r="I173" s="95">
        <f>IF(COUNTIFS('Offers'!$B$7:$B$608,$B173,'Offers'!$C$7:$C$608,$C173,'Offers'!$AI$7:$AI$608,"yes")=0,"",SUMIFS('Offers'!$I$7:$I$608,'Offers'!$B$7:$B$608,$B173,'Offers'!$C$7:$C$608,$C173,'Offers'!$AG$7:$AG$608,1))</f>
        <v/>
      </c>
      <c r="J173" s="95">
        <f>IF(COUNTIFS('Offers'!$B$7:$B$608,$B173,'Offers'!$C$7:$C$608,$C173,'Offers'!$AI$7:$AI$608,"yes")=0,"",(SUMIFS('Offers'!$I$7:$I$608,'Offers'!$B$7:$B$608,$B173,'Offers'!$C$7:$C$608,$C173,'Offers'!$AG$7:$AG$608,ROUNDUP(COUNTIFS('Offers'!$B$7:$B$608,$B173,'Offers'!$C$7:$C$608,$C173,'Offers'!$AI$7:$AI$608,"yes")/2,0))+SUMIFS('Offers'!$I$7:$I$608,'Offers'!$B$7:$B$608,$B173,'Offers'!$C$7:$C$608,$C173,'Offers'!$AG$7:$AG$608,INT(COUNTIFS('Offers'!$B$7:$B$608,$B173,'Offers'!$C$7:$C$608,$C173,'Offers'!$AI$7:$AI$608,"yes")/2)+1))/2)</f>
        <v/>
      </c>
      <c r="K173" s="95">
        <f>IF(COUNTIFS('Offers'!$B$7:$B$608,$B173,'Offers'!$C$7:$C$608,$C173,'Offers'!$AI$7:$AI$608,"yes")=0,"",SUMIFS('Offers'!$I$7:$I$608,'Offers'!$B$7:$B$608,$B173,'Offers'!$C$7:$C$608,$C173,'Offers'!$AG$7:$AG$608,COUNTIFS('Offers'!$B$7:$B$608,$B173,'Offers'!$C$7:$C$608,$C173,'Offers'!$AI$7:$AI$608,"yes")))</f>
        <v/>
      </c>
      <c r="L173" s="55" t="n"/>
      <c r="M173" s="55" t="n"/>
      <c r="N173" s="55" t="n"/>
      <c r="O173" s="2">
        <f>IF('Compare'!$E$5="Local prices",IF(F173="","",IF('Compare'!$C$5="Minimum",F173,IF('Compare'!$C$5="Maximum",H173,G173))),IF(I173="","",IF('Compare'!$C$5="Minimum",I173,IF('Compare'!$C$5="Maximum",K173,J173))))</f>
        <v/>
      </c>
    </row>
    <row r="174" ht="44" customHeight="1">
      <c r="A174" s="2" t="n"/>
      <c r="B174" s="27" t="inlineStr">
        <is>
          <t>GN 1/1 PC container, 100 mm</t>
        </is>
      </c>
      <c r="C174" s="27" t="inlineStr">
        <is>
          <t>Slovakia</t>
        </is>
      </c>
      <c r="D174" s="27" t="inlineStr">
        <is>
          <t>EUR</t>
        </is>
      </c>
      <c r="E174" s="27" t="inlineStr">
        <is>
          <t>Net per piece</t>
        </is>
      </c>
      <c r="F174" s="96">
        <f>IF(COUNTIFS('Offers'!$B$7:$B$608,$B174,'Offers'!$C$7:$C$608,$C174,'Offers'!$AH$7:$AH$608,"yes")=0,"",SUMIFS('Offers'!$H$7:$H$608,'Offers'!$B$7:$B$608,$B174,'Offers'!$C$7:$C$608,$C174,'Offers'!$AF$7:$AF$608,1))</f>
        <v/>
      </c>
      <c r="G174" s="96">
        <f>IF(COUNTIFS('Offers'!$B$7:$B$608,$B174,'Offers'!$C$7:$C$608,$C174,'Offers'!$AH$7:$AH$608,"yes")=0,"",(SUMIFS('Offers'!$H$7:$H$608,'Offers'!$B$7:$B$608,$B174,'Offers'!$C$7:$C$608,$C174,'Offers'!$AF$7:$AF$608,ROUNDUP(COUNTIFS('Offers'!$B$7:$B$608,$B174,'Offers'!$C$7:$C$608,$C174,'Offers'!$AH$7:$AH$608,"yes")/2,0))+SUMIFS('Offers'!$H$7:$H$608,'Offers'!$B$7:$B$608,$B174,'Offers'!$C$7:$C$608,$C174,'Offers'!$AF$7:$AF$608,INT(COUNTIFS('Offers'!$B$7:$B$608,$B174,'Offers'!$C$7:$C$608,$C174,'Offers'!$AH$7:$AH$608,"yes")/2)+1))/2)</f>
        <v/>
      </c>
      <c r="H174" s="96">
        <f>IF(COUNTIFS('Offers'!$B$7:$B$608,$B174,'Offers'!$C$7:$C$608,$C174,'Offers'!$AH$7:$AH$608,"yes")=0,"",SUMIFS('Offers'!$H$7:$H$608,'Offers'!$B$7:$B$608,$B174,'Offers'!$C$7:$C$608,$C174,'Offers'!$AF$7:$AF$608,COUNTIFS('Offers'!$B$7:$B$608,$B174,'Offers'!$C$7:$C$608,$C174,'Offers'!$AH$7:$AH$608,"yes")))</f>
        <v/>
      </c>
      <c r="I174" s="97">
        <f>IF(COUNTIFS('Offers'!$B$7:$B$608,$B174,'Offers'!$C$7:$C$608,$C174,'Offers'!$AI$7:$AI$608,"yes")=0,"",SUMIFS('Offers'!$I$7:$I$608,'Offers'!$B$7:$B$608,$B174,'Offers'!$C$7:$C$608,$C174,'Offers'!$AG$7:$AG$608,1))</f>
        <v/>
      </c>
      <c r="J174" s="97">
        <f>IF(COUNTIFS('Offers'!$B$7:$B$608,$B174,'Offers'!$C$7:$C$608,$C174,'Offers'!$AI$7:$AI$608,"yes")=0,"",(SUMIFS('Offers'!$I$7:$I$608,'Offers'!$B$7:$B$608,$B174,'Offers'!$C$7:$C$608,$C174,'Offers'!$AG$7:$AG$608,ROUNDUP(COUNTIFS('Offers'!$B$7:$B$608,$B174,'Offers'!$C$7:$C$608,$C174,'Offers'!$AI$7:$AI$608,"yes")/2,0))+SUMIFS('Offers'!$I$7:$I$608,'Offers'!$B$7:$B$608,$B174,'Offers'!$C$7:$C$608,$C174,'Offers'!$AG$7:$AG$608,INT(COUNTIFS('Offers'!$B$7:$B$608,$B174,'Offers'!$C$7:$C$608,$C174,'Offers'!$AI$7:$AI$608,"yes")/2)+1))/2)</f>
        <v/>
      </c>
      <c r="K174" s="97">
        <f>IF(COUNTIFS('Offers'!$B$7:$B$608,$B174,'Offers'!$C$7:$C$608,$C174,'Offers'!$AI$7:$AI$608,"yes")=0,"",SUMIFS('Offers'!$I$7:$I$608,'Offers'!$B$7:$B$608,$B174,'Offers'!$C$7:$C$608,$C174,'Offers'!$AG$7:$AG$608,COUNTIFS('Offers'!$B$7:$B$608,$B174,'Offers'!$C$7:$C$608,$C174,'Offers'!$AI$7:$AI$608,"yes")))</f>
        <v/>
      </c>
      <c r="L174" s="55" t="n"/>
      <c r="M174" s="55" t="n"/>
      <c r="N174" s="55" t="n"/>
      <c r="O174" s="19">
        <f>IF('Compare'!$E$5="Local prices",IF(F174="","",IF('Compare'!$C$5="Minimum",F174,IF('Compare'!$C$5="Maximum",H174,G174))),IF(I174="","",IF('Compare'!$C$5="Minimum",I174,IF('Compare'!$C$5="Maximum",K174,J174))))</f>
        <v/>
      </c>
    </row>
    <row r="175" ht="44" customHeight="1">
      <c r="A175" s="2" t="n"/>
      <c r="B175" s="24" t="inlineStr">
        <is>
          <t>GN 1/6 PC container, 100 mm</t>
        </is>
      </c>
      <c r="C175" s="24" t="inlineStr">
        <is>
          <t>Hungary</t>
        </is>
      </c>
      <c r="D175" s="24" t="inlineStr">
        <is>
          <t>HUF</t>
        </is>
      </c>
      <c r="E175" s="24" t="inlineStr">
        <is>
          <t>Net per piece</t>
        </is>
      </c>
      <c r="F175" s="94">
        <f>IF(COUNTIFS('Offers'!$B$7:$B$608,$B175,'Offers'!$C$7:$C$608,$C175,'Offers'!$AH$7:$AH$608,"yes")=0,"",SUMIFS('Offers'!$H$7:$H$608,'Offers'!$B$7:$B$608,$B175,'Offers'!$C$7:$C$608,$C175,'Offers'!$AF$7:$AF$608,1))</f>
        <v/>
      </c>
      <c r="G175" s="94">
        <f>IF(COUNTIFS('Offers'!$B$7:$B$608,$B175,'Offers'!$C$7:$C$608,$C175,'Offers'!$AH$7:$AH$608,"yes")=0,"",(SUMIFS('Offers'!$H$7:$H$608,'Offers'!$B$7:$B$608,$B175,'Offers'!$C$7:$C$608,$C175,'Offers'!$AF$7:$AF$608,ROUNDUP(COUNTIFS('Offers'!$B$7:$B$608,$B175,'Offers'!$C$7:$C$608,$C175,'Offers'!$AH$7:$AH$608,"yes")/2,0))+SUMIFS('Offers'!$H$7:$H$608,'Offers'!$B$7:$B$608,$B175,'Offers'!$C$7:$C$608,$C175,'Offers'!$AF$7:$AF$608,INT(COUNTIFS('Offers'!$B$7:$B$608,$B175,'Offers'!$C$7:$C$608,$C175,'Offers'!$AH$7:$AH$608,"yes")/2)+1))/2)</f>
        <v/>
      </c>
      <c r="H175" s="94">
        <f>IF(COUNTIFS('Offers'!$B$7:$B$608,$B175,'Offers'!$C$7:$C$608,$C175,'Offers'!$AH$7:$AH$608,"yes")=0,"",SUMIFS('Offers'!$H$7:$H$608,'Offers'!$B$7:$B$608,$B175,'Offers'!$C$7:$C$608,$C175,'Offers'!$AF$7:$AF$608,COUNTIFS('Offers'!$B$7:$B$608,$B175,'Offers'!$C$7:$C$608,$C175,'Offers'!$AH$7:$AH$608,"yes")))</f>
        <v/>
      </c>
      <c r="I175" s="95">
        <f>IF(COUNTIFS('Offers'!$B$7:$B$608,$B175,'Offers'!$C$7:$C$608,$C175,'Offers'!$AI$7:$AI$608,"yes")=0,"",SUMIFS('Offers'!$I$7:$I$608,'Offers'!$B$7:$B$608,$B175,'Offers'!$C$7:$C$608,$C175,'Offers'!$AG$7:$AG$608,1))</f>
        <v/>
      </c>
      <c r="J175" s="95">
        <f>IF(COUNTIFS('Offers'!$B$7:$B$608,$B175,'Offers'!$C$7:$C$608,$C175,'Offers'!$AI$7:$AI$608,"yes")=0,"",(SUMIFS('Offers'!$I$7:$I$608,'Offers'!$B$7:$B$608,$B175,'Offers'!$C$7:$C$608,$C175,'Offers'!$AG$7:$AG$608,ROUNDUP(COUNTIFS('Offers'!$B$7:$B$608,$B175,'Offers'!$C$7:$C$608,$C175,'Offers'!$AI$7:$AI$608,"yes")/2,0))+SUMIFS('Offers'!$I$7:$I$608,'Offers'!$B$7:$B$608,$B175,'Offers'!$C$7:$C$608,$C175,'Offers'!$AG$7:$AG$608,INT(COUNTIFS('Offers'!$B$7:$B$608,$B175,'Offers'!$C$7:$C$608,$C175,'Offers'!$AI$7:$AI$608,"yes")/2)+1))/2)</f>
        <v/>
      </c>
      <c r="K175" s="95">
        <f>IF(COUNTIFS('Offers'!$B$7:$B$608,$B175,'Offers'!$C$7:$C$608,$C175,'Offers'!$AI$7:$AI$608,"yes")=0,"",SUMIFS('Offers'!$I$7:$I$608,'Offers'!$B$7:$B$608,$B175,'Offers'!$C$7:$C$608,$C175,'Offers'!$AG$7:$AG$608,COUNTIFS('Offers'!$B$7:$B$608,$B175,'Offers'!$C$7:$C$608,$C175,'Offers'!$AI$7:$AI$608,"yes")))</f>
        <v/>
      </c>
      <c r="L175" s="55" t="n"/>
      <c r="M175" s="55" t="n"/>
      <c r="N175" s="55" t="n"/>
      <c r="O175" s="2">
        <f>IF('Compare'!$E$5="Local prices",IF(F175="","",IF('Compare'!$C$5="Minimum",F175,IF('Compare'!$C$5="Maximum",H175,G175))),IF(I175="","",IF('Compare'!$C$5="Minimum",I175,IF('Compare'!$C$5="Maximum",K175,J175))))</f>
        <v/>
      </c>
    </row>
    <row r="176" ht="44" customHeight="1">
      <c r="A176" s="2" t="n"/>
      <c r="B176" s="27" t="inlineStr">
        <is>
          <t>GN 1/6 PC container, 100 mm</t>
        </is>
      </c>
      <c r="C176" s="27" t="inlineStr">
        <is>
          <t>Romania</t>
        </is>
      </c>
      <c r="D176" s="27" t="inlineStr">
        <is>
          <t>RON</t>
        </is>
      </c>
      <c r="E176" s="27" t="inlineStr">
        <is>
          <t>Net per piece</t>
        </is>
      </c>
      <c r="F176" s="96">
        <f>IF(COUNTIFS('Offers'!$B$7:$B$608,$B176,'Offers'!$C$7:$C$608,$C176,'Offers'!$AH$7:$AH$608,"yes")=0,"",SUMIFS('Offers'!$H$7:$H$608,'Offers'!$B$7:$B$608,$B176,'Offers'!$C$7:$C$608,$C176,'Offers'!$AF$7:$AF$608,1))</f>
        <v/>
      </c>
      <c r="G176" s="96">
        <f>IF(COUNTIFS('Offers'!$B$7:$B$608,$B176,'Offers'!$C$7:$C$608,$C176,'Offers'!$AH$7:$AH$608,"yes")=0,"",(SUMIFS('Offers'!$H$7:$H$608,'Offers'!$B$7:$B$608,$B176,'Offers'!$C$7:$C$608,$C176,'Offers'!$AF$7:$AF$608,ROUNDUP(COUNTIFS('Offers'!$B$7:$B$608,$B176,'Offers'!$C$7:$C$608,$C176,'Offers'!$AH$7:$AH$608,"yes")/2,0))+SUMIFS('Offers'!$H$7:$H$608,'Offers'!$B$7:$B$608,$B176,'Offers'!$C$7:$C$608,$C176,'Offers'!$AF$7:$AF$608,INT(COUNTIFS('Offers'!$B$7:$B$608,$B176,'Offers'!$C$7:$C$608,$C176,'Offers'!$AH$7:$AH$608,"yes")/2)+1))/2)</f>
        <v/>
      </c>
      <c r="H176" s="96">
        <f>IF(COUNTIFS('Offers'!$B$7:$B$608,$B176,'Offers'!$C$7:$C$608,$C176,'Offers'!$AH$7:$AH$608,"yes")=0,"",SUMIFS('Offers'!$H$7:$H$608,'Offers'!$B$7:$B$608,$B176,'Offers'!$C$7:$C$608,$C176,'Offers'!$AF$7:$AF$608,COUNTIFS('Offers'!$B$7:$B$608,$B176,'Offers'!$C$7:$C$608,$C176,'Offers'!$AH$7:$AH$608,"yes")))</f>
        <v/>
      </c>
      <c r="I176" s="97">
        <f>IF(COUNTIFS('Offers'!$B$7:$B$608,$B176,'Offers'!$C$7:$C$608,$C176,'Offers'!$AI$7:$AI$608,"yes")=0,"",SUMIFS('Offers'!$I$7:$I$608,'Offers'!$B$7:$B$608,$B176,'Offers'!$C$7:$C$608,$C176,'Offers'!$AG$7:$AG$608,1))</f>
        <v/>
      </c>
      <c r="J176" s="97">
        <f>IF(COUNTIFS('Offers'!$B$7:$B$608,$B176,'Offers'!$C$7:$C$608,$C176,'Offers'!$AI$7:$AI$608,"yes")=0,"",(SUMIFS('Offers'!$I$7:$I$608,'Offers'!$B$7:$B$608,$B176,'Offers'!$C$7:$C$608,$C176,'Offers'!$AG$7:$AG$608,ROUNDUP(COUNTIFS('Offers'!$B$7:$B$608,$B176,'Offers'!$C$7:$C$608,$C176,'Offers'!$AI$7:$AI$608,"yes")/2,0))+SUMIFS('Offers'!$I$7:$I$608,'Offers'!$B$7:$B$608,$B176,'Offers'!$C$7:$C$608,$C176,'Offers'!$AG$7:$AG$608,INT(COUNTIFS('Offers'!$B$7:$B$608,$B176,'Offers'!$C$7:$C$608,$C176,'Offers'!$AI$7:$AI$608,"yes")/2)+1))/2)</f>
        <v/>
      </c>
      <c r="K176" s="97">
        <f>IF(COUNTIFS('Offers'!$B$7:$B$608,$B176,'Offers'!$C$7:$C$608,$C176,'Offers'!$AI$7:$AI$608,"yes")=0,"",SUMIFS('Offers'!$I$7:$I$608,'Offers'!$B$7:$B$608,$B176,'Offers'!$C$7:$C$608,$C176,'Offers'!$AG$7:$AG$608,COUNTIFS('Offers'!$B$7:$B$608,$B176,'Offers'!$C$7:$C$608,$C176,'Offers'!$AI$7:$AI$608,"yes")))</f>
        <v/>
      </c>
      <c r="L176" s="55" t="n"/>
      <c r="M176" s="55" t="n"/>
      <c r="N176" s="55" t="n"/>
      <c r="O176" s="19">
        <f>IF('Compare'!$E$5="Local prices",IF(F176="","",IF('Compare'!$C$5="Minimum",F176,IF('Compare'!$C$5="Maximum",H176,G176))),IF(I176="","",IF('Compare'!$C$5="Minimum",I176,IF('Compare'!$C$5="Maximum",K176,J176))))</f>
        <v/>
      </c>
    </row>
    <row r="177" ht="44" customHeight="1">
      <c r="A177" s="2" t="n"/>
      <c r="B177" s="24" t="inlineStr">
        <is>
          <t>GN 1/6 PC container, 100 mm</t>
        </is>
      </c>
      <c r="C177" s="24" t="inlineStr">
        <is>
          <t>Austria</t>
        </is>
      </c>
      <c r="D177" s="24" t="inlineStr">
        <is>
          <t>EUR</t>
        </is>
      </c>
      <c r="E177" s="24" t="inlineStr">
        <is>
          <t>Net per piece</t>
        </is>
      </c>
      <c r="F177" s="94">
        <f>IF(COUNTIFS('Offers'!$B$7:$B$608,$B177,'Offers'!$C$7:$C$608,$C177,'Offers'!$AH$7:$AH$608,"yes")=0,"",SUMIFS('Offers'!$H$7:$H$608,'Offers'!$B$7:$B$608,$B177,'Offers'!$C$7:$C$608,$C177,'Offers'!$AF$7:$AF$608,1))</f>
        <v/>
      </c>
      <c r="G177" s="94">
        <f>IF(COUNTIFS('Offers'!$B$7:$B$608,$B177,'Offers'!$C$7:$C$608,$C177,'Offers'!$AH$7:$AH$608,"yes")=0,"",(SUMIFS('Offers'!$H$7:$H$608,'Offers'!$B$7:$B$608,$B177,'Offers'!$C$7:$C$608,$C177,'Offers'!$AF$7:$AF$608,ROUNDUP(COUNTIFS('Offers'!$B$7:$B$608,$B177,'Offers'!$C$7:$C$608,$C177,'Offers'!$AH$7:$AH$608,"yes")/2,0))+SUMIFS('Offers'!$H$7:$H$608,'Offers'!$B$7:$B$608,$B177,'Offers'!$C$7:$C$608,$C177,'Offers'!$AF$7:$AF$608,INT(COUNTIFS('Offers'!$B$7:$B$608,$B177,'Offers'!$C$7:$C$608,$C177,'Offers'!$AH$7:$AH$608,"yes")/2)+1))/2)</f>
        <v/>
      </c>
      <c r="H177" s="94">
        <f>IF(COUNTIFS('Offers'!$B$7:$B$608,$B177,'Offers'!$C$7:$C$608,$C177,'Offers'!$AH$7:$AH$608,"yes")=0,"",SUMIFS('Offers'!$H$7:$H$608,'Offers'!$B$7:$B$608,$B177,'Offers'!$C$7:$C$608,$C177,'Offers'!$AF$7:$AF$608,COUNTIFS('Offers'!$B$7:$B$608,$B177,'Offers'!$C$7:$C$608,$C177,'Offers'!$AH$7:$AH$608,"yes")))</f>
        <v/>
      </c>
      <c r="I177" s="95">
        <f>IF(COUNTIFS('Offers'!$B$7:$B$608,$B177,'Offers'!$C$7:$C$608,$C177,'Offers'!$AI$7:$AI$608,"yes")=0,"",SUMIFS('Offers'!$I$7:$I$608,'Offers'!$B$7:$B$608,$B177,'Offers'!$C$7:$C$608,$C177,'Offers'!$AG$7:$AG$608,1))</f>
        <v/>
      </c>
      <c r="J177" s="95">
        <f>IF(COUNTIFS('Offers'!$B$7:$B$608,$B177,'Offers'!$C$7:$C$608,$C177,'Offers'!$AI$7:$AI$608,"yes")=0,"",(SUMIFS('Offers'!$I$7:$I$608,'Offers'!$B$7:$B$608,$B177,'Offers'!$C$7:$C$608,$C177,'Offers'!$AG$7:$AG$608,ROUNDUP(COUNTIFS('Offers'!$B$7:$B$608,$B177,'Offers'!$C$7:$C$608,$C177,'Offers'!$AI$7:$AI$608,"yes")/2,0))+SUMIFS('Offers'!$I$7:$I$608,'Offers'!$B$7:$B$608,$B177,'Offers'!$C$7:$C$608,$C177,'Offers'!$AG$7:$AG$608,INT(COUNTIFS('Offers'!$B$7:$B$608,$B177,'Offers'!$C$7:$C$608,$C177,'Offers'!$AI$7:$AI$608,"yes")/2)+1))/2)</f>
        <v/>
      </c>
      <c r="K177" s="95">
        <f>IF(COUNTIFS('Offers'!$B$7:$B$608,$B177,'Offers'!$C$7:$C$608,$C177,'Offers'!$AI$7:$AI$608,"yes")=0,"",SUMIFS('Offers'!$I$7:$I$608,'Offers'!$B$7:$B$608,$B177,'Offers'!$C$7:$C$608,$C177,'Offers'!$AG$7:$AG$608,COUNTIFS('Offers'!$B$7:$B$608,$B177,'Offers'!$C$7:$C$608,$C177,'Offers'!$AI$7:$AI$608,"yes")))</f>
        <v/>
      </c>
      <c r="L177" s="55" t="n"/>
      <c r="M177" s="55" t="n"/>
      <c r="N177" s="55" t="n"/>
      <c r="O177" s="2">
        <f>IF('Compare'!$E$5="Local prices",IF(F177="","",IF('Compare'!$C$5="Minimum",F177,IF('Compare'!$C$5="Maximum",H177,G177))),IF(I177="","",IF('Compare'!$C$5="Minimum",I177,IF('Compare'!$C$5="Maximum",K177,J177))))</f>
        <v/>
      </c>
    </row>
    <row r="178" ht="44" customHeight="1">
      <c r="A178" s="2" t="n"/>
      <c r="B178" s="27" t="inlineStr">
        <is>
          <t>GN 1/6 PC container, 100 mm</t>
        </is>
      </c>
      <c r="C178" s="27" t="inlineStr">
        <is>
          <t>Germany</t>
        </is>
      </c>
      <c r="D178" s="27" t="inlineStr">
        <is>
          <t>EUR</t>
        </is>
      </c>
      <c r="E178" s="27" t="inlineStr">
        <is>
          <t>Net per piece</t>
        </is>
      </c>
      <c r="F178" s="96">
        <f>IF(COUNTIFS('Offers'!$B$7:$B$608,$B178,'Offers'!$C$7:$C$608,$C178,'Offers'!$AH$7:$AH$608,"yes")=0,"",SUMIFS('Offers'!$H$7:$H$608,'Offers'!$B$7:$B$608,$B178,'Offers'!$C$7:$C$608,$C178,'Offers'!$AF$7:$AF$608,1))</f>
        <v/>
      </c>
      <c r="G178" s="96">
        <f>IF(COUNTIFS('Offers'!$B$7:$B$608,$B178,'Offers'!$C$7:$C$608,$C178,'Offers'!$AH$7:$AH$608,"yes")=0,"",(SUMIFS('Offers'!$H$7:$H$608,'Offers'!$B$7:$B$608,$B178,'Offers'!$C$7:$C$608,$C178,'Offers'!$AF$7:$AF$608,ROUNDUP(COUNTIFS('Offers'!$B$7:$B$608,$B178,'Offers'!$C$7:$C$608,$C178,'Offers'!$AH$7:$AH$608,"yes")/2,0))+SUMIFS('Offers'!$H$7:$H$608,'Offers'!$B$7:$B$608,$B178,'Offers'!$C$7:$C$608,$C178,'Offers'!$AF$7:$AF$608,INT(COUNTIFS('Offers'!$B$7:$B$608,$B178,'Offers'!$C$7:$C$608,$C178,'Offers'!$AH$7:$AH$608,"yes")/2)+1))/2)</f>
        <v/>
      </c>
      <c r="H178" s="96">
        <f>IF(COUNTIFS('Offers'!$B$7:$B$608,$B178,'Offers'!$C$7:$C$608,$C178,'Offers'!$AH$7:$AH$608,"yes")=0,"",SUMIFS('Offers'!$H$7:$H$608,'Offers'!$B$7:$B$608,$B178,'Offers'!$C$7:$C$608,$C178,'Offers'!$AF$7:$AF$608,COUNTIFS('Offers'!$B$7:$B$608,$B178,'Offers'!$C$7:$C$608,$C178,'Offers'!$AH$7:$AH$608,"yes")))</f>
        <v/>
      </c>
      <c r="I178" s="97">
        <f>IF(COUNTIFS('Offers'!$B$7:$B$608,$B178,'Offers'!$C$7:$C$608,$C178,'Offers'!$AI$7:$AI$608,"yes")=0,"",SUMIFS('Offers'!$I$7:$I$608,'Offers'!$B$7:$B$608,$B178,'Offers'!$C$7:$C$608,$C178,'Offers'!$AG$7:$AG$608,1))</f>
        <v/>
      </c>
      <c r="J178" s="97">
        <f>IF(COUNTIFS('Offers'!$B$7:$B$608,$B178,'Offers'!$C$7:$C$608,$C178,'Offers'!$AI$7:$AI$608,"yes")=0,"",(SUMIFS('Offers'!$I$7:$I$608,'Offers'!$B$7:$B$608,$B178,'Offers'!$C$7:$C$608,$C178,'Offers'!$AG$7:$AG$608,ROUNDUP(COUNTIFS('Offers'!$B$7:$B$608,$B178,'Offers'!$C$7:$C$608,$C178,'Offers'!$AI$7:$AI$608,"yes")/2,0))+SUMIFS('Offers'!$I$7:$I$608,'Offers'!$B$7:$B$608,$B178,'Offers'!$C$7:$C$608,$C178,'Offers'!$AG$7:$AG$608,INT(COUNTIFS('Offers'!$B$7:$B$608,$B178,'Offers'!$C$7:$C$608,$C178,'Offers'!$AI$7:$AI$608,"yes")/2)+1))/2)</f>
        <v/>
      </c>
      <c r="K178" s="97">
        <f>IF(COUNTIFS('Offers'!$B$7:$B$608,$B178,'Offers'!$C$7:$C$608,$C178,'Offers'!$AI$7:$AI$608,"yes")=0,"",SUMIFS('Offers'!$I$7:$I$608,'Offers'!$B$7:$B$608,$B178,'Offers'!$C$7:$C$608,$C178,'Offers'!$AG$7:$AG$608,COUNTIFS('Offers'!$B$7:$B$608,$B178,'Offers'!$C$7:$C$608,$C178,'Offers'!$AI$7:$AI$608,"yes")))</f>
        <v/>
      </c>
      <c r="L178" s="55" t="n"/>
      <c r="M178" s="55" t="n"/>
      <c r="N178" s="55" t="n"/>
      <c r="O178" s="19">
        <f>IF('Compare'!$E$5="Local prices",IF(F178="","",IF('Compare'!$C$5="Minimum",F178,IF('Compare'!$C$5="Maximum",H178,G178))),IF(I178="","",IF('Compare'!$C$5="Minimum",I178,IF('Compare'!$C$5="Maximum",K178,J178))))</f>
        <v/>
      </c>
    </row>
    <row r="179" ht="44" customHeight="1">
      <c r="A179" s="2" t="n"/>
      <c r="B179" s="24" t="inlineStr">
        <is>
          <t>GN 1/6 PC container, 100 mm</t>
        </is>
      </c>
      <c r="C179" s="24" t="inlineStr">
        <is>
          <t>Czech</t>
        </is>
      </c>
      <c r="D179" s="24" t="inlineStr">
        <is>
          <t>CZK</t>
        </is>
      </c>
      <c r="E179" s="24" t="inlineStr">
        <is>
          <t>Net per piece</t>
        </is>
      </c>
      <c r="F179" s="94">
        <f>IF(COUNTIFS('Offers'!$B$7:$B$608,$B179,'Offers'!$C$7:$C$608,$C179,'Offers'!$AH$7:$AH$608,"yes")=0,"",SUMIFS('Offers'!$H$7:$H$608,'Offers'!$B$7:$B$608,$B179,'Offers'!$C$7:$C$608,$C179,'Offers'!$AF$7:$AF$608,1))</f>
        <v/>
      </c>
      <c r="G179" s="94">
        <f>IF(COUNTIFS('Offers'!$B$7:$B$608,$B179,'Offers'!$C$7:$C$608,$C179,'Offers'!$AH$7:$AH$608,"yes")=0,"",(SUMIFS('Offers'!$H$7:$H$608,'Offers'!$B$7:$B$608,$B179,'Offers'!$C$7:$C$608,$C179,'Offers'!$AF$7:$AF$608,ROUNDUP(COUNTIFS('Offers'!$B$7:$B$608,$B179,'Offers'!$C$7:$C$608,$C179,'Offers'!$AH$7:$AH$608,"yes")/2,0))+SUMIFS('Offers'!$H$7:$H$608,'Offers'!$B$7:$B$608,$B179,'Offers'!$C$7:$C$608,$C179,'Offers'!$AF$7:$AF$608,INT(COUNTIFS('Offers'!$B$7:$B$608,$B179,'Offers'!$C$7:$C$608,$C179,'Offers'!$AH$7:$AH$608,"yes")/2)+1))/2)</f>
        <v/>
      </c>
      <c r="H179" s="94">
        <f>IF(COUNTIFS('Offers'!$B$7:$B$608,$B179,'Offers'!$C$7:$C$608,$C179,'Offers'!$AH$7:$AH$608,"yes")=0,"",SUMIFS('Offers'!$H$7:$H$608,'Offers'!$B$7:$B$608,$B179,'Offers'!$C$7:$C$608,$C179,'Offers'!$AF$7:$AF$608,COUNTIFS('Offers'!$B$7:$B$608,$B179,'Offers'!$C$7:$C$608,$C179,'Offers'!$AH$7:$AH$608,"yes")))</f>
        <v/>
      </c>
      <c r="I179" s="95">
        <f>IF(COUNTIFS('Offers'!$B$7:$B$608,$B179,'Offers'!$C$7:$C$608,$C179,'Offers'!$AI$7:$AI$608,"yes")=0,"",SUMIFS('Offers'!$I$7:$I$608,'Offers'!$B$7:$B$608,$B179,'Offers'!$C$7:$C$608,$C179,'Offers'!$AG$7:$AG$608,1))</f>
        <v/>
      </c>
      <c r="J179" s="95">
        <f>IF(COUNTIFS('Offers'!$B$7:$B$608,$B179,'Offers'!$C$7:$C$608,$C179,'Offers'!$AI$7:$AI$608,"yes")=0,"",(SUMIFS('Offers'!$I$7:$I$608,'Offers'!$B$7:$B$608,$B179,'Offers'!$C$7:$C$608,$C179,'Offers'!$AG$7:$AG$608,ROUNDUP(COUNTIFS('Offers'!$B$7:$B$608,$B179,'Offers'!$C$7:$C$608,$C179,'Offers'!$AI$7:$AI$608,"yes")/2,0))+SUMIFS('Offers'!$I$7:$I$608,'Offers'!$B$7:$B$608,$B179,'Offers'!$C$7:$C$608,$C179,'Offers'!$AG$7:$AG$608,INT(COUNTIFS('Offers'!$B$7:$B$608,$B179,'Offers'!$C$7:$C$608,$C179,'Offers'!$AI$7:$AI$608,"yes")/2)+1))/2)</f>
        <v/>
      </c>
      <c r="K179" s="95">
        <f>IF(COUNTIFS('Offers'!$B$7:$B$608,$B179,'Offers'!$C$7:$C$608,$C179,'Offers'!$AI$7:$AI$608,"yes")=0,"",SUMIFS('Offers'!$I$7:$I$608,'Offers'!$B$7:$B$608,$B179,'Offers'!$C$7:$C$608,$C179,'Offers'!$AG$7:$AG$608,COUNTIFS('Offers'!$B$7:$B$608,$B179,'Offers'!$C$7:$C$608,$C179,'Offers'!$AI$7:$AI$608,"yes")))</f>
        <v/>
      </c>
      <c r="L179" s="55" t="n"/>
      <c r="M179" s="55" t="n"/>
      <c r="N179" s="55" t="n"/>
      <c r="O179" s="2">
        <f>IF('Compare'!$E$5="Local prices",IF(F179="","",IF('Compare'!$C$5="Minimum",F179,IF('Compare'!$C$5="Maximum",H179,G179))),IF(I179="","",IF('Compare'!$C$5="Minimum",I179,IF('Compare'!$C$5="Maximum",K179,J179))))</f>
        <v/>
      </c>
    </row>
    <row r="180" ht="44" customHeight="1">
      <c r="A180" s="2" t="n"/>
      <c r="B180" s="27" t="inlineStr">
        <is>
          <t>GN 1/6 PC container, 100 mm</t>
        </is>
      </c>
      <c r="C180" s="27" t="inlineStr">
        <is>
          <t>Slovakia</t>
        </is>
      </c>
      <c r="D180" s="27" t="inlineStr">
        <is>
          <t>EUR</t>
        </is>
      </c>
      <c r="E180" s="27" t="inlineStr">
        <is>
          <t>Net per piece</t>
        </is>
      </c>
      <c r="F180" s="96">
        <f>IF(COUNTIFS('Offers'!$B$7:$B$608,$B180,'Offers'!$C$7:$C$608,$C180,'Offers'!$AH$7:$AH$608,"yes")=0,"",SUMIFS('Offers'!$H$7:$H$608,'Offers'!$B$7:$B$608,$B180,'Offers'!$C$7:$C$608,$C180,'Offers'!$AF$7:$AF$608,1))</f>
        <v/>
      </c>
      <c r="G180" s="96">
        <f>IF(COUNTIFS('Offers'!$B$7:$B$608,$B180,'Offers'!$C$7:$C$608,$C180,'Offers'!$AH$7:$AH$608,"yes")=0,"",(SUMIFS('Offers'!$H$7:$H$608,'Offers'!$B$7:$B$608,$B180,'Offers'!$C$7:$C$608,$C180,'Offers'!$AF$7:$AF$608,ROUNDUP(COUNTIFS('Offers'!$B$7:$B$608,$B180,'Offers'!$C$7:$C$608,$C180,'Offers'!$AH$7:$AH$608,"yes")/2,0))+SUMIFS('Offers'!$H$7:$H$608,'Offers'!$B$7:$B$608,$B180,'Offers'!$C$7:$C$608,$C180,'Offers'!$AF$7:$AF$608,INT(COUNTIFS('Offers'!$B$7:$B$608,$B180,'Offers'!$C$7:$C$608,$C180,'Offers'!$AH$7:$AH$608,"yes")/2)+1))/2)</f>
        <v/>
      </c>
      <c r="H180" s="96">
        <f>IF(COUNTIFS('Offers'!$B$7:$B$608,$B180,'Offers'!$C$7:$C$608,$C180,'Offers'!$AH$7:$AH$608,"yes")=0,"",SUMIFS('Offers'!$H$7:$H$608,'Offers'!$B$7:$B$608,$B180,'Offers'!$C$7:$C$608,$C180,'Offers'!$AF$7:$AF$608,COUNTIFS('Offers'!$B$7:$B$608,$B180,'Offers'!$C$7:$C$608,$C180,'Offers'!$AH$7:$AH$608,"yes")))</f>
        <v/>
      </c>
      <c r="I180" s="97">
        <f>IF(COUNTIFS('Offers'!$B$7:$B$608,$B180,'Offers'!$C$7:$C$608,$C180,'Offers'!$AI$7:$AI$608,"yes")=0,"",SUMIFS('Offers'!$I$7:$I$608,'Offers'!$B$7:$B$608,$B180,'Offers'!$C$7:$C$608,$C180,'Offers'!$AG$7:$AG$608,1))</f>
        <v/>
      </c>
      <c r="J180" s="97">
        <f>IF(COUNTIFS('Offers'!$B$7:$B$608,$B180,'Offers'!$C$7:$C$608,$C180,'Offers'!$AI$7:$AI$608,"yes")=0,"",(SUMIFS('Offers'!$I$7:$I$608,'Offers'!$B$7:$B$608,$B180,'Offers'!$C$7:$C$608,$C180,'Offers'!$AG$7:$AG$608,ROUNDUP(COUNTIFS('Offers'!$B$7:$B$608,$B180,'Offers'!$C$7:$C$608,$C180,'Offers'!$AI$7:$AI$608,"yes")/2,0))+SUMIFS('Offers'!$I$7:$I$608,'Offers'!$B$7:$B$608,$B180,'Offers'!$C$7:$C$608,$C180,'Offers'!$AG$7:$AG$608,INT(COUNTIFS('Offers'!$B$7:$B$608,$B180,'Offers'!$C$7:$C$608,$C180,'Offers'!$AI$7:$AI$608,"yes")/2)+1))/2)</f>
        <v/>
      </c>
      <c r="K180" s="97">
        <f>IF(COUNTIFS('Offers'!$B$7:$B$608,$B180,'Offers'!$C$7:$C$608,$C180,'Offers'!$AI$7:$AI$608,"yes")=0,"",SUMIFS('Offers'!$I$7:$I$608,'Offers'!$B$7:$B$608,$B180,'Offers'!$C$7:$C$608,$C180,'Offers'!$AG$7:$AG$608,COUNTIFS('Offers'!$B$7:$B$608,$B180,'Offers'!$C$7:$C$608,$C180,'Offers'!$AI$7:$AI$608,"yes")))</f>
        <v/>
      </c>
      <c r="L180" s="55" t="n"/>
      <c r="M180" s="55" t="n"/>
      <c r="N180" s="55" t="n"/>
      <c r="O180" s="19">
        <f>IF('Compare'!$E$5="Local prices",IF(F180="","",IF('Compare'!$C$5="Minimum",F180,IF('Compare'!$C$5="Maximum",H180,G180))),IF(I180="","",IF('Compare'!$C$5="Minimum",I180,IF('Compare'!$C$5="Maximum",K180,J180))))</f>
        <v/>
      </c>
    </row>
    <row r="181" ht="44" customHeight="1">
      <c r="A181" s="2" t="n"/>
      <c r="B181" s="24" t="inlineStr">
        <is>
          <t>Red PE cutting board 530 × 325 × 15 mm</t>
        </is>
      </c>
      <c r="C181" s="24" t="inlineStr">
        <is>
          <t>Hungary</t>
        </is>
      </c>
      <c r="D181" s="24" t="inlineStr">
        <is>
          <t>HUF</t>
        </is>
      </c>
      <c r="E181" s="24" t="inlineStr">
        <is>
          <t>Net per piece</t>
        </is>
      </c>
      <c r="F181" s="94">
        <f>IF(COUNTIFS('Offers'!$B$7:$B$608,$B181,'Offers'!$C$7:$C$608,$C181,'Offers'!$AH$7:$AH$608,"yes")=0,"",SUMIFS('Offers'!$H$7:$H$608,'Offers'!$B$7:$B$608,$B181,'Offers'!$C$7:$C$608,$C181,'Offers'!$AF$7:$AF$608,1))</f>
        <v/>
      </c>
      <c r="G181" s="94">
        <f>IF(COUNTIFS('Offers'!$B$7:$B$608,$B181,'Offers'!$C$7:$C$608,$C181,'Offers'!$AH$7:$AH$608,"yes")=0,"",(SUMIFS('Offers'!$H$7:$H$608,'Offers'!$B$7:$B$608,$B181,'Offers'!$C$7:$C$608,$C181,'Offers'!$AF$7:$AF$608,ROUNDUP(COUNTIFS('Offers'!$B$7:$B$608,$B181,'Offers'!$C$7:$C$608,$C181,'Offers'!$AH$7:$AH$608,"yes")/2,0))+SUMIFS('Offers'!$H$7:$H$608,'Offers'!$B$7:$B$608,$B181,'Offers'!$C$7:$C$608,$C181,'Offers'!$AF$7:$AF$608,INT(COUNTIFS('Offers'!$B$7:$B$608,$B181,'Offers'!$C$7:$C$608,$C181,'Offers'!$AH$7:$AH$608,"yes")/2)+1))/2)</f>
        <v/>
      </c>
      <c r="H181" s="94">
        <f>IF(COUNTIFS('Offers'!$B$7:$B$608,$B181,'Offers'!$C$7:$C$608,$C181,'Offers'!$AH$7:$AH$608,"yes")=0,"",SUMIFS('Offers'!$H$7:$H$608,'Offers'!$B$7:$B$608,$B181,'Offers'!$C$7:$C$608,$C181,'Offers'!$AF$7:$AF$608,COUNTIFS('Offers'!$B$7:$B$608,$B181,'Offers'!$C$7:$C$608,$C181,'Offers'!$AH$7:$AH$608,"yes")))</f>
        <v/>
      </c>
      <c r="I181" s="95">
        <f>IF(COUNTIFS('Offers'!$B$7:$B$608,$B181,'Offers'!$C$7:$C$608,$C181,'Offers'!$AI$7:$AI$608,"yes")=0,"",SUMIFS('Offers'!$I$7:$I$608,'Offers'!$B$7:$B$608,$B181,'Offers'!$C$7:$C$608,$C181,'Offers'!$AG$7:$AG$608,1))</f>
        <v/>
      </c>
      <c r="J181" s="95">
        <f>IF(COUNTIFS('Offers'!$B$7:$B$608,$B181,'Offers'!$C$7:$C$608,$C181,'Offers'!$AI$7:$AI$608,"yes")=0,"",(SUMIFS('Offers'!$I$7:$I$608,'Offers'!$B$7:$B$608,$B181,'Offers'!$C$7:$C$608,$C181,'Offers'!$AG$7:$AG$608,ROUNDUP(COUNTIFS('Offers'!$B$7:$B$608,$B181,'Offers'!$C$7:$C$608,$C181,'Offers'!$AI$7:$AI$608,"yes")/2,0))+SUMIFS('Offers'!$I$7:$I$608,'Offers'!$B$7:$B$608,$B181,'Offers'!$C$7:$C$608,$C181,'Offers'!$AG$7:$AG$608,INT(COUNTIFS('Offers'!$B$7:$B$608,$B181,'Offers'!$C$7:$C$608,$C181,'Offers'!$AI$7:$AI$608,"yes")/2)+1))/2)</f>
        <v/>
      </c>
      <c r="K181" s="95">
        <f>IF(COUNTIFS('Offers'!$B$7:$B$608,$B181,'Offers'!$C$7:$C$608,$C181,'Offers'!$AI$7:$AI$608,"yes")=0,"",SUMIFS('Offers'!$I$7:$I$608,'Offers'!$B$7:$B$608,$B181,'Offers'!$C$7:$C$608,$C181,'Offers'!$AG$7:$AG$608,COUNTIFS('Offers'!$B$7:$B$608,$B181,'Offers'!$C$7:$C$608,$C181,'Offers'!$AI$7:$AI$608,"yes")))</f>
        <v/>
      </c>
      <c r="L181" s="55" t="n"/>
      <c r="M181" s="55" t="n"/>
      <c r="N181" s="55" t="n"/>
      <c r="O181" s="2">
        <f>IF('Compare'!$E$5="Local prices",IF(F181="","",IF('Compare'!$C$5="Minimum",F181,IF('Compare'!$C$5="Maximum",H181,G181))),IF(I181="","",IF('Compare'!$C$5="Minimum",I181,IF('Compare'!$C$5="Maximum",K181,J181))))</f>
        <v/>
      </c>
    </row>
    <row r="182" ht="44" customHeight="1">
      <c r="A182" s="2" t="n"/>
      <c r="B182" s="27" t="inlineStr">
        <is>
          <t>Red PE cutting board 530 × 325 × 15 mm</t>
        </is>
      </c>
      <c r="C182" s="27" t="inlineStr">
        <is>
          <t>Romania</t>
        </is>
      </c>
      <c r="D182" s="27" t="inlineStr">
        <is>
          <t>RON</t>
        </is>
      </c>
      <c r="E182" s="27" t="inlineStr">
        <is>
          <t>Net per piece</t>
        </is>
      </c>
      <c r="F182" s="96">
        <f>IF(COUNTIFS('Offers'!$B$7:$B$608,$B182,'Offers'!$C$7:$C$608,$C182,'Offers'!$AH$7:$AH$608,"yes")=0,"",SUMIFS('Offers'!$H$7:$H$608,'Offers'!$B$7:$B$608,$B182,'Offers'!$C$7:$C$608,$C182,'Offers'!$AF$7:$AF$608,1))</f>
        <v/>
      </c>
      <c r="G182" s="96">
        <f>IF(COUNTIFS('Offers'!$B$7:$B$608,$B182,'Offers'!$C$7:$C$608,$C182,'Offers'!$AH$7:$AH$608,"yes")=0,"",(SUMIFS('Offers'!$H$7:$H$608,'Offers'!$B$7:$B$608,$B182,'Offers'!$C$7:$C$608,$C182,'Offers'!$AF$7:$AF$608,ROUNDUP(COUNTIFS('Offers'!$B$7:$B$608,$B182,'Offers'!$C$7:$C$608,$C182,'Offers'!$AH$7:$AH$608,"yes")/2,0))+SUMIFS('Offers'!$H$7:$H$608,'Offers'!$B$7:$B$608,$B182,'Offers'!$C$7:$C$608,$C182,'Offers'!$AF$7:$AF$608,INT(COUNTIFS('Offers'!$B$7:$B$608,$B182,'Offers'!$C$7:$C$608,$C182,'Offers'!$AH$7:$AH$608,"yes")/2)+1))/2)</f>
        <v/>
      </c>
      <c r="H182" s="96">
        <f>IF(COUNTIFS('Offers'!$B$7:$B$608,$B182,'Offers'!$C$7:$C$608,$C182,'Offers'!$AH$7:$AH$608,"yes")=0,"",SUMIFS('Offers'!$H$7:$H$608,'Offers'!$B$7:$B$608,$B182,'Offers'!$C$7:$C$608,$C182,'Offers'!$AF$7:$AF$608,COUNTIFS('Offers'!$B$7:$B$608,$B182,'Offers'!$C$7:$C$608,$C182,'Offers'!$AH$7:$AH$608,"yes")))</f>
        <v/>
      </c>
      <c r="I182" s="97">
        <f>IF(COUNTIFS('Offers'!$B$7:$B$608,$B182,'Offers'!$C$7:$C$608,$C182,'Offers'!$AI$7:$AI$608,"yes")=0,"",SUMIFS('Offers'!$I$7:$I$608,'Offers'!$B$7:$B$608,$B182,'Offers'!$C$7:$C$608,$C182,'Offers'!$AG$7:$AG$608,1))</f>
        <v/>
      </c>
      <c r="J182" s="97">
        <f>IF(COUNTIFS('Offers'!$B$7:$B$608,$B182,'Offers'!$C$7:$C$608,$C182,'Offers'!$AI$7:$AI$608,"yes")=0,"",(SUMIFS('Offers'!$I$7:$I$608,'Offers'!$B$7:$B$608,$B182,'Offers'!$C$7:$C$608,$C182,'Offers'!$AG$7:$AG$608,ROUNDUP(COUNTIFS('Offers'!$B$7:$B$608,$B182,'Offers'!$C$7:$C$608,$C182,'Offers'!$AI$7:$AI$608,"yes")/2,0))+SUMIFS('Offers'!$I$7:$I$608,'Offers'!$B$7:$B$608,$B182,'Offers'!$C$7:$C$608,$C182,'Offers'!$AG$7:$AG$608,INT(COUNTIFS('Offers'!$B$7:$B$608,$B182,'Offers'!$C$7:$C$608,$C182,'Offers'!$AI$7:$AI$608,"yes")/2)+1))/2)</f>
        <v/>
      </c>
      <c r="K182" s="97">
        <f>IF(COUNTIFS('Offers'!$B$7:$B$608,$B182,'Offers'!$C$7:$C$608,$C182,'Offers'!$AI$7:$AI$608,"yes")=0,"",SUMIFS('Offers'!$I$7:$I$608,'Offers'!$B$7:$B$608,$B182,'Offers'!$C$7:$C$608,$C182,'Offers'!$AG$7:$AG$608,COUNTIFS('Offers'!$B$7:$B$608,$B182,'Offers'!$C$7:$C$608,$C182,'Offers'!$AI$7:$AI$608,"yes")))</f>
        <v/>
      </c>
      <c r="L182" s="55" t="n"/>
      <c r="M182" s="55" t="n"/>
      <c r="N182" s="55" t="n"/>
      <c r="O182" s="19">
        <f>IF('Compare'!$E$5="Local prices",IF(F182="","",IF('Compare'!$C$5="Minimum",F182,IF('Compare'!$C$5="Maximum",H182,G182))),IF(I182="","",IF('Compare'!$C$5="Minimum",I182,IF('Compare'!$C$5="Maximum",K182,J182))))</f>
        <v/>
      </c>
    </row>
    <row r="183" ht="44" customHeight="1">
      <c r="A183" s="2" t="n"/>
      <c r="B183" s="24" t="inlineStr">
        <is>
          <t>Red PE cutting board 530 × 325 × 15 mm</t>
        </is>
      </c>
      <c r="C183" s="24" t="inlineStr">
        <is>
          <t>Austria</t>
        </is>
      </c>
      <c r="D183" s="24" t="inlineStr">
        <is>
          <t>EUR</t>
        </is>
      </c>
      <c r="E183" s="24" t="inlineStr">
        <is>
          <t>Net per piece</t>
        </is>
      </c>
      <c r="F183" s="94">
        <f>IF(COUNTIFS('Offers'!$B$7:$B$608,$B183,'Offers'!$C$7:$C$608,$C183,'Offers'!$AH$7:$AH$608,"yes")=0,"",SUMIFS('Offers'!$H$7:$H$608,'Offers'!$B$7:$B$608,$B183,'Offers'!$C$7:$C$608,$C183,'Offers'!$AF$7:$AF$608,1))</f>
        <v/>
      </c>
      <c r="G183" s="94">
        <f>IF(COUNTIFS('Offers'!$B$7:$B$608,$B183,'Offers'!$C$7:$C$608,$C183,'Offers'!$AH$7:$AH$608,"yes")=0,"",(SUMIFS('Offers'!$H$7:$H$608,'Offers'!$B$7:$B$608,$B183,'Offers'!$C$7:$C$608,$C183,'Offers'!$AF$7:$AF$608,ROUNDUP(COUNTIFS('Offers'!$B$7:$B$608,$B183,'Offers'!$C$7:$C$608,$C183,'Offers'!$AH$7:$AH$608,"yes")/2,0))+SUMIFS('Offers'!$H$7:$H$608,'Offers'!$B$7:$B$608,$B183,'Offers'!$C$7:$C$608,$C183,'Offers'!$AF$7:$AF$608,INT(COUNTIFS('Offers'!$B$7:$B$608,$B183,'Offers'!$C$7:$C$608,$C183,'Offers'!$AH$7:$AH$608,"yes")/2)+1))/2)</f>
        <v/>
      </c>
      <c r="H183" s="94">
        <f>IF(COUNTIFS('Offers'!$B$7:$B$608,$B183,'Offers'!$C$7:$C$608,$C183,'Offers'!$AH$7:$AH$608,"yes")=0,"",SUMIFS('Offers'!$H$7:$H$608,'Offers'!$B$7:$B$608,$B183,'Offers'!$C$7:$C$608,$C183,'Offers'!$AF$7:$AF$608,COUNTIFS('Offers'!$B$7:$B$608,$B183,'Offers'!$C$7:$C$608,$C183,'Offers'!$AH$7:$AH$608,"yes")))</f>
        <v/>
      </c>
      <c r="I183" s="95">
        <f>IF(COUNTIFS('Offers'!$B$7:$B$608,$B183,'Offers'!$C$7:$C$608,$C183,'Offers'!$AI$7:$AI$608,"yes")=0,"",SUMIFS('Offers'!$I$7:$I$608,'Offers'!$B$7:$B$608,$B183,'Offers'!$C$7:$C$608,$C183,'Offers'!$AG$7:$AG$608,1))</f>
        <v/>
      </c>
      <c r="J183" s="95">
        <f>IF(COUNTIFS('Offers'!$B$7:$B$608,$B183,'Offers'!$C$7:$C$608,$C183,'Offers'!$AI$7:$AI$608,"yes")=0,"",(SUMIFS('Offers'!$I$7:$I$608,'Offers'!$B$7:$B$608,$B183,'Offers'!$C$7:$C$608,$C183,'Offers'!$AG$7:$AG$608,ROUNDUP(COUNTIFS('Offers'!$B$7:$B$608,$B183,'Offers'!$C$7:$C$608,$C183,'Offers'!$AI$7:$AI$608,"yes")/2,0))+SUMIFS('Offers'!$I$7:$I$608,'Offers'!$B$7:$B$608,$B183,'Offers'!$C$7:$C$608,$C183,'Offers'!$AG$7:$AG$608,INT(COUNTIFS('Offers'!$B$7:$B$608,$B183,'Offers'!$C$7:$C$608,$C183,'Offers'!$AI$7:$AI$608,"yes")/2)+1))/2)</f>
        <v/>
      </c>
      <c r="K183" s="95">
        <f>IF(COUNTIFS('Offers'!$B$7:$B$608,$B183,'Offers'!$C$7:$C$608,$C183,'Offers'!$AI$7:$AI$608,"yes")=0,"",SUMIFS('Offers'!$I$7:$I$608,'Offers'!$B$7:$B$608,$B183,'Offers'!$C$7:$C$608,$C183,'Offers'!$AG$7:$AG$608,COUNTIFS('Offers'!$B$7:$B$608,$B183,'Offers'!$C$7:$C$608,$C183,'Offers'!$AI$7:$AI$608,"yes")))</f>
        <v/>
      </c>
      <c r="L183" s="55" t="n"/>
      <c r="M183" s="55" t="n"/>
      <c r="N183" s="55" t="n"/>
      <c r="O183" s="2">
        <f>IF('Compare'!$E$5="Local prices",IF(F183="","",IF('Compare'!$C$5="Minimum",F183,IF('Compare'!$C$5="Maximum",H183,G183))),IF(I183="","",IF('Compare'!$C$5="Minimum",I183,IF('Compare'!$C$5="Maximum",K183,J183))))</f>
        <v/>
      </c>
    </row>
    <row r="184" ht="44" customHeight="1">
      <c r="A184" s="2" t="n"/>
      <c r="B184" s="27" t="inlineStr">
        <is>
          <t>Red PE cutting board 530 × 325 × 15 mm</t>
        </is>
      </c>
      <c r="C184" s="27" t="inlineStr">
        <is>
          <t>Germany</t>
        </is>
      </c>
      <c r="D184" s="27" t="inlineStr">
        <is>
          <t>EUR</t>
        </is>
      </c>
      <c r="E184" s="27" t="inlineStr">
        <is>
          <t>Net per piece</t>
        </is>
      </c>
      <c r="F184" s="96">
        <f>IF(COUNTIFS('Offers'!$B$7:$B$608,$B184,'Offers'!$C$7:$C$608,$C184,'Offers'!$AH$7:$AH$608,"yes")=0,"",SUMIFS('Offers'!$H$7:$H$608,'Offers'!$B$7:$B$608,$B184,'Offers'!$C$7:$C$608,$C184,'Offers'!$AF$7:$AF$608,1))</f>
        <v/>
      </c>
      <c r="G184" s="96">
        <f>IF(COUNTIFS('Offers'!$B$7:$B$608,$B184,'Offers'!$C$7:$C$608,$C184,'Offers'!$AH$7:$AH$608,"yes")=0,"",(SUMIFS('Offers'!$H$7:$H$608,'Offers'!$B$7:$B$608,$B184,'Offers'!$C$7:$C$608,$C184,'Offers'!$AF$7:$AF$608,ROUNDUP(COUNTIFS('Offers'!$B$7:$B$608,$B184,'Offers'!$C$7:$C$608,$C184,'Offers'!$AH$7:$AH$608,"yes")/2,0))+SUMIFS('Offers'!$H$7:$H$608,'Offers'!$B$7:$B$608,$B184,'Offers'!$C$7:$C$608,$C184,'Offers'!$AF$7:$AF$608,INT(COUNTIFS('Offers'!$B$7:$B$608,$B184,'Offers'!$C$7:$C$608,$C184,'Offers'!$AH$7:$AH$608,"yes")/2)+1))/2)</f>
        <v/>
      </c>
      <c r="H184" s="96">
        <f>IF(COUNTIFS('Offers'!$B$7:$B$608,$B184,'Offers'!$C$7:$C$608,$C184,'Offers'!$AH$7:$AH$608,"yes")=0,"",SUMIFS('Offers'!$H$7:$H$608,'Offers'!$B$7:$B$608,$B184,'Offers'!$C$7:$C$608,$C184,'Offers'!$AF$7:$AF$608,COUNTIFS('Offers'!$B$7:$B$608,$B184,'Offers'!$C$7:$C$608,$C184,'Offers'!$AH$7:$AH$608,"yes")))</f>
        <v/>
      </c>
      <c r="I184" s="97">
        <f>IF(COUNTIFS('Offers'!$B$7:$B$608,$B184,'Offers'!$C$7:$C$608,$C184,'Offers'!$AI$7:$AI$608,"yes")=0,"",SUMIFS('Offers'!$I$7:$I$608,'Offers'!$B$7:$B$608,$B184,'Offers'!$C$7:$C$608,$C184,'Offers'!$AG$7:$AG$608,1))</f>
        <v/>
      </c>
      <c r="J184" s="97">
        <f>IF(COUNTIFS('Offers'!$B$7:$B$608,$B184,'Offers'!$C$7:$C$608,$C184,'Offers'!$AI$7:$AI$608,"yes")=0,"",(SUMIFS('Offers'!$I$7:$I$608,'Offers'!$B$7:$B$608,$B184,'Offers'!$C$7:$C$608,$C184,'Offers'!$AG$7:$AG$608,ROUNDUP(COUNTIFS('Offers'!$B$7:$B$608,$B184,'Offers'!$C$7:$C$608,$C184,'Offers'!$AI$7:$AI$608,"yes")/2,0))+SUMIFS('Offers'!$I$7:$I$608,'Offers'!$B$7:$B$608,$B184,'Offers'!$C$7:$C$608,$C184,'Offers'!$AG$7:$AG$608,INT(COUNTIFS('Offers'!$B$7:$B$608,$B184,'Offers'!$C$7:$C$608,$C184,'Offers'!$AI$7:$AI$608,"yes")/2)+1))/2)</f>
        <v/>
      </c>
      <c r="K184" s="97">
        <f>IF(COUNTIFS('Offers'!$B$7:$B$608,$B184,'Offers'!$C$7:$C$608,$C184,'Offers'!$AI$7:$AI$608,"yes")=0,"",SUMIFS('Offers'!$I$7:$I$608,'Offers'!$B$7:$B$608,$B184,'Offers'!$C$7:$C$608,$C184,'Offers'!$AG$7:$AG$608,COUNTIFS('Offers'!$B$7:$B$608,$B184,'Offers'!$C$7:$C$608,$C184,'Offers'!$AI$7:$AI$608,"yes")))</f>
        <v/>
      </c>
      <c r="L184" s="55" t="n"/>
      <c r="M184" s="55" t="n"/>
      <c r="N184" s="55" t="n"/>
      <c r="O184" s="19">
        <f>IF('Compare'!$E$5="Local prices",IF(F184="","",IF('Compare'!$C$5="Minimum",F184,IF('Compare'!$C$5="Maximum",H184,G184))),IF(I184="","",IF('Compare'!$C$5="Minimum",I184,IF('Compare'!$C$5="Maximum",K184,J184))))</f>
        <v/>
      </c>
    </row>
    <row r="185" ht="44" customHeight="1">
      <c r="A185" s="2" t="n"/>
      <c r="B185" s="24" t="inlineStr">
        <is>
          <t>Red PE cutting board 530 × 325 × 15 mm</t>
        </is>
      </c>
      <c r="C185" s="24" t="inlineStr">
        <is>
          <t>Czech</t>
        </is>
      </c>
      <c r="D185" s="24" t="inlineStr">
        <is>
          <t>CZK</t>
        </is>
      </c>
      <c r="E185" s="24" t="inlineStr">
        <is>
          <t>Net per piece</t>
        </is>
      </c>
      <c r="F185" s="94">
        <f>IF(COUNTIFS('Offers'!$B$7:$B$608,$B185,'Offers'!$C$7:$C$608,$C185,'Offers'!$AH$7:$AH$608,"yes")=0,"",SUMIFS('Offers'!$H$7:$H$608,'Offers'!$B$7:$B$608,$B185,'Offers'!$C$7:$C$608,$C185,'Offers'!$AF$7:$AF$608,1))</f>
        <v/>
      </c>
      <c r="G185" s="94">
        <f>IF(COUNTIFS('Offers'!$B$7:$B$608,$B185,'Offers'!$C$7:$C$608,$C185,'Offers'!$AH$7:$AH$608,"yes")=0,"",(SUMIFS('Offers'!$H$7:$H$608,'Offers'!$B$7:$B$608,$B185,'Offers'!$C$7:$C$608,$C185,'Offers'!$AF$7:$AF$608,ROUNDUP(COUNTIFS('Offers'!$B$7:$B$608,$B185,'Offers'!$C$7:$C$608,$C185,'Offers'!$AH$7:$AH$608,"yes")/2,0))+SUMIFS('Offers'!$H$7:$H$608,'Offers'!$B$7:$B$608,$B185,'Offers'!$C$7:$C$608,$C185,'Offers'!$AF$7:$AF$608,INT(COUNTIFS('Offers'!$B$7:$B$608,$B185,'Offers'!$C$7:$C$608,$C185,'Offers'!$AH$7:$AH$608,"yes")/2)+1))/2)</f>
        <v/>
      </c>
      <c r="H185" s="94">
        <f>IF(COUNTIFS('Offers'!$B$7:$B$608,$B185,'Offers'!$C$7:$C$608,$C185,'Offers'!$AH$7:$AH$608,"yes")=0,"",SUMIFS('Offers'!$H$7:$H$608,'Offers'!$B$7:$B$608,$B185,'Offers'!$C$7:$C$608,$C185,'Offers'!$AF$7:$AF$608,COUNTIFS('Offers'!$B$7:$B$608,$B185,'Offers'!$C$7:$C$608,$C185,'Offers'!$AH$7:$AH$608,"yes")))</f>
        <v/>
      </c>
      <c r="I185" s="95">
        <f>IF(COUNTIFS('Offers'!$B$7:$B$608,$B185,'Offers'!$C$7:$C$608,$C185,'Offers'!$AI$7:$AI$608,"yes")=0,"",SUMIFS('Offers'!$I$7:$I$608,'Offers'!$B$7:$B$608,$B185,'Offers'!$C$7:$C$608,$C185,'Offers'!$AG$7:$AG$608,1))</f>
        <v/>
      </c>
      <c r="J185" s="95">
        <f>IF(COUNTIFS('Offers'!$B$7:$B$608,$B185,'Offers'!$C$7:$C$608,$C185,'Offers'!$AI$7:$AI$608,"yes")=0,"",(SUMIFS('Offers'!$I$7:$I$608,'Offers'!$B$7:$B$608,$B185,'Offers'!$C$7:$C$608,$C185,'Offers'!$AG$7:$AG$608,ROUNDUP(COUNTIFS('Offers'!$B$7:$B$608,$B185,'Offers'!$C$7:$C$608,$C185,'Offers'!$AI$7:$AI$608,"yes")/2,0))+SUMIFS('Offers'!$I$7:$I$608,'Offers'!$B$7:$B$608,$B185,'Offers'!$C$7:$C$608,$C185,'Offers'!$AG$7:$AG$608,INT(COUNTIFS('Offers'!$B$7:$B$608,$B185,'Offers'!$C$7:$C$608,$C185,'Offers'!$AI$7:$AI$608,"yes")/2)+1))/2)</f>
        <v/>
      </c>
      <c r="K185" s="95">
        <f>IF(COUNTIFS('Offers'!$B$7:$B$608,$B185,'Offers'!$C$7:$C$608,$C185,'Offers'!$AI$7:$AI$608,"yes")=0,"",SUMIFS('Offers'!$I$7:$I$608,'Offers'!$B$7:$B$608,$B185,'Offers'!$C$7:$C$608,$C185,'Offers'!$AG$7:$AG$608,COUNTIFS('Offers'!$B$7:$B$608,$B185,'Offers'!$C$7:$C$608,$C185,'Offers'!$AI$7:$AI$608,"yes")))</f>
        <v/>
      </c>
      <c r="L185" s="55" t="n"/>
      <c r="M185" s="55" t="n"/>
      <c r="N185" s="55" t="n"/>
      <c r="O185" s="2">
        <f>IF('Compare'!$E$5="Local prices",IF(F185="","",IF('Compare'!$C$5="Minimum",F185,IF('Compare'!$C$5="Maximum",H185,G185))),IF(I185="","",IF('Compare'!$C$5="Minimum",I185,IF('Compare'!$C$5="Maximum",K185,J185))))</f>
        <v/>
      </c>
    </row>
    <row r="186" ht="44" customHeight="1">
      <c r="A186" s="2" t="n"/>
      <c r="B186" s="27" t="inlineStr">
        <is>
          <t>Red PE cutting board 530 × 325 × 15 mm</t>
        </is>
      </c>
      <c r="C186" s="27" t="inlineStr">
        <is>
          <t>Slovakia</t>
        </is>
      </c>
      <c r="D186" s="27" t="inlineStr">
        <is>
          <t>EUR</t>
        </is>
      </c>
      <c r="E186" s="27" t="inlineStr">
        <is>
          <t>Net per piece</t>
        </is>
      </c>
      <c r="F186" s="96">
        <f>IF(COUNTIFS('Offers'!$B$7:$B$608,$B186,'Offers'!$C$7:$C$608,$C186,'Offers'!$AH$7:$AH$608,"yes")=0,"",SUMIFS('Offers'!$H$7:$H$608,'Offers'!$B$7:$B$608,$B186,'Offers'!$C$7:$C$608,$C186,'Offers'!$AF$7:$AF$608,1))</f>
        <v/>
      </c>
      <c r="G186" s="96">
        <f>IF(COUNTIFS('Offers'!$B$7:$B$608,$B186,'Offers'!$C$7:$C$608,$C186,'Offers'!$AH$7:$AH$608,"yes")=0,"",(SUMIFS('Offers'!$H$7:$H$608,'Offers'!$B$7:$B$608,$B186,'Offers'!$C$7:$C$608,$C186,'Offers'!$AF$7:$AF$608,ROUNDUP(COUNTIFS('Offers'!$B$7:$B$608,$B186,'Offers'!$C$7:$C$608,$C186,'Offers'!$AH$7:$AH$608,"yes")/2,0))+SUMIFS('Offers'!$H$7:$H$608,'Offers'!$B$7:$B$608,$B186,'Offers'!$C$7:$C$608,$C186,'Offers'!$AF$7:$AF$608,INT(COUNTIFS('Offers'!$B$7:$B$608,$B186,'Offers'!$C$7:$C$608,$C186,'Offers'!$AH$7:$AH$608,"yes")/2)+1))/2)</f>
        <v/>
      </c>
      <c r="H186" s="96">
        <f>IF(COUNTIFS('Offers'!$B$7:$B$608,$B186,'Offers'!$C$7:$C$608,$C186,'Offers'!$AH$7:$AH$608,"yes")=0,"",SUMIFS('Offers'!$H$7:$H$608,'Offers'!$B$7:$B$608,$B186,'Offers'!$C$7:$C$608,$C186,'Offers'!$AF$7:$AF$608,COUNTIFS('Offers'!$B$7:$B$608,$B186,'Offers'!$C$7:$C$608,$C186,'Offers'!$AH$7:$AH$608,"yes")))</f>
        <v/>
      </c>
      <c r="I186" s="97">
        <f>IF(COUNTIFS('Offers'!$B$7:$B$608,$B186,'Offers'!$C$7:$C$608,$C186,'Offers'!$AI$7:$AI$608,"yes")=0,"",SUMIFS('Offers'!$I$7:$I$608,'Offers'!$B$7:$B$608,$B186,'Offers'!$C$7:$C$608,$C186,'Offers'!$AG$7:$AG$608,1))</f>
        <v/>
      </c>
      <c r="J186" s="97">
        <f>IF(COUNTIFS('Offers'!$B$7:$B$608,$B186,'Offers'!$C$7:$C$608,$C186,'Offers'!$AI$7:$AI$608,"yes")=0,"",(SUMIFS('Offers'!$I$7:$I$608,'Offers'!$B$7:$B$608,$B186,'Offers'!$C$7:$C$608,$C186,'Offers'!$AG$7:$AG$608,ROUNDUP(COUNTIFS('Offers'!$B$7:$B$608,$B186,'Offers'!$C$7:$C$608,$C186,'Offers'!$AI$7:$AI$608,"yes")/2,0))+SUMIFS('Offers'!$I$7:$I$608,'Offers'!$B$7:$B$608,$B186,'Offers'!$C$7:$C$608,$C186,'Offers'!$AG$7:$AG$608,INT(COUNTIFS('Offers'!$B$7:$B$608,$B186,'Offers'!$C$7:$C$608,$C186,'Offers'!$AI$7:$AI$608,"yes")/2)+1))/2)</f>
        <v/>
      </c>
      <c r="K186" s="97">
        <f>IF(COUNTIFS('Offers'!$B$7:$B$608,$B186,'Offers'!$C$7:$C$608,$C186,'Offers'!$AI$7:$AI$608,"yes")=0,"",SUMIFS('Offers'!$I$7:$I$608,'Offers'!$B$7:$B$608,$B186,'Offers'!$C$7:$C$608,$C186,'Offers'!$AG$7:$AG$608,COUNTIFS('Offers'!$B$7:$B$608,$B186,'Offers'!$C$7:$C$608,$C186,'Offers'!$AI$7:$AI$608,"yes")))</f>
        <v/>
      </c>
      <c r="L186" s="55" t="n"/>
      <c r="M186" s="55" t="n"/>
      <c r="N186" s="55" t="n"/>
      <c r="O186" s="19">
        <f>IF('Compare'!$E$5="Local prices",IF(F186="","",IF('Compare'!$C$5="Minimum",F186,IF('Compare'!$C$5="Maximum",H186,G186))),IF(I186="","",IF('Compare'!$C$5="Minimum",I186,IF('Compare'!$C$5="Maximum",K186,J186))))</f>
        <v/>
      </c>
    </row>
    <row r="187" ht="44" customHeight="1">
      <c r="A187" s="2" t="n"/>
      <c r="B187" s="24" t="inlineStr">
        <is>
          <t>GN 1/3 PP lid</t>
        </is>
      </c>
      <c r="C187" s="24" t="inlineStr">
        <is>
          <t>Hungary</t>
        </is>
      </c>
      <c r="D187" s="24" t="inlineStr">
        <is>
          <t>HUF</t>
        </is>
      </c>
      <c r="E187" s="24" t="inlineStr">
        <is>
          <t>Net per piece</t>
        </is>
      </c>
      <c r="F187" s="94">
        <f>IF(COUNTIFS('Offers'!$B$7:$B$608,$B187,'Offers'!$C$7:$C$608,$C187,'Offers'!$AH$7:$AH$608,"yes")=0,"",SUMIFS('Offers'!$H$7:$H$608,'Offers'!$B$7:$B$608,$B187,'Offers'!$C$7:$C$608,$C187,'Offers'!$AF$7:$AF$608,1))</f>
        <v/>
      </c>
      <c r="G187" s="94">
        <f>IF(COUNTIFS('Offers'!$B$7:$B$608,$B187,'Offers'!$C$7:$C$608,$C187,'Offers'!$AH$7:$AH$608,"yes")=0,"",(SUMIFS('Offers'!$H$7:$H$608,'Offers'!$B$7:$B$608,$B187,'Offers'!$C$7:$C$608,$C187,'Offers'!$AF$7:$AF$608,ROUNDUP(COUNTIFS('Offers'!$B$7:$B$608,$B187,'Offers'!$C$7:$C$608,$C187,'Offers'!$AH$7:$AH$608,"yes")/2,0))+SUMIFS('Offers'!$H$7:$H$608,'Offers'!$B$7:$B$608,$B187,'Offers'!$C$7:$C$608,$C187,'Offers'!$AF$7:$AF$608,INT(COUNTIFS('Offers'!$B$7:$B$608,$B187,'Offers'!$C$7:$C$608,$C187,'Offers'!$AH$7:$AH$608,"yes")/2)+1))/2)</f>
        <v/>
      </c>
      <c r="H187" s="94">
        <f>IF(COUNTIFS('Offers'!$B$7:$B$608,$B187,'Offers'!$C$7:$C$608,$C187,'Offers'!$AH$7:$AH$608,"yes")=0,"",SUMIFS('Offers'!$H$7:$H$608,'Offers'!$B$7:$B$608,$B187,'Offers'!$C$7:$C$608,$C187,'Offers'!$AF$7:$AF$608,COUNTIFS('Offers'!$B$7:$B$608,$B187,'Offers'!$C$7:$C$608,$C187,'Offers'!$AH$7:$AH$608,"yes")))</f>
        <v/>
      </c>
      <c r="I187" s="95">
        <f>IF(COUNTIFS('Offers'!$B$7:$B$608,$B187,'Offers'!$C$7:$C$608,$C187,'Offers'!$AI$7:$AI$608,"yes")=0,"",SUMIFS('Offers'!$I$7:$I$608,'Offers'!$B$7:$B$608,$B187,'Offers'!$C$7:$C$608,$C187,'Offers'!$AG$7:$AG$608,1))</f>
        <v/>
      </c>
      <c r="J187" s="95">
        <f>IF(COUNTIFS('Offers'!$B$7:$B$608,$B187,'Offers'!$C$7:$C$608,$C187,'Offers'!$AI$7:$AI$608,"yes")=0,"",(SUMIFS('Offers'!$I$7:$I$608,'Offers'!$B$7:$B$608,$B187,'Offers'!$C$7:$C$608,$C187,'Offers'!$AG$7:$AG$608,ROUNDUP(COUNTIFS('Offers'!$B$7:$B$608,$B187,'Offers'!$C$7:$C$608,$C187,'Offers'!$AI$7:$AI$608,"yes")/2,0))+SUMIFS('Offers'!$I$7:$I$608,'Offers'!$B$7:$B$608,$B187,'Offers'!$C$7:$C$608,$C187,'Offers'!$AG$7:$AG$608,INT(COUNTIFS('Offers'!$B$7:$B$608,$B187,'Offers'!$C$7:$C$608,$C187,'Offers'!$AI$7:$AI$608,"yes")/2)+1))/2)</f>
        <v/>
      </c>
      <c r="K187" s="95">
        <f>IF(COUNTIFS('Offers'!$B$7:$B$608,$B187,'Offers'!$C$7:$C$608,$C187,'Offers'!$AI$7:$AI$608,"yes")=0,"",SUMIFS('Offers'!$I$7:$I$608,'Offers'!$B$7:$B$608,$B187,'Offers'!$C$7:$C$608,$C187,'Offers'!$AG$7:$AG$608,COUNTIFS('Offers'!$B$7:$B$608,$B187,'Offers'!$C$7:$C$608,$C187,'Offers'!$AI$7:$AI$608,"yes")))</f>
        <v/>
      </c>
      <c r="L187" s="55" t="n"/>
      <c r="M187" s="55" t="n"/>
      <c r="N187" s="55" t="n"/>
      <c r="O187" s="2">
        <f>IF('Compare'!$E$5="Local prices",IF(F187="","",IF('Compare'!$C$5="Minimum",F187,IF('Compare'!$C$5="Maximum",H187,G187))),IF(I187="","",IF('Compare'!$C$5="Minimum",I187,IF('Compare'!$C$5="Maximum",K187,J187))))</f>
        <v/>
      </c>
    </row>
    <row r="188" ht="44" customHeight="1">
      <c r="A188" s="2" t="n"/>
      <c r="B188" s="27" t="inlineStr">
        <is>
          <t>GN 1/3 PP lid</t>
        </is>
      </c>
      <c r="C188" s="27" t="inlineStr">
        <is>
          <t>Romania</t>
        </is>
      </c>
      <c r="D188" s="27" t="inlineStr">
        <is>
          <t>RON</t>
        </is>
      </c>
      <c r="E188" s="27" t="inlineStr">
        <is>
          <t>Net per piece</t>
        </is>
      </c>
      <c r="F188" s="96">
        <f>IF(COUNTIFS('Offers'!$B$7:$B$608,$B188,'Offers'!$C$7:$C$608,$C188,'Offers'!$AH$7:$AH$608,"yes")=0,"",SUMIFS('Offers'!$H$7:$H$608,'Offers'!$B$7:$B$608,$B188,'Offers'!$C$7:$C$608,$C188,'Offers'!$AF$7:$AF$608,1))</f>
        <v/>
      </c>
      <c r="G188" s="96">
        <f>IF(COUNTIFS('Offers'!$B$7:$B$608,$B188,'Offers'!$C$7:$C$608,$C188,'Offers'!$AH$7:$AH$608,"yes")=0,"",(SUMIFS('Offers'!$H$7:$H$608,'Offers'!$B$7:$B$608,$B188,'Offers'!$C$7:$C$608,$C188,'Offers'!$AF$7:$AF$608,ROUNDUP(COUNTIFS('Offers'!$B$7:$B$608,$B188,'Offers'!$C$7:$C$608,$C188,'Offers'!$AH$7:$AH$608,"yes")/2,0))+SUMIFS('Offers'!$H$7:$H$608,'Offers'!$B$7:$B$608,$B188,'Offers'!$C$7:$C$608,$C188,'Offers'!$AF$7:$AF$608,INT(COUNTIFS('Offers'!$B$7:$B$608,$B188,'Offers'!$C$7:$C$608,$C188,'Offers'!$AH$7:$AH$608,"yes")/2)+1))/2)</f>
        <v/>
      </c>
      <c r="H188" s="96">
        <f>IF(COUNTIFS('Offers'!$B$7:$B$608,$B188,'Offers'!$C$7:$C$608,$C188,'Offers'!$AH$7:$AH$608,"yes")=0,"",SUMIFS('Offers'!$H$7:$H$608,'Offers'!$B$7:$B$608,$B188,'Offers'!$C$7:$C$608,$C188,'Offers'!$AF$7:$AF$608,COUNTIFS('Offers'!$B$7:$B$608,$B188,'Offers'!$C$7:$C$608,$C188,'Offers'!$AH$7:$AH$608,"yes")))</f>
        <v/>
      </c>
      <c r="I188" s="97">
        <f>IF(COUNTIFS('Offers'!$B$7:$B$608,$B188,'Offers'!$C$7:$C$608,$C188,'Offers'!$AI$7:$AI$608,"yes")=0,"",SUMIFS('Offers'!$I$7:$I$608,'Offers'!$B$7:$B$608,$B188,'Offers'!$C$7:$C$608,$C188,'Offers'!$AG$7:$AG$608,1))</f>
        <v/>
      </c>
      <c r="J188" s="97">
        <f>IF(COUNTIFS('Offers'!$B$7:$B$608,$B188,'Offers'!$C$7:$C$608,$C188,'Offers'!$AI$7:$AI$608,"yes")=0,"",(SUMIFS('Offers'!$I$7:$I$608,'Offers'!$B$7:$B$608,$B188,'Offers'!$C$7:$C$608,$C188,'Offers'!$AG$7:$AG$608,ROUNDUP(COUNTIFS('Offers'!$B$7:$B$608,$B188,'Offers'!$C$7:$C$608,$C188,'Offers'!$AI$7:$AI$608,"yes")/2,0))+SUMIFS('Offers'!$I$7:$I$608,'Offers'!$B$7:$B$608,$B188,'Offers'!$C$7:$C$608,$C188,'Offers'!$AG$7:$AG$608,INT(COUNTIFS('Offers'!$B$7:$B$608,$B188,'Offers'!$C$7:$C$608,$C188,'Offers'!$AI$7:$AI$608,"yes")/2)+1))/2)</f>
        <v/>
      </c>
      <c r="K188" s="97">
        <f>IF(COUNTIFS('Offers'!$B$7:$B$608,$B188,'Offers'!$C$7:$C$608,$C188,'Offers'!$AI$7:$AI$608,"yes")=0,"",SUMIFS('Offers'!$I$7:$I$608,'Offers'!$B$7:$B$608,$B188,'Offers'!$C$7:$C$608,$C188,'Offers'!$AG$7:$AG$608,COUNTIFS('Offers'!$B$7:$B$608,$B188,'Offers'!$C$7:$C$608,$C188,'Offers'!$AI$7:$AI$608,"yes")))</f>
        <v/>
      </c>
      <c r="L188" s="55" t="n"/>
      <c r="M188" s="55" t="n"/>
      <c r="N188" s="55" t="n"/>
      <c r="O188" s="19">
        <f>IF('Compare'!$E$5="Local prices",IF(F188="","",IF('Compare'!$C$5="Minimum",F188,IF('Compare'!$C$5="Maximum",H188,G188))),IF(I188="","",IF('Compare'!$C$5="Minimum",I188,IF('Compare'!$C$5="Maximum",K188,J188))))</f>
        <v/>
      </c>
    </row>
    <row r="189" ht="44" customHeight="1">
      <c r="A189" s="2" t="n"/>
      <c r="B189" s="24" t="inlineStr">
        <is>
          <t>GN 1/3 PP lid</t>
        </is>
      </c>
      <c r="C189" s="24" t="inlineStr">
        <is>
          <t>Austria</t>
        </is>
      </c>
      <c r="D189" s="24" t="inlineStr">
        <is>
          <t>EUR</t>
        </is>
      </c>
      <c r="E189" s="24" t="inlineStr">
        <is>
          <t>Net per piece</t>
        </is>
      </c>
      <c r="F189" s="94">
        <f>IF(COUNTIFS('Offers'!$B$7:$B$608,$B189,'Offers'!$C$7:$C$608,$C189,'Offers'!$AH$7:$AH$608,"yes")=0,"",SUMIFS('Offers'!$H$7:$H$608,'Offers'!$B$7:$B$608,$B189,'Offers'!$C$7:$C$608,$C189,'Offers'!$AF$7:$AF$608,1))</f>
        <v/>
      </c>
      <c r="G189" s="94">
        <f>IF(COUNTIFS('Offers'!$B$7:$B$608,$B189,'Offers'!$C$7:$C$608,$C189,'Offers'!$AH$7:$AH$608,"yes")=0,"",(SUMIFS('Offers'!$H$7:$H$608,'Offers'!$B$7:$B$608,$B189,'Offers'!$C$7:$C$608,$C189,'Offers'!$AF$7:$AF$608,ROUNDUP(COUNTIFS('Offers'!$B$7:$B$608,$B189,'Offers'!$C$7:$C$608,$C189,'Offers'!$AH$7:$AH$608,"yes")/2,0))+SUMIFS('Offers'!$H$7:$H$608,'Offers'!$B$7:$B$608,$B189,'Offers'!$C$7:$C$608,$C189,'Offers'!$AF$7:$AF$608,INT(COUNTIFS('Offers'!$B$7:$B$608,$B189,'Offers'!$C$7:$C$608,$C189,'Offers'!$AH$7:$AH$608,"yes")/2)+1))/2)</f>
        <v/>
      </c>
      <c r="H189" s="94">
        <f>IF(COUNTIFS('Offers'!$B$7:$B$608,$B189,'Offers'!$C$7:$C$608,$C189,'Offers'!$AH$7:$AH$608,"yes")=0,"",SUMIFS('Offers'!$H$7:$H$608,'Offers'!$B$7:$B$608,$B189,'Offers'!$C$7:$C$608,$C189,'Offers'!$AF$7:$AF$608,COUNTIFS('Offers'!$B$7:$B$608,$B189,'Offers'!$C$7:$C$608,$C189,'Offers'!$AH$7:$AH$608,"yes")))</f>
        <v/>
      </c>
      <c r="I189" s="95">
        <f>IF(COUNTIFS('Offers'!$B$7:$B$608,$B189,'Offers'!$C$7:$C$608,$C189,'Offers'!$AI$7:$AI$608,"yes")=0,"",SUMIFS('Offers'!$I$7:$I$608,'Offers'!$B$7:$B$608,$B189,'Offers'!$C$7:$C$608,$C189,'Offers'!$AG$7:$AG$608,1))</f>
        <v/>
      </c>
      <c r="J189" s="95">
        <f>IF(COUNTIFS('Offers'!$B$7:$B$608,$B189,'Offers'!$C$7:$C$608,$C189,'Offers'!$AI$7:$AI$608,"yes")=0,"",(SUMIFS('Offers'!$I$7:$I$608,'Offers'!$B$7:$B$608,$B189,'Offers'!$C$7:$C$608,$C189,'Offers'!$AG$7:$AG$608,ROUNDUP(COUNTIFS('Offers'!$B$7:$B$608,$B189,'Offers'!$C$7:$C$608,$C189,'Offers'!$AI$7:$AI$608,"yes")/2,0))+SUMIFS('Offers'!$I$7:$I$608,'Offers'!$B$7:$B$608,$B189,'Offers'!$C$7:$C$608,$C189,'Offers'!$AG$7:$AG$608,INT(COUNTIFS('Offers'!$B$7:$B$608,$B189,'Offers'!$C$7:$C$608,$C189,'Offers'!$AI$7:$AI$608,"yes")/2)+1))/2)</f>
        <v/>
      </c>
      <c r="K189" s="95">
        <f>IF(COUNTIFS('Offers'!$B$7:$B$608,$B189,'Offers'!$C$7:$C$608,$C189,'Offers'!$AI$7:$AI$608,"yes")=0,"",SUMIFS('Offers'!$I$7:$I$608,'Offers'!$B$7:$B$608,$B189,'Offers'!$C$7:$C$608,$C189,'Offers'!$AG$7:$AG$608,COUNTIFS('Offers'!$B$7:$B$608,$B189,'Offers'!$C$7:$C$608,$C189,'Offers'!$AI$7:$AI$608,"yes")))</f>
        <v/>
      </c>
      <c r="L189" s="55" t="n"/>
      <c r="M189" s="55" t="n"/>
      <c r="N189" s="55" t="n"/>
      <c r="O189" s="2">
        <f>IF('Compare'!$E$5="Local prices",IF(F189="","",IF('Compare'!$C$5="Minimum",F189,IF('Compare'!$C$5="Maximum",H189,G189))),IF(I189="","",IF('Compare'!$C$5="Minimum",I189,IF('Compare'!$C$5="Maximum",K189,J189))))</f>
        <v/>
      </c>
    </row>
    <row r="190" ht="44" customHeight="1">
      <c r="A190" s="2" t="n"/>
      <c r="B190" s="27" t="inlineStr">
        <is>
          <t>GN 1/3 PP lid</t>
        </is>
      </c>
      <c r="C190" s="27" t="inlineStr">
        <is>
          <t>Germany</t>
        </is>
      </c>
      <c r="D190" s="27" t="inlineStr">
        <is>
          <t>EUR</t>
        </is>
      </c>
      <c r="E190" s="27" t="inlineStr">
        <is>
          <t>Net per piece</t>
        </is>
      </c>
      <c r="F190" s="96">
        <f>IF(COUNTIFS('Offers'!$B$7:$B$608,$B190,'Offers'!$C$7:$C$608,$C190,'Offers'!$AH$7:$AH$608,"yes")=0,"",SUMIFS('Offers'!$H$7:$H$608,'Offers'!$B$7:$B$608,$B190,'Offers'!$C$7:$C$608,$C190,'Offers'!$AF$7:$AF$608,1))</f>
        <v/>
      </c>
      <c r="G190" s="96">
        <f>IF(COUNTIFS('Offers'!$B$7:$B$608,$B190,'Offers'!$C$7:$C$608,$C190,'Offers'!$AH$7:$AH$608,"yes")=0,"",(SUMIFS('Offers'!$H$7:$H$608,'Offers'!$B$7:$B$608,$B190,'Offers'!$C$7:$C$608,$C190,'Offers'!$AF$7:$AF$608,ROUNDUP(COUNTIFS('Offers'!$B$7:$B$608,$B190,'Offers'!$C$7:$C$608,$C190,'Offers'!$AH$7:$AH$608,"yes")/2,0))+SUMIFS('Offers'!$H$7:$H$608,'Offers'!$B$7:$B$608,$B190,'Offers'!$C$7:$C$608,$C190,'Offers'!$AF$7:$AF$608,INT(COUNTIFS('Offers'!$B$7:$B$608,$B190,'Offers'!$C$7:$C$608,$C190,'Offers'!$AH$7:$AH$608,"yes")/2)+1))/2)</f>
        <v/>
      </c>
      <c r="H190" s="96">
        <f>IF(COUNTIFS('Offers'!$B$7:$B$608,$B190,'Offers'!$C$7:$C$608,$C190,'Offers'!$AH$7:$AH$608,"yes")=0,"",SUMIFS('Offers'!$H$7:$H$608,'Offers'!$B$7:$B$608,$B190,'Offers'!$C$7:$C$608,$C190,'Offers'!$AF$7:$AF$608,COUNTIFS('Offers'!$B$7:$B$608,$B190,'Offers'!$C$7:$C$608,$C190,'Offers'!$AH$7:$AH$608,"yes")))</f>
        <v/>
      </c>
      <c r="I190" s="97">
        <f>IF(COUNTIFS('Offers'!$B$7:$B$608,$B190,'Offers'!$C$7:$C$608,$C190,'Offers'!$AI$7:$AI$608,"yes")=0,"",SUMIFS('Offers'!$I$7:$I$608,'Offers'!$B$7:$B$608,$B190,'Offers'!$C$7:$C$608,$C190,'Offers'!$AG$7:$AG$608,1))</f>
        <v/>
      </c>
      <c r="J190" s="97">
        <f>IF(COUNTIFS('Offers'!$B$7:$B$608,$B190,'Offers'!$C$7:$C$608,$C190,'Offers'!$AI$7:$AI$608,"yes")=0,"",(SUMIFS('Offers'!$I$7:$I$608,'Offers'!$B$7:$B$608,$B190,'Offers'!$C$7:$C$608,$C190,'Offers'!$AG$7:$AG$608,ROUNDUP(COUNTIFS('Offers'!$B$7:$B$608,$B190,'Offers'!$C$7:$C$608,$C190,'Offers'!$AI$7:$AI$608,"yes")/2,0))+SUMIFS('Offers'!$I$7:$I$608,'Offers'!$B$7:$B$608,$B190,'Offers'!$C$7:$C$608,$C190,'Offers'!$AG$7:$AG$608,INT(COUNTIFS('Offers'!$B$7:$B$608,$B190,'Offers'!$C$7:$C$608,$C190,'Offers'!$AI$7:$AI$608,"yes")/2)+1))/2)</f>
        <v/>
      </c>
      <c r="K190" s="97">
        <f>IF(COUNTIFS('Offers'!$B$7:$B$608,$B190,'Offers'!$C$7:$C$608,$C190,'Offers'!$AI$7:$AI$608,"yes")=0,"",SUMIFS('Offers'!$I$7:$I$608,'Offers'!$B$7:$B$608,$B190,'Offers'!$C$7:$C$608,$C190,'Offers'!$AG$7:$AG$608,COUNTIFS('Offers'!$B$7:$B$608,$B190,'Offers'!$C$7:$C$608,$C190,'Offers'!$AI$7:$AI$608,"yes")))</f>
        <v/>
      </c>
      <c r="L190" s="55" t="n"/>
      <c r="M190" s="55" t="n"/>
      <c r="N190" s="55" t="n"/>
      <c r="O190" s="19">
        <f>IF('Compare'!$E$5="Local prices",IF(F190="","",IF('Compare'!$C$5="Minimum",F190,IF('Compare'!$C$5="Maximum",H190,G190))),IF(I190="","",IF('Compare'!$C$5="Minimum",I190,IF('Compare'!$C$5="Maximum",K190,J190))))</f>
        <v/>
      </c>
    </row>
    <row r="191" ht="44" customHeight="1">
      <c r="A191" s="2" t="n"/>
      <c r="B191" s="24" t="inlineStr">
        <is>
          <t>GN 1/3 PP lid</t>
        </is>
      </c>
      <c r="C191" s="24" t="inlineStr">
        <is>
          <t>Czech</t>
        </is>
      </c>
      <c r="D191" s="24" t="inlineStr">
        <is>
          <t>CZK</t>
        </is>
      </c>
      <c r="E191" s="24" t="inlineStr">
        <is>
          <t>Net per piece</t>
        </is>
      </c>
      <c r="F191" s="94">
        <f>IF(COUNTIFS('Offers'!$B$7:$B$608,$B191,'Offers'!$C$7:$C$608,$C191,'Offers'!$AH$7:$AH$608,"yes")=0,"",SUMIFS('Offers'!$H$7:$H$608,'Offers'!$B$7:$B$608,$B191,'Offers'!$C$7:$C$608,$C191,'Offers'!$AF$7:$AF$608,1))</f>
        <v/>
      </c>
      <c r="G191" s="94">
        <f>IF(COUNTIFS('Offers'!$B$7:$B$608,$B191,'Offers'!$C$7:$C$608,$C191,'Offers'!$AH$7:$AH$608,"yes")=0,"",(SUMIFS('Offers'!$H$7:$H$608,'Offers'!$B$7:$B$608,$B191,'Offers'!$C$7:$C$608,$C191,'Offers'!$AF$7:$AF$608,ROUNDUP(COUNTIFS('Offers'!$B$7:$B$608,$B191,'Offers'!$C$7:$C$608,$C191,'Offers'!$AH$7:$AH$608,"yes")/2,0))+SUMIFS('Offers'!$H$7:$H$608,'Offers'!$B$7:$B$608,$B191,'Offers'!$C$7:$C$608,$C191,'Offers'!$AF$7:$AF$608,INT(COUNTIFS('Offers'!$B$7:$B$608,$B191,'Offers'!$C$7:$C$608,$C191,'Offers'!$AH$7:$AH$608,"yes")/2)+1))/2)</f>
        <v/>
      </c>
      <c r="H191" s="94">
        <f>IF(COUNTIFS('Offers'!$B$7:$B$608,$B191,'Offers'!$C$7:$C$608,$C191,'Offers'!$AH$7:$AH$608,"yes")=0,"",SUMIFS('Offers'!$H$7:$H$608,'Offers'!$B$7:$B$608,$B191,'Offers'!$C$7:$C$608,$C191,'Offers'!$AF$7:$AF$608,COUNTIFS('Offers'!$B$7:$B$608,$B191,'Offers'!$C$7:$C$608,$C191,'Offers'!$AH$7:$AH$608,"yes")))</f>
        <v/>
      </c>
      <c r="I191" s="95">
        <f>IF(COUNTIFS('Offers'!$B$7:$B$608,$B191,'Offers'!$C$7:$C$608,$C191,'Offers'!$AI$7:$AI$608,"yes")=0,"",SUMIFS('Offers'!$I$7:$I$608,'Offers'!$B$7:$B$608,$B191,'Offers'!$C$7:$C$608,$C191,'Offers'!$AG$7:$AG$608,1))</f>
        <v/>
      </c>
      <c r="J191" s="95">
        <f>IF(COUNTIFS('Offers'!$B$7:$B$608,$B191,'Offers'!$C$7:$C$608,$C191,'Offers'!$AI$7:$AI$608,"yes")=0,"",(SUMIFS('Offers'!$I$7:$I$608,'Offers'!$B$7:$B$608,$B191,'Offers'!$C$7:$C$608,$C191,'Offers'!$AG$7:$AG$608,ROUNDUP(COUNTIFS('Offers'!$B$7:$B$608,$B191,'Offers'!$C$7:$C$608,$C191,'Offers'!$AI$7:$AI$608,"yes")/2,0))+SUMIFS('Offers'!$I$7:$I$608,'Offers'!$B$7:$B$608,$B191,'Offers'!$C$7:$C$608,$C191,'Offers'!$AG$7:$AG$608,INT(COUNTIFS('Offers'!$B$7:$B$608,$B191,'Offers'!$C$7:$C$608,$C191,'Offers'!$AI$7:$AI$608,"yes")/2)+1))/2)</f>
        <v/>
      </c>
      <c r="K191" s="95">
        <f>IF(COUNTIFS('Offers'!$B$7:$B$608,$B191,'Offers'!$C$7:$C$608,$C191,'Offers'!$AI$7:$AI$608,"yes")=0,"",SUMIFS('Offers'!$I$7:$I$608,'Offers'!$B$7:$B$608,$B191,'Offers'!$C$7:$C$608,$C191,'Offers'!$AG$7:$AG$608,COUNTIFS('Offers'!$B$7:$B$608,$B191,'Offers'!$C$7:$C$608,$C191,'Offers'!$AI$7:$AI$608,"yes")))</f>
        <v/>
      </c>
      <c r="L191" s="55" t="n"/>
      <c r="M191" s="55" t="n"/>
      <c r="N191" s="55" t="n"/>
      <c r="O191" s="2">
        <f>IF('Compare'!$E$5="Local prices",IF(F191="","",IF('Compare'!$C$5="Minimum",F191,IF('Compare'!$C$5="Maximum",H191,G191))),IF(I191="","",IF('Compare'!$C$5="Minimum",I191,IF('Compare'!$C$5="Maximum",K191,J191))))</f>
        <v/>
      </c>
    </row>
    <row r="192" ht="44" customHeight="1">
      <c r="A192" s="2" t="n"/>
      <c r="B192" s="27" t="inlineStr">
        <is>
          <t>GN 1/3 PP lid</t>
        </is>
      </c>
      <c r="C192" s="27" t="inlineStr">
        <is>
          <t>Slovakia</t>
        </is>
      </c>
      <c r="D192" s="27" t="inlineStr">
        <is>
          <t>EUR</t>
        </is>
      </c>
      <c r="E192" s="27" t="inlineStr">
        <is>
          <t>Net per piece</t>
        </is>
      </c>
      <c r="F192" s="96">
        <f>IF(COUNTIFS('Offers'!$B$7:$B$608,$B192,'Offers'!$C$7:$C$608,$C192,'Offers'!$AH$7:$AH$608,"yes")=0,"",SUMIFS('Offers'!$H$7:$H$608,'Offers'!$B$7:$B$608,$B192,'Offers'!$C$7:$C$608,$C192,'Offers'!$AF$7:$AF$608,1))</f>
        <v/>
      </c>
      <c r="G192" s="96">
        <f>IF(COUNTIFS('Offers'!$B$7:$B$608,$B192,'Offers'!$C$7:$C$608,$C192,'Offers'!$AH$7:$AH$608,"yes")=0,"",(SUMIFS('Offers'!$H$7:$H$608,'Offers'!$B$7:$B$608,$B192,'Offers'!$C$7:$C$608,$C192,'Offers'!$AF$7:$AF$608,ROUNDUP(COUNTIFS('Offers'!$B$7:$B$608,$B192,'Offers'!$C$7:$C$608,$C192,'Offers'!$AH$7:$AH$608,"yes")/2,0))+SUMIFS('Offers'!$H$7:$H$608,'Offers'!$B$7:$B$608,$B192,'Offers'!$C$7:$C$608,$C192,'Offers'!$AF$7:$AF$608,INT(COUNTIFS('Offers'!$B$7:$B$608,$B192,'Offers'!$C$7:$C$608,$C192,'Offers'!$AH$7:$AH$608,"yes")/2)+1))/2)</f>
        <v/>
      </c>
      <c r="H192" s="96">
        <f>IF(COUNTIFS('Offers'!$B$7:$B$608,$B192,'Offers'!$C$7:$C$608,$C192,'Offers'!$AH$7:$AH$608,"yes")=0,"",SUMIFS('Offers'!$H$7:$H$608,'Offers'!$B$7:$B$608,$B192,'Offers'!$C$7:$C$608,$C192,'Offers'!$AF$7:$AF$608,COUNTIFS('Offers'!$B$7:$B$608,$B192,'Offers'!$C$7:$C$608,$C192,'Offers'!$AH$7:$AH$608,"yes")))</f>
        <v/>
      </c>
      <c r="I192" s="97">
        <f>IF(COUNTIFS('Offers'!$B$7:$B$608,$B192,'Offers'!$C$7:$C$608,$C192,'Offers'!$AI$7:$AI$608,"yes")=0,"",SUMIFS('Offers'!$I$7:$I$608,'Offers'!$B$7:$B$608,$B192,'Offers'!$C$7:$C$608,$C192,'Offers'!$AG$7:$AG$608,1))</f>
        <v/>
      </c>
      <c r="J192" s="97">
        <f>IF(COUNTIFS('Offers'!$B$7:$B$608,$B192,'Offers'!$C$7:$C$608,$C192,'Offers'!$AI$7:$AI$608,"yes")=0,"",(SUMIFS('Offers'!$I$7:$I$608,'Offers'!$B$7:$B$608,$B192,'Offers'!$C$7:$C$608,$C192,'Offers'!$AG$7:$AG$608,ROUNDUP(COUNTIFS('Offers'!$B$7:$B$608,$B192,'Offers'!$C$7:$C$608,$C192,'Offers'!$AI$7:$AI$608,"yes")/2,0))+SUMIFS('Offers'!$I$7:$I$608,'Offers'!$B$7:$B$608,$B192,'Offers'!$C$7:$C$608,$C192,'Offers'!$AG$7:$AG$608,INT(COUNTIFS('Offers'!$B$7:$B$608,$B192,'Offers'!$C$7:$C$608,$C192,'Offers'!$AI$7:$AI$608,"yes")/2)+1))/2)</f>
        <v/>
      </c>
      <c r="K192" s="97">
        <f>IF(COUNTIFS('Offers'!$B$7:$B$608,$B192,'Offers'!$C$7:$C$608,$C192,'Offers'!$AI$7:$AI$608,"yes")=0,"",SUMIFS('Offers'!$I$7:$I$608,'Offers'!$B$7:$B$608,$B192,'Offers'!$C$7:$C$608,$C192,'Offers'!$AG$7:$AG$608,COUNTIFS('Offers'!$B$7:$B$608,$B192,'Offers'!$C$7:$C$608,$C192,'Offers'!$AI$7:$AI$608,"yes")))</f>
        <v/>
      </c>
      <c r="L192" s="55" t="n"/>
      <c r="M192" s="55" t="n"/>
      <c r="N192" s="55" t="n"/>
      <c r="O192" s="19">
        <f>IF('Compare'!$E$5="Local prices",IF(F192="","",IF('Compare'!$C$5="Minimum",F192,IF('Compare'!$C$5="Maximum",H192,G192))),IF(I192="","",IF('Compare'!$C$5="Minimum",I192,IF('Compare'!$C$5="Maximum",K192,J192))))</f>
        <v/>
      </c>
    </row>
    <row r="193" ht="44" customHeight="1">
      <c r="A193" s="2" t="n"/>
      <c r="B193" s="24" t="inlineStr">
        <is>
          <t>Squeeze bottle 750 ml, PP/PE, wide covered tip</t>
        </is>
      </c>
      <c r="C193" s="24" t="inlineStr">
        <is>
          <t>Hungary</t>
        </is>
      </c>
      <c r="D193" s="24" t="inlineStr">
        <is>
          <t>HUF</t>
        </is>
      </c>
      <c r="E193" s="24" t="inlineStr">
        <is>
          <t>Net per piece</t>
        </is>
      </c>
      <c r="F193" s="94">
        <f>IF(COUNTIFS('Offers'!$B$7:$B$608,$B193,'Offers'!$C$7:$C$608,$C193,'Offers'!$AH$7:$AH$608,"yes")=0,"",SUMIFS('Offers'!$H$7:$H$608,'Offers'!$B$7:$B$608,$B193,'Offers'!$C$7:$C$608,$C193,'Offers'!$AF$7:$AF$608,1))</f>
        <v/>
      </c>
      <c r="G193" s="94">
        <f>IF(COUNTIFS('Offers'!$B$7:$B$608,$B193,'Offers'!$C$7:$C$608,$C193,'Offers'!$AH$7:$AH$608,"yes")=0,"",(SUMIFS('Offers'!$H$7:$H$608,'Offers'!$B$7:$B$608,$B193,'Offers'!$C$7:$C$608,$C193,'Offers'!$AF$7:$AF$608,ROUNDUP(COUNTIFS('Offers'!$B$7:$B$608,$B193,'Offers'!$C$7:$C$608,$C193,'Offers'!$AH$7:$AH$608,"yes")/2,0))+SUMIFS('Offers'!$H$7:$H$608,'Offers'!$B$7:$B$608,$B193,'Offers'!$C$7:$C$608,$C193,'Offers'!$AF$7:$AF$608,INT(COUNTIFS('Offers'!$B$7:$B$608,$B193,'Offers'!$C$7:$C$608,$C193,'Offers'!$AH$7:$AH$608,"yes")/2)+1))/2)</f>
        <v/>
      </c>
      <c r="H193" s="94">
        <f>IF(COUNTIFS('Offers'!$B$7:$B$608,$B193,'Offers'!$C$7:$C$608,$C193,'Offers'!$AH$7:$AH$608,"yes")=0,"",SUMIFS('Offers'!$H$7:$H$608,'Offers'!$B$7:$B$608,$B193,'Offers'!$C$7:$C$608,$C193,'Offers'!$AF$7:$AF$608,COUNTIFS('Offers'!$B$7:$B$608,$B193,'Offers'!$C$7:$C$608,$C193,'Offers'!$AH$7:$AH$608,"yes")))</f>
        <v/>
      </c>
      <c r="I193" s="95">
        <f>IF(COUNTIFS('Offers'!$B$7:$B$608,$B193,'Offers'!$C$7:$C$608,$C193,'Offers'!$AI$7:$AI$608,"yes")=0,"",SUMIFS('Offers'!$I$7:$I$608,'Offers'!$B$7:$B$608,$B193,'Offers'!$C$7:$C$608,$C193,'Offers'!$AG$7:$AG$608,1))</f>
        <v/>
      </c>
      <c r="J193" s="95">
        <f>IF(COUNTIFS('Offers'!$B$7:$B$608,$B193,'Offers'!$C$7:$C$608,$C193,'Offers'!$AI$7:$AI$608,"yes")=0,"",(SUMIFS('Offers'!$I$7:$I$608,'Offers'!$B$7:$B$608,$B193,'Offers'!$C$7:$C$608,$C193,'Offers'!$AG$7:$AG$608,ROUNDUP(COUNTIFS('Offers'!$B$7:$B$608,$B193,'Offers'!$C$7:$C$608,$C193,'Offers'!$AI$7:$AI$608,"yes")/2,0))+SUMIFS('Offers'!$I$7:$I$608,'Offers'!$B$7:$B$608,$B193,'Offers'!$C$7:$C$608,$C193,'Offers'!$AG$7:$AG$608,INT(COUNTIFS('Offers'!$B$7:$B$608,$B193,'Offers'!$C$7:$C$608,$C193,'Offers'!$AI$7:$AI$608,"yes")/2)+1))/2)</f>
        <v/>
      </c>
      <c r="K193" s="95">
        <f>IF(COUNTIFS('Offers'!$B$7:$B$608,$B193,'Offers'!$C$7:$C$608,$C193,'Offers'!$AI$7:$AI$608,"yes")=0,"",SUMIFS('Offers'!$I$7:$I$608,'Offers'!$B$7:$B$608,$B193,'Offers'!$C$7:$C$608,$C193,'Offers'!$AG$7:$AG$608,COUNTIFS('Offers'!$B$7:$B$608,$B193,'Offers'!$C$7:$C$608,$C193,'Offers'!$AI$7:$AI$608,"yes")))</f>
        <v/>
      </c>
      <c r="L193" s="55" t="n"/>
      <c r="M193" s="55" t="n"/>
      <c r="N193" s="55" t="n"/>
      <c r="O193" s="2">
        <f>IF('Compare'!$E$5="Local prices",IF(F193="","",IF('Compare'!$C$5="Minimum",F193,IF('Compare'!$C$5="Maximum",H193,G193))),IF(I193="","",IF('Compare'!$C$5="Minimum",I193,IF('Compare'!$C$5="Maximum",K193,J193))))</f>
        <v/>
      </c>
    </row>
    <row r="194" ht="44" customHeight="1">
      <c r="A194" s="2" t="n"/>
      <c r="B194" s="27" t="inlineStr">
        <is>
          <t>Squeeze bottle 750 ml, PP/PE, wide covered tip</t>
        </is>
      </c>
      <c r="C194" s="27" t="inlineStr">
        <is>
          <t>Romania</t>
        </is>
      </c>
      <c r="D194" s="27" t="inlineStr">
        <is>
          <t>RON</t>
        </is>
      </c>
      <c r="E194" s="27" t="inlineStr">
        <is>
          <t>Net per piece</t>
        </is>
      </c>
      <c r="F194" s="96">
        <f>IF(COUNTIFS('Offers'!$B$7:$B$608,$B194,'Offers'!$C$7:$C$608,$C194,'Offers'!$AH$7:$AH$608,"yes")=0,"",SUMIFS('Offers'!$H$7:$H$608,'Offers'!$B$7:$B$608,$B194,'Offers'!$C$7:$C$608,$C194,'Offers'!$AF$7:$AF$608,1))</f>
        <v/>
      </c>
      <c r="G194" s="96">
        <f>IF(COUNTIFS('Offers'!$B$7:$B$608,$B194,'Offers'!$C$7:$C$608,$C194,'Offers'!$AH$7:$AH$608,"yes")=0,"",(SUMIFS('Offers'!$H$7:$H$608,'Offers'!$B$7:$B$608,$B194,'Offers'!$C$7:$C$608,$C194,'Offers'!$AF$7:$AF$608,ROUNDUP(COUNTIFS('Offers'!$B$7:$B$608,$B194,'Offers'!$C$7:$C$608,$C194,'Offers'!$AH$7:$AH$608,"yes")/2,0))+SUMIFS('Offers'!$H$7:$H$608,'Offers'!$B$7:$B$608,$B194,'Offers'!$C$7:$C$608,$C194,'Offers'!$AF$7:$AF$608,INT(COUNTIFS('Offers'!$B$7:$B$608,$B194,'Offers'!$C$7:$C$608,$C194,'Offers'!$AH$7:$AH$608,"yes")/2)+1))/2)</f>
        <v/>
      </c>
      <c r="H194" s="96">
        <f>IF(COUNTIFS('Offers'!$B$7:$B$608,$B194,'Offers'!$C$7:$C$608,$C194,'Offers'!$AH$7:$AH$608,"yes")=0,"",SUMIFS('Offers'!$H$7:$H$608,'Offers'!$B$7:$B$608,$B194,'Offers'!$C$7:$C$608,$C194,'Offers'!$AF$7:$AF$608,COUNTIFS('Offers'!$B$7:$B$608,$B194,'Offers'!$C$7:$C$608,$C194,'Offers'!$AH$7:$AH$608,"yes")))</f>
        <v/>
      </c>
      <c r="I194" s="97">
        <f>IF(COUNTIFS('Offers'!$B$7:$B$608,$B194,'Offers'!$C$7:$C$608,$C194,'Offers'!$AI$7:$AI$608,"yes")=0,"",SUMIFS('Offers'!$I$7:$I$608,'Offers'!$B$7:$B$608,$B194,'Offers'!$C$7:$C$608,$C194,'Offers'!$AG$7:$AG$608,1))</f>
        <v/>
      </c>
      <c r="J194" s="97">
        <f>IF(COUNTIFS('Offers'!$B$7:$B$608,$B194,'Offers'!$C$7:$C$608,$C194,'Offers'!$AI$7:$AI$608,"yes")=0,"",(SUMIFS('Offers'!$I$7:$I$608,'Offers'!$B$7:$B$608,$B194,'Offers'!$C$7:$C$608,$C194,'Offers'!$AG$7:$AG$608,ROUNDUP(COUNTIFS('Offers'!$B$7:$B$608,$B194,'Offers'!$C$7:$C$608,$C194,'Offers'!$AI$7:$AI$608,"yes")/2,0))+SUMIFS('Offers'!$I$7:$I$608,'Offers'!$B$7:$B$608,$B194,'Offers'!$C$7:$C$608,$C194,'Offers'!$AG$7:$AG$608,INT(COUNTIFS('Offers'!$B$7:$B$608,$B194,'Offers'!$C$7:$C$608,$C194,'Offers'!$AI$7:$AI$608,"yes")/2)+1))/2)</f>
        <v/>
      </c>
      <c r="K194" s="97">
        <f>IF(COUNTIFS('Offers'!$B$7:$B$608,$B194,'Offers'!$C$7:$C$608,$C194,'Offers'!$AI$7:$AI$608,"yes")=0,"",SUMIFS('Offers'!$I$7:$I$608,'Offers'!$B$7:$B$608,$B194,'Offers'!$C$7:$C$608,$C194,'Offers'!$AG$7:$AG$608,COUNTIFS('Offers'!$B$7:$B$608,$B194,'Offers'!$C$7:$C$608,$C194,'Offers'!$AI$7:$AI$608,"yes")))</f>
        <v/>
      </c>
      <c r="L194" s="55" t="n"/>
      <c r="M194" s="55" t="n"/>
      <c r="N194" s="55" t="n"/>
      <c r="O194" s="19">
        <f>IF('Compare'!$E$5="Local prices",IF(F194="","",IF('Compare'!$C$5="Minimum",F194,IF('Compare'!$C$5="Maximum",H194,G194))),IF(I194="","",IF('Compare'!$C$5="Minimum",I194,IF('Compare'!$C$5="Maximum",K194,J194))))</f>
        <v/>
      </c>
    </row>
    <row r="195" ht="44" customHeight="1">
      <c r="A195" s="2" t="n"/>
      <c r="B195" s="24" t="inlineStr">
        <is>
          <t>Squeeze bottle 750 ml, PP/PE, wide covered tip</t>
        </is>
      </c>
      <c r="C195" s="24" t="inlineStr">
        <is>
          <t>Austria</t>
        </is>
      </c>
      <c r="D195" s="24" t="inlineStr">
        <is>
          <t>EUR</t>
        </is>
      </c>
      <c r="E195" s="24" t="inlineStr">
        <is>
          <t>Net per piece</t>
        </is>
      </c>
      <c r="F195" s="94">
        <f>IF(COUNTIFS('Offers'!$B$7:$B$608,$B195,'Offers'!$C$7:$C$608,$C195,'Offers'!$AH$7:$AH$608,"yes")=0,"",SUMIFS('Offers'!$H$7:$H$608,'Offers'!$B$7:$B$608,$B195,'Offers'!$C$7:$C$608,$C195,'Offers'!$AF$7:$AF$608,1))</f>
        <v/>
      </c>
      <c r="G195" s="94">
        <f>IF(COUNTIFS('Offers'!$B$7:$B$608,$B195,'Offers'!$C$7:$C$608,$C195,'Offers'!$AH$7:$AH$608,"yes")=0,"",(SUMIFS('Offers'!$H$7:$H$608,'Offers'!$B$7:$B$608,$B195,'Offers'!$C$7:$C$608,$C195,'Offers'!$AF$7:$AF$608,ROUNDUP(COUNTIFS('Offers'!$B$7:$B$608,$B195,'Offers'!$C$7:$C$608,$C195,'Offers'!$AH$7:$AH$608,"yes")/2,0))+SUMIFS('Offers'!$H$7:$H$608,'Offers'!$B$7:$B$608,$B195,'Offers'!$C$7:$C$608,$C195,'Offers'!$AF$7:$AF$608,INT(COUNTIFS('Offers'!$B$7:$B$608,$B195,'Offers'!$C$7:$C$608,$C195,'Offers'!$AH$7:$AH$608,"yes")/2)+1))/2)</f>
        <v/>
      </c>
      <c r="H195" s="94">
        <f>IF(COUNTIFS('Offers'!$B$7:$B$608,$B195,'Offers'!$C$7:$C$608,$C195,'Offers'!$AH$7:$AH$608,"yes")=0,"",SUMIFS('Offers'!$H$7:$H$608,'Offers'!$B$7:$B$608,$B195,'Offers'!$C$7:$C$608,$C195,'Offers'!$AF$7:$AF$608,COUNTIFS('Offers'!$B$7:$B$608,$B195,'Offers'!$C$7:$C$608,$C195,'Offers'!$AH$7:$AH$608,"yes")))</f>
        <v/>
      </c>
      <c r="I195" s="95">
        <f>IF(COUNTIFS('Offers'!$B$7:$B$608,$B195,'Offers'!$C$7:$C$608,$C195,'Offers'!$AI$7:$AI$608,"yes")=0,"",SUMIFS('Offers'!$I$7:$I$608,'Offers'!$B$7:$B$608,$B195,'Offers'!$C$7:$C$608,$C195,'Offers'!$AG$7:$AG$608,1))</f>
        <v/>
      </c>
      <c r="J195" s="95">
        <f>IF(COUNTIFS('Offers'!$B$7:$B$608,$B195,'Offers'!$C$7:$C$608,$C195,'Offers'!$AI$7:$AI$608,"yes")=0,"",(SUMIFS('Offers'!$I$7:$I$608,'Offers'!$B$7:$B$608,$B195,'Offers'!$C$7:$C$608,$C195,'Offers'!$AG$7:$AG$608,ROUNDUP(COUNTIFS('Offers'!$B$7:$B$608,$B195,'Offers'!$C$7:$C$608,$C195,'Offers'!$AI$7:$AI$608,"yes")/2,0))+SUMIFS('Offers'!$I$7:$I$608,'Offers'!$B$7:$B$608,$B195,'Offers'!$C$7:$C$608,$C195,'Offers'!$AG$7:$AG$608,INT(COUNTIFS('Offers'!$B$7:$B$608,$B195,'Offers'!$C$7:$C$608,$C195,'Offers'!$AI$7:$AI$608,"yes")/2)+1))/2)</f>
        <v/>
      </c>
      <c r="K195" s="95">
        <f>IF(COUNTIFS('Offers'!$B$7:$B$608,$B195,'Offers'!$C$7:$C$608,$C195,'Offers'!$AI$7:$AI$608,"yes")=0,"",SUMIFS('Offers'!$I$7:$I$608,'Offers'!$B$7:$B$608,$B195,'Offers'!$C$7:$C$608,$C195,'Offers'!$AG$7:$AG$608,COUNTIFS('Offers'!$B$7:$B$608,$B195,'Offers'!$C$7:$C$608,$C195,'Offers'!$AI$7:$AI$608,"yes")))</f>
        <v/>
      </c>
      <c r="L195" s="55" t="n"/>
      <c r="M195" s="55" t="n"/>
      <c r="N195" s="55" t="n"/>
      <c r="O195" s="2">
        <f>IF('Compare'!$E$5="Local prices",IF(F195="","",IF('Compare'!$C$5="Minimum",F195,IF('Compare'!$C$5="Maximum",H195,G195))),IF(I195="","",IF('Compare'!$C$5="Minimum",I195,IF('Compare'!$C$5="Maximum",K195,J195))))</f>
        <v/>
      </c>
    </row>
    <row r="196" ht="44" customHeight="1">
      <c r="A196" s="2" t="n"/>
      <c r="B196" s="27" t="inlineStr">
        <is>
          <t>Squeeze bottle 750 ml, PP/PE, wide covered tip</t>
        </is>
      </c>
      <c r="C196" s="27" t="inlineStr">
        <is>
          <t>Germany</t>
        </is>
      </c>
      <c r="D196" s="27" t="inlineStr">
        <is>
          <t>EUR</t>
        </is>
      </c>
      <c r="E196" s="27" t="inlineStr">
        <is>
          <t>Net per piece</t>
        </is>
      </c>
      <c r="F196" s="96">
        <f>IF(COUNTIFS('Offers'!$B$7:$B$608,$B196,'Offers'!$C$7:$C$608,$C196,'Offers'!$AH$7:$AH$608,"yes")=0,"",SUMIFS('Offers'!$H$7:$H$608,'Offers'!$B$7:$B$608,$B196,'Offers'!$C$7:$C$608,$C196,'Offers'!$AF$7:$AF$608,1))</f>
        <v/>
      </c>
      <c r="G196" s="96">
        <f>IF(COUNTIFS('Offers'!$B$7:$B$608,$B196,'Offers'!$C$7:$C$608,$C196,'Offers'!$AH$7:$AH$608,"yes")=0,"",(SUMIFS('Offers'!$H$7:$H$608,'Offers'!$B$7:$B$608,$B196,'Offers'!$C$7:$C$608,$C196,'Offers'!$AF$7:$AF$608,ROUNDUP(COUNTIFS('Offers'!$B$7:$B$608,$B196,'Offers'!$C$7:$C$608,$C196,'Offers'!$AH$7:$AH$608,"yes")/2,0))+SUMIFS('Offers'!$H$7:$H$608,'Offers'!$B$7:$B$608,$B196,'Offers'!$C$7:$C$608,$C196,'Offers'!$AF$7:$AF$608,INT(COUNTIFS('Offers'!$B$7:$B$608,$B196,'Offers'!$C$7:$C$608,$C196,'Offers'!$AH$7:$AH$608,"yes")/2)+1))/2)</f>
        <v/>
      </c>
      <c r="H196" s="96">
        <f>IF(COUNTIFS('Offers'!$B$7:$B$608,$B196,'Offers'!$C$7:$C$608,$C196,'Offers'!$AH$7:$AH$608,"yes")=0,"",SUMIFS('Offers'!$H$7:$H$608,'Offers'!$B$7:$B$608,$B196,'Offers'!$C$7:$C$608,$C196,'Offers'!$AF$7:$AF$608,COUNTIFS('Offers'!$B$7:$B$608,$B196,'Offers'!$C$7:$C$608,$C196,'Offers'!$AH$7:$AH$608,"yes")))</f>
        <v/>
      </c>
      <c r="I196" s="97">
        <f>IF(COUNTIFS('Offers'!$B$7:$B$608,$B196,'Offers'!$C$7:$C$608,$C196,'Offers'!$AI$7:$AI$608,"yes")=0,"",SUMIFS('Offers'!$I$7:$I$608,'Offers'!$B$7:$B$608,$B196,'Offers'!$C$7:$C$608,$C196,'Offers'!$AG$7:$AG$608,1))</f>
        <v/>
      </c>
      <c r="J196" s="97">
        <f>IF(COUNTIFS('Offers'!$B$7:$B$608,$B196,'Offers'!$C$7:$C$608,$C196,'Offers'!$AI$7:$AI$608,"yes")=0,"",(SUMIFS('Offers'!$I$7:$I$608,'Offers'!$B$7:$B$608,$B196,'Offers'!$C$7:$C$608,$C196,'Offers'!$AG$7:$AG$608,ROUNDUP(COUNTIFS('Offers'!$B$7:$B$608,$B196,'Offers'!$C$7:$C$608,$C196,'Offers'!$AI$7:$AI$608,"yes")/2,0))+SUMIFS('Offers'!$I$7:$I$608,'Offers'!$B$7:$B$608,$B196,'Offers'!$C$7:$C$608,$C196,'Offers'!$AG$7:$AG$608,INT(COUNTIFS('Offers'!$B$7:$B$608,$B196,'Offers'!$C$7:$C$608,$C196,'Offers'!$AI$7:$AI$608,"yes")/2)+1))/2)</f>
        <v/>
      </c>
      <c r="K196" s="97">
        <f>IF(COUNTIFS('Offers'!$B$7:$B$608,$B196,'Offers'!$C$7:$C$608,$C196,'Offers'!$AI$7:$AI$608,"yes")=0,"",SUMIFS('Offers'!$I$7:$I$608,'Offers'!$B$7:$B$608,$B196,'Offers'!$C$7:$C$608,$C196,'Offers'!$AG$7:$AG$608,COUNTIFS('Offers'!$B$7:$B$608,$B196,'Offers'!$C$7:$C$608,$C196,'Offers'!$AI$7:$AI$608,"yes")))</f>
        <v/>
      </c>
      <c r="L196" s="55" t="n"/>
      <c r="M196" s="55" t="n"/>
      <c r="N196" s="55" t="n"/>
      <c r="O196" s="19">
        <f>IF('Compare'!$E$5="Local prices",IF(F196="","",IF('Compare'!$C$5="Minimum",F196,IF('Compare'!$C$5="Maximum",H196,G196))),IF(I196="","",IF('Compare'!$C$5="Minimum",I196,IF('Compare'!$C$5="Maximum",K196,J196))))</f>
        <v/>
      </c>
    </row>
    <row r="197" ht="44" customHeight="1">
      <c r="A197" s="2" t="n"/>
      <c r="B197" s="24" t="inlineStr">
        <is>
          <t>Squeeze bottle 750 ml, PP/PE, wide covered tip</t>
        </is>
      </c>
      <c r="C197" s="24" t="inlineStr">
        <is>
          <t>Czech</t>
        </is>
      </c>
      <c r="D197" s="24" t="inlineStr">
        <is>
          <t>CZK</t>
        </is>
      </c>
      <c r="E197" s="24" t="inlineStr">
        <is>
          <t>Net per piece</t>
        </is>
      </c>
      <c r="F197" s="94">
        <f>IF(COUNTIFS('Offers'!$B$7:$B$608,$B197,'Offers'!$C$7:$C$608,$C197,'Offers'!$AH$7:$AH$608,"yes")=0,"",SUMIFS('Offers'!$H$7:$H$608,'Offers'!$B$7:$B$608,$B197,'Offers'!$C$7:$C$608,$C197,'Offers'!$AF$7:$AF$608,1))</f>
        <v/>
      </c>
      <c r="G197" s="94">
        <f>IF(COUNTIFS('Offers'!$B$7:$B$608,$B197,'Offers'!$C$7:$C$608,$C197,'Offers'!$AH$7:$AH$608,"yes")=0,"",(SUMIFS('Offers'!$H$7:$H$608,'Offers'!$B$7:$B$608,$B197,'Offers'!$C$7:$C$608,$C197,'Offers'!$AF$7:$AF$608,ROUNDUP(COUNTIFS('Offers'!$B$7:$B$608,$B197,'Offers'!$C$7:$C$608,$C197,'Offers'!$AH$7:$AH$608,"yes")/2,0))+SUMIFS('Offers'!$H$7:$H$608,'Offers'!$B$7:$B$608,$B197,'Offers'!$C$7:$C$608,$C197,'Offers'!$AF$7:$AF$608,INT(COUNTIFS('Offers'!$B$7:$B$608,$B197,'Offers'!$C$7:$C$608,$C197,'Offers'!$AH$7:$AH$608,"yes")/2)+1))/2)</f>
        <v/>
      </c>
      <c r="H197" s="94">
        <f>IF(COUNTIFS('Offers'!$B$7:$B$608,$B197,'Offers'!$C$7:$C$608,$C197,'Offers'!$AH$7:$AH$608,"yes")=0,"",SUMIFS('Offers'!$H$7:$H$608,'Offers'!$B$7:$B$608,$B197,'Offers'!$C$7:$C$608,$C197,'Offers'!$AF$7:$AF$608,COUNTIFS('Offers'!$B$7:$B$608,$B197,'Offers'!$C$7:$C$608,$C197,'Offers'!$AH$7:$AH$608,"yes")))</f>
        <v/>
      </c>
      <c r="I197" s="95">
        <f>IF(COUNTIFS('Offers'!$B$7:$B$608,$B197,'Offers'!$C$7:$C$608,$C197,'Offers'!$AI$7:$AI$608,"yes")=0,"",SUMIFS('Offers'!$I$7:$I$608,'Offers'!$B$7:$B$608,$B197,'Offers'!$C$7:$C$608,$C197,'Offers'!$AG$7:$AG$608,1))</f>
        <v/>
      </c>
      <c r="J197" s="95">
        <f>IF(COUNTIFS('Offers'!$B$7:$B$608,$B197,'Offers'!$C$7:$C$608,$C197,'Offers'!$AI$7:$AI$608,"yes")=0,"",(SUMIFS('Offers'!$I$7:$I$608,'Offers'!$B$7:$B$608,$B197,'Offers'!$C$7:$C$608,$C197,'Offers'!$AG$7:$AG$608,ROUNDUP(COUNTIFS('Offers'!$B$7:$B$608,$B197,'Offers'!$C$7:$C$608,$C197,'Offers'!$AI$7:$AI$608,"yes")/2,0))+SUMIFS('Offers'!$I$7:$I$608,'Offers'!$B$7:$B$608,$B197,'Offers'!$C$7:$C$608,$C197,'Offers'!$AG$7:$AG$608,INT(COUNTIFS('Offers'!$B$7:$B$608,$B197,'Offers'!$C$7:$C$608,$C197,'Offers'!$AI$7:$AI$608,"yes")/2)+1))/2)</f>
        <v/>
      </c>
      <c r="K197" s="95">
        <f>IF(COUNTIFS('Offers'!$B$7:$B$608,$B197,'Offers'!$C$7:$C$608,$C197,'Offers'!$AI$7:$AI$608,"yes")=0,"",SUMIFS('Offers'!$I$7:$I$608,'Offers'!$B$7:$B$608,$B197,'Offers'!$C$7:$C$608,$C197,'Offers'!$AG$7:$AG$608,COUNTIFS('Offers'!$B$7:$B$608,$B197,'Offers'!$C$7:$C$608,$C197,'Offers'!$AI$7:$AI$608,"yes")))</f>
        <v/>
      </c>
      <c r="L197" s="55" t="n"/>
      <c r="M197" s="55" t="n"/>
      <c r="N197" s="55" t="n"/>
      <c r="O197" s="2">
        <f>IF('Compare'!$E$5="Local prices",IF(F197="","",IF('Compare'!$C$5="Minimum",F197,IF('Compare'!$C$5="Maximum",H197,G197))),IF(I197="","",IF('Compare'!$C$5="Minimum",I197,IF('Compare'!$C$5="Maximum",K197,J197))))</f>
        <v/>
      </c>
    </row>
    <row r="198" ht="44" customHeight="1">
      <c r="A198" s="2" t="n"/>
      <c r="B198" s="27" t="inlineStr">
        <is>
          <t>Squeeze bottle 750 ml, PP/PE, wide covered tip</t>
        </is>
      </c>
      <c r="C198" s="27" t="inlineStr">
        <is>
          <t>Slovakia</t>
        </is>
      </c>
      <c r="D198" s="27" t="inlineStr">
        <is>
          <t>EUR</t>
        </is>
      </c>
      <c r="E198" s="27" t="inlineStr">
        <is>
          <t>Net per piece</t>
        </is>
      </c>
      <c r="F198" s="96">
        <f>IF(COUNTIFS('Offers'!$B$7:$B$608,$B198,'Offers'!$C$7:$C$608,$C198,'Offers'!$AH$7:$AH$608,"yes")=0,"",SUMIFS('Offers'!$H$7:$H$608,'Offers'!$B$7:$B$608,$B198,'Offers'!$C$7:$C$608,$C198,'Offers'!$AF$7:$AF$608,1))</f>
        <v/>
      </c>
      <c r="G198" s="96">
        <f>IF(COUNTIFS('Offers'!$B$7:$B$608,$B198,'Offers'!$C$7:$C$608,$C198,'Offers'!$AH$7:$AH$608,"yes")=0,"",(SUMIFS('Offers'!$H$7:$H$608,'Offers'!$B$7:$B$608,$B198,'Offers'!$C$7:$C$608,$C198,'Offers'!$AF$7:$AF$608,ROUNDUP(COUNTIFS('Offers'!$B$7:$B$608,$B198,'Offers'!$C$7:$C$608,$C198,'Offers'!$AH$7:$AH$608,"yes")/2,0))+SUMIFS('Offers'!$H$7:$H$608,'Offers'!$B$7:$B$608,$B198,'Offers'!$C$7:$C$608,$C198,'Offers'!$AF$7:$AF$608,INT(COUNTIFS('Offers'!$B$7:$B$608,$B198,'Offers'!$C$7:$C$608,$C198,'Offers'!$AH$7:$AH$608,"yes")/2)+1))/2)</f>
        <v/>
      </c>
      <c r="H198" s="96">
        <f>IF(COUNTIFS('Offers'!$B$7:$B$608,$B198,'Offers'!$C$7:$C$608,$C198,'Offers'!$AH$7:$AH$608,"yes")=0,"",SUMIFS('Offers'!$H$7:$H$608,'Offers'!$B$7:$B$608,$B198,'Offers'!$C$7:$C$608,$C198,'Offers'!$AF$7:$AF$608,COUNTIFS('Offers'!$B$7:$B$608,$B198,'Offers'!$C$7:$C$608,$C198,'Offers'!$AH$7:$AH$608,"yes")))</f>
        <v/>
      </c>
      <c r="I198" s="97">
        <f>IF(COUNTIFS('Offers'!$B$7:$B$608,$B198,'Offers'!$C$7:$C$608,$C198,'Offers'!$AI$7:$AI$608,"yes")=0,"",SUMIFS('Offers'!$I$7:$I$608,'Offers'!$B$7:$B$608,$B198,'Offers'!$C$7:$C$608,$C198,'Offers'!$AG$7:$AG$608,1))</f>
        <v/>
      </c>
      <c r="J198" s="97">
        <f>IF(COUNTIFS('Offers'!$B$7:$B$608,$B198,'Offers'!$C$7:$C$608,$C198,'Offers'!$AI$7:$AI$608,"yes")=0,"",(SUMIFS('Offers'!$I$7:$I$608,'Offers'!$B$7:$B$608,$B198,'Offers'!$C$7:$C$608,$C198,'Offers'!$AG$7:$AG$608,ROUNDUP(COUNTIFS('Offers'!$B$7:$B$608,$B198,'Offers'!$C$7:$C$608,$C198,'Offers'!$AI$7:$AI$608,"yes")/2,0))+SUMIFS('Offers'!$I$7:$I$608,'Offers'!$B$7:$B$608,$B198,'Offers'!$C$7:$C$608,$C198,'Offers'!$AG$7:$AG$608,INT(COUNTIFS('Offers'!$B$7:$B$608,$B198,'Offers'!$C$7:$C$608,$C198,'Offers'!$AI$7:$AI$608,"yes")/2)+1))/2)</f>
        <v/>
      </c>
      <c r="K198" s="97">
        <f>IF(COUNTIFS('Offers'!$B$7:$B$608,$B198,'Offers'!$C$7:$C$608,$C198,'Offers'!$AI$7:$AI$608,"yes")=0,"",SUMIFS('Offers'!$I$7:$I$608,'Offers'!$B$7:$B$608,$B198,'Offers'!$C$7:$C$608,$C198,'Offers'!$AG$7:$AG$608,COUNTIFS('Offers'!$B$7:$B$608,$B198,'Offers'!$C$7:$C$608,$C198,'Offers'!$AI$7:$AI$608,"yes")))</f>
        <v/>
      </c>
      <c r="L198" s="55" t="n"/>
      <c r="M198" s="55" t="n"/>
      <c r="N198" s="55" t="n"/>
      <c r="O198" s="19">
        <f>IF('Compare'!$E$5="Local prices",IF(F198="","",IF('Compare'!$C$5="Minimum",F198,IF('Compare'!$C$5="Maximum",H198,G198))),IF(I198="","",IF('Compare'!$C$5="Minimum",I198,IF('Compare'!$C$5="Maximum",K198,J198))))</f>
        <v/>
      </c>
    </row>
    <row r="199" ht="44" customHeight="1">
      <c r="A199" s="2" t="n"/>
      <c r="B199" s="24" t="inlineStr">
        <is>
          <t>Red PE cutting board 300 × 200 × 20 mm</t>
        </is>
      </c>
      <c r="C199" s="24" t="inlineStr">
        <is>
          <t>Hungary</t>
        </is>
      </c>
      <c r="D199" s="24" t="inlineStr">
        <is>
          <t>HUF</t>
        </is>
      </c>
      <c r="E199" s="24" t="inlineStr">
        <is>
          <t>Net per piece</t>
        </is>
      </c>
      <c r="F199" s="94">
        <f>IF(COUNTIFS('Offers'!$B$7:$B$608,$B199,'Offers'!$C$7:$C$608,$C199,'Offers'!$AH$7:$AH$608,"yes")=0,"",SUMIFS('Offers'!$H$7:$H$608,'Offers'!$B$7:$B$608,$B199,'Offers'!$C$7:$C$608,$C199,'Offers'!$AF$7:$AF$608,1))</f>
        <v/>
      </c>
      <c r="G199" s="94">
        <f>IF(COUNTIFS('Offers'!$B$7:$B$608,$B199,'Offers'!$C$7:$C$608,$C199,'Offers'!$AH$7:$AH$608,"yes")=0,"",(SUMIFS('Offers'!$H$7:$H$608,'Offers'!$B$7:$B$608,$B199,'Offers'!$C$7:$C$608,$C199,'Offers'!$AF$7:$AF$608,ROUNDUP(COUNTIFS('Offers'!$B$7:$B$608,$B199,'Offers'!$C$7:$C$608,$C199,'Offers'!$AH$7:$AH$608,"yes")/2,0))+SUMIFS('Offers'!$H$7:$H$608,'Offers'!$B$7:$B$608,$B199,'Offers'!$C$7:$C$608,$C199,'Offers'!$AF$7:$AF$608,INT(COUNTIFS('Offers'!$B$7:$B$608,$B199,'Offers'!$C$7:$C$608,$C199,'Offers'!$AH$7:$AH$608,"yes")/2)+1))/2)</f>
        <v/>
      </c>
      <c r="H199" s="94">
        <f>IF(COUNTIFS('Offers'!$B$7:$B$608,$B199,'Offers'!$C$7:$C$608,$C199,'Offers'!$AH$7:$AH$608,"yes")=0,"",SUMIFS('Offers'!$H$7:$H$608,'Offers'!$B$7:$B$608,$B199,'Offers'!$C$7:$C$608,$C199,'Offers'!$AF$7:$AF$608,COUNTIFS('Offers'!$B$7:$B$608,$B199,'Offers'!$C$7:$C$608,$C199,'Offers'!$AH$7:$AH$608,"yes")))</f>
        <v/>
      </c>
      <c r="I199" s="95">
        <f>IF(COUNTIFS('Offers'!$B$7:$B$608,$B199,'Offers'!$C$7:$C$608,$C199,'Offers'!$AI$7:$AI$608,"yes")=0,"",SUMIFS('Offers'!$I$7:$I$608,'Offers'!$B$7:$B$608,$B199,'Offers'!$C$7:$C$608,$C199,'Offers'!$AG$7:$AG$608,1))</f>
        <v/>
      </c>
      <c r="J199" s="95">
        <f>IF(COUNTIFS('Offers'!$B$7:$B$608,$B199,'Offers'!$C$7:$C$608,$C199,'Offers'!$AI$7:$AI$608,"yes")=0,"",(SUMIFS('Offers'!$I$7:$I$608,'Offers'!$B$7:$B$608,$B199,'Offers'!$C$7:$C$608,$C199,'Offers'!$AG$7:$AG$608,ROUNDUP(COUNTIFS('Offers'!$B$7:$B$608,$B199,'Offers'!$C$7:$C$608,$C199,'Offers'!$AI$7:$AI$608,"yes")/2,0))+SUMIFS('Offers'!$I$7:$I$608,'Offers'!$B$7:$B$608,$B199,'Offers'!$C$7:$C$608,$C199,'Offers'!$AG$7:$AG$608,INT(COUNTIFS('Offers'!$B$7:$B$608,$B199,'Offers'!$C$7:$C$608,$C199,'Offers'!$AI$7:$AI$608,"yes")/2)+1))/2)</f>
        <v/>
      </c>
      <c r="K199" s="95">
        <f>IF(COUNTIFS('Offers'!$B$7:$B$608,$B199,'Offers'!$C$7:$C$608,$C199,'Offers'!$AI$7:$AI$608,"yes")=0,"",SUMIFS('Offers'!$I$7:$I$608,'Offers'!$B$7:$B$608,$B199,'Offers'!$C$7:$C$608,$C199,'Offers'!$AG$7:$AG$608,COUNTIFS('Offers'!$B$7:$B$608,$B199,'Offers'!$C$7:$C$608,$C199,'Offers'!$AI$7:$AI$608,"yes")))</f>
        <v/>
      </c>
      <c r="L199" s="55" t="n"/>
      <c r="M199" s="55" t="n"/>
      <c r="N199" s="55" t="n"/>
      <c r="O199" s="2">
        <f>IF('Compare'!$E$5="Local prices",IF(F199="","",IF('Compare'!$C$5="Minimum",F199,IF('Compare'!$C$5="Maximum",H199,G199))),IF(I199="","",IF('Compare'!$C$5="Minimum",I199,IF('Compare'!$C$5="Maximum",K199,J199))))</f>
        <v/>
      </c>
    </row>
    <row r="200" ht="44" customHeight="1">
      <c r="A200" s="2" t="n"/>
      <c r="B200" s="27" t="inlineStr">
        <is>
          <t>Red PE cutting board 300 × 200 × 20 mm</t>
        </is>
      </c>
      <c r="C200" s="27" t="inlineStr">
        <is>
          <t>Romania</t>
        </is>
      </c>
      <c r="D200" s="27" t="inlineStr">
        <is>
          <t>RON</t>
        </is>
      </c>
      <c r="E200" s="27" t="inlineStr">
        <is>
          <t>Net per piece</t>
        </is>
      </c>
      <c r="F200" s="96">
        <f>IF(COUNTIFS('Offers'!$B$7:$B$608,$B200,'Offers'!$C$7:$C$608,$C200,'Offers'!$AH$7:$AH$608,"yes")=0,"",SUMIFS('Offers'!$H$7:$H$608,'Offers'!$B$7:$B$608,$B200,'Offers'!$C$7:$C$608,$C200,'Offers'!$AF$7:$AF$608,1))</f>
        <v/>
      </c>
      <c r="G200" s="96">
        <f>IF(COUNTIFS('Offers'!$B$7:$B$608,$B200,'Offers'!$C$7:$C$608,$C200,'Offers'!$AH$7:$AH$608,"yes")=0,"",(SUMIFS('Offers'!$H$7:$H$608,'Offers'!$B$7:$B$608,$B200,'Offers'!$C$7:$C$608,$C200,'Offers'!$AF$7:$AF$608,ROUNDUP(COUNTIFS('Offers'!$B$7:$B$608,$B200,'Offers'!$C$7:$C$608,$C200,'Offers'!$AH$7:$AH$608,"yes")/2,0))+SUMIFS('Offers'!$H$7:$H$608,'Offers'!$B$7:$B$608,$B200,'Offers'!$C$7:$C$608,$C200,'Offers'!$AF$7:$AF$608,INT(COUNTIFS('Offers'!$B$7:$B$608,$B200,'Offers'!$C$7:$C$608,$C200,'Offers'!$AH$7:$AH$608,"yes")/2)+1))/2)</f>
        <v/>
      </c>
      <c r="H200" s="96">
        <f>IF(COUNTIFS('Offers'!$B$7:$B$608,$B200,'Offers'!$C$7:$C$608,$C200,'Offers'!$AH$7:$AH$608,"yes")=0,"",SUMIFS('Offers'!$H$7:$H$608,'Offers'!$B$7:$B$608,$B200,'Offers'!$C$7:$C$608,$C200,'Offers'!$AF$7:$AF$608,COUNTIFS('Offers'!$B$7:$B$608,$B200,'Offers'!$C$7:$C$608,$C200,'Offers'!$AH$7:$AH$608,"yes")))</f>
        <v/>
      </c>
      <c r="I200" s="97">
        <f>IF(COUNTIFS('Offers'!$B$7:$B$608,$B200,'Offers'!$C$7:$C$608,$C200,'Offers'!$AI$7:$AI$608,"yes")=0,"",SUMIFS('Offers'!$I$7:$I$608,'Offers'!$B$7:$B$608,$B200,'Offers'!$C$7:$C$608,$C200,'Offers'!$AG$7:$AG$608,1))</f>
        <v/>
      </c>
      <c r="J200" s="97">
        <f>IF(COUNTIFS('Offers'!$B$7:$B$608,$B200,'Offers'!$C$7:$C$608,$C200,'Offers'!$AI$7:$AI$608,"yes")=0,"",(SUMIFS('Offers'!$I$7:$I$608,'Offers'!$B$7:$B$608,$B200,'Offers'!$C$7:$C$608,$C200,'Offers'!$AG$7:$AG$608,ROUNDUP(COUNTIFS('Offers'!$B$7:$B$608,$B200,'Offers'!$C$7:$C$608,$C200,'Offers'!$AI$7:$AI$608,"yes")/2,0))+SUMIFS('Offers'!$I$7:$I$608,'Offers'!$B$7:$B$608,$B200,'Offers'!$C$7:$C$608,$C200,'Offers'!$AG$7:$AG$608,INT(COUNTIFS('Offers'!$B$7:$B$608,$B200,'Offers'!$C$7:$C$608,$C200,'Offers'!$AI$7:$AI$608,"yes")/2)+1))/2)</f>
        <v/>
      </c>
      <c r="K200" s="97">
        <f>IF(COUNTIFS('Offers'!$B$7:$B$608,$B200,'Offers'!$C$7:$C$608,$C200,'Offers'!$AI$7:$AI$608,"yes")=0,"",SUMIFS('Offers'!$I$7:$I$608,'Offers'!$B$7:$B$608,$B200,'Offers'!$C$7:$C$608,$C200,'Offers'!$AG$7:$AG$608,COUNTIFS('Offers'!$B$7:$B$608,$B200,'Offers'!$C$7:$C$608,$C200,'Offers'!$AI$7:$AI$608,"yes")))</f>
        <v/>
      </c>
      <c r="L200" s="55" t="n"/>
      <c r="M200" s="55" t="n"/>
      <c r="N200" s="55" t="n"/>
      <c r="O200" s="19">
        <f>IF('Compare'!$E$5="Local prices",IF(F200="","",IF('Compare'!$C$5="Minimum",F200,IF('Compare'!$C$5="Maximum",H200,G200))),IF(I200="","",IF('Compare'!$C$5="Minimum",I200,IF('Compare'!$C$5="Maximum",K200,J200))))</f>
        <v/>
      </c>
    </row>
    <row r="201" ht="44" customHeight="1">
      <c r="A201" s="2" t="n"/>
      <c r="B201" s="24" t="inlineStr">
        <is>
          <t>Red PE cutting board 300 × 200 × 20 mm</t>
        </is>
      </c>
      <c r="C201" s="24" t="inlineStr">
        <is>
          <t>Austria</t>
        </is>
      </c>
      <c r="D201" s="24" t="inlineStr">
        <is>
          <t>EUR</t>
        </is>
      </c>
      <c r="E201" s="24" t="inlineStr">
        <is>
          <t>Net per piece</t>
        </is>
      </c>
      <c r="F201" s="94">
        <f>IF(COUNTIFS('Offers'!$B$7:$B$608,$B201,'Offers'!$C$7:$C$608,$C201,'Offers'!$AH$7:$AH$608,"yes")=0,"",SUMIFS('Offers'!$H$7:$H$608,'Offers'!$B$7:$B$608,$B201,'Offers'!$C$7:$C$608,$C201,'Offers'!$AF$7:$AF$608,1))</f>
        <v/>
      </c>
      <c r="G201" s="94">
        <f>IF(COUNTIFS('Offers'!$B$7:$B$608,$B201,'Offers'!$C$7:$C$608,$C201,'Offers'!$AH$7:$AH$608,"yes")=0,"",(SUMIFS('Offers'!$H$7:$H$608,'Offers'!$B$7:$B$608,$B201,'Offers'!$C$7:$C$608,$C201,'Offers'!$AF$7:$AF$608,ROUNDUP(COUNTIFS('Offers'!$B$7:$B$608,$B201,'Offers'!$C$7:$C$608,$C201,'Offers'!$AH$7:$AH$608,"yes")/2,0))+SUMIFS('Offers'!$H$7:$H$608,'Offers'!$B$7:$B$608,$B201,'Offers'!$C$7:$C$608,$C201,'Offers'!$AF$7:$AF$608,INT(COUNTIFS('Offers'!$B$7:$B$608,$B201,'Offers'!$C$7:$C$608,$C201,'Offers'!$AH$7:$AH$608,"yes")/2)+1))/2)</f>
        <v/>
      </c>
      <c r="H201" s="94">
        <f>IF(COUNTIFS('Offers'!$B$7:$B$608,$B201,'Offers'!$C$7:$C$608,$C201,'Offers'!$AH$7:$AH$608,"yes")=0,"",SUMIFS('Offers'!$H$7:$H$608,'Offers'!$B$7:$B$608,$B201,'Offers'!$C$7:$C$608,$C201,'Offers'!$AF$7:$AF$608,COUNTIFS('Offers'!$B$7:$B$608,$B201,'Offers'!$C$7:$C$608,$C201,'Offers'!$AH$7:$AH$608,"yes")))</f>
        <v/>
      </c>
      <c r="I201" s="95">
        <f>IF(COUNTIFS('Offers'!$B$7:$B$608,$B201,'Offers'!$C$7:$C$608,$C201,'Offers'!$AI$7:$AI$608,"yes")=0,"",SUMIFS('Offers'!$I$7:$I$608,'Offers'!$B$7:$B$608,$B201,'Offers'!$C$7:$C$608,$C201,'Offers'!$AG$7:$AG$608,1))</f>
        <v/>
      </c>
      <c r="J201" s="95">
        <f>IF(COUNTIFS('Offers'!$B$7:$B$608,$B201,'Offers'!$C$7:$C$608,$C201,'Offers'!$AI$7:$AI$608,"yes")=0,"",(SUMIFS('Offers'!$I$7:$I$608,'Offers'!$B$7:$B$608,$B201,'Offers'!$C$7:$C$608,$C201,'Offers'!$AG$7:$AG$608,ROUNDUP(COUNTIFS('Offers'!$B$7:$B$608,$B201,'Offers'!$C$7:$C$608,$C201,'Offers'!$AI$7:$AI$608,"yes")/2,0))+SUMIFS('Offers'!$I$7:$I$608,'Offers'!$B$7:$B$608,$B201,'Offers'!$C$7:$C$608,$C201,'Offers'!$AG$7:$AG$608,INT(COUNTIFS('Offers'!$B$7:$B$608,$B201,'Offers'!$C$7:$C$608,$C201,'Offers'!$AI$7:$AI$608,"yes")/2)+1))/2)</f>
        <v/>
      </c>
      <c r="K201" s="95">
        <f>IF(COUNTIFS('Offers'!$B$7:$B$608,$B201,'Offers'!$C$7:$C$608,$C201,'Offers'!$AI$7:$AI$608,"yes")=0,"",SUMIFS('Offers'!$I$7:$I$608,'Offers'!$B$7:$B$608,$B201,'Offers'!$C$7:$C$608,$C201,'Offers'!$AG$7:$AG$608,COUNTIFS('Offers'!$B$7:$B$608,$B201,'Offers'!$C$7:$C$608,$C201,'Offers'!$AI$7:$AI$608,"yes")))</f>
        <v/>
      </c>
      <c r="L201" s="55" t="n"/>
      <c r="M201" s="55" t="n"/>
      <c r="N201" s="55" t="n"/>
      <c r="O201" s="2">
        <f>IF('Compare'!$E$5="Local prices",IF(F201="","",IF('Compare'!$C$5="Minimum",F201,IF('Compare'!$C$5="Maximum",H201,G201))),IF(I201="","",IF('Compare'!$C$5="Minimum",I201,IF('Compare'!$C$5="Maximum",K201,J201))))</f>
        <v/>
      </c>
    </row>
    <row r="202" ht="44" customHeight="1">
      <c r="A202" s="2" t="n"/>
      <c r="B202" s="27" t="inlineStr">
        <is>
          <t>Red PE cutting board 300 × 200 × 20 mm</t>
        </is>
      </c>
      <c r="C202" s="27" t="inlineStr">
        <is>
          <t>Germany</t>
        </is>
      </c>
      <c r="D202" s="27" t="inlineStr">
        <is>
          <t>EUR</t>
        </is>
      </c>
      <c r="E202" s="27" t="inlineStr">
        <is>
          <t>Net per piece</t>
        </is>
      </c>
      <c r="F202" s="96">
        <f>IF(COUNTIFS('Offers'!$B$7:$B$608,$B202,'Offers'!$C$7:$C$608,$C202,'Offers'!$AH$7:$AH$608,"yes")=0,"",SUMIFS('Offers'!$H$7:$H$608,'Offers'!$B$7:$B$608,$B202,'Offers'!$C$7:$C$608,$C202,'Offers'!$AF$7:$AF$608,1))</f>
        <v/>
      </c>
      <c r="G202" s="96">
        <f>IF(COUNTIFS('Offers'!$B$7:$B$608,$B202,'Offers'!$C$7:$C$608,$C202,'Offers'!$AH$7:$AH$608,"yes")=0,"",(SUMIFS('Offers'!$H$7:$H$608,'Offers'!$B$7:$B$608,$B202,'Offers'!$C$7:$C$608,$C202,'Offers'!$AF$7:$AF$608,ROUNDUP(COUNTIFS('Offers'!$B$7:$B$608,$B202,'Offers'!$C$7:$C$608,$C202,'Offers'!$AH$7:$AH$608,"yes")/2,0))+SUMIFS('Offers'!$H$7:$H$608,'Offers'!$B$7:$B$608,$B202,'Offers'!$C$7:$C$608,$C202,'Offers'!$AF$7:$AF$608,INT(COUNTIFS('Offers'!$B$7:$B$608,$B202,'Offers'!$C$7:$C$608,$C202,'Offers'!$AH$7:$AH$608,"yes")/2)+1))/2)</f>
        <v/>
      </c>
      <c r="H202" s="96">
        <f>IF(COUNTIFS('Offers'!$B$7:$B$608,$B202,'Offers'!$C$7:$C$608,$C202,'Offers'!$AH$7:$AH$608,"yes")=0,"",SUMIFS('Offers'!$H$7:$H$608,'Offers'!$B$7:$B$608,$B202,'Offers'!$C$7:$C$608,$C202,'Offers'!$AF$7:$AF$608,COUNTIFS('Offers'!$B$7:$B$608,$B202,'Offers'!$C$7:$C$608,$C202,'Offers'!$AH$7:$AH$608,"yes")))</f>
        <v/>
      </c>
      <c r="I202" s="97">
        <f>IF(COUNTIFS('Offers'!$B$7:$B$608,$B202,'Offers'!$C$7:$C$608,$C202,'Offers'!$AI$7:$AI$608,"yes")=0,"",SUMIFS('Offers'!$I$7:$I$608,'Offers'!$B$7:$B$608,$B202,'Offers'!$C$7:$C$608,$C202,'Offers'!$AG$7:$AG$608,1))</f>
        <v/>
      </c>
      <c r="J202" s="97">
        <f>IF(COUNTIFS('Offers'!$B$7:$B$608,$B202,'Offers'!$C$7:$C$608,$C202,'Offers'!$AI$7:$AI$608,"yes")=0,"",(SUMIFS('Offers'!$I$7:$I$608,'Offers'!$B$7:$B$608,$B202,'Offers'!$C$7:$C$608,$C202,'Offers'!$AG$7:$AG$608,ROUNDUP(COUNTIFS('Offers'!$B$7:$B$608,$B202,'Offers'!$C$7:$C$608,$C202,'Offers'!$AI$7:$AI$608,"yes")/2,0))+SUMIFS('Offers'!$I$7:$I$608,'Offers'!$B$7:$B$608,$B202,'Offers'!$C$7:$C$608,$C202,'Offers'!$AG$7:$AG$608,INT(COUNTIFS('Offers'!$B$7:$B$608,$B202,'Offers'!$C$7:$C$608,$C202,'Offers'!$AI$7:$AI$608,"yes")/2)+1))/2)</f>
        <v/>
      </c>
      <c r="K202" s="97">
        <f>IF(COUNTIFS('Offers'!$B$7:$B$608,$B202,'Offers'!$C$7:$C$608,$C202,'Offers'!$AI$7:$AI$608,"yes")=0,"",SUMIFS('Offers'!$I$7:$I$608,'Offers'!$B$7:$B$608,$B202,'Offers'!$C$7:$C$608,$C202,'Offers'!$AG$7:$AG$608,COUNTIFS('Offers'!$B$7:$B$608,$B202,'Offers'!$C$7:$C$608,$C202,'Offers'!$AI$7:$AI$608,"yes")))</f>
        <v/>
      </c>
      <c r="L202" s="55" t="n"/>
      <c r="M202" s="55" t="n"/>
      <c r="N202" s="55" t="n"/>
      <c r="O202" s="19">
        <f>IF('Compare'!$E$5="Local prices",IF(F202="","",IF('Compare'!$C$5="Minimum",F202,IF('Compare'!$C$5="Maximum",H202,G202))),IF(I202="","",IF('Compare'!$C$5="Minimum",I202,IF('Compare'!$C$5="Maximum",K202,J202))))</f>
        <v/>
      </c>
    </row>
    <row r="203" ht="44" customHeight="1">
      <c r="A203" s="2" t="n"/>
      <c r="B203" s="24" t="inlineStr">
        <is>
          <t>Red PE cutting board 300 × 200 × 20 mm</t>
        </is>
      </c>
      <c r="C203" s="24" t="inlineStr">
        <is>
          <t>Czech</t>
        </is>
      </c>
      <c r="D203" s="24" t="inlineStr">
        <is>
          <t>CZK</t>
        </is>
      </c>
      <c r="E203" s="24" t="inlineStr">
        <is>
          <t>Net per piece</t>
        </is>
      </c>
      <c r="F203" s="94">
        <f>IF(COUNTIFS('Offers'!$B$7:$B$608,$B203,'Offers'!$C$7:$C$608,$C203,'Offers'!$AH$7:$AH$608,"yes")=0,"",SUMIFS('Offers'!$H$7:$H$608,'Offers'!$B$7:$B$608,$B203,'Offers'!$C$7:$C$608,$C203,'Offers'!$AF$7:$AF$608,1))</f>
        <v/>
      </c>
      <c r="G203" s="94">
        <f>IF(COUNTIFS('Offers'!$B$7:$B$608,$B203,'Offers'!$C$7:$C$608,$C203,'Offers'!$AH$7:$AH$608,"yes")=0,"",(SUMIFS('Offers'!$H$7:$H$608,'Offers'!$B$7:$B$608,$B203,'Offers'!$C$7:$C$608,$C203,'Offers'!$AF$7:$AF$608,ROUNDUP(COUNTIFS('Offers'!$B$7:$B$608,$B203,'Offers'!$C$7:$C$608,$C203,'Offers'!$AH$7:$AH$608,"yes")/2,0))+SUMIFS('Offers'!$H$7:$H$608,'Offers'!$B$7:$B$608,$B203,'Offers'!$C$7:$C$608,$C203,'Offers'!$AF$7:$AF$608,INT(COUNTIFS('Offers'!$B$7:$B$608,$B203,'Offers'!$C$7:$C$608,$C203,'Offers'!$AH$7:$AH$608,"yes")/2)+1))/2)</f>
        <v/>
      </c>
      <c r="H203" s="94">
        <f>IF(COUNTIFS('Offers'!$B$7:$B$608,$B203,'Offers'!$C$7:$C$608,$C203,'Offers'!$AH$7:$AH$608,"yes")=0,"",SUMIFS('Offers'!$H$7:$H$608,'Offers'!$B$7:$B$608,$B203,'Offers'!$C$7:$C$608,$C203,'Offers'!$AF$7:$AF$608,COUNTIFS('Offers'!$B$7:$B$608,$B203,'Offers'!$C$7:$C$608,$C203,'Offers'!$AH$7:$AH$608,"yes")))</f>
        <v/>
      </c>
      <c r="I203" s="95">
        <f>IF(COUNTIFS('Offers'!$B$7:$B$608,$B203,'Offers'!$C$7:$C$608,$C203,'Offers'!$AI$7:$AI$608,"yes")=0,"",SUMIFS('Offers'!$I$7:$I$608,'Offers'!$B$7:$B$608,$B203,'Offers'!$C$7:$C$608,$C203,'Offers'!$AG$7:$AG$608,1))</f>
        <v/>
      </c>
      <c r="J203" s="95">
        <f>IF(COUNTIFS('Offers'!$B$7:$B$608,$B203,'Offers'!$C$7:$C$608,$C203,'Offers'!$AI$7:$AI$608,"yes")=0,"",(SUMIFS('Offers'!$I$7:$I$608,'Offers'!$B$7:$B$608,$B203,'Offers'!$C$7:$C$608,$C203,'Offers'!$AG$7:$AG$608,ROUNDUP(COUNTIFS('Offers'!$B$7:$B$608,$B203,'Offers'!$C$7:$C$608,$C203,'Offers'!$AI$7:$AI$608,"yes")/2,0))+SUMIFS('Offers'!$I$7:$I$608,'Offers'!$B$7:$B$608,$B203,'Offers'!$C$7:$C$608,$C203,'Offers'!$AG$7:$AG$608,INT(COUNTIFS('Offers'!$B$7:$B$608,$B203,'Offers'!$C$7:$C$608,$C203,'Offers'!$AI$7:$AI$608,"yes")/2)+1))/2)</f>
        <v/>
      </c>
      <c r="K203" s="95">
        <f>IF(COUNTIFS('Offers'!$B$7:$B$608,$B203,'Offers'!$C$7:$C$608,$C203,'Offers'!$AI$7:$AI$608,"yes")=0,"",SUMIFS('Offers'!$I$7:$I$608,'Offers'!$B$7:$B$608,$B203,'Offers'!$C$7:$C$608,$C203,'Offers'!$AG$7:$AG$608,COUNTIFS('Offers'!$B$7:$B$608,$B203,'Offers'!$C$7:$C$608,$C203,'Offers'!$AI$7:$AI$608,"yes")))</f>
        <v/>
      </c>
      <c r="L203" s="55" t="n"/>
      <c r="M203" s="55" t="n"/>
      <c r="N203" s="55" t="n"/>
      <c r="O203" s="2">
        <f>IF('Compare'!$E$5="Local prices",IF(F203="","",IF('Compare'!$C$5="Minimum",F203,IF('Compare'!$C$5="Maximum",H203,G203))),IF(I203="","",IF('Compare'!$C$5="Minimum",I203,IF('Compare'!$C$5="Maximum",K203,J203))))</f>
        <v/>
      </c>
    </row>
    <row r="204" ht="44" customHeight="1">
      <c r="A204" s="2" t="n"/>
      <c r="B204" s="27" t="inlineStr">
        <is>
          <t>Red PE cutting board 300 × 200 × 20 mm</t>
        </is>
      </c>
      <c r="C204" s="27" t="inlineStr">
        <is>
          <t>Slovakia</t>
        </is>
      </c>
      <c r="D204" s="27" t="inlineStr">
        <is>
          <t>EUR</t>
        </is>
      </c>
      <c r="E204" s="27" t="inlineStr">
        <is>
          <t>Net per piece</t>
        </is>
      </c>
      <c r="F204" s="96">
        <f>IF(COUNTIFS('Offers'!$B$7:$B$608,$B204,'Offers'!$C$7:$C$608,$C204,'Offers'!$AH$7:$AH$608,"yes")=0,"",SUMIFS('Offers'!$H$7:$H$608,'Offers'!$B$7:$B$608,$B204,'Offers'!$C$7:$C$608,$C204,'Offers'!$AF$7:$AF$608,1))</f>
        <v/>
      </c>
      <c r="G204" s="96">
        <f>IF(COUNTIFS('Offers'!$B$7:$B$608,$B204,'Offers'!$C$7:$C$608,$C204,'Offers'!$AH$7:$AH$608,"yes")=0,"",(SUMIFS('Offers'!$H$7:$H$608,'Offers'!$B$7:$B$608,$B204,'Offers'!$C$7:$C$608,$C204,'Offers'!$AF$7:$AF$608,ROUNDUP(COUNTIFS('Offers'!$B$7:$B$608,$B204,'Offers'!$C$7:$C$608,$C204,'Offers'!$AH$7:$AH$608,"yes")/2,0))+SUMIFS('Offers'!$H$7:$H$608,'Offers'!$B$7:$B$608,$B204,'Offers'!$C$7:$C$608,$C204,'Offers'!$AF$7:$AF$608,INT(COUNTIFS('Offers'!$B$7:$B$608,$B204,'Offers'!$C$7:$C$608,$C204,'Offers'!$AH$7:$AH$608,"yes")/2)+1))/2)</f>
        <v/>
      </c>
      <c r="H204" s="96">
        <f>IF(COUNTIFS('Offers'!$B$7:$B$608,$B204,'Offers'!$C$7:$C$608,$C204,'Offers'!$AH$7:$AH$608,"yes")=0,"",SUMIFS('Offers'!$H$7:$H$608,'Offers'!$B$7:$B$608,$B204,'Offers'!$C$7:$C$608,$C204,'Offers'!$AF$7:$AF$608,COUNTIFS('Offers'!$B$7:$B$608,$B204,'Offers'!$C$7:$C$608,$C204,'Offers'!$AH$7:$AH$608,"yes")))</f>
        <v/>
      </c>
      <c r="I204" s="97">
        <f>IF(COUNTIFS('Offers'!$B$7:$B$608,$B204,'Offers'!$C$7:$C$608,$C204,'Offers'!$AI$7:$AI$608,"yes")=0,"",SUMIFS('Offers'!$I$7:$I$608,'Offers'!$B$7:$B$608,$B204,'Offers'!$C$7:$C$608,$C204,'Offers'!$AG$7:$AG$608,1))</f>
        <v/>
      </c>
      <c r="J204" s="97">
        <f>IF(COUNTIFS('Offers'!$B$7:$B$608,$B204,'Offers'!$C$7:$C$608,$C204,'Offers'!$AI$7:$AI$608,"yes")=0,"",(SUMIFS('Offers'!$I$7:$I$608,'Offers'!$B$7:$B$608,$B204,'Offers'!$C$7:$C$608,$C204,'Offers'!$AG$7:$AG$608,ROUNDUP(COUNTIFS('Offers'!$B$7:$B$608,$B204,'Offers'!$C$7:$C$608,$C204,'Offers'!$AI$7:$AI$608,"yes")/2,0))+SUMIFS('Offers'!$I$7:$I$608,'Offers'!$B$7:$B$608,$B204,'Offers'!$C$7:$C$608,$C204,'Offers'!$AG$7:$AG$608,INT(COUNTIFS('Offers'!$B$7:$B$608,$B204,'Offers'!$C$7:$C$608,$C204,'Offers'!$AI$7:$AI$608,"yes")/2)+1))/2)</f>
        <v/>
      </c>
      <c r="K204" s="97">
        <f>IF(COUNTIFS('Offers'!$B$7:$B$608,$B204,'Offers'!$C$7:$C$608,$C204,'Offers'!$AI$7:$AI$608,"yes")=0,"",SUMIFS('Offers'!$I$7:$I$608,'Offers'!$B$7:$B$608,$B204,'Offers'!$C$7:$C$608,$C204,'Offers'!$AG$7:$AG$608,COUNTIFS('Offers'!$B$7:$B$608,$B204,'Offers'!$C$7:$C$608,$C204,'Offers'!$AI$7:$AI$608,"yes")))</f>
        <v/>
      </c>
      <c r="L204" s="55" t="n"/>
      <c r="M204" s="55" t="n"/>
      <c r="N204" s="55" t="n"/>
      <c r="O204" s="19">
        <f>IF('Compare'!$E$5="Local prices",IF(F204="","",IF('Compare'!$C$5="Minimum",F204,IF('Compare'!$C$5="Maximum",H204,G204))),IF(I204="","",IF('Compare'!$C$5="Minimum",I204,IF('Compare'!$C$5="Maximum",K204,J204))))</f>
        <v/>
      </c>
    </row>
    <row r="205" ht="44" customHeight="1">
      <c r="A205" s="2" t="n"/>
      <c r="B205" s="24" t="inlineStr">
        <is>
          <t>PP dough box 400 × 300 × 100 mm, no lid</t>
        </is>
      </c>
      <c r="C205" s="24" t="inlineStr">
        <is>
          <t>Hungary</t>
        </is>
      </c>
      <c r="D205" s="24" t="inlineStr">
        <is>
          <t>HUF</t>
        </is>
      </c>
      <c r="E205" s="24" t="inlineStr">
        <is>
          <t>Net per piece</t>
        </is>
      </c>
      <c r="F205" s="94">
        <f>IF(COUNTIFS('Offers'!$B$7:$B$608,$B205,'Offers'!$C$7:$C$608,$C205,'Offers'!$AH$7:$AH$608,"yes")=0,"",SUMIFS('Offers'!$H$7:$H$608,'Offers'!$B$7:$B$608,$B205,'Offers'!$C$7:$C$608,$C205,'Offers'!$AF$7:$AF$608,1))</f>
        <v/>
      </c>
      <c r="G205" s="94">
        <f>IF(COUNTIFS('Offers'!$B$7:$B$608,$B205,'Offers'!$C$7:$C$608,$C205,'Offers'!$AH$7:$AH$608,"yes")=0,"",(SUMIFS('Offers'!$H$7:$H$608,'Offers'!$B$7:$B$608,$B205,'Offers'!$C$7:$C$608,$C205,'Offers'!$AF$7:$AF$608,ROUNDUP(COUNTIFS('Offers'!$B$7:$B$608,$B205,'Offers'!$C$7:$C$608,$C205,'Offers'!$AH$7:$AH$608,"yes")/2,0))+SUMIFS('Offers'!$H$7:$H$608,'Offers'!$B$7:$B$608,$B205,'Offers'!$C$7:$C$608,$C205,'Offers'!$AF$7:$AF$608,INT(COUNTIFS('Offers'!$B$7:$B$608,$B205,'Offers'!$C$7:$C$608,$C205,'Offers'!$AH$7:$AH$608,"yes")/2)+1))/2)</f>
        <v/>
      </c>
      <c r="H205" s="94">
        <f>IF(COUNTIFS('Offers'!$B$7:$B$608,$B205,'Offers'!$C$7:$C$608,$C205,'Offers'!$AH$7:$AH$608,"yes")=0,"",SUMIFS('Offers'!$H$7:$H$608,'Offers'!$B$7:$B$608,$B205,'Offers'!$C$7:$C$608,$C205,'Offers'!$AF$7:$AF$608,COUNTIFS('Offers'!$B$7:$B$608,$B205,'Offers'!$C$7:$C$608,$C205,'Offers'!$AH$7:$AH$608,"yes")))</f>
        <v/>
      </c>
      <c r="I205" s="95">
        <f>IF(COUNTIFS('Offers'!$B$7:$B$608,$B205,'Offers'!$C$7:$C$608,$C205,'Offers'!$AI$7:$AI$608,"yes")=0,"",SUMIFS('Offers'!$I$7:$I$608,'Offers'!$B$7:$B$608,$B205,'Offers'!$C$7:$C$608,$C205,'Offers'!$AG$7:$AG$608,1))</f>
        <v/>
      </c>
      <c r="J205" s="95">
        <f>IF(COUNTIFS('Offers'!$B$7:$B$608,$B205,'Offers'!$C$7:$C$608,$C205,'Offers'!$AI$7:$AI$608,"yes")=0,"",(SUMIFS('Offers'!$I$7:$I$608,'Offers'!$B$7:$B$608,$B205,'Offers'!$C$7:$C$608,$C205,'Offers'!$AG$7:$AG$608,ROUNDUP(COUNTIFS('Offers'!$B$7:$B$608,$B205,'Offers'!$C$7:$C$608,$C205,'Offers'!$AI$7:$AI$608,"yes")/2,0))+SUMIFS('Offers'!$I$7:$I$608,'Offers'!$B$7:$B$608,$B205,'Offers'!$C$7:$C$608,$C205,'Offers'!$AG$7:$AG$608,INT(COUNTIFS('Offers'!$B$7:$B$608,$B205,'Offers'!$C$7:$C$608,$C205,'Offers'!$AI$7:$AI$608,"yes")/2)+1))/2)</f>
        <v/>
      </c>
      <c r="K205" s="95">
        <f>IF(COUNTIFS('Offers'!$B$7:$B$608,$B205,'Offers'!$C$7:$C$608,$C205,'Offers'!$AI$7:$AI$608,"yes")=0,"",SUMIFS('Offers'!$I$7:$I$608,'Offers'!$B$7:$B$608,$B205,'Offers'!$C$7:$C$608,$C205,'Offers'!$AG$7:$AG$608,COUNTIFS('Offers'!$B$7:$B$608,$B205,'Offers'!$C$7:$C$608,$C205,'Offers'!$AI$7:$AI$608,"yes")))</f>
        <v/>
      </c>
      <c r="L205" s="55" t="n"/>
      <c r="M205" s="55" t="n"/>
      <c r="N205" s="55" t="n"/>
      <c r="O205" s="2">
        <f>IF('Compare'!$E$5="Local prices",IF(F205="","",IF('Compare'!$C$5="Minimum",F205,IF('Compare'!$C$5="Maximum",H205,G205))),IF(I205="","",IF('Compare'!$C$5="Minimum",I205,IF('Compare'!$C$5="Maximum",K205,J205))))</f>
        <v/>
      </c>
    </row>
    <row r="206" ht="44" customHeight="1">
      <c r="A206" s="2" t="n"/>
      <c r="B206" s="27" t="inlineStr">
        <is>
          <t>PP dough box 400 × 300 × 100 mm, no lid</t>
        </is>
      </c>
      <c r="C206" s="27" t="inlineStr">
        <is>
          <t>Romania</t>
        </is>
      </c>
      <c r="D206" s="27" t="inlineStr">
        <is>
          <t>RON</t>
        </is>
      </c>
      <c r="E206" s="27" t="inlineStr">
        <is>
          <t>Net per piece</t>
        </is>
      </c>
      <c r="F206" s="96">
        <f>IF(COUNTIFS('Offers'!$B$7:$B$608,$B206,'Offers'!$C$7:$C$608,$C206,'Offers'!$AH$7:$AH$608,"yes")=0,"",SUMIFS('Offers'!$H$7:$H$608,'Offers'!$B$7:$B$608,$B206,'Offers'!$C$7:$C$608,$C206,'Offers'!$AF$7:$AF$608,1))</f>
        <v/>
      </c>
      <c r="G206" s="96">
        <f>IF(COUNTIFS('Offers'!$B$7:$B$608,$B206,'Offers'!$C$7:$C$608,$C206,'Offers'!$AH$7:$AH$608,"yes")=0,"",(SUMIFS('Offers'!$H$7:$H$608,'Offers'!$B$7:$B$608,$B206,'Offers'!$C$7:$C$608,$C206,'Offers'!$AF$7:$AF$608,ROUNDUP(COUNTIFS('Offers'!$B$7:$B$608,$B206,'Offers'!$C$7:$C$608,$C206,'Offers'!$AH$7:$AH$608,"yes")/2,0))+SUMIFS('Offers'!$H$7:$H$608,'Offers'!$B$7:$B$608,$B206,'Offers'!$C$7:$C$608,$C206,'Offers'!$AF$7:$AF$608,INT(COUNTIFS('Offers'!$B$7:$B$608,$B206,'Offers'!$C$7:$C$608,$C206,'Offers'!$AH$7:$AH$608,"yes")/2)+1))/2)</f>
        <v/>
      </c>
      <c r="H206" s="96">
        <f>IF(COUNTIFS('Offers'!$B$7:$B$608,$B206,'Offers'!$C$7:$C$608,$C206,'Offers'!$AH$7:$AH$608,"yes")=0,"",SUMIFS('Offers'!$H$7:$H$608,'Offers'!$B$7:$B$608,$B206,'Offers'!$C$7:$C$608,$C206,'Offers'!$AF$7:$AF$608,COUNTIFS('Offers'!$B$7:$B$608,$B206,'Offers'!$C$7:$C$608,$C206,'Offers'!$AH$7:$AH$608,"yes")))</f>
        <v/>
      </c>
      <c r="I206" s="97">
        <f>IF(COUNTIFS('Offers'!$B$7:$B$608,$B206,'Offers'!$C$7:$C$608,$C206,'Offers'!$AI$7:$AI$608,"yes")=0,"",SUMIFS('Offers'!$I$7:$I$608,'Offers'!$B$7:$B$608,$B206,'Offers'!$C$7:$C$608,$C206,'Offers'!$AG$7:$AG$608,1))</f>
        <v/>
      </c>
      <c r="J206" s="97">
        <f>IF(COUNTIFS('Offers'!$B$7:$B$608,$B206,'Offers'!$C$7:$C$608,$C206,'Offers'!$AI$7:$AI$608,"yes")=0,"",(SUMIFS('Offers'!$I$7:$I$608,'Offers'!$B$7:$B$608,$B206,'Offers'!$C$7:$C$608,$C206,'Offers'!$AG$7:$AG$608,ROUNDUP(COUNTIFS('Offers'!$B$7:$B$608,$B206,'Offers'!$C$7:$C$608,$C206,'Offers'!$AI$7:$AI$608,"yes")/2,0))+SUMIFS('Offers'!$I$7:$I$608,'Offers'!$B$7:$B$608,$B206,'Offers'!$C$7:$C$608,$C206,'Offers'!$AG$7:$AG$608,INT(COUNTIFS('Offers'!$B$7:$B$608,$B206,'Offers'!$C$7:$C$608,$C206,'Offers'!$AI$7:$AI$608,"yes")/2)+1))/2)</f>
        <v/>
      </c>
      <c r="K206" s="97">
        <f>IF(COUNTIFS('Offers'!$B$7:$B$608,$B206,'Offers'!$C$7:$C$608,$C206,'Offers'!$AI$7:$AI$608,"yes")=0,"",SUMIFS('Offers'!$I$7:$I$608,'Offers'!$B$7:$B$608,$B206,'Offers'!$C$7:$C$608,$C206,'Offers'!$AG$7:$AG$608,COUNTIFS('Offers'!$B$7:$B$608,$B206,'Offers'!$C$7:$C$608,$C206,'Offers'!$AI$7:$AI$608,"yes")))</f>
        <v/>
      </c>
      <c r="L206" s="55" t="n"/>
      <c r="M206" s="55" t="n"/>
      <c r="N206" s="55" t="n"/>
      <c r="O206" s="19">
        <f>IF('Compare'!$E$5="Local prices",IF(F206="","",IF('Compare'!$C$5="Minimum",F206,IF('Compare'!$C$5="Maximum",H206,G206))),IF(I206="","",IF('Compare'!$C$5="Minimum",I206,IF('Compare'!$C$5="Maximum",K206,J206))))</f>
        <v/>
      </c>
    </row>
    <row r="207" ht="44" customHeight="1">
      <c r="A207" s="2" t="n"/>
      <c r="B207" s="24" t="inlineStr">
        <is>
          <t>PP dough box 400 × 300 × 100 mm, no lid</t>
        </is>
      </c>
      <c r="C207" s="24" t="inlineStr">
        <is>
          <t>Austria</t>
        </is>
      </c>
      <c r="D207" s="24" t="inlineStr">
        <is>
          <t>EUR</t>
        </is>
      </c>
      <c r="E207" s="24" t="inlineStr">
        <is>
          <t>Net per piece</t>
        </is>
      </c>
      <c r="F207" s="94">
        <f>IF(COUNTIFS('Offers'!$B$7:$B$608,$B207,'Offers'!$C$7:$C$608,$C207,'Offers'!$AH$7:$AH$608,"yes")=0,"",SUMIFS('Offers'!$H$7:$H$608,'Offers'!$B$7:$B$608,$B207,'Offers'!$C$7:$C$608,$C207,'Offers'!$AF$7:$AF$608,1))</f>
        <v/>
      </c>
      <c r="G207" s="94">
        <f>IF(COUNTIFS('Offers'!$B$7:$B$608,$B207,'Offers'!$C$7:$C$608,$C207,'Offers'!$AH$7:$AH$608,"yes")=0,"",(SUMIFS('Offers'!$H$7:$H$608,'Offers'!$B$7:$B$608,$B207,'Offers'!$C$7:$C$608,$C207,'Offers'!$AF$7:$AF$608,ROUNDUP(COUNTIFS('Offers'!$B$7:$B$608,$B207,'Offers'!$C$7:$C$608,$C207,'Offers'!$AH$7:$AH$608,"yes")/2,0))+SUMIFS('Offers'!$H$7:$H$608,'Offers'!$B$7:$B$608,$B207,'Offers'!$C$7:$C$608,$C207,'Offers'!$AF$7:$AF$608,INT(COUNTIFS('Offers'!$B$7:$B$608,$B207,'Offers'!$C$7:$C$608,$C207,'Offers'!$AH$7:$AH$608,"yes")/2)+1))/2)</f>
        <v/>
      </c>
      <c r="H207" s="94">
        <f>IF(COUNTIFS('Offers'!$B$7:$B$608,$B207,'Offers'!$C$7:$C$608,$C207,'Offers'!$AH$7:$AH$608,"yes")=0,"",SUMIFS('Offers'!$H$7:$H$608,'Offers'!$B$7:$B$608,$B207,'Offers'!$C$7:$C$608,$C207,'Offers'!$AF$7:$AF$608,COUNTIFS('Offers'!$B$7:$B$608,$B207,'Offers'!$C$7:$C$608,$C207,'Offers'!$AH$7:$AH$608,"yes")))</f>
        <v/>
      </c>
      <c r="I207" s="95">
        <f>IF(COUNTIFS('Offers'!$B$7:$B$608,$B207,'Offers'!$C$7:$C$608,$C207,'Offers'!$AI$7:$AI$608,"yes")=0,"",SUMIFS('Offers'!$I$7:$I$608,'Offers'!$B$7:$B$608,$B207,'Offers'!$C$7:$C$608,$C207,'Offers'!$AG$7:$AG$608,1))</f>
        <v/>
      </c>
      <c r="J207" s="95">
        <f>IF(COUNTIFS('Offers'!$B$7:$B$608,$B207,'Offers'!$C$7:$C$608,$C207,'Offers'!$AI$7:$AI$608,"yes")=0,"",(SUMIFS('Offers'!$I$7:$I$608,'Offers'!$B$7:$B$608,$B207,'Offers'!$C$7:$C$608,$C207,'Offers'!$AG$7:$AG$608,ROUNDUP(COUNTIFS('Offers'!$B$7:$B$608,$B207,'Offers'!$C$7:$C$608,$C207,'Offers'!$AI$7:$AI$608,"yes")/2,0))+SUMIFS('Offers'!$I$7:$I$608,'Offers'!$B$7:$B$608,$B207,'Offers'!$C$7:$C$608,$C207,'Offers'!$AG$7:$AG$608,INT(COUNTIFS('Offers'!$B$7:$B$608,$B207,'Offers'!$C$7:$C$608,$C207,'Offers'!$AI$7:$AI$608,"yes")/2)+1))/2)</f>
        <v/>
      </c>
      <c r="K207" s="95">
        <f>IF(COUNTIFS('Offers'!$B$7:$B$608,$B207,'Offers'!$C$7:$C$608,$C207,'Offers'!$AI$7:$AI$608,"yes")=0,"",SUMIFS('Offers'!$I$7:$I$608,'Offers'!$B$7:$B$608,$B207,'Offers'!$C$7:$C$608,$C207,'Offers'!$AG$7:$AG$608,COUNTIFS('Offers'!$B$7:$B$608,$B207,'Offers'!$C$7:$C$608,$C207,'Offers'!$AI$7:$AI$608,"yes")))</f>
        <v/>
      </c>
      <c r="L207" s="55" t="n"/>
      <c r="M207" s="55" t="n"/>
      <c r="N207" s="55" t="n"/>
      <c r="O207" s="2">
        <f>IF('Compare'!$E$5="Local prices",IF(F207="","",IF('Compare'!$C$5="Minimum",F207,IF('Compare'!$C$5="Maximum",H207,G207))),IF(I207="","",IF('Compare'!$C$5="Minimum",I207,IF('Compare'!$C$5="Maximum",K207,J207))))</f>
        <v/>
      </c>
    </row>
    <row r="208" ht="44" customHeight="1">
      <c r="A208" s="2" t="n"/>
      <c r="B208" s="27" t="inlineStr">
        <is>
          <t>PP dough box 400 × 300 × 100 mm, no lid</t>
        </is>
      </c>
      <c r="C208" s="27" t="inlineStr">
        <is>
          <t>Germany</t>
        </is>
      </c>
      <c r="D208" s="27" t="inlineStr">
        <is>
          <t>EUR</t>
        </is>
      </c>
      <c r="E208" s="27" t="inlineStr">
        <is>
          <t>Net per piece</t>
        </is>
      </c>
      <c r="F208" s="96">
        <f>IF(COUNTIFS('Offers'!$B$7:$B$608,$B208,'Offers'!$C$7:$C$608,$C208,'Offers'!$AH$7:$AH$608,"yes")=0,"",SUMIFS('Offers'!$H$7:$H$608,'Offers'!$B$7:$B$608,$B208,'Offers'!$C$7:$C$608,$C208,'Offers'!$AF$7:$AF$608,1))</f>
        <v/>
      </c>
      <c r="G208" s="96">
        <f>IF(COUNTIFS('Offers'!$B$7:$B$608,$B208,'Offers'!$C$7:$C$608,$C208,'Offers'!$AH$7:$AH$608,"yes")=0,"",(SUMIFS('Offers'!$H$7:$H$608,'Offers'!$B$7:$B$608,$B208,'Offers'!$C$7:$C$608,$C208,'Offers'!$AF$7:$AF$608,ROUNDUP(COUNTIFS('Offers'!$B$7:$B$608,$B208,'Offers'!$C$7:$C$608,$C208,'Offers'!$AH$7:$AH$608,"yes")/2,0))+SUMIFS('Offers'!$H$7:$H$608,'Offers'!$B$7:$B$608,$B208,'Offers'!$C$7:$C$608,$C208,'Offers'!$AF$7:$AF$608,INT(COUNTIFS('Offers'!$B$7:$B$608,$B208,'Offers'!$C$7:$C$608,$C208,'Offers'!$AH$7:$AH$608,"yes")/2)+1))/2)</f>
        <v/>
      </c>
      <c r="H208" s="96">
        <f>IF(COUNTIFS('Offers'!$B$7:$B$608,$B208,'Offers'!$C$7:$C$608,$C208,'Offers'!$AH$7:$AH$608,"yes")=0,"",SUMIFS('Offers'!$H$7:$H$608,'Offers'!$B$7:$B$608,$B208,'Offers'!$C$7:$C$608,$C208,'Offers'!$AF$7:$AF$608,COUNTIFS('Offers'!$B$7:$B$608,$B208,'Offers'!$C$7:$C$608,$C208,'Offers'!$AH$7:$AH$608,"yes")))</f>
        <v/>
      </c>
      <c r="I208" s="97">
        <f>IF(COUNTIFS('Offers'!$B$7:$B$608,$B208,'Offers'!$C$7:$C$608,$C208,'Offers'!$AI$7:$AI$608,"yes")=0,"",SUMIFS('Offers'!$I$7:$I$608,'Offers'!$B$7:$B$608,$B208,'Offers'!$C$7:$C$608,$C208,'Offers'!$AG$7:$AG$608,1))</f>
        <v/>
      </c>
      <c r="J208" s="97">
        <f>IF(COUNTIFS('Offers'!$B$7:$B$608,$B208,'Offers'!$C$7:$C$608,$C208,'Offers'!$AI$7:$AI$608,"yes")=0,"",(SUMIFS('Offers'!$I$7:$I$608,'Offers'!$B$7:$B$608,$B208,'Offers'!$C$7:$C$608,$C208,'Offers'!$AG$7:$AG$608,ROUNDUP(COUNTIFS('Offers'!$B$7:$B$608,$B208,'Offers'!$C$7:$C$608,$C208,'Offers'!$AI$7:$AI$608,"yes")/2,0))+SUMIFS('Offers'!$I$7:$I$608,'Offers'!$B$7:$B$608,$B208,'Offers'!$C$7:$C$608,$C208,'Offers'!$AG$7:$AG$608,INT(COUNTIFS('Offers'!$B$7:$B$608,$B208,'Offers'!$C$7:$C$608,$C208,'Offers'!$AI$7:$AI$608,"yes")/2)+1))/2)</f>
        <v/>
      </c>
      <c r="K208" s="97">
        <f>IF(COUNTIFS('Offers'!$B$7:$B$608,$B208,'Offers'!$C$7:$C$608,$C208,'Offers'!$AI$7:$AI$608,"yes")=0,"",SUMIFS('Offers'!$I$7:$I$608,'Offers'!$B$7:$B$608,$B208,'Offers'!$C$7:$C$608,$C208,'Offers'!$AG$7:$AG$608,COUNTIFS('Offers'!$B$7:$B$608,$B208,'Offers'!$C$7:$C$608,$C208,'Offers'!$AI$7:$AI$608,"yes")))</f>
        <v/>
      </c>
      <c r="L208" s="55" t="n"/>
      <c r="M208" s="55" t="n"/>
      <c r="N208" s="55" t="n"/>
      <c r="O208" s="19">
        <f>IF('Compare'!$E$5="Local prices",IF(F208="","",IF('Compare'!$C$5="Minimum",F208,IF('Compare'!$C$5="Maximum",H208,G208))),IF(I208="","",IF('Compare'!$C$5="Minimum",I208,IF('Compare'!$C$5="Maximum",K208,J208))))</f>
        <v/>
      </c>
    </row>
    <row r="209" ht="44" customHeight="1">
      <c r="A209" s="2" t="n"/>
      <c r="B209" s="24" t="inlineStr">
        <is>
          <t>PP dough box 400 × 300 × 100 mm, no lid</t>
        </is>
      </c>
      <c r="C209" s="24" t="inlineStr">
        <is>
          <t>Czech</t>
        </is>
      </c>
      <c r="D209" s="24" t="inlineStr">
        <is>
          <t>CZK</t>
        </is>
      </c>
      <c r="E209" s="24" t="inlineStr">
        <is>
          <t>Net per piece</t>
        </is>
      </c>
      <c r="F209" s="94">
        <f>IF(COUNTIFS('Offers'!$B$7:$B$608,$B209,'Offers'!$C$7:$C$608,$C209,'Offers'!$AH$7:$AH$608,"yes")=0,"",SUMIFS('Offers'!$H$7:$H$608,'Offers'!$B$7:$B$608,$B209,'Offers'!$C$7:$C$608,$C209,'Offers'!$AF$7:$AF$608,1))</f>
        <v/>
      </c>
      <c r="G209" s="94">
        <f>IF(COUNTIFS('Offers'!$B$7:$B$608,$B209,'Offers'!$C$7:$C$608,$C209,'Offers'!$AH$7:$AH$608,"yes")=0,"",(SUMIFS('Offers'!$H$7:$H$608,'Offers'!$B$7:$B$608,$B209,'Offers'!$C$7:$C$608,$C209,'Offers'!$AF$7:$AF$608,ROUNDUP(COUNTIFS('Offers'!$B$7:$B$608,$B209,'Offers'!$C$7:$C$608,$C209,'Offers'!$AH$7:$AH$608,"yes")/2,0))+SUMIFS('Offers'!$H$7:$H$608,'Offers'!$B$7:$B$608,$B209,'Offers'!$C$7:$C$608,$C209,'Offers'!$AF$7:$AF$608,INT(COUNTIFS('Offers'!$B$7:$B$608,$B209,'Offers'!$C$7:$C$608,$C209,'Offers'!$AH$7:$AH$608,"yes")/2)+1))/2)</f>
        <v/>
      </c>
      <c r="H209" s="94">
        <f>IF(COUNTIFS('Offers'!$B$7:$B$608,$B209,'Offers'!$C$7:$C$608,$C209,'Offers'!$AH$7:$AH$608,"yes")=0,"",SUMIFS('Offers'!$H$7:$H$608,'Offers'!$B$7:$B$608,$B209,'Offers'!$C$7:$C$608,$C209,'Offers'!$AF$7:$AF$608,COUNTIFS('Offers'!$B$7:$B$608,$B209,'Offers'!$C$7:$C$608,$C209,'Offers'!$AH$7:$AH$608,"yes")))</f>
        <v/>
      </c>
      <c r="I209" s="95">
        <f>IF(COUNTIFS('Offers'!$B$7:$B$608,$B209,'Offers'!$C$7:$C$608,$C209,'Offers'!$AI$7:$AI$608,"yes")=0,"",SUMIFS('Offers'!$I$7:$I$608,'Offers'!$B$7:$B$608,$B209,'Offers'!$C$7:$C$608,$C209,'Offers'!$AG$7:$AG$608,1))</f>
        <v/>
      </c>
      <c r="J209" s="95">
        <f>IF(COUNTIFS('Offers'!$B$7:$B$608,$B209,'Offers'!$C$7:$C$608,$C209,'Offers'!$AI$7:$AI$608,"yes")=0,"",(SUMIFS('Offers'!$I$7:$I$608,'Offers'!$B$7:$B$608,$B209,'Offers'!$C$7:$C$608,$C209,'Offers'!$AG$7:$AG$608,ROUNDUP(COUNTIFS('Offers'!$B$7:$B$608,$B209,'Offers'!$C$7:$C$608,$C209,'Offers'!$AI$7:$AI$608,"yes")/2,0))+SUMIFS('Offers'!$I$7:$I$608,'Offers'!$B$7:$B$608,$B209,'Offers'!$C$7:$C$608,$C209,'Offers'!$AG$7:$AG$608,INT(COUNTIFS('Offers'!$B$7:$B$608,$B209,'Offers'!$C$7:$C$608,$C209,'Offers'!$AI$7:$AI$608,"yes")/2)+1))/2)</f>
        <v/>
      </c>
      <c r="K209" s="95">
        <f>IF(COUNTIFS('Offers'!$B$7:$B$608,$B209,'Offers'!$C$7:$C$608,$C209,'Offers'!$AI$7:$AI$608,"yes")=0,"",SUMIFS('Offers'!$I$7:$I$608,'Offers'!$B$7:$B$608,$B209,'Offers'!$C$7:$C$608,$C209,'Offers'!$AG$7:$AG$608,COUNTIFS('Offers'!$B$7:$B$608,$B209,'Offers'!$C$7:$C$608,$C209,'Offers'!$AI$7:$AI$608,"yes")))</f>
        <v/>
      </c>
      <c r="L209" s="55" t="n"/>
      <c r="M209" s="55" t="n"/>
      <c r="N209" s="55" t="n"/>
      <c r="O209" s="2">
        <f>IF('Compare'!$E$5="Local prices",IF(F209="","",IF('Compare'!$C$5="Minimum",F209,IF('Compare'!$C$5="Maximum",H209,G209))),IF(I209="","",IF('Compare'!$C$5="Minimum",I209,IF('Compare'!$C$5="Maximum",K209,J209))))</f>
        <v/>
      </c>
    </row>
    <row r="210" ht="44" customHeight="1">
      <c r="A210" s="2" t="n"/>
      <c r="B210" s="27" t="inlineStr">
        <is>
          <t>PP dough box 400 × 300 × 100 mm, no lid</t>
        </is>
      </c>
      <c r="C210" s="27" t="inlineStr">
        <is>
          <t>Slovakia</t>
        </is>
      </c>
      <c r="D210" s="27" t="inlineStr">
        <is>
          <t>EUR</t>
        </is>
      </c>
      <c r="E210" s="27" t="inlineStr">
        <is>
          <t>Net per piece</t>
        </is>
      </c>
      <c r="F210" s="96">
        <f>IF(COUNTIFS('Offers'!$B$7:$B$608,$B210,'Offers'!$C$7:$C$608,$C210,'Offers'!$AH$7:$AH$608,"yes")=0,"",SUMIFS('Offers'!$H$7:$H$608,'Offers'!$B$7:$B$608,$B210,'Offers'!$C$7:$C$608,$C210,'Offers'!$AF$7:$AF$608,1))</f>
        <v/>
      </c>
      <c r="G210" s="96">
        <f>IF(COUNTIFS('Offers'!$B$7:$B$608,$B210,'Offers'!$C$7:$C$608,$C210,'Offers'!$AH$7:$AH$608,"yes")=0,"",(SUMIFS('Offers'!$H$7:$H$608,'Offers'!$B$7:$B$608,$B210,'Offers'!$C$7:$C$608,$C210,'Offers'!$AF$7:$AF$608,ROUNDUP(COUNTIFS('Offers'!$B$7:$B$608,$B210,'Offers'!$C$7:$C$608,$C210,'Offers'!$AH$7:$AH$608,"yes")/2,0))+SUMIFS('Offers'!$H$7:$H$608,'Offers'!$B$7:$B$608,$B210,'Offers'!$C$7:$C$608,$C210,'Offers'!$AF$7:$AF$608,INT(COUNTIFS('Offers'!$B$7:$B$608,$B210,'Offers'!$C$7:$C$608,$C210,'Offers'!$AH$7:$AH$608,"yes")/2)+1))/2)</f>
        <v/>
      </c>
      <c r="H210" s="96">
        <f>IF(COUNTIFS('Offers'!$B$7:$B$608,$B210,'Offers'!$C$7:$C$608,$C210,'Offers'!$AH$7:$AH$608,"yes")=0,"",SUMIFS('Offers'!$H$7:$H$608,'Offers'!$B$7:$B$608,$B210,'Offers'!$C$7:$C$608,$C210,'Offers'!$AF$7:$AF$608,COUNTIFS('Offers'!$B$7:$B$608,$B210,'Offers'!$C$7:$C$608,$C210,'Offers'!$AH$7:$AH$608,"yes")))</f>
        <v/>
      </c>
      <c r="I210" s="97">
        <f>IF(COUNTIFS('Offers'!$B$7:$B$608,$B210,'Offers'!$C$7:$C$608,$C210,'Offers'!$AI$7:$AI$608,"yes")=0,"",SUMIFS('Offers'!$I$7:$I$608,'Offers'!$B$7:$B$608,$B210,'Offers'!$C$7:$C$608,$C210,'Offers'!$AG$7:$AG$608,1))</f>
        <v/>
      </c>
      <c r="J210" s="97">
        <f>IF(COUNTIFS('Offers'!$B$7:$B$608,$B210,'Offers'!$C$7:$C$608,$C210,'Offers'!$AI$7:$AI$608,"yes")=0,"",(SUMIFS('Offers'!$I$7:$I$608,'Offers'!$B$7:$B$608,$B210,'Offers'!$C$7:$C$608,$C210,'Offers'!$AG$7:$AG$608,ROUNDUP(COUNTIFS('Offers'!$B$7:$B$608,$B210,'Offers'!$C$7:$C$608,$C210,'Offers'!$AI$7:$AI$608,"yes")/2,0))+SUMIFS('Offers'!$I$7:$I$608,'Offers'!$B$7:$B$608,$B210,'Offers'!$C$7:$C$608,$C210,'Offers'!$AG$7:$AG$608,INT(COUNTIFS('Offers'!$B$7:$B$608,$B210,'Offers'!$C$7:$C$608,$C210,'Offers'!$AI$7:$AI$608,"yes")/2)+1))/2)</f>
        <v/>
      </c>
      <c r="K210" s="97">
        <f>IF(COUNTIFS('Offers'!$B$7:$B$608,$B210,'Offers'!$C$7:$C$608,$C210,'Offers'!$AI$7:$AI$608,"yes")=0,"",SUMIFS('Offers'!$I$7:$I$608,'Offers'!$B$7:$B$608,$B210,'Offers'!$C$7:$C$608,$C210,'Offers'!$AG$7:$AG$608,COUNTIFS('Offers'!$B$7:$B$608,$B210,'Offers'!$C$7:$C$608,$C210,'Offers'!$AI$7:$AI$608,"yes")))</f>
        <v/>
      </c>
      <c r="L210" s="55" t="n"/>
      <c r="M210" s="55" t="n"/>
      <c r="N210" s="55" t="n"/>
      <c r="O210" s="19">
        <f>IF('Compare'!$E$5="Local prices",IF(F210="","",IF('Compare'!$C$5="Minimum",F210,IF('Compare'!$C$5="Maximum",H210,G210))),IF(I210="","",IF('Compare'!$C$5="Minimum",I210,IF('Compare'!$C$5="Maximum",K210,J210))))</f>
        <v/>
      </c>
    </row>
  </sheetData>
  <conditionalFormatting sqref="M7:M210">
    <cfRule type="expression" priority="1" dxfId="3">
      <formula>M7="High"</formula>
    </cfRule>
  </conditionalFormatting>
  <dataValidations count="2">
    <dataValidation sqref="L7:L210" showDropDown="0" showInputMessage="0" showErrorMessage="0" allowBlank="0" type="list">
      <formula1>"Review,Shortlist,Research further,Hold,Decided"</formula1>
    </dataValidation>
    <dataValidation sqref="M7:M210" showDropDown="0" showInputMessage="0" showErrorMessage="0" allowBlank="0" type="list">
      <formula1>"High,Medium,Low"</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245A81"/>
    <outlinePr summaryBelow="1" summaryRight="1"/>
    <pageSetUpPr/>
  </sheetPr>
  <dimension ref="A1:AK608"/>
  <sheetViews>
    <sheetView showGridLines="0" workbookViewId="0">
      <pane xSplit="3" ySplit="6" topLeftCell="D7" activePane="bottomRight" state="frozen"/>
      <selection activeCell="A1" sqref="A1"/>
    </sheetView>
  </sheetViews>
  <sheetFormatPr baseColWidth="8" defaultRowHeight="15"/>
  <cols>
    <col width="3" customWidth="1" min="1" max="1"/>
    <col width="43" customWidth="1" min="2" max="2"/>
    <col width="14" customWidth="1" min="3" max="3"/>
    <col width="26" customWidth="1" min="4" max="4"/>
    <col width="57" customWidth="1" min="5" max="5"/>
    <col width="16" customWidth="1" min="6" max="6"/>
    <col width="13" customWidth="1" min="7" max="7"/>
    <col width="18" customWidth="1" min="8" max="8"/>
    <col width="18" customWidth="1" min="9" max="9"/>
    <col width="16" customWidth="1" min="10" max="10"/>
    <col width="17" customWidth="1" min="11" max="11"/>
    <col width="45" customWidth="1" min="12" max="12"/>
    <col width="88" customWidth="1" min="13" max="13"/>
    <col width="82" customWidth="1" min="14" max="14"/>
    <col width="20" customWidth="1" min="15" max="15"/>
    <col width="14" customWidth="1" min="16" max="16"/>
    <col width="14" customWidth="1" min="17" max="17"/>
    <col width="14" customWidth="1" min="18" max="18"/>
    <col width="24" customWidth="1" min="19" max="19"/>
    <col width="14" customWidth="1" min="20" max="20"/>
    <col width="80" customWidth="1" min="21" max="21"/>
    <col width="19" customWidth="1" min="22" max="22"/>
    <col width="23" customWidth="1" min="23" max="23"/>
    <col width="51" customWidth="1" min="24" max="24"/>
    <col width="17" customWidth="1" min="25" max="25"/>
    <col width="17" customWidth="1" min="26" max="26"/>
    <col width="20" customWidth="1" min="27" max="27"/>
    <col width="42" customWidth="1" min="37" max="37"/>
  </cols>
  <sheetData>
    <row r="1" ht="22"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28" customHeight="1">
      <c r="A2" s="2" t="n"/>
      <c r="B2" s="3" t="inlineStr">
        <is>
          <t>Benchmark offers</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row>
    <row r="3" ht="22" customHeight="1">
      <c r="A3" s="2" t="n"/>
      <c r="B3" s="4" t="inlineStr">
        <is>
          <t>Filter by product name, country, competitor or match quality.</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c r="AH3" s="2" t="n"/>
      <c r="AI3" s="2" t="n"/>
      <c r="AJ3" s="2" t="n"/>
      <c r="AK3" s="2" t="n"/>
    </row>
    <row r="4" ht="22" customHeight="1">
      <c r="A4" s="2" t="n"/>
      <c r="B4" s="5" t="n"/>
      <c r="C4" s="5" t="n"/>
      <c r="D4" s="5" t="n"/>
      <c r="E4" s="5" t="n"/>
      <c r="F4" s="5" t="n"/>
      <c r="G4" s="5" t="n"/>
      <c r="H4" s="5" t="n"/>
      <c r="I4" s="5" t="n"/>
      <c r="J4" s="5" t="n"/>
      <c r="K4" s="5" t="n"/>
      <c r="L4" s="5" t="n"/>
      <c r="M4" s="2" t="n"/>
      <c r="N4" s="2" t="n"/>
      <c r="O4" s="2" t="n"/>
      <c r="P4" s="2" t="n"/>
      <c r="Q4" s="2" t="n"/>
      <c r="R4" s="2" t="n"/>
      <c r="S4" s="2" t="n"/>
      <c r="T4" s="2" t="n"/>
      <c r="U4" s="2" t="n"/>
      <c r="V4" s="2" t="n"/>
      <c r="W4" s="2" t="n"/>
      <c r="X4" s="2" t="n"/>
      <c r="Y4" s="2" t="n"/>
      <c r="Z4" s="2" t="n"/>
      <c r="AA4" s="2" t="n"/>
      <c r="AB4" s="2" t="n"/>
      <c r="AC4" s="2" t="n"/>
      <c r="AD4" s="2" t="n"/>
      <c r="AE4" s="2" t="n"/>
      <c r="AF4" s="2" t="n"/>
      <c r="AG4" s="2" t="n"/>
      <c r="AH4" s="2" t="n"/>
      <c r="AI4" s="2" t="n"/>
      <c r="AJ4" s="2" t="n"/>
      <c r="AK4" s="2" t="n"/>
    </row>
    <row r="5" ht="22" customHeight="1">
      <c r="A5" s="2" t="n"/>
      <c r="B5" s="6" t="inlineStr">
        <is>
          <t>Amber = your comments. Source prices are preserved; analysis columns use current net-per-piece conversions.</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c r="AD5" s="2" t="n"/>
      <c r="AE5" s="2" t="n"/>
      <c r="AF5" s="2" t="n"/>
      <c r="AG5" s="2" t="n"/>
      <c r="AH5" s="2" t="n"/>
      <c r="AI5" s="2" t="n"/>
      <c r="AJ5" s="2" t="n"/>
      <c r="AK5" s="2" t="n"/>
    </row>
    <row r="6" ht="38" customHeight="1">
      <c r="A6" s="2" t="n"/>
      <c r="B6" s="16" t="inlineStr">
        <is>
          <t>Product</t>
        </is>
      </c>
      <c r="C6" s="17" t="inlineStr">
        <is>
          <t>Country</t>
        </is>
      </c>
      <c r="D6" s="17" t="inlineStr">
        <is>
          <t>Competitor</t>
        </is>
      </c>
      <c r="E6" s="17" t="inlineStr">
        <is>
          <t>Product name (source)</t>
        </is>
      </c>
      <c r="F6" s="17" t="inlineStr">
        <is>
          <t>Listed price (source)</t>
        </is>
      </c>
      <c r="G6" s="17" t="inlineStr">
        <is>
          <t>Currency (source)</t>
        </is>
      </c>
      <c r="H6" s="17" t="inlineStr">
        <is>
          <t>Selected net/pc local</t>
        </is>
      </c>
      <c r="I6" s="17" t="inlineStr">
        <is>
          <t>Selected net/pc EUR</t>
        </is>
      </c>
      <c r="J6" s="17" t="inlineStr">
        <is>
          <t>Master match</t>
        </is>
      </c>
      <c r="K6" s="17" t="inlineStr">
        <is>
          <t>Date checked (source)</t>
        </is>
      </c>
      <c r="L6" s="17" t="inlineStr">
        <is>
          <t>Your comment</t>
        </is>
      </c>
      <c r="M6" s="17" t="inlineStr">
        <is>
          <t>Notes (source)</t>
        </is>
      </c>
      <c r="N6" s="17" t="inlineStr">
        <is>
          <t>URL (source)</t>
        </is>
      </c>
      <c r="O6" s="17" t="inlineStr">
        <is>
          <t>Brand (source)</t>
        </is>
      </c>
      <c r="P6" s="17" t="inlineStr">
        <is>
          <t>VAT (source)</t>
        </is>
      </c>
      <c r="Q6" s="17" t="inlineStr">
        <is>
          <t>VAT rate (source)</t>
        </is>
      </c>
      <c r="R6" s="17" t="inlineStr">
        <is>
          <t>Pack size (source)</t>
        </is>
      </c>
      <c r="S6" s="17" t="inlineStr">
        <is>
          <t>Price basis (source)</t>
        </is>
      </c>
      <c r="T6" s="17" t="inlineStr">
        <is>
          <t>Match (source)</t>
        </is>
      </c>
      <c r="U6" s="17" t="inlineStr">
        <is>
          <t>Matching note</t>
        </is>
      </c>
      <c r="V6" s="17" t="inlineStr">
        <is>
          <t>Net/pc saved (source)</t>
        </is>
      </c>
      <c r="W6" s="17" t="inlineStr">
        <is>
          <t>Historical FX saved (source)</t>
        </is>
      </c>
      <c r="X6" s="17" t="inlineStr">
        <is>
          <t>Source file</t>
        </is>
      </c>
      <c r="Y6" s="17" t="inlineStr">
        <is>
          <t>Checked by (source)</t>
        </is>
      </c>
      <c r="Z6" s="17" t="inlineStr">
        <is>
          <t>In stock? (source)</t>
        </is>
      </c>
      <c r="AA6" s="17" t="inlineStr">
        <is>
          <t>Reliability (source)</t>
        </is>
      </c>
      <c r="AB6" s="17" t="inlineStr">
        <is>
          <t>Native currency</t>
        </is>
      </c>
      <c r="AC6" s="17" t="inlineStr">
        <is>
          <t>Source eligible</t>
        </is>
      </c>
      <c r="AD6" s="17" t="inlineStr">
        <is>
          <t>Net/pc local calculation</t>
        </is>
      </c>
      <c r="AE6" s="17" t="inlineStr">
        <is>
          <t>Included by filter</t>
        </is>
      </c>
      <c r="AF6" s="17" t="inlineStr">
        <is>
          <t>Local calculation order</t>
        </is>
      </c>
      <c r="AG6" s="17" t="inlineStr">
        <is>
          <t>EUR calculation order</t>
        </is>
      </c>
      <c r="AH6" s="17" t="inlineStr">
        <is>
          <t>Local price available</t>
        </is>
      </c>
      <c r="AI6" s="17" t="inlineStr">
        <is>
          <t>EUR price available</t>
        </is>
      </c>
      <c r="AJ6" s="17" t="inlineStr">
        <is>
          <t>Research date calculation</t>
        </is>
      </c>
      <c r="AK6" s="18" t="inlineStr">
        <is>
          <t>Date issue</t>
        </is>
      </c>
    </row>
    <row r="7" ht="42" customHeight="1">
      <c r="A7" s="2" t="n"/>
      <c r="B7" s="24" t="inlineStr">
        <is>
          <t>GN 1/1 PC container, 65 mm</t>
        </is>
      </c>
      <c r="C7" s="24" t="inlineStr">
        <is>
          <t>Hungary</t>
        </is>
      </c>
      <c r="D7" s="24" t="inlineStr">
        <is>
          <t>Attase</t>
        </is>
      </c>
      <c r="E7" s="24" t="inlineStr">
        <is>
          <t>GN 1/1 65mm - Polycarbonate</t>
        </is>
      </c>
      <c r="F7" s="98" t="n">
        <v>3990</v>
      </c>
      <c r="G7" s="24" t="inlineStr">
        <is>
          <t>HUF</t>
        </is>
      </c>
      <c r="H7" s="98">
        <f>IF(AND(AE7="yes",ISNUMBER(AD7)),AD7,"")</f>
        <v/>
      </c>
      <c r="I7" s="99">
        <f>IF(AND(AE7="yes",ISNUMBER(AD7),ISNUMBER(INDEX('Sources'!$G$7:$G$10,MATCH(AB7,'Sources'!$B$7:$B$10,0)))),AD7/INDEX('Sources'!$G$7:$G$10,MATCH(AB7,'Sources'!$B$7:$B$10,0)),"")</f>
        <v/>
      </c>
      <c r="J7" s="24" t="inlineStr">
        <is>
          <t>EXACT</t>
        </is>
      </c>
      <c r="K7" s="24" t="inlineStr">
        <is>
          <t>08.06.2026</t>
        </is>
      </c>
      <c r="L7" s="71" t="n"/>
      <c r="M7" s="24" t="inlineStr">
        <is>
          <t>Source sheet: GN Containers; size: GN 1/1 65mm; material: Polycarbonate</t>
        </is>
      </c>
      <c r="N7" s="25" t="inlineStr">
        <is>
          <t>https://www.attase.hu/konyhai-eszkozok/gn-edeny/polikarbonat-gn-edenyek</t>
        </is>
      </c>
      <c r="O7" s="24" t="n"/>
      <c r="P7" s="24" t="n"/>
      <c r="Q7" s="100" t="n"/>
      <c r="R7" s="24" t="n"/>
      <c r="S7" s="24" t="n"/>
      <c r="T7" s="24" t="n"/>
      <c r="U7" s="24" t="inlineStr">
        <is>
          <t>GN size, depth and material agree. Colour is unrestricted in the benchmark.</t>
        </is>
      </c>
      <c r="V7" s="98" t="n"/>
      <c r="W7" s="98" t="n">
        <v>3990</v>
      </c>
      <c r="X7" s="24" t="inlineStr">
        <is>
          <t>YES Gastro Hungary Market Research.xlsx</t>
        </is>
      </c>
      <c r="Y7" s="24" t="n"/>
      <c r="Z7" s="24" t="n"/>
      <c r="AA7" s="24" t="inlineStr">
        <is>
          <t>Direct</t>
        </is>
      </c>
      <c r="AB7" s="24" t="inlineStr">
        <is>
          <t>HUF</t>
        </is>
      </c>
      <c r="AC7" s="24" t="inlineStr">
        <is>
          <t>yes</t>
        </is>
      </c>
      <c r="AD7" s="24">
        <f>IF(ISNUMBER(F7),IF(G7=AB7,F7,IF(AND(ISNUMBER(INDEX('Sources'!$G$7:$G$10,MATCH(G7,'Sources'!$B$7:$B$10,0))),ISNUMBER(INDEX('Sources'!$G$7:$G$10,MATCH(AB7,'Sources'!$B$7:$B$10,0)))),F7/INDEX('Sources'!$G$7:$G$10,MATCH(G7,'Sources'!$B$7:$B$10,0))*INDEX('Sources'!$G$7:$G$10,MATCH(AB7,'Sources'!$B$7:$B$10,0)),"")),"")</f>
        <v/>
      </c>
      <c r="AE7" s="24">
        <f>IF(AND(AC7="yes",ISNUMBER(F7),IF('Compare'!$H$5="All mapped",TRUE,IF('Compare'!$H$5="EXACT only",J7="EXACT",OR(J7="EXACT",J7="CLOSE")))),"yes","no")</f>
        <v/>
      </c>
      <c r="AF7" s="24">
        <f>IF(ISNUMBER(H7),COUNTIFS($B$7:$B$608,B7,$C$7:$C$608,C7,$H$7:$H$608,"&lt;"&amp;H7,$AH$7:$AH$608,"yes")+COUNTIFS($B$7:B7,B7,$C$7:C7,C7,$H$7:H7,H7,$AH$7:AH7,"yes"),"")</f>
        <v/>
      </c>
      <c r="AG7" s="24">
        <f>IF(ISNUMBER(I7),COUNTIFS($B$7:$B$608,B7,$C$7:$C$608,C7,$I$7:$I$608,"&lt;"&amp;I7,$AI$7:$AI$608,"yes")+COUNTIFS($B$7:B7,B7,$C$7:C7,C7,$I$7:I7,I7,$AI$7:AI7,"yes"),"")</f>
        <v/>
      </c>
      <c r="AH7" s="24">
        <f>IF(ISNUMBER(H7),"yes","no")</f>
        <v/>
      </c>
      <c r="AI7" s="24">
        <f>IF(ISNUMBER(I7),"yes","no")</f>
        <v/>
      </c>
      <c r="AJ7" s="101" t="n">
        <v>46181</v>
      </c>
      <c r="AK7" s="24" t="n"/>
    </row>
    <row r="8" ht="42" customHeight="1">
      <c r="A8" s="2" t="n"/>
      <c r="B8" s="27" t="inlineStr">
        <is>
          <t>GN 1/1 PC container, 65 mm</t>
        </is>
      </c>
      <c r="C8" s="27" t="inlineStr">
        <is>
          <t>Hungary</t>
        </is>
      </c>
      <c r="D8" s="27" t="inlineStr">
        <is>
          <t>Gammo</t>
        </is>
      </c>
      <c r="E8" s="27" t="inlineStr">
        <is>
          <t>GN 1/1 65mm - Polycarbonate</t>
        </is>
      </c>
      <c r="F8" s="102" t="n">
        <v>2520</v>
      </c>
      <c r="G8" s="27" t="inlineStr">
        <is>
          <t>HUF</t>
        </is>
      </c>
      <c r="H8" s="102">
        <f>IF(AND(AE8="yes",ISNUMBER(AD8)),AD8,"")</f>
        <v/>
      </c>
      <c r="I8" s="103">
        <f>IF(AND(AE8="yes",ISNUMBER(AD8),ISNUMBER(INDEX('Sources'!$G$7:$G$10,MATCH(AB8,'Sources'!$B$7:$B$10,0)))),AD8/INDEX('Sources'!$G$7:$G$10,MATCH(AB8,'Sources'!$B$7:$B$10,0)),"")</f>
        <v/>
      </c>
      <c r="J8" s="27" t="inlineStr">
        <is>
          <t>EXACT</t>
        </is>
      </c>
      <c r="K8" s="27" t="inlineStr">
        <is>
          <t>08.06.2026</t>
        </is>
      </c>
      <c r="L8" s="71" t="n"/>
      <c r="M8" s="27" t="inlineStr">
        <is>
          <t>Source sheet: GN Containers; size: GN 1/1 65mm; material: Polycarbonate</t>
        </is>
      </c>
      <c r="N8" s="28" t="inlineStr">
        <is>
          <t>https://gammo.hu/edeny-tepsi/gasztronorm-gn-edeny</t>
        </is>
      </c>
      <c r="O8" s="27" t="n"/>
      <c r="P8" s="27" t="n"/>
      <c r="Q8" s="104" t="n"/>
      <c r="R8" s="27" t="n"/>
      <c r="S8" s="27" t="n"/>
      <c r="T8" s="27" t="n"/>
      <c r="U8" s="27" t="inlineStr">
        <is>
          <t>GN size, depth and material agree. Colour is unrestricted in the benchmark.</t>
        </is>
      </c>
      <c r="V8" s="102" t="n"/>
      <c r="W8" s="102" t="n">
        <v>2520</v>
      </c>
      <c r="X8" s="27" t="inlineStr">
        <is>
          <t>YES Gastro Hungary Market Research.xlsx</t>
        </is>
      </c>
      <c r="Y8" s="27" t="n"/>
      <c r="Z8" s="27" t="n"/>
      <c r="AA8" s="27" t="inlineStr">
        <is>
          <t>Direct</t>
        </is>
      </c>
      <c r="AB8" s="27" t="inlineStr">
        <is>
          <t>HUF</t>
        </is>
      </c>
      <c r="AC8" s="27" t="inlineStr">
        <is>
          <t>yes</t>
        </is>
      </c>
      <c r="AD8" s="27">
        <f>IF(ISNUMBER(F8),IF(G8=AB8,F8,IF(AND(ISNUMBER(INDEX('Sources'!$G$7:$G$10,MATCH(G8,'Sources'!$B$7:$B$10,0))),ISNUMBER(INDEX('Sources'!$G$7:$G$10,MATCH(AB8,'Sources'!$B$7:$B$10,0)))),F8/INDEX('Sources'!$G$7:$G$10,MATCH(G8,'Sources'!$B$7:$B$10,0))*INDEX('Sources'!$G$7:$G$10,MATCH(AB8,'Sources'!$B$7:$B$10,0)),"")),"")</f>
        <v/>
      </c>
      <c r="AE8" s="27">
        <f>IF(AND(AC8="yes",ISNUMBER(F8),IF('Compare'!$H$5="All mapped",TRUE,IF('Compare'!$H$5="EXACT only",J8="EXACT",OR(J8="EXACT",J8="CLOSE")))),"yes","no")</f>
        <v/>
      </c>
      <c r="AF8" s="27">
        <f>IF(ISNUMBER(H8),COUNTIFS($B$7:$B$608,B8,$C$7:$C$608,C8,$H$7:$H$608,"&lt;"&amp;H8,$AH$7:$AH$608,"yes")+COUNTIFS($B$7:B8,B8,$C$7:C8,C8,$H$7:H8,H8,$AH$7:AH8,"yes"),"")</f>
        <v/>
      </c>
      <c r="AG8" s="27">
        <f>IF(ISNUMBER(I8),COUNTIFS($B$7:$B$608,B8,$C$7:$C$608,C8,$I$7:$I$608,"&lt;"&amp;I8,$AI$7:$AI$608,"yes")+COUNTIFS($B$7:B8,B8,$C$7:C8,C8,$I$7:I8,I8,$AI$7:AI8,"yes"),"")</f>
        <v/>
      </c>
      <c r="AH8" s="27">
        <f>IF(ISNUMBER(H8),"yes","no")</f>
        <v/>
      </c>
      <c r="AI8" s="27">
        <f>IF(ISNUMBER(I8),"yes","no")</f>
        <v/>
      </c>
      <c r="AJ8" s="105" t="n">
        <v>46181</v>
      </c>
      <c r="AK8" s="27" t="n"/>
    </row>
    <row r="9" ht="42" customHeight="1">
      <c r="A9" s="2" t="n"/>
      <c r="B9" s="24" t="inlineStr">
        <is>
          <t>GN 1/1 PC container, 65 mm</t>
        </is>
      </c>
      <c r="C9" s="24" t="inlineStr">
        <is>
          <t>Hungary</t>
        </is>
      </c>
      <c r="D9" s="24" t="inlineStr">
        <is>
          <t>Gasztronagyker</t>
        </is>
      </c>
      <c r="E9" s="24" t="inlineStr">
        <is>
          <t>GN 1/1 65mm - Polycarbonate</t>
        </is>
      </c>
      <c r="F9" s="98" t="n">
        <v>3543</v>
      </c>
      <c r="G9" s="24" t="inlineStr">
        <is>
          <t>HUF</t>
        </is>
      </c>
      <c r="H9" s="98">
        <f>IF(AND(AE9="yes",ISNUMBER(AD9)),AD9,"")</f>
        <v/>
      </c>
      <c r="I9" s="99">
        <f>IF(AND(AE9="yes",ISNUMBER(AD9),ISNUMBER(INDEX('Sources'!$G$7:$G$10,MATCH(AB9,'Sources'!$B$7:$B$10,0)))),AD9/INDEX('Sources'!$G$7:$G$10,MATCH(AB9,'Sources'!$B$7:$B$10,0)),"")</f>
        <v/>
      </c>
      <c r="J9" s="24" t="inlineStr">
        <is>
          <t>EXACT</t>
        </is>
      </c>
      <c r="K9" s="24" t="inlineStr">
        <is>
          <t>08.06.2026</t>
        </is>
      </c>
      <c r="L9" s="71" t="n"/>
      <c r="M9" s="24" t="inlineStr">
        <is>
          <t>Source sheet: GN Containers; size: GN 1/1 65mm; material: Polycarbonate</t>
        </is>
      </c>
      <c r="N9" s="25" t="inlineStr">
        <is>
          <t>https://www.gasztronagyker.hu/gn-edenyek</t>
        </is>
      </c>
      <c r="O9" s="24" t="n"/>
      <c r="P9" s="24" t="n"/>
      <c r="Q9" s="100" t="n"/>
      <c r="R9" s="24" t="n"/>
      <c r="S9" s="24" t="n"/>
      <c r="T9" s="24" t="n"/>
      <c r="U9" s="24" t="inlineStr">
        <is>
          <t>GN size, depth and material agree. Colour is unrestricted in the benchmark.</t>
        </is>
      </c>
      <c r="V9" s="98" t="n"/>
      <c r="W9" s="98" t="n">
        <v>3543</v>
      </c>
      <c r="X9" s="24" t="inlineStr">
        <is>
          <t>YES Gastro Hungary Market Research.xlsx</t>
        </is>
      </c>
      <c r="Y9" s="24" t="n"/>
      <c r="Z9" s="24" t="n"/>
      <c r="AA9" s="24" t="inlineStr">
        <is>
          <t>Direct</t>
        </is>
      </c>
      <c r="AB9" s="24" t="inlineStr">
        <is>
          <t>HUF</t>
        </is>
      </c>
      <c r="AC9" s="24" t="inlineStr">
        <is>
          <t>yes</t>
        </is>
      </c>
      <c r="AD9" s="24">
        <f>IF(ISNUMBER(F9),IF(G9=AB9,F9,IF(AND(ISNUMBER(INDEX('Sources'!$G$7:$G$10,MATCH(G9,'Sources'!$B$7:$B$10,0))),ISNUMBER(INDEX('Sources'!$G$7:$G$10,MATCH(AB9,'Sources'!$B$7:$B$10,0)))),F9/INDEX('Sources'!$G$7:$G$10,MATCH(G9,'Sources'!$B$7:$B$10,0))*INDEX('Sources'!$G$7:$G$10,MATCH(AB9,'Sources'!$B$7:$B$10,0)),"")),"")</f>
        <v/>
      </c>
      <c r="AE9" s="24">
        <f>IF(AND(AC9="yes",ISNUMBER(F9),IF('Compare'!$H$5="All mapped",TRUE,IF('Compare'!$H$5="EXACT only",J9="EXACT",OR(J9="EXACT",J9="CLOSE")))),"yes","no")</f>
        <v/>
      </c>
      <c r="AF9" s="24">
        <f>IF(ISNUMBER(H9),COUNTIFS($B$7:$B$608,B9,$C$7:$C$608,C9,$H$7:$H$608,"&lt;"&amp;H9,$AH$7:$AH$608,"yes")+COUNTIFS($B$7:B9,B9,$C$7:C9,C9,$H$7:H9,H9,$AH$7:AH9,"yes"),"")</f>
        <v/>
      </c>
      <c r="AG9" s="24">
        <f>IF(ISNUMBER(I9),COUNTIFS($B$7:$B$608,B9,$C$7:$C$608,C9,$I$7:$I$608,"&lt;"&amp;I9,$AI$7:$AI$608,"yes")+COUNTIFS($B$7:B9,B9,$C$7:C9,C9,$I$7:I9,I9,$AI$7:AI9,"yes"),"")</f>
        <v/>
      </c>
      <c r="AH9" s="24">
        <f>IF(ISNUMBER(H9),"yes","no")</f>
        <v/>
      </c>
      <c r="AI9" s="24">
        <f>IF(ISNUMBER(I9),"yes","no")</f>
        <v/>
      </c>
      <c r="AJ9" s="101" t="n">
        <v>46181</v>
      </c>
      <c r="AK9" s="24" t="n"/>
    </row>
    <row r="10" ht="42" customHeight="1">
      <c r="A10" s="2" t="n"/>
      <c r="B10" s="27" t="inlineStr">
        <is>
          <t>GN 1/1 PC container, 65 mm</t>
        </is>
      </c>
      <c r="C10" s="27" t="inlineStr">
        <is>
          <t>Hungary</t>
        </is>
      </c>
      <c r="D10" s="27" t="inlineStr">
        <is>
          <t>HFSE</t>
        </is>
      </c>
      <c r="E10" s="27" t="inlineStr">
        <is>
          <t>GN 1/1 65mm - Polycarbonate</t>
        </is>
      </c>
      <c r="F10" s="102" t="n">
        <v>4000</v>
      </c>
      <c r="G10" s="27" t="inlineStr">
        <is>
          <t>HUF</t>
        </is>
      </c>
      <c r="H10" s="102">
        <f>IF(AND(AE10="yes",ISNUMBER(AD10)),AD10,"")</f>
        <v/>
      </c>
      <c r="I10" s="103">
        <f>IF(AND(AE10="yes",ISNUMBER(AD10),ISNUMBER(INDEX('Sources'!$G$7:$G$10,MATCH(AB10,'Sources'!$B$7:$B$10,0)))),AD10/INDEX('Sources'!$G$7:$G$10,MATCH(AB10,'Sources'!$B$7:$B$10,0)),"")</f>
        <v/>
      </c>
      <c r="J10" s="27" t="inlineStr">
        <is>
          <t>EXACT</t>
        </is>
      </c>
      <c r="K10" s="27" t="inlineStr">
        <is>
          <t>08.06.2026</t>
        </is>
      </c>
      <c r="L10" s="71" t="n"/>
      <c r="M10" s="27" t="inlineStr">
        <is>
          <t>Source sheet: GN Containers; size: GN 1/1 65mm; material: Polycarbonate</t>
        </is>
      </c>
      <c r="N10" s="28" t="inlineStr">
        <is>
          <t>https://hfse.hu/termekkategoria/konyhai-eszkozok/gn-edenyek/</t>
        </is>
      </c>
      <c r="O10" s="27" t="n"/>
      <c r="P10" s="27" t="n"/>
      <c r="Q10" s="104" t="n"/>
      <c r="R10" s="27" t="n"/>
      <c r="S10" s="27" t="n"/>
      <c r="T10" s="27" t="n"/>
      <c r="U10" s="27" t="inlineStr">
        <is>
          <t>GN size, depth and material agree. Colour is unrestricted in the benchmark.</t>
        </is>
      </c>
      <c r="V10" s="102" t="n"/>
      <c r="W10" s="102" t="n">
        <v>4000</v>
      </c>
      <c r="X10" s="27" t="inlineStr">
        <is>
          <t>YES Gastro Hungary Market Research.xlsx</t>
        </is>
      </c>
      <c r="Y10" s="27" t="n"/>
      <c r="Z10" s="27" t="n"/>
      <c r="AA10" s="27" t="inlineStr">
        <is>
          <t>Direct</t>
        </is>
      </c>
      <c r="AB10" s="27" t="inlineStr">
        <is>
          <t>HUF</t>
        </is>
      </c>
      <c r="AC10" s="27" t="inlineStr">
        <is>
          <t>yes</t>
        </is>
      </c>
      <c r="AD10" s="27">
        <f>IF(ISNUMBER(F10),IF(G10=AB10,F10,IF(AND(ISNUMBER(INDEX('Sources'!$G$7:$G$10,MATCH(G10,'Sources'!$B$7:$B$10,0))),ISNUMBER(INDEX('Sources'!$G$7:$G$10,MATCH(AB10,'Sources'!$B$7:$B$10,0)))),F10/INDEX('Sources'!$G$7:$G$10,MATCH(G10,'Sources'!$B$7:$B$10,0))*INDEX('Sources'!$G$7:$G$10,MATCH(AB10,'Sources'!$B$7:$B$10,0)),"")),"")</f>
        <v/>
      </c>
      <c r="AE10" s="27">
        <f>IF(AND(AC10="yes",ISNUMBER(F10),IF('Compare'!$H$5="All mapped",TRUE,IF('Compare'!$H$5="EXACT only",J10="EXACT",OR(J10="EXACT",J10="CLOSE")))),"yes","no")</f>
        <v/>
      </c>
      <c r="AF10" s="27">
        <f>IF(ISNUMBER(H10),COUNTIFS($B$7:$B$608,B10,$C$7:$C$608,C10,$H$7:$H$608,"&lt;"&amp;H10,$AH$7:$AH$608,"yes")+COUNTIFS($B$7:B10,B10,$C$7:C10,C10,$H$7:H10,H10,$AH$7:AH10,"yes"),"")</f>
        <v/>
      </c>
      <c r="AG10" s="27">
        <f>IF(ISNUMBER(I10),COUNTIFS($B$7:$B$608,B10,$C$7:$C$608,C10,$I$7:$I$608,"&lt;"&amp;I10,$AI$7:$AI$608,"yes")+COUNTIFS($B$7:B10,B10,$C$7:C10,C10,$I$7:I10,I10,$AI$7:AI10,"yes"),"")</f>
        <v/>
      </c>
      <c r="AH10" s="27">
        <f>IF(ISNUMBER(H10),"yes","no")</f>
        <v/>
      </c>
      <c r="AI10" s="27">
        <f>IF(ISNUMBER(I10),"yes","no")</f>
        <v/>
      </c>
      <c r="AJ10" s="105" t="n">
        <v>46181</v>
      </c>
      <c r="AK10" s="27" t="n"/>
    </row>
    <row r="11" ht="42" customHeight="1">
      <c r="A11" s="2" t="n"/>
      <c r="B11" s="24" t="inlineStr">
        <is>
          <t>GN 1/1 PC container, 65 mm</t>
        </is>
      </c>
      <c r="C11" s="24" t="inlineStr">
        <is>
          <t>Hungary</t>
        </is>
      </c>
      <c r="D11" s="24" t="inlineStr">
        <is>
          <t>Hunnia</t>
        </is>
      </c>
      <c r="E11" s="24" t="inlineStr">
        <is>
          <t>GN 1/1 65mm - Polycarbonate</t>
        </is>
      </c>
      <c r="F11" s="98" t="n">
        <v>6872</v>
      </c>
      <c r="G11" s="24" t="inlineStr">
        <is>
          <t>HUF</t>
        </is>
      </c>
      <c r="H11" s="98">
        <f>IF(AND(AE11="yes",ISNUMBER(AD11)),AD11,"")</f>
        <v/>
      </c>
      <c r="I11" s="99">
        <f>IF(AND(AE11="yes",ISNUMBER(AD11),ISNUMBER(INDEX('Sources'!$G$7:$G$10,MATCH(AB11,'Sources'!$B$7:$B$10,0)))),AD11/INDEX('Sources'!$G$7:$G$10,MATCH(AB11,'Sources'!$B$7:$B$10,0)),"")</f>
        <v/>
      </c>
      <c r="J11" s="24" t="inlineStr">
        <is>
          <t>EXACT</t>
        </is>
      </c>
      <c r="K11" s="24" t="inlineStr">
        <is>
          <t>08.06.2026</t>
        </is>
      </c>
      <c r="L11" s="71" t="n"/>
      <c r="M11" s="24" t="inlineStr">
        <is>
          <t>Source sheet: GN Containers; size: GN 1/1 65mm; material: Polycarbonate</t>
        </is>
      </c>
      <c r="N11" s="25" t="inlineStr">
        <is>
          <t>https://hunniakristaly.hu/nagy-konyha/gn-edenyek-rozsdamentes-acelbol-polipropilenb-l-polikarbonat/gn-edenyek-torhetetlen-viztiszta-polikarbonatbol</t>
        </is>
      </c>
      <c r="O11" s="24" t="n"/>
      <c r="P11" s="24" t="n"/>
      <c r="Q11" s="100" t="n"/>
      <c r="R11" s="24" t="n"/>
      <c r="S11" s="24" t="n"/>
      <c r="T11" s="24" t="n"/>
      <c r="U11" s="24" t="inlineStr">
        <is>
          <t>GN size, depth and material agree. Colour is unrestricted in the benchmark.</t>
        </is>
      </c>
      <c r="V11" s="98" t="n"/>
      <c r="W11" s="98" t="n">
        <v>6872</v>
      </c>
      <c r="X11" s="24" t="inlineStr">
        <is>
          <t>YES Gastro Hungary Market Research.xlsx</t>
        </is>
      </c>
      <c r="Y11" s="24" t="n"/>
      <c r="Z11" s="24" t="n"/>
      <c r="AA11" s="24" t="inlineStr">
        <is>
          <t>Direct</t>
        </is>
      </c>
      <c r="AB11" s="24" t="inlineStr">
        <is>
          <t>HUF</t>
        </is>
      </c>
      <c r="AC11" s="24" t="inlineStr">
        <is>
          <t>yes</t>
        </is>
      </c>
      <c r="AD11" s="24">
        <f>IF(ISNUMBER(F11),IF(G11=AB11,F11,IF(AND(ISNUMBER(INDEX('Sources'!$G$7:$G$10,MATCH(G11,'Sources'!$B$7:$B$10,0))),ISNUMBER(INDEX('Sources'!$G$7:$G$10,MATCH(AB11,'Sources'!$B$7:$B$10,0)))),F11/INDEX('Sources'!$G$7:$G$10,MATCH(G11,'Sources'!$B$7:$B$10,0))*INDEX('Sources'!$G$7:$G$10,MATCH(AB11,'Sources'!$B$7:$B$10,0)),"")),"")</f>
        <v/>
      </c>
      <c r="AE11" s="24">
        <f>IF(AND(AC11="yes",ISNUMBER(F11),IF('Compare'!$H$5="All mapped",TRUE,IF('Compare'!$H$5="EXACT only",J11="EXACT",OR(J11="EXACT",J11="CLOSE")))),"yes","no")</f>
        <v/>
      </c>
      <c r="AF11" s="24">
        <f>IF(ISNUMBER(H11),COUNTIFS($B$7:$B$608,B11,$C$7:$C$608,C11,$H$7:$H$608,"&lt;"&amp;H11,$AH$7:$AH$608,"yes")+COUNTIFS($B$7:B11,B11,$C$7:C11,C11,$H$7:H11,H11,$AH$7:AH11,"yes"),"")</f>
        <v/>
      </c>
      <c r="AG11" s="24">
        <f>IF(ISNUMBER(I11),COUNTIFS($B$7:$B$608,B11,$C$7:$C$608,C11,$I$7:$I$608,"&lt;"&amp;I11,$AI$7:$AI$608,"yes")+COUNTIFS($B$7:B11,B11,$C$7:C11,C11,$I$7:I11,I11,$AI$7:AI11,"yes"),"")</f>
        <v/>
      </c>
      <c r="AH11" s="24">
        <f>IF(ISNUMBER(H11),"yes","no")</f>
        <v/>
      </c>
      <c r="AI11" s="24">
        <f>IF(ISNUMBER(I11),"yes","no")</f>
        <v/>
      </c>
      <c r="AJ11" s="101" t="n">
        <v>46181</v>
      </c>
      <c r="AK11" s="24" t="n"/>
    </row>
    <row r="12" ht="42" customHeight="1">
      <c r="A12" s="2" t="n"/>
      <c r="B12" s="27" t="inlineStr">
        <is>
          <t>GN 1/1 PC container, 65 mm</t>
        </is>
      </c>
      <c r="C12" s="27" t="inlineStr">
        <is>
          <t>Hungary</t>
        </is>
      </c>
      <c r="D12" s="27" t="inlineStr">
        <is>
          <t>Inox-Pláza</t>
        </is>
      </c>
      <c r="E12" s="27" t="inlineStr">
        <is>
          <t>GN 1/1 65mm - Polycarbonate</t>
        </is>
      </c>
      <c r="F12" s="102" t="n">
        <v>3700</v>
      </c>
      <c r="G12" s="27" t="inlineStr">
        <is>
          <t>HUF</t>
        </is>
      </c>
      <c r="H12" s="102">
        <f>IF(AND(AE12="yes",ISNUMBER(AD12)),AD12,"")</f>
        <v/>
      </c>
      <c r="I12" s="103">
        <f>IF(AND(AE12="yes",ISNUMBER(AD12),ISNUMBER(INDEX('Sources'!$G$7:$G$10,MATCH(AB12,'Sources'!$B$7:$B$10,0)))),AD12/INDEX('Sources'!$G$7:$G$10,MATCH(AB12,'Sources'!$B$7:$B$10,0)),"")</f>
        <v/>
      </c>
      <c r="J12" s="27" t="inlineStr">
        <is>
          <t>EXACT</t>
        </is>
      </c>
      <c r="K12" s="27" t="inlineStr">
        <is>
          <t>08.06.2026</t>
        </is>
      </c>
      <c r="L12" s="71" t="n"/>
      <c r="M12" s="27" t="inlineStr">
        <is>
          <t>Source sheet: GN Containers; size: GN 1/1 65mm; material: Polycarbonate</t>
        </is>
      </c>
      <c r="N12" s="28" t="inlineStr">
        <is>
          <t>https://www.inoxplaza.hu/edenyzet/gn-edeny</t>
        </is>
      </c>
      <c r="O12" s="27" t="n"/>
      <c r="P12" s="27" t="n"/>
      <c r="Q12" s="104" t="n"/>
      <c r="R12" s="27" t="n"/>
      <c r="S12" s="27" t="n"/>
      <c r="T12" s="27" t="n"/>
      <c r="U12" s="27" t="inlineStr">
        <is>
          <t>GN size, depth and material agree. Colour is unrestricted in the benchmark.</t>
        </is>
      </c>
      <c r="V12" s="102" t="n"/>
      <c r="W12" s="102" t="n">
        <v>3700</v>
      </c>
      <c r="X12" s="27" t="inlineStr">
        <is>
          <t>YES Gastro Hungary Market Research.xlsx</t>
        </is>
      </c>
      <c r="Y12" s="27" t="n"/>
      <c r="Z12" s="27" t="n"/>
      <c r="AA12" s="27" t="inlineStr">
        <is>
          <t>Direct</t>
        </is>
      </c>
      <c r="AB12" s="27" t="inlineStr">
        <is>
          <t>HUF</t>
        </is>
      </c>
      <c r="AC12" s="27" t="inlineStr">
        <is>
          <t>yes</t>
        </is>
      </c>
      <c r="AD12" s="27">
        <f>IF(ISNUMBER(F12),IF(G12=AB12,F12,IF(AND(ISNUMBER(INDEX('Sources'!$G$7:$G$10,MATCH(G12,'Sources'!$B$7:$B$10,0))),ISNUMBER(INDEX('Sources'!$G$7:$G$10,MATCH(AB12,'Sources'!$B$7:$B$10,0)))),F12/INDEX('Sources'!$G$7:$G$10,MATCH(G12,'Sources'!$B$7:$B$10,0))*INDEX('Sources'!$G$7:$G$10,MATCH(AB12,'Sources'!$B$7:$B$10,0)),"")),"")</f>
        <v/>
      </c>
      <c r="AE12" s="27">
        <f>IF(AND(AC12="yes",ISNUMBER(F12),IF('Compare'!$H$5="All mapped",TRUE,IF('Compare'!$H$5="EXACT only",J12="EXACT",OR(J12="EXACT",J12="CLOSE")))),"yes","no")</f>
        <v/>
      </c>
      <c r="AF12" s="27">
        <f>IF(ISNUMBER(H12),COUNTIFS($B$7:$B$608,B12,$C$7:$C$608,C12,$H$7:$H$608,"&lt;"&amp;H12,$AH$7:$AH$608,"yes")+COUNTIFS($B$7:B12,B12,$C$7:C12,C12,$H$7:H12,H12,$AH$7:AH12,"yes"),"")</f>
        <v/>
      </c>
      <c r="AG12" s="27">
        <f>IF(ISNUMBER(I12),COUNTIFS($B$7:$B$608,B12,$C$7:$C$608,C12,$I$7:$I$608,"&lt;"&amp;I12,$AI$7:$AI$608,"yes")+COUNTIFS($B$7:B12,B12,$C$7:C12,C12,$I$7:I12,I12,$AI$7:AI12,"yes"),"")</f>
        <v/>
      </c>
      <c r="AH12" s="27">
        <f>IF(ISNUMBER(H12),"yes","no")</f>
        <v/>
      </c>
      <c r="AI12" s="27">
        <f>IF(ISNUMBER(I12),"yes","no")</f>
        <v/>
      </c>
      <c r="AJ12" s="105" t="n">
        <v>46181</v>
      </c>
      <c r="AK12" s="27" t="n"/>
    </row>
    <row r="13" ht="42" customHeight="1">
      <c r="A13" s="2" t="n"/>
      <c r="B13" s="24" t="inlineStr">
        <is>
          <t>GN 1/1 PC container, 65 mm</t>
        </is>
      </c>
      <c r="C13" s="24" t="inlineStr">
        <is>
          <t>Romania</t>
        </is>
      </c>
      <c r="D13" s="24" t="inlineStr">
        <is>
          <t>FiMax</t>
        </is>
      </c>
      <c r="E13" s="24" t="inlineStr">
        <is>
          <t xml:space="preserve">GN 1/1 65mm - Polycarbonate </t>
        </is>
      </c>
      <c r="F13" s="98" t="n">
        <v>67.56</v>
      </c>
      <c r="G13" s="24" t="inlineStr">
        <is>
          <t>RON</t>
        </is>
      </c>
      <c r="H13" s="98">
        <f>IF(AND(AE13="yes",ISNUMBER(AD13)),AD13,"")</f>
        <v/>
      </c>
      <c r="I13" s="99">
        <f>IF(AND(AE13="yes",ISNUMBER(AD13),ISNUMBER(INDEX('Sources'!$G$7:$G$10,MATCH(AB13,'Sources'!$B$7:$B$10,0)))),AD13/INDEX('Sources'!$G$7:$G$10,MATCH(AB13,'Sources'!$B$7:$B$10,0)),"")</f>
        <v/>
      </c>
      <c r="J13" s="24" t="inlineStr">
        <is>
          <t>EXACT</t>
        </is>
      </c>
      <c r="K13" s="24" t="inlineStr">
        <is>
          <t>1.07.2026</t>
        </is>
      </c>
      <c r="L13" s="71" t="n"/>
      <c r="M13" s="24" t="inlineStr">
        <is>
          <t>PC</t>
        </is>
      </c>
      <c r="N13" s="25" t="inlineStr">
        <is>
          <t>https://www.fimax.ro/categorie/echipamente-catering-autoservire-si-cuve-inox-gastronorm/cuve-gastronorm-gn/cuve-gn-policarbonat-transparent/</t>
        </is>
      </c>
      <c r="O13" s="24" t="n"/>
      <c r="P13" s="24" t="n"/>
      <c r="Q13" s="100" t="n"/>
      <c r="R13" s="24" t="n"/>
      <c r="S13" s="24" t="n"/>
      <c r="T13" s="24" t="n"/>
      <c r="U13" s="24" t="inlineStr">
        <is>
          <t>GN size, depth and material agree. Colour is unrestricted in the benchmark.</t>
        </is>
      </c>
      <c r="V13" s="98" t="n"/>
      <c r="W13" s="98" t="n">
        <v>13.512</v>
      </c>
      <c r="X13" s="24" t="inlineStr">
        <is>
          <t>YES Gastro Romania Market Research.xlsx</t>
        </is>
      </c>
      <c r="Y13" s="24" t="inlineStr">
        <is>
          <t>Gabi</t>
        </is>
      </c>
      <c r="Z13" s="24" t="n"/>
      <c r="AA13" s="24" t="n"/>
      <c r="AB13" s="24" t="inlineStr">
        <is>
          <t>RON</t>
        </is>
      </c>
      <c r="AC13" s="24" t="inlineStr">
        <is>
          <t>yes</t>
        </is>
      </c>
      <c r="AD13" s="24">
        <f>IF(ISNUMBER(F13),IF(G13=AB13,F13,IF(AND(ISNUMBER(INDEX('Sources'!$G$7:$G$10,MATCH(G13,'Sources'!$B$7:$B$10,0))),ISNUMBER(INDEX('Sources'!$G$7:$G$10,MATCH(AB13,'Sources'!$B$7:$B$10,0)))),F13/INDEX('Sources'!$G$7:$G$10,MATCH(G13,'Sources'!$B$7:$B$10,0))*INDEX('Sources'!$G$7:$G$10,MATCH(AB13,'Sources'!$B$7:$B$10,0)),"")),"")</f>
        <v/>
      </c>
      <c r="AE13" s="24">
        <f>IF(AND(AC13="yes",ISNUMBER(F13),IF('Compare'!$H$5="All mapped",TRUE,IF('Compare'!$H$5="EXACT only",J13="EXACT",OR(J13="EXACT",J13="CLOSE")))),"yes","no")</f>
        <v/>
      </c>
      <c r="AF13" s="24">
        <f>IF(ISNUMBER(H13),COUNTIFS($B$7:$B$608,B13,$C$7:$C$608,C13,$H$7:$H$608,"&lt;"&amp;H13,$AH$7:$AH$608,"yes")+COUNTIFS($B$7:B13,B13,$C$7:C13,C13,$H$7:H13,H13,$AH$7:AH13,"yes"),"")</f>
        <v/>
      </c>
      <c r="AG13" s="24">
        <f>IF(ISNUMBER(I13),COUNTIFS($B$7:$B$608,B13,$C$7:$C$608,C13,$I$7:$I$608,"&lt;"&amp;I13,$AI$7:$AI$608,"yes")+COUNTIFS($B$7:B13,B13,$C$7:C13,C13,$I$7:I13,I13,$AI$7:AI13,"yes"),"")</f>
        <v/>
      </c>
      <c r="AH13" s="24">
        <f>IF(ISNUMBER(H13),"yes","no")</f>
        <v/>
      </c>
      <c r="AI13" s="24">
        <f>IF(ISNUMBER(I13),"yes","no")</f>
        <v/>
      </c>
      <c r="AJ13" s="101" t="n">
        <v>46204</v>
      </c>
      <c r="AK13" s="24" t="n"/>
    </row>
    <row r="14" ht="42" customHeight="1">
      <c r="A14" s="2" t="n"/>
      <c r="B14" s="27" t="inlineStr">
        <is>
          <t>GN 1/1 PC container, 65 mm</t>
        </is>
      </c>
      <c r="C14" s="27" t="inlineStr">
        <is>
          <t>Romania</t>
        </is>
      </c>
      <c r="D14" s="27" t="inlineStr">
        <is>
          <t>FiMax</t>
        </is>
      </c>
      <c r="E14" s="27" t="inlineStr">
        <is>
          <t>GN 1/1 65 mm -  Polycarbonate Black</t>
        </is>
      </c>
      <c r="F14" s="102" t="n">
        <v>62.43</v>
      </c>
      <c r="G14" s="27" t="inlineStr">
        <is>
          <t>RON</t>
        </is>
      </c>
      <c r="H14" s="102">
        <f>IF(AND(AE14="yes",ISNUMBER(AD14)),AD14,"")</f>
        <v/>
      </c>
      <c r="I14" s="103">
        <f>IF(AND(AE14="yes",ISNUMBER(AD14),ISNUMBER(INDEX('Sources'!$G$7:$G$10,MATCH(AB14,'Sources'!$B$7:$B$10,0)))),AD14/INDEX('Sources'!$G$7:$G$10,MATCH(AB14,'Sources'!$B$7:$B$10,0)),"")</f>
        <v/>
      </c>
      <c r="J14" s="27" t="inlineStr">
        <is>
          <t>EXACT</t>
        </is>
      </c>
      <c r="K14" s="27" t="inlineStr">
        <is>
          <t>4.07.2026</t>
        </is>
      </c>
      <c r="L14" s="71" t="n"/>
      <c r="M14" s="27" t="inlineStr">
        <is>
          <t>PC</t>
        </is>
      </c>
      <c r="N14" s="28" t="inlineStr">
        <is>
          <t>https://www.fimax.ro/categorie/echipamente-catering-autoservire-si-cuve-inox-gastronorm/cuve-gastronorm-gn/cuve-gn-policarbonat-negru/</t>
        </is>
      </c>
      <c r="O14" s="27" t="n"/>
      <c r="P14" s="27" t="n"/>
      <c r="Q14" s="104" t="n"/>
      <c r="R14" s="27" t="n"/>
      <c r="S14" s="27" t="n"/>
      <c r="T14" s="27" t="n"/>
      <c r="U14" s="27" t="inlineStr">
        <is>
          <t>GN size, depth and material agree. Colour is unrestricted in the benchmark.</t>
        </is>
      </c>
      <c r="V14" s="102" t="n"/>
      <c r="W14" s="102" t="n">
        <v>12.486</v>
      </c>
      <c r="X14" s="27" t="inlineStr">
        <is>
          <t>YES Gastro Romania Market Research.xlsx</t>
        </is>
      </c>
      <c r="Y14" s="27" t="inlineStr">
        <is>
          <t>Gabi</t>
        </is>
      </c>
      <c r="Z14" s="27" t="n"/>
      <c r="AA14" s="27" t="n"/>
      <c r="AB14" s="27" t="inlineStr">
        <is>
          <t>RON</t>
        </is>
      </c>
      <c r="AC14" s="27" t="inlineStr">
        <is>
          <t>yes</t>
        </is>
      </c>
      <c r="AD14" s="27">
        <f>IF(ISNUMBER(F14),IF(G14=AB14,F14,IF(AND(ISNUMBER(INDEX('Sources'!$G$7:$G$10,MATCH(G14,'Sources'!$B$7:$B$10,0))),ISNUMBER(INDEX('Sources'!$G$7:$G$10,MATCH(AB14,'Sources'!$B$7:$B$10,0)))),F14/INDEX('Sources'!$G$7:$G$10,MATCH(G14,'Sources'!$B$7:$B$10,0))*INDEX('Sources'!$G$7:$G$10,MATCH(AB14,'Sources'!$B$7:$B$10,0)),"")),"")</f>
        <v/>
      </c>
      <c r="AE14" s="27">
        <f>IF(AND(AC14="yes",ISNUMBER(F14),IF('Compare'!$H$5="All mapped",TRUE,IF('Compare'!$H$5="EXACT only",J14="EXACT",OR(J14="EXACT",J14="CLOSE")))),"yes","no")</f>
        <v/>
      </c>
      <c r="AF14" s="27">
        <f>IF(ISNUMBER(H14),COUNTIFS($B$7:$B$608,B14,$C$7:$C$608,C14,$H$7:$H$608,"&lt;"&amp;H14,$AH$7:$AH$608,"yes")+COUNTIFS($B$7:B14,B14,$C$7:C14,C14,$H$7:H14,H14,$AH$7:AH14,"yes"),"")</f>
        <v/>
      </c>
      <c r="AG14" s="27">
        <f>IF(ISNUMBER(I14),COUNTIFS($B$7:$B$608,B14,$C$7:$C$608,C14,$I$7:$I$608,"&lt;"&amp;I14,$AI$7:$AI$608,"yes")+COUNTIFS($B$7:B14,B14,$C$7:C14,C14,$I$7:I14,I14,$AI$7:AI14,"yes"),"")</f>
        <v/>
      </c>
      <c r="AH14" s="27">
        <f>IF(ISNUMBER(H14),"yes","no")</f>
        <v/>
      </c>
      <c r="AI14" s="27">
        <f>IF(ISNUMBER(I14),"yes","no")</f>
        <v/>
      </c>
      <c r="AJ14" s="105" t="n">
        <v>46207</v>
      </c>
      <c r="AK14" s="27" t="n"/>
    </row>
    <row r="15" ht="42" customHeight="1">
      <c r="A15" s="2" t="n"/>
      <c r="B15" s="24" t="inlineStr">
        <is>
          <t>GN 1/1 PC container, 65 mm</t>
        </is>
      </c>
      <c r="C15" s="24" t="inlineStr">
        <is>
          <t>Romania</t>
        </is>
      </c>
      <c r="D15" s="24" t="inlineStr">
        <is>
          <t>Gastrozone</t>
        </is>
      </c>
      <c r="E15" s="24" t="inlineStr">
        <is>
          <t>GN 1/1 65 mm -  Polycarbonate</t>
        </is>
      </c>
      <c r="F15" s="98" t="n">
        <v>91.90000000000001</v>
      </c>
      <c r="G15" s="24" t="inlineStr">
        <is>
          <t>RON</t>
        </is>
      </c>
      <c r="H15" s="98">
        <f>IF(AND(AE15="yes",ISNUMBER(AD15)),AD15,"")</f>
        <v/>
      </c>
      <c r="I15" s="99">
        <f>IF(AND(AE15="yes",ISNUMBER(AD15),ISNUMBER(INDEX('Sources'!$G$7:$G$10,MATCH(AB15,'Sources'!$B$7:$B$10,0)))),AD15/INDEX('Sources'!$G$7:$G$10,MATCH(AB15,'Sources'!$B$7:$B$10,0)),"")</f>
        <v/>
      </c>
      <c r="J15" s="24" t="inlineStr">
        <is>
          <t>EXACT</t>
        </is>
      </c>
      <c r="K15" s="24" t="inlineStr">
        <is>
          <t>30.09.2026</t>
        </is>
      </c>
      <c r="L15" s="71" t="n"/>
      <c r="M15" s="24" t="inlineStr">
        <is>
          <t>PC. Live check 30.09.2026: ARAVEN GN 1/1 PC 65 mm, 8.6 l - 111.20 lei incl. TVA / 91.90 lei fără TVA (on order, 3-5 weeks). Previously recorded 132.98 RON = 109.90 x 1.21, i.e. a VAT-inclusive figure treated as net.</t>
        </is>
      </c>
      <c r="N15" s="25" t="inlineStr">
        <is>
          <t>https://www.gastrozone.ro/araven-gn-containere-1-1-policarbonat-adancime-65-mm-capacitate-8-6-l.html</t>
        </is>
      </c>
      <c r="O15" s="24" t="inlineStr">
        <is>
          <t>Araven</t>
        </is>
      </c>
      <c r="P15" s="24" t="n"/>
      <c r="Q15" s="100" t="n"/>
      <c r="R15" s="24" t="n"/>
      <c r="S15" s="24" t="n"/>
      <c r="T15" s="24" t="n"/>
      <c r="U15" s="24" t="inlineStr">
        <is>
          <t>GN size, depth and material agree. Colour is unrestricted in the benchmark.</t>
        </is>
      </c>
      <c r="V15" s="98" t="n"/>
      <c r="W15" s="98" t="n">
        <v>26.596</v>
      </c>
      <c r="X15" s="24" t="inlineStr">
        <is>
          <t>YES Gastro Romania Market Research.xlsx</t>
        </is>
      </c>
      <c r="Y15" s="24" t="inlineStr">
        <is>
          <t>Gabi</t>
        </is>
      </c>
      <c r="Z15" s="24" t="n"/>
      <c r="AA15" s="24" t="n"/>
      <c r="AB15" s="24" t="inlineStr">
        <is>
          <t>RON</t>
        </is>
      </c>
      <c r="AC15" s="24" t="inlineStr">
        <is>
          <t>yes</t>
        </is>
      </c>
      <c r="AD15" s="24">
        <f>IF(ISNUMBER(F15),IF(G15=AB15,F15,IF(AND(ISNUMBER(INDEX('Sources'!$G$7:$G$10,MATCH(G15,'Sources'!$B$7:$B$10,0))),ISNUMBER(INDEX('Sources'!$G$7:$G$10,MATCH(AB15,'Sources'!$B$7:$B$10,0)))),F15/INDEX('Sources'!$G$7:$G$10,MATCH(G15,'Sources'!$B$7:$B$10,0))*INDEX('Sources'!$G$7:$G$10,MATCH(AB15,'Sources'!$B$7:$B$10,0)),"")),"")</f>
        <v/>
      </c>
      <c r="AE15" s="24">
        <f>IF(AND(AC15="yes",ISNUMBER(F15),IF('Compare'!$H$5="All mapped",TRUE,IF('Compare'!$H$5="EXACT only",J15="EXACT",OR(J15="EXACT",J15="CLOSE")))),"yes","no")</f>
        <v/>
      </c>
      <c r="AF15" s="24">
        <f>IF(ISNUMBER(H15),COUNTIFS($B$7:$B$608,B15,$C$7:$C$608,C15,$H$7:$H$608,"&lt;"&amp;H15,$AH$7:$AH$608,"yes")+COUNTIFS($B$7:B15,B15,$C$7:C15,C15,$H$7:H15,H15,$AH$7:AH15,"yes"),"")</f>
        <v/>
      </c>
      <c r="AG15" s="24">
        <f>IF(ISNUMBER(I15),COUNTIFS($B$7:$B$608,B15,$C$7:$C$608,C15,$I$7:$I$608,"&lt;"&amp;I15,$AI$7:$AI$608,"yes")+COUNTIFS($B$7:B15,B15,$C$7:C15,C15,$I$7:I15,I15,$AI$7:AI15,"yes"),"")</f>
        <v/>
      </c>
      <c r="AH15" s="24">
        <f>IF(ISNUMBER(H15),"yes","no")</f>
        <v/>
      </c>
      <c r="AI15" s="24">
        <f>IF(ISNUMBER(I15),"yes","no")</f>
        <v/>
      </c>
      <c r="AJ15" s="101" t="n">
        <v>46295</v>
      </c>
      <c r="AK15" s="24" t="n"/>
    </row>
    <row r="16" ht="42" customHeight="1">
      <c r="A16" s="2" t="n"/>
      <c r="B16" s="27" t="inlineStr">
        <is>
          <t>GN 1/1 PC container, 65 mm</t>
        </is>
      </c>
      <c r="C16" s="27" t="inlineStr">
        <is>
          <t>Romania</t>
        </is>
      </c>
      <c r="D16" s="27" t="inlineStr">
        <is>
          <t>Hendi</t>
        </is>
      </c>
      <c r="E16" s="27" t="inlineStr">
        <is>
          <t>GN 1/1 65 mm -  Polycarbonate</t>
        </is>
      </c>
      <c r="F16" s="102" t="n">
        <v>52.68</v>
      </c>
      <c r="G16" s="27" t="inlineStr">
        <is>
          <t>RON</t>
        </is>
      </c>
      <c r="H16" s="102">
        <f>IF(AND(AE16="yes",ISNUMBER(AD16)),AD16,"")</f>
        <v/>
      </c>
      <c r="I16" s="103">
        <f>IF(AND(AE16="yes",ISNUMBER(AD16),ISNUMBER(INDEX('Sources'!$G$7:$G$10,MATCH(AB16,'Sources'!$B$7:$B$10,0)))),AD16/INDEX('Sources'!$G$7:$G$10,MATCH(AB16,'Sources'!$B$7:$B$10,0)),"")</f>
        <v/>
      </c>
      <c r="J16" s="27" t="inlineStr">
        <is>
          <t>EXACT</t>
        </is>
      </c>
      <c r="K16" s="27" t="inlineStr">
        <is>
          <t>30.06.2029</t>
        </is>
      </c>
      <c r="L16" s="71" t="n"/>
      <c r="M16" s="27" t="inlineStr">
        <is>
          <t>PC</t>
        </is>
      </c>
      <c r="N16" s="28" t="inlineStr">
        <is>
          <t>https://www.hendi.ro/tavi-gastronorm/containere-gn?filter=25819/l/478606|25820/l/478616</t>
        </is>
      </c>
      <c r="O16" s="27" t="inlineStr">
        <is>
          <t>Hendi</t>
        </is>
      </c>
      <c r="P16" s="27" t="n"/>
      <c r="Q16" s="104" t="n"/>
      <c r="R16" s="27" t="n"/>
      <c r="S16" s="27" t="n"/>
      <c r="T16" s="27" t="n"/>
      <c r="U16" s="27" t="inlineStr">
        <is>
          <t>GN size, depth and material agree. Colour is unrestricted in the benchmark.</t>
        </is>
      </c>
      <c r="V16" s="102" t="n"/>
      <c r="W16" s="102" t="n">
        <v>10.536</v>
      </c>
      <c r="X16" s="27" t="inlineStr">
        <is>
          <t>YES Gastro Romania Market Research.xlsx</t>
        </is>
      </c>
      <c r="Y16" s="27" t="inlineStr">
        <is>
          <t>Gabi</t>
        </is>
      </c>
      <c r="Z16" s="27" t="n"/>
      <c r="AA16" s="27" t="n"/>
      <c r="AB16" s="27" t="inlineStr">
        <is>
          <t>RON</t>
        </is>
      </c>
      <c r="AC16" s="27" t="inlineStr">
        <is>
          <t>yes</t>
        </is>
      </c>
      <c r="AD16" s="27">
        <f>IF(ISNUMBER(F16),IF(G16=AB16,F16,IF(AND(ISNUMBER(INDEX('Sources'!$G$7:$G$10,MATCH(G16,'Sources'!$B$7:$B$10,0))),ISNUMBER(INDEX('Sources'!$G$7:$G$10,MATCH(AB16,'Sources'!$B$7:$B$10,0)))),F16/INDEX('Sources'!$G$7:$G$10,MATCH(G16,'Sources'!$B$7:$B$10,0))*INDEX('Sources'!$G$7:$G$10,MATCH(AB16,'Sources'!$B$7:$B$10,0)),"")),"")</f>
        <v/>
      </c>
      <c r="AE16" s="27">
        <f>IF(AND(AC16="yes",ISNUMBER(F16),IF('Compare'!$H$5="All mapped",TRUE,IF('Compare'!$H$5="EXACT only",J16="EXACT",OR(J16="EXACT",J16="CLOSE")))),"yes","no")</f>
        <v/>
      </c>
      <c r="AF16" s="27">
        <f>IF(ISNUMBER(H16),COUNTIFS($B$7:$B$608,B16,$C$7:$C$608,C16,$H$7:$H$608,"&lt;"&amp;H16,$AH$7:$AH$608,"yes")+COUNTIFS($B$7:B16,B16,$C$7:C16,C16,$H$7:H16,H16,$AH$7:AH16,"yes"),"")</f>
        <v/>
      </c>
      <c r="AG16" s="27">
        <f>IF(ISNUMBER(I16),COUNTIFS($B$7:$B$608,B16,$C$7:$C$608,C16,$I$7:$I$608,"&lt;"&amp;I16,$AI$7:$AI$608,"yes")+COUNTIFS($B$7:B16,B16,$C$7:C16,C16,$I$7:I16,I16,$AI$7:AI16,"yes"),"")</f>
        <v/>
      </c>
      <c r="AH16" s="27">
        <f>IF(ISNUMBER(H16),"yes","no")</f>
        <v/>
      </c>
      <c r="AI16" s="27">
        <f>IF(ISNUMBER(I16),"yes","no")</f>
        <v/>
      </c>
      <c r="AJ16" s="105" t="n">
        <v>47299</v>
      </c>
      <c r="AK16" s="27" t="inlineStr">
        <is>
          <t>After research workbook date; source unchanged</t>
        </is>
      </c>
    </row>
    <row r="17" ht="42" customHeight="1">
      <c r="A17" s="2" t="n"/>
      <c r="B17" s="24" t="inlineStr">
        <is>
          <t>GN 1/1 PC container, 65 mm</t>
        </is>
      </c>
      <c r="C17" s="24" t="inlineStr">
        <is>
          <t>Romania</t>
        </is>
      </c>
      <c r="D17" s="24" t="inlineStr">
        <is>
          <t>Hendi</t>
        </is>
      </c>
      <c r="E17" s="24" t="inlineStr">
        <is>
          <t>GN 1/1 65 mm -  Polycarbonate Black</t>
        </is>
      </c>
      <c r="F17" s="98" t="n">
        <v>68.90000000000001</v>
      </c>
      <c r="G17" s="24" t="inlineStr">
        <is>
          <t>RON</t>
        </is>
      </c>
      <c r="H17" s="98">
        <f>IF(AND(AE17="yes",ISNUMBER(AD17)),AD17,"")</f>
        <v/>
      </c>
      <c r="I17" s="99">
        <f>IF(AND(AE17="yes",ISNUMBER(AD17),ISNUMBER(INDEX('Sources'!$G$7:$G$10,MATCH(AB17,'Sources'!$B$7:$B$10,0)))),AD17/INDEX('Sources'!$G$7:$G$10,MATCH(AB17,'Sources'!$B$7:$B$10,0)),"")</f>
        <v/>
      </c>
      <c r="J17" s="24" t="inlineStr">
        <is>
          <t>EXACT</t>
        </is>
      </c>
      <c r="K17" s="24" t="inlineStr">
        <is>
          <t>4.07.2026</t>
        </is>
      </c>
      <c r="L17" s="71" t="n"/>
      <c r="M17" s="24" t="inlineStr">
        <is>
          <t>PC</t>
        </is>
      </c>
      <c r="N17" s="25" t="inlineStr">
        <is>
          <t>https://www.hendi.ro/tavi-gastronorm/containere-gn?filter=25819/l/478606|25820/l/478616</t>
        </is>
      </c>
      <c r="O17" s="24" t="inlineStr">
        <is>
          <t>Hendi</t>
        </is>
      </c>
      <c r="P17" s="24" t="n"/>
      <c r="Q17" s="100" t="n"/>
      <c r="R17" s="24" t="n"/>
      <c r="S17" s="24" t="n"/>
      <c r="T17" s="24" t="n"/>
      <c r="U17" s="24" t="inlineStr">
        <is>
          <t>GN size, depth and material agree. Colour is unrestricted in the benchmark.</t>
        </is>
      </c>
      <c r="V17" s="98" t="n"/>
      <c r="W17" s="98" t="n">
        <v>13.78</v>
      </c>
      <c r="X17" s="24" t="inlineStr">
        <is>
          <t>YES Gastro Romania Market Research.xlsx</t>
        </is>
      </c>
      <c r="Y17" s="24" t="inlineStr">
        <is>
          <t>Gabi</t>
        </is>
      </c>
      <c r="Z17" s="24" t="n"/>
      <c r="AA17" s="24" t="n"/>
      <c r="AB17" s="24" t="inlineStr">
        <is>
          <t>RON</t>
        </is>
      </c>
      <c r="AC17" s="24" t="inlineStr">
        <is>
          <t>yes</t>
        </is>
      </c>
      <c r="AD17" s="24">
        <f>IF(ISNUMBER(F17),IF(G17=AB17,F17,IF(AND(ISNUMBER(INDEX('Sources'!$G$7:$G$10,MATCH(G17,'Sources'!$B$7:$B$10,0))),ISNUMBER(INDEX('Sources'!$G$7:$G$10,MATCH(AB17,'Sources'!$B$7:$B$10,0)))),F17/INDEX('Sources'!$G$7:$G$10,MATCH(G17,'Sources'!$B$7:$B$10,0))*INDEX('Sources'!$G$7:$G$10,MATCH(AB17,'Sources'!$B$7:$B$10,0)),"")),"")</f>
        <v/>
      </c>
      <c r="AE17" s="24">
        <f>IF(AND(AC17="yes",ISNUMBER(F17),IF('Compare'!$H$5="All mapped",TRUE,IF('Compare'!$H$5="EXACT only",J17="EXACT",OR(J17="EXACT",J17="CLOSE")))),"yes","no")</f>
        <v/>
      </c>
      <c r="AF17" s="24">
        <f>IF(ISNUMBER(H17),COUNTIFS($B$7:$B$608,B17,$C$7:$C$608,C17,$H$7:$H$608,"&lt;"&amp;H17,$AH$7:$AH$608,"yes")+COUNTIFS($B$7:B17,B17,$C$7:C17,C17,$H$7:H17,H17,$AH$7:AH17,"yes"),"")</f>
        <v/>
      </c>
      <c r="AG17" s="24">
        <f>IF(ISNUMBER(I17),COUNTIFS($B$7:$B$608,B17,$C$7:$C$608,C17,$I$7:$I$608,"&lt;"&amp;I17,$AI$7:$AI$608,"yes")+COUNTIFS($B$7:B17,B17,$C$7:C17,C17,$I$7:I17,I17,$AI$7:AI17,"yes"),"")</f>
        <v/>
      </c>
      <c r="AH17" s="24">
        <f>IF(ISNUMBER(H17),"yes","no")</f>
        <v/>
      </c>
      <c r="AI17" s="24">
        <f>IF(ISNUMBER(I17),"yes","no")</f>
        <v/>
      </c>
      <c r="AJ17" s="101" t="n">
        <v>46207</v>
      </c>
      <c r="AK17" s="24" t="n"/>
    </row>
    <row r="18" ht="42" customHeight="1">
      <c r="A18" s="2" t="n"/>
      <c r="B18" s="27" t="inlineStr">
        <is>
          <t>GN 1/1 PC container, 65 mm</t>
        </is>
      </c>
      <c r="C18" s="27" t="inlineStr">
        <is>
          <t>Romania</t>
        </is>
      </c>
      <c r="D18" s="27" t="inlineStr">
        <is>
          <t>Lancom</t>
        </is>
      </c>
      <c r="E18" s="27" t="inlineStr">
        <is>
          <t>GN 1/1 65mm - Polycarbonate</t>
        </is>
      </c>
      <c r="F18" s="102" t="n">
        <v>8</v>
      </c>
      <c r="G18" s="27" t="inlineStr">
        <is>
          <t>EUR</t>
        </is>
      </c>
      <c r="H18" s="102">
        <f>IF(AND(AE18="yes",ISNUMBER(AD18)),AD18,"")</f>
        <v/>
      </c>
      <c r="I18" s="103">
        <f>IF(AND(AE18="yes",ISNUMBER(AD18),ISNUMBER(INDEX('Sources'!$G$7:$G$10,MATCH(AB18,'Sources'!$B$7:$B$10,0)))),AD18/INDEX('Sources'!$G$7:$G$10,MATCH(AB18,'Sources'!$B$7:$B$10,0)),"")</f>
        <v/>
      </c>
      <c r="J18" s="27" t="inlineStr">
        <is>
          <t>EXACT</t>
        </is>
      </c>
      <c r="K18" s="27" t="inlineStr">
        <is>
          <t>2026-09-12 00:00:00</t>
        </is>
      </c>
      <c r="L18" s="71" t="n"/>
      <c r="M18" s="27" t="inlineStr">
        <is>
          <t>PC. Live check 30.09.2026: 8.00 € / buc fara TVA; Lancom prices in EUR and invoices in RON at the BNR rate. Previously recorded as 42.05 RON (the EUR price converted at about 5.26).</t>
        </is>
      </c>
      <c r="N18" s="28" t="inlineStr">
        <is>
          <t>https://www.lancom.ro/tava-gastronorm-gn-11-65-policarbonat-6936</t>
        </is>
      </c>
      <c r="O18" s="27" t="inlineStr">
        <is>
          <t>GastroPlast</t>
        </is>
      </c>
      <c r="P18" s="27" t="n"/>
      <c r="Q18" s="104" t="n"/>
      <c r="R18" s="27" t="n"/>
      <c r="S18" s="27" t="n"/>
      <c r="T18" s="27" t="n"/>
      <c r="U18" s="27" t="inlineStr">
        <is>
          <t>GN size, depth and material agree. Colour is unrestricted in the benchmark.</t>
        </is>
      </c>
      <c r="V18" s="102" t="n"/>
      <c r="W18" s="102" t="n">
        <v>8.41</v>
      </c>
      <c r="X18" s="27" t="inlineStr">
        <is>
          <t>YES Gastro Romania Market Research.xlsx</t>
        </is>
      </c>
      <c r="Y18" s="27" t="inlineStr">
        <is>
          <t>Gabi</t>
        </is>
      </c>
      <c r="Z18" s="27" t="n"/>
      <c r="AA18" s="27" t="n"/>
      <c r="AB18" s="27" t="inlineStr">
        <is>
          <t>RON</t>
        </is>
      </c>
      <c r="AC18" s="27" t="inlineStr">
        <is>
          <t>yes</t>
        </is>
      </c>
      <c r="AD18" s="27">
        <f>IF(ISNUMBER(F18),IF(G18=AB18,F18,IF(AND(ISNUMBER(INDEX('Sources'!$G$7:$G$10,MATCH(G18,'Sources'!$B$7:$B$10,0))),ISNUMBER(INDEX('Sources'!$G$7:$G$10,MATCH(AB18,'Sources'!$B$7:$B$10,0)))),F18/INDEX('Sources'!$G$7:$G$10,MATCH(G18,'Sources'!$B$7:$B$10,0))*INDEX('Sources'!$G$7:$G$10,MATCH(AB18,'Sources'!$B$7:$B$10,0)),"")),"")</f>
        <v/>
      </c>
      <c r="AE18" s="27">
        <f>IF(AND(AC18="yes",ISNUMBER(F18),IF('Compare'!$H$5="All mapped",TRUE,IF('Compare'!$H$5="EXACT only",J18="EXACT",OR(J18="EXACT",J18="CLOSE")))),"yes","no")</f>
        <v/>
      </c>
      <c r="AF18" s="27">
        <f>IF(ISNUMBER(H18),COUNTIFS($B$7:$B$608,B18,$C$7:$C$608,C18,$H$7:$H$608,"&lt;"&amp;H18,$AH$7:$AH$608,"yes")+COUNTIFS($B$7:B18,B18,$C$7:C18,C18,$H$7:H18,H18,$AH$7:AH18,"yes"),"")</f>
        <v/>
      </c>
      <c r="AG18" s="27">
        <f>IF(ISNUMBER(I18),COUNTIFS($B$7:$B$608,B18,$C$7:$C$608,C18,$I$7:$I$608,"&lt;"&amp;I18,$AI$7:$AI$608,"yes")+COUNTIFS($B$7:B18,B18,$C$7:C18,C18,$I$7:I18,I18,$AI$7:AI18,"yes"),"")</f>
        <v/>
      </c>
      <c r="AH18" s="27">
        <f>IF(ISNUMBER(H18),"yes","no")</f>
        <v/>
      </c>
      <c r="AI18" s="27">
        <f>IF(ISNUMBER(I18),"yes","no")</f>
        <v/>
      </c>
      <c r="AJ18" s="105" t="n">
        <v>46277</v>
      </c>
      <c r="AK18" s="27" t="n"/>
    </row>
    <row r="19" ht="42" customHeight="1">
      <c r="A19" s="2" t="n"/>
      <c r="B19" s="24" t="inlineStr">
        <is>
          <t>GN 1/1 PC container, 65 mm</t>
        </is>
      </c>
      <c r="C19" s="24" t="inlineStr">
        <is>
          <t>Romania</t>
        </is>
      </c>
      <c r="D19" s="24" t="inlineStr">
        <is>
          <t>Lancom</t>
        </is>
      </c>
      <c r="E19" s="24" t="inlineStr">
        <is>
          <t>GN 1/1 65mm - Polycarbonate Black</t>
        </is>
      </c>
      <c r="F19" s="98" t="n">
        <v>8</v>
      </c>
      <c r="G19" s="24" t="inlineStr">
        <is>
          <t>EUR</t>
        </is>
      </c>
      <c r="H19" s="98">
        <f>IF(AND(AE19="yes",ISNUMBER(AD19)),AD19,"")</f>
        <v/>
      </c>
      <c r="I19" s="99">
        <f>IF(AND(AE19="yes",ISNUMBER(AD19),ISNUMBER(INDEX('Sources'!$G$7:$G$10,MATCH(AB19,'Sources'!$B$7:$B$10,0)))),AD19/INDEX('Sources'!$G$7:$G$10,MATCH(AB19,'Sources'!$B$7:$B$10,0)),"")</f>
        <v/>
      </c>
      <c r="J19" s="24" t="inlineStr">
        <is>
          <t>EXACT</t>
        </is>
      </c>
      <c r="K19" s="24" t="inlineStr">
        <is>
          <t>2026-09-12 00:00:00</t>
        </is>
      </c>
      <c r="L19" s="71" t="n"/>
      <c r="M19" s="24" t="inlineStr">
        <is>
          <t>PC. Live check 30.09.2026: 8.00 € / buc fara TVA; Lancom prices in EUR and invoices in RON at the BNR rate. Previously recorded as 42.05 RON (the EUR price converted at about 5.26).</t>
        </is>
      </c>
      <c r="N19" s="25" t="inlineStr">
        <is>
          <t>https://www.lancom.ro/tava-policarbonat-gn-1-1-65-mm-neagra-6937</t>
        </is>
      </c>
      <c r="O19" s="24" t="inlineStr">
        <is>
          <t>GastroPlast</t>
        </is>
      </c>
      <c r="P19" s="24" t="n"/>
      <c r="Q19" s="100" t="n"/>
      <c r="R19" s="24" t="n"/>
      <c r="S19" s="24" t="n"/>
      <c r="T19" s="24" t="n"/>
      <c r="U19" s="24" t="inlineStr">
        <is>
          <t>GN size, depth and material agree. Colour is unrestricted in the benchmark.</t>
        </is>
      </c>
      <c r="V19" s="98" t="n"/>
      <c r="W19" s="98" t="n">
        <v>8.41</v>
      </c>
      <c r="X19" s="24" t="inlineStr">
        <is>
          <t>YES Gastro Romania Market Research.xlsx</t>
        </is>
      </c>
      <c r="Y19" s="24" t="inlineStr">
        <is>
          <t>Gabi</t>
        </is>
      </c>
      <c r="Z19" s="24" t="n"/>
      <c r="AA19" s="24" t="n"/>
      <c r="AB19" s="24" t="inlineStr">
        <is>
          <t>RON</t>
        </is>
      </c>
      <c r="AC19" s="24" t="inlineStr">
        <is>
          <t>yes</t>
        </is>
      </c>
      <c r="AD19" s="24">
        <f>IF(ISNUMBER(F19),IF(G19=AB19,F19,IF(AND(ISNUMBER(INDEX('Sources'!$G$7:$G$10,MATCH(G19,'Sources'!$B$7:$B$10,0))),ISNUMBER(INDEX('Sources'!$G$7:$G$10,MATCH(AB19,'Sources'!$B$7:$B$10,0)))),F19/INDEX('Sources'!$G$7:$G$10,MATCH(G19,'Sources'!$B$7:$B$10,0))*INDEX('Sources'!$G$7:$G$10,MATCH(AB19,'Sources'!$B$7:$B$10,0)),"")),"")</f>
        <v/>
      </c>
      <c r="AE19" s="24">
        <f>IF(AND(AC19="yes",ISNUMBER(F19),IF('Compare'!$H$5="All mapped",TRUE,IF('Compare'!$H$5="EXACT only",J19="EXACT",OR(J19="EXACT",J19="CLOSE")))),"yes","no")</f>
        <v/>
      </c>
      <c r="AF19" s="24">
        <f>IF(ISNUMBER(H19),COUNTIFS($B$7:$B$608,B19,$C$7:$C$608,C19,$H$7:$H$608,"&lt;"&amp;H19,$AH$7:$AH$608,"yes")+COUNTIFS($B$7:B19,B19,$C$7:C19,C19,$H$7:H19,H19,$AH$7:AH19,"yes"),"")</f>
        <v/>
      </c>
      <c r="AG19" s="24">
        <f>IF(ISNUMBER(I19),COUNTIFS($B$7:$B$608,B19,$C$7:$C$608,C19,$I$7:$I$608,"&lt;"&amp;I19,$AI$7:$AI$608,"yes")+COUNTIFS($B$7:B19,B19,$C$7:C19,C19,$I$7:I19,I19,$AI$7:AI19,"yes"),"")</f>
        <v/>
      </c>
      <c r="AH19" s="24">
        <f>IF(ISNUMBER(H19),"yes","no")</f>
        <v/>
      </c>
      <c r="AI19" s="24">
        <f>IF(ISNUMBER(I19),"yes","no")</f>
        <v/>
      </c>
      <c r="AJ19" s="101" t="n">
        <v>46277</v>
      </c>
      <c r="AK19" s="24" t="n"/>
    </row>
    <row r="20" ht="42" customHeight="1">
      <c r="A20" s="2" t="n"/>
      <c r="B20" s="27" t="inlineStr">
        <is>
          <t>GN 1/1 PC container, 65 mm</t>
        </is>
      </c>
      <c r="C20" s="27" t="inlineStr">
        <is>
          <t>Romania</t>
        </is>
      </c>
      <c r="D20" s="27" t="inlineStr">
        <is>
          <t>Pro-cucina</t>
        </is>
      </c>
      <c r="E20" s="27" t="inlineStr">
        <is>
          <t>GN 1/1 65 mm -  Polycarbonate Black</t>
        </is>
      </c>
      <c r="F20" s="102" t="n">
        <v>8</v>
      </c>
      <c r="G20" s="27" t="inlineStr">
        <is>
          <t>EUR</t>
        </is>
      </c>
      <c r="H20" s="102">
        <f>IF(AND(AE20="yes",ISNUMBER(AD20)),AD20,"")</f>
        <v/>
      </c>
      <c r="I20" s="103">
        <f>IF(AND(AE20="yes",ISNUMBER(AD20),ISNUMBER(INDEX('Sources'!$G$7:$G$10,MATCH(AB20,'Sources'!$B$7:$B$10,0)))),AD20/INDEX('Sources'!$G$7:$G$10,MATCH(AB20,'Sources'!$B$7:$B$10,0)),"")</f>
        <v/>
      </c>
      <c r="J20" s="27" t="inlineStr">
        <is>
          <t>EXACT</t>
        </is>
      </c>
      <c r="K20" s="27" t="inlineStr">
        <is>
          <t>4.07.2026</t>
        </is>
      </c>
      <c r="L20" s="71" t="n"/>
      <c r="M20" s="27" t="inlineStr">
        <is>
          <t>PC</t>
        </is>
      </c>
      <c r="N20" s="28" t="inlineStr">
        <is>
          <t>https://pro-cucina.ro/tavi-gn/</t>
        </is>
      </c>
      <c r="O20" s="27" t="n"/>
      <c r="P20" s="27" t="n"/>
      <c r="Q20" s="104" t="n"/>
      <c r="R20" s="27" t="n"/>
      <c r="S20" s="27" t="n"/>
      <c r="T20" s="27" t="n"/>
      <c r="U20" s="27" t="inlineStr">
        <is>
          <t>GN size, depth and material agree. Colour is unrestricted in the benchmark.</t>
        </is>
      </c>
      <c r="V20" s="102" t="n"/>
      <c r="W20" s="102" t="n">
        <v>8</v>
      </c>
      <c r="X20" s="27" t="inlineStr">
        <is>
          <t>YES Gastro Romania Market Research.xlsx</t>
        </is>
      </c>
      <c r="Y20" s="27" t="inlineStr">
        <is>
          <t>Gabi</t>
        </is>
      </c>
      <c r="Z20" s="27" t="n"/>
      <c r="AA20" s="27" t="n"/>
      <c r="AB20" s="27" t="inlineStr">
        <is>
          <t>RON</t>
        </is>
      </c>
      <c r="AC20" s="27" t="inlineStr">
        <is>
          <t>yes</t>
        </is>
      </c>
      <c r="AD20" s="27">
        <f>IF(ISNUMBER(F20),IF(G20=AB20,F20,IF(AND(ISNUMBER(INDEX('Sources'!$G$7:$G$10,MATCH(G20,'Sources'!$B$7:$B$10,0))),ISNUMBER(INDEX('Sources'!$G$7:$G$10,MATCH(AB20,'Sources'!$B$7:$B$10,0)))),F20/INDEX('Sources'!$G$7:$G$10,MATCH(G20,'Sources'!$B$7:$B$10,0))*INDEX('Sources'!$G$7:$G$10,MATCH(AB20,'Sources'!$B$7:$B$10,0)),"")),"")</f>
        <v/>
      </c>
      <c r="AE20" s="27">
        <f>IF(AND(AC20="yes",ISNUMBER(F20),IF('Compare'!$H$5="All mapped",TRUE,IF('Compare'!$H$5="EXACT only",J20="EXACT",OR(J20="EXACT",J20="CLOSE")))),"yes","no")</f>
        <v/>
      </c>
      <c r="AF20" s="27">
        <f>IF(ISNUMBER(H20),COUNTIFS($B$7:$B$608,B20,$C$7:$C$608,C20,$H$7:$H$608,"&lt;"&amp;H20,$AH$7:$AH$608,"yes")+COUNTIFS($B$7:B20,B20,$C$7:C20,C20,$H$7:H20,H20,$AH$7:AH20,"yes"),"")</f>
        <v/>
      </c>
      <c r="AG20" s="27">
        <f>IF(ISNUMBER(I20),COUNTIFS($B$7:$B$608,B20,$C$7:$C$608,C20,$I$7:$I$608,"&lt;"&amp;I20,$AI$7:$AI$608,"yes")+COUNTIFS($B$7:B20,B20,$C$7:C20,C20,$I$7:I20,I20,$AI$7:AI20,"yes"),"")</f>
        <v/>
      </c>
      <c r="AH20" s="27">
        <f>IF(ISNUMBER(H20),"yes","no")</f>
        <v/>
      </c>
      <c r="AI20" s="27">
        <f>IF(ISNUMBER(I20),"yes","no")</f>
        <v/>
      </c>
      <c r="AJ20" s="105" t="n">
        <v>46207</v>
      </c>
      <c r="AK20" s="27" t="n"/>
    </row>
    <row r="21" ht="42" customHeight="1">
      <c r="A21" s="2" t="n"/>
      <c r="B21" s="24" t="inlineStr">
        <is>
          <t>GN 1/1 PC container, 65 mm</t>
        </is>
      </c>
      <c r="C21" s="24" t="inlineStr">
        <is>
          <t>Romania</t>
        </is>
      </c>
      <c r="D21" s="24" t="inlineStr">
        <is>
          <t>gastroprofesional</t>
        </is>
      </c>
      <c r="E21" s="24" t="inlineStr">
        <is>
          <t>GN 1/1 65mm - Polycarbonate Black</t>
        </is>
      </c>
      <c r="F21" s="98" t="n">
        <v>52.93</v>
      </c>
      <c r="G21" s="24" t="inlineStr">
        <is>
          <t>RON</t>
        </is>
      </c>
      <c r="H21" s="98">
        <f>IF(AND(AE21="yes",ISNUMBER(AD21)),AD21,"")</f>
        <v/>
      </c>
      <c r="I21" s="99">
        <f>IF(AND(AE21="yes",ISNUMBER(AD21),ISNUMBER(INDEX('Sources'!$G$7:$G$10,MATCH(AB21,'Sources'!$B$7:$B$10,0)))),AD21/INDEX('Sources'!$G$7:$G$10,MATCH(AB21,'Sources'!$B$7:$B$10,0)),"")</f>
        <v/>
      </c>
      <c r="J21" s="24" t="inlineStr">
        <is>
          <t>EXACT</t>
        </is>
      </c>
      <c r="K21" s="24" t="inlineStr">
        <is>
          <t>2.07.2026</t>
        </is>
      </c>
      <c r="L21" s="71" t="n"/>
      <c r="M21" s="24" t="inlineStr">
        <is>
          <t>PC</t>
        </is>
      </c>
      <c r="N21" s="25" t="inlineStr">
        <is>
          <t>https://gastroprofesional.ro/accesorii-horeca/tavi-si-cuve-profesionale/tavi-gn-si-cuve-policarbonat?q=Standard+t%C4%83vi+%5C/+recipiente-GN+1%5C/1</t>
        </is>
      </c>
      <c r="O21" s="24" t="n"/>
      <c r="P21" s="24" t="n"/>
      <c r="Q21" s="100" t="n"/>
      <c r="R21" s="24" t="n"/>
      <c r="S21" s="24" t="n"/>
      <c r="T21" s="24" t="n"/>
      <c r="U21" s="24" t="inlineStr">
        <is>
          <t>GN size, depth and material agree. Colour is unrestricted in the benchmark.</t>
        </is>
      </c>
      <c r="V21" s="98" t="n"/>
      <c r="W21" s="98" t="n">
        <v>10.586</v>
      </c>
      <c r="X21" s="24" t="inlineStr">
        <is>
          <t>YES Gastro Romania Market Research.xlsx</t>
        </is>
      </c>
      <c r="Y21" s="24" t="inlineStr">
        <is>
          <t>Gabi</t>
        </is>
      </c>
      <c r="Z21" s="24" t="n"/>
      <c r="AA21" s="24" t="n"/>
      <c r="AB21" s="24" t="inlineStr">
        <is>
          <t>RON</t>
        </is>
      </c>
      <c r="AC21" s="24" t="inlineStr">
        <is>
          <t>yes</t>
        </is>
      </c>
      <c r="AD21" s="24">
        <f>IF(ISNUMBER(F21),IF(G21=AB21,F21,IF(AND(ISNUMBER(INDEX('Sources'!$G$7:$G$10,MATCH(G21,'Sources'!$B$7:$B$10,0))),ISNUMBER(INDEX('Sources'!$G$7:$G$10,MATCH(AB21,'Sources'!$B$7:$B$10,0)))),F21/INDEX('Sources'!$G$7:$G$10,MATCH(G21,'Sources'!$B$7:$B$10,0))*INDEX('Sources'!$G$7:$G$10,MATCH(AB21,'Sources'!$B$7:$B$10,0)),"")),"")</f>
        <v/>
      </c>
      <c r="AE21" s="24">
        <f>IF(AND(AC21="yes",ISNUMBER(F21),IF('Compare'!$H$5="All mapped",TRUE,IF('Compare'!$H$5="EXACT only",J21="EXACT",OR(J21="EXACT",J21="CLOSE")))),"yes","no")</f>
        <v/>
      </c>
      <c r="AF21" s="24">
        <f>IF(ISNUMBER(H21),COUNTIFS($B$7:$B$608,B21,$C$7:$C$608,C21,$H$7:$H$608,"&lt;"&amp;H21,$AH$7:$AH$608,"yes")+COUNTIFS($B$7:B21,B21,$C$7:C21,C21,$H$7:H21,H21,$AH$7:AH21,"yes"),"")</f>
        <v/>
      </c>
      <c r="AG21" s="24">
        <f>IF(ISNUMBER(I21),COUNTIFS($B$7:$B$608,B21,$C$7:$C$608,C21,$I$7:$I$608,"&lt;"&amp;I21,$AI$7:$AI$608,"yes")+COUNTIFS($B$7:B21,B21,$C$7:C21,C21,$I$7:I21,I21,$AI$7:AI21,"yes"),"")</f>
        <v/>
      </c>
      <c r="AH21" s="24">
        <f>IF(ISNUMBER(H21),"yes","no")</f>
        <v/>
      </c>
      <c r="AI21" s="24">
        <f>IF(ISNUMBER(I21),"yes","no")</f>
        <v/>
      </c>
      <c r="AJ21" s="101" t="n">
        <v>46205</v>
      </c>
      <c r="AK21" s="24" t="n"/>
    </row>
    <row r="22" ht="42" customHeight="1">
      <c r="A22" s="2" t="n"/>
      <c r="B22" s="27" t="inlineStr">
        <is>
          <t>GN 1/1 PC container, 65 mm</t>
        </is>
      </c>
      <c r="C22" s="27" t="inlineStr">
        <is>
          <t>Romania</t>
        </is>
      </c>
      <c r="D22" s="27" t="inlineStr">
        <is>
          <t>mmgastro</t>
        </is>
      </c>
      <c r="E22" s="27" t="inlineStr">
        <is>
          <t>GN 1/1 65mm - Polycarbonate</t>
        </is>
      </c>
      <c r="F22" s="102" t="n">
        <v>42.98</v>
      </c>
      <c r="G22" s="27" t="inlineStr">
        <is>
          <t>RON</t>
        </is>
      </c>
      <c r="H22" s="102">
        <f>IF(AND(AE22="yes",ISNUMBER(AD22)),AD22,"")</f>
        <v/>
      </c>
      <c r="I22" s="103">
        <f>IF(AND(AE22="yes",ISNUMBER(AD22),ISNUMBER(INDEX('Sources'!$G$7:$G$10,MATCH(AB22,'Sources'!$B$7:$B$10,0)))),AD22/INDEX('Sources'!$G$7:$G$10,MATCH(AB22,'Sources'!$B$7:$B$10,0)),"")</f>
        <v/>
      </c>
      <c r="J22" s="27" t="inlineStr">
        <is>
          <t>EXACT</t>
        </is>
      </c>
      <c r="K22" s="27" t="inlineStr">
        <is>
          <t>1.07.2026</t>
        </is>
      </c>
      <c r="L22" s="71" t="n"/>
      <c r="M22" s="27" t="inlineStr">
        <is>
          <t>PC</t>
        </is>
      </c>
      <c r="N22" s="28" t="inlineStr">
        <is>
          <t>https://mmgastro.ro/ro/search?text=gn+1%2F1+policarbonat</t>
        </is>
      </c>
      <c r="O22" s="27" t="inlineStr">
        <is>
          <t>Yato-YG</t>
        </is>
      </c>
      <c r="P22" s="27" t="n"/>
      <c r="Q22" s="104" t="n"/>
      <c r="R22" s="27" t="n"/>
      <c r="S22" s="27" t="n"/>
      <c r="T22" s="27" t="n"/>
      <c r="U22" s="27" t="inlineStr">
        <is>
          <t>GN size, depth and material agree. Colour is unrestricted in the benchmark.</t>
        </is>
      </c>
      <c r="V22" s="102" t="n"/>
      <c r="W22" s="102" t="n">
        <v>8.596</v>
      </c>
      <c r="X22" s="27" t="inlineStr">
        <is>
          <t>YES Gastro Romania Market Research.xlsx</t>
        </is>
      </c>
      <c r="Y22" s="27" t="inlineStr">
        <is>
          <t>Gabi</t>
        </is>
      </c>
      <c r="Z22" s="27" t="n"/>
      <c r="AA22" s="27" t="n"/>
      <c r="AB22" s="27" t="inlineStr">
        <is>
          <t>RON</t>
        </is>
      </c>
      <c r="AC22" s="27" t="inlineStr">
        <is>
          <t>yes</t>
        </is>
      </c>
      <c r="AD22" s="27">
        <f>IF(ISNUMBER(F22),IF(G22=AB22,F22,IF(AND(ISNUMBER(INDEX('Sources'!$G$7:$G$10,MATCH(G22,'Sources'!$B$7:$B$10,0))),ISNUMBER(INDEX('Sources'!$G$7:$G$10,MATCH(AB22,'Sources'!$B$7:$B$10,0)))),F22/INDEX('Sources'!$G$7:$G$10,MATCH(G22,'Sources'!$B$7:$B$10,0))*INDEX('Sources'!$G$7:$G$10,MATCH(AB22,'Sources'!$B$7:$B$10,0)),"")),"")</f>
        <v/>
      </c>
      <c r="AE22" s="27">
        <f>IF(AND(AC22="yes",ISNUMBER(F22),IF('Compare'!$H$5="All mapped",TRUE,IF('Compare'!$H$5="EXACT only",J22="EXACT",OR(J22="EXACT",J22="CLOSE")))),"yes","no")</f>
        <v/>
      </c>
      <c r="AF22" s="27">
        <f>IF(ISNUMBER(H22),COUNTIFS($B$7:$B$608,B22,$C$7:$C$608,C22,$H$7:$H$608,"&lt;"&amp;H22,$AH$7:$AH$608,"yes")+COUNTIFS($B$7:B22,B22,$C$7:C22,C22,$H$7:H22,H22,$AH$7:AH22,"yes"),"")</f>
        <v/>
      </c>
      <c r="AG22" s="27">
        <f>IF(ISNUMBER(I22),COUNTIFS($B$7:$B$608,B22,$C$7:$C$608,C22,$I$7:$I$608,"&lt;"&amp;I22,$AI$7:$AI$608,"yes")+COUNTIFS($B$7:B22,B22,$C$7:C22,C22,$I$7:I22,I22,$AI$7:AI22,"yes"),"")</f>
        <v/>
      </c>
      <c r="AH22" s="27">
        <f>IF(ISNUMBER(H22),"yes","no")</f>
        <v/>
      </c>
      <c r="AI22" s="27">
        <f>IF(ISNUMBER(I22),"yes","no")</f>
        <v/>
      </c>
      <c r="AJ22" s="105" t="n">
        <v>46204</v>
      </c>
      <c r="AK22" s="27" t="n"/>
    </row>
    <row r="23" ht="66" customHeight="1">
      <c r="A23" s="2" t="n"/>
      <c r="B23" s="24" t="inlineStr">
        <is>
          <t>GN 1/1 PC container, 65 mm</t>
        </is>
      </c>
      <c r="C23" s="24" t="inlineStr">
        <is>
          <t>Romania</t>
        </is>
      </c>
      <c r="D23" s="24" t="inlineStr">
        <is>
          <t>mmgastro</t>
        </is>
      </c>
      <c r="E23" s="24" t="inlineStr">
        <is>
          <t>GN 1/1 65 mm -  Polycarbonate Black</t>
        </is>
      </c>
      <c r="F23" s="98" t="n">
        <v>63.38</v>
      </c>
      <c r="G23" s="24" t="inlineStr">
        <is>
          <t>RON</t>
        </is>
      </c>
      <c r="H23" s="98">
        <f>IF(AND(AE23="yes",ISNUMBER(AD23)),AD23,"")</f>
        <v/>
      </c>
      <c r="I23" s="99">
        <f>IF(AND(AE23="yes",ISNUMBER(AD23),ISNUMBER(INDEX('Sources'!$G$7:$G$10,MATCH(AB23,'Sources'!$B$7:$B$10,0)))),AD23/INDEX('Sources'!$G$7:$G$10,MATCH(AB23,'Sources'!$B$7:$B$10,0)),"")</f>
        <v/>
      </c>
      <c r="J23" s="24" t="inlineStr">
        <is>
          <t>EXACT</t>
        </is>
      </c>
      <c r="K23" s="24" t="inlineStr">
        <is>
          <t>4.07.2026</t>
        </is>
      </c>
      <c r="L23" s="71" t="n"/>
      <c r="M23" s="24" t="inlineStr">
        <is>
          <t>PC</t>
        </is>
      </c>
      <c r="N23" s="25" t="inlineStr">
        <is>
          <t>https://mmgastro.ro/ro/menu/categorii/vase-gastronomice/vase-gn-din-policarbonat-11707?filter_text=&amp;filter_producer=&amp;filter_price=&amp;filter_traits[47062]=70730&amp;filter_traits[21]=76590&amp;filter_traits[47060]=&amp;filter_traits[69787]=&amp;filter_traits[73752]=</t>
        </is>
      </c>
      <c r="O23" s="24" t="inlineStr">
        <is>
          <t>Hendi</t>
        </is>
      </c>
      <c r="P23" s="24" t="n"/>
      <c r="Q23" s="100" t="n"/>
      <c r="R23" s="24" t="n"/>
      <c r="S23" s="24" t="n"/>
      <c r="T23" s="24" t="n"/>
      <c r="U23" s="24" t="inlineStr">
        <is>
          <t>GN size, depth and material agree. Colour is unrestricted in the benchmark.</t>
        </is>
      </c>
      <c r="V23" s="98" t="n"/>
      <c r="W23" s="98" t="n">
        <v>12.676</v>
      </c>
      <c r="X23" s="24" t="inlineStr">
        <is>
          <t>YES Gastro Romania Market Research.xlsx</t>
        </is>
      </c>
      <c r="Y23" s="24" t="inlineStr">
        <is>
          <t>Gabi</t>
        </is>
      </c>
      <c r="Z23" s="24" t="n"/>
      <c r="AA23" s="24" t="n"/>
      <c r="AB23" s="24" t="inlineStr">
        <is>
          <t>RON</t>
        </is>
      </c>
      <c r="AC23" s="24" t="inlineStr">
        <is>
          <t>yes</t>
        </is>
      </c>
      <c r="AD23" s="24">
        <f>IF(ISNUMBER(F23),IF(G23=AB23,F23,IF(AND(ISNUMBER(INDEX('Sources'!$G$7:$G$10,MATCH(G23,'Sources'!$B$7:$B$10,0))),ISNUMBER(INDEX('Sources'!$G$7:$G$10,MATCH(AB23,'Sources'!$B$7:$B$10,0)))),F23/INDEX('Sources'!$G$7:$G$10,MATCH(G23,'Sources'!$B$7:$B$10,0))*INDEX('Sources'!$G$7:$G$10,MATCH(AB23,'Sources'!$B$7:$B$10,0)),"")),"")</f>
        <v/>
      </c>
      <c r="AE23" s="24">
        <f>IF(AND(AC23="yes",ISNUMBER(F23),IF('Compare'!$H$5="All mapped",TRUE,IF('Compare'!$H$5="EXACT only",J23="EXACT",OR(J23="EXACT",J23="CLOSE")))),"yes","no")</f>
        <v/>
      </c>
      <c r="AF23" s="24">
        <f>IF(ISNUMBER(H23),COUNTIFS($B$7:$B$608,B23,$C$7:$C$608,C23,$H$7:$H$608,"&lt;"&amp;H23,$AH$7:$AH$608,"yes")+COUNTIFS($B$7:B23,B23,$C$7:C23,C23,$H$7:H23,H23,$AH$7:AH23,"yes"),"")</f>
        <v/>
      </c>
      <c r="AG23" s="24">
        <f>IF(ISNUMBER(I23),COUNTIFS($B$7:$B$608,B23,$C$7:$C$608,C23,$I$7:$I$608,"&lt;"&amp;I23,$AI$7:$AI$608,"yes")+COUNTIFS($B$7:B23,B23,$C$7:C23,C23,$I$7:I23,I23,$AI$7:AI23,"yes"),"")</f>
        <v/>
      </c>
      <c r="AH23" s="24">
        <f>IF(ISNUMBER(H23),"yes","no")</f>
        <v/>
      </c>
      <c r="AI23" s="24">
        <f>IF(ISNUMBER(I23),"yes","no")</f>
        <v/>
      </c>
      <c r="AJ23" s="101" t="n">
        <v>46207</v>
      </c>
      <c r="AK23" s="24" t="n"/>
    </row>
    <row r="24" ht="42" customHeight="1">
      <c r="A24" s="2" t="n"/>
      <c r="B24" s="27" t="inlineStr">
        <is>
          <t>GN 1/1 PC container, 65 mm</t>
        </is>
      </c>
      <c r="C24" s="27" t="inlineStr">
        <is>
          <t>Romania</t>
        </is>
      </c>
      <c r="D24" s="27" t="inlineStr">
        <is>
          <t>pro-cucina</t>
        </is>
      </c>
      <c r="E24" s="27" t="inlineStr">
        <is>
          <t>GN 1/1 65mm - Polycarbonate</t>
        </is>
      </c>
      <c r="F24" s="102" t="n">
        <v>8</v>
      </c>
      <c r="G24" s="27" t="inlineStr">
        <is>
          <t>EUR</t>
        </is>
      </c>
      <c r="H24" s="102">
        <f>IF(AND(AE24="yes",ISNUMBER(AD24)),AD24,"")</f>
        <v/>
      </c>
      <c r="I24" s="103">
        <f>IF(AND(AE24="yes",ISNUMBER(AD24),ISNUMBER(INDEX('Sources'!$G$7:$G$10,MATCH(AB24,'Sources'!$B$7:$B$10,0)))),AD24/INDEX('Sources'!$G$7:$G$10,MATCH(AB24,'Sources'!$B$7:$B$10,0)),"")</f>
        <v/>
      </c>
      <c r="J24" s="27" t="inlineStr">
        <is>
          <t>EXACT</t>
        </is>
      </c>
      <c r="K24" s="27" t="inlineStr">
        <is>
          <t>1.07.2026</t>
        </is>
      </c>
      <c r="L24" s="71" t="n"/>
      <c r="M24" s="27" t="inlineStr">
        <is>
          <t>PC</t>
        </is>
      </c>
      <c r="N24" s="28" t="inlineStr">
        <is>
          <t>https://pro-cucina.ro/tavi-gn/page/1/</t>
        </is>
      </c>
      <c r="O24" s="27" t="n"/>
      <c r="P24" s="27" t="n"/>
      <c r="Q24" s="104" t="n"/>
      <c r="R24" s="27" t="n"/>
      <c r="S24" s="27" t="n"/>
      <c r="T24" s="27" t="n"/>
      <c r="U24" s="27" t="inlineStr">
        <is>
          <t>GN size, depth and material agree. Colour is unrestricted in the benchmark.</t>
        </is>
      </c>
      <c r="V24" s="102" t="n"/>
      <c r="W24" s="102" t="n">
        <v>8</v>
      </c>
      <c r="X24" s="27" t="inlineStr">
        <is>
          <t>YES Gastro Romania Market Research.xlsx</t>
        </is>
      </c>
      <c r="Y24" s="27" t="inlineStr">
        <is>
          <t>Gabi</t>
        </is>
      </c>
      <c r="Z24" s="27" t="n"/>
      <c r="AA24" s="27" t="n"/>
      <c r="AB24" s="27" t="inlineStr">
        <is>
          <t>RON</t>
        </is>
      </c>
      <c r="AC24" s="27" t="inlineStr">
        <is>
          <t>yes</t>
        </is>
      </c>
      <c r="AD24" s="27">
        <f>IF(ISNUMBER(F24),IF(G24=AB24,F24,IF(AND(ISNUMBER(INDEX('Sources'!$G$7:$G$10,MATCH(G24,'Sources'!$B$7:$B$10,0))),ISNUMBER(INDEX('Sources'!$G$7:$G$10,MATCH(AB24,'Sources'!$B$7:$B$10,0)))),F24/INDEX('Sources'!$G$7:$G$10,MATCH(G24,'Sources'!$B$7:$B$10,0))*INDEX('Sources'!$G$7:$G$10,MATCH(AB24,'Sources'!$B$7:$B$10,0)),"")),"")</f>
        <v/>
      </c>
      <c r="AE24" s="27">
        <f>IF(AND(AC24="yes",ISNUMBER(F24),IF('Compare'!$H$5="All mapped",TRUE,IF('Compare'!$H$5="EXACT only",J24="EXACT",OR(J24="EXACT",J24="CLOSE")))),"yes","no")</f>
        <v/>
      </c>
      <c r="AF24" s="27">
        <f>IF(ISNUMBER(H24),COUNTIFS($B$7:$B$608,B24,$C$7:$C$608,C24,$H$7:$H$608,"&lt;"&amp;H24,$AH$7:$AH$608,"yes")+COUNTIFS($B$7:B24,B24,$C$7:C24,C24,$H$7:H24,H24,$AH$7:AH24,"yes"),"")</f>
        <v/>
      </c>
      <c r="AG24" s="27">
        <f>IF(ISNUMBER(I24),COUNTIFS($B$7:$B$608,B24,$C$7:$C$608,C24,$I$7:$I$608,"&lt;"&amp;I24,$AI$7:$AI$608,"yes")+COUNTIFS($B$7:B24,B24,$C$7:C24,C24,$I$7:I24,I24,$AI$7:AI24,"yes"),"")</f>
        <v/>
      </c>
      <c r="AH24" s="27">
        <f>IF(ISNUMBER(H24),"yes","no")</f>
        <v/>
      </c>
      <c r="AI24" s="27">
        <f>IF(ISNUMBER(I24),"yes","no")</f>
        <v/>
      </c>
      <c r="AJ24" s="105" t="n">
        <v>46204</v>
      </c>
      <c r="AK24" s="27" t="n"/>
    </row>
    <row r="25" ht="42" customHeight="1">
      <c r="A25" s="2" t="n"/>
      <c r="B25" s="24" t="inlineStr">
        <is>
          <t>GN 1/1 PC container, 65 mm</t>
        </is>
      </c>
      <c r="C25" s="24" t="inlineStr">
        <is>
          <t>Austria</t>
        </is>
      </c>
      <c r="D25" s="24" t="inlineStr">
        <is>
          <t>GastroHero Österreich</t>
        </is>
      </c>
      <c r="E25" s="24" t="inlineStr">
        <is>
          <t>Schneider Polycarbonat GN 1/1 Behälter 65 mm, 8,5 l</t>
        </is>
      </c>
      <c r="F25" s="98" t="n">
        <v>20.69</v>
      </c>
      <c r="G25" s="24" t="inlineStr">
        <is>
          <t>EUR</t>
        </is>
      </c>
      <c r="H25" s="98">
        <f>IF(AND(AE25="yes",ISNUMBER(AD25)),AD25,"")</f>
        <v/>
      </c>
      <c r="I25" s="99">
        <f>IF(AND(AE25="yes",ISNUMBER(AD25),ISNUMBER(INDEX('Sources'!$G$7:$G$10,MATCH(AB25,'Sources'!$B$7:$B$10,0)))),AD25/INDEX('Sources'!$G$7:$G$10,MATCH(AB25,'Sources'!$B$7:$B$10,0)),"")</f>
        <v/>
      </c>
      <c r="J25" s="24" t="inlineStr">
        <is>
          <t>EXACT</t>
        </is>
      </c>
      <c r="K25" s="24" t="inlineStr">
        <is>
          <t>2026-09-30</t>
        </is>
      </c>
      <c r="L25" s="71" t="n"/>
      <c r="M25" s="24" t="inlineStr">
        <is>
          <t>Sale price (normal 21.39); minimum order quantity 4 pcs</t>
        </is>
      </c>
      <c r="N25" s="25" t="inlineStr">
        <is>
          <t>https://www.gastro-hero.at/products/schneider-polycarbonat-gn-11-behaelter-65-mm-85-l-530100</t>
        </is>
      </c>
      <c r="O25" s="24" t="inlineStr">
        <is>
          <t>Schneider</t>
        </is>
      </c>
      <c r="P25" s="24" t="inlineStr">
        <is>
          <t>excl.</t>
        </is>
      </c>
      <c r="Q25" s="100" t="n"/>
      <c r="R25" s="24" t="n">
        <v>1</v>
      </c>
      <c r="S25" s="24" t="n"/>
      <c r="T25" s="24" t="inlineStr">
        <is>
          <t>EXACT</t>
        </is>
      </c>
      <c r="U25" s="24" t="inlineStr">
        <is>
          <t>Existing benchmark assignment and match quality retained.</t>
        </is>
      </c>
      <c r="V25" s="98" t="n">
        <v>20.69</v>
      </c>
      <c r="W25" s="98" t="n"/>
      <c r="X25" s="24" t="inlineStr">
        <is>
          <t>YES Gastro Austria Market Research.xlsx</t>
        </is>
      </c>
      <c r="Y25" s="24" t="n"/>
      <c r="Z25" s="24" t="n"/>
      <c r="AA25" s="24" t="n"/>
      <c r="AB25" s="24" t="inlineStr">
        <is>
          <t>EUR</t>
        </is>
      </c>
      <c r="AC25" s="24" t="inlineStr">
        <is>
          <t>yes</t>
        </is>
      </c>
      <c r="AD25" s="24">
        <f>IF(ISNUMBER(V25),V25,"")</f>
        <v/>
      </c>
      <c r="AE25" s="24">
        <f>IF(AND(AC25="yes",ISNUMBER(F25),IF('Compare'!$H$5="All mapped",TRUE,IF('Compare'!$H$5="EXACT only",J25="EXACT",OR(J25="EXACT",J25="CLOSE")))),"yes","no")</f>
        <v/>
      </c>
      <c r="AF25" s="24">
        <f>IF(ISNUMBER(H25),COUNTIFS($B$7:$B$608,B25,$C$7:$C$608,C25,$H$7:$H$608,"&lt;"&amp;H25,$AH$7:$AH$608,"yes")+COUNTIFS($B$7:B25,B25,$C$7:C25,C25,$H$7:H25,H25,$AH$7:AH25,"yes"),"")</f>
        <v/>
      </c>
      <c r="AG25" s="24">
        <f>IF(ISNUMBER(I25),COUNTIFS($B$7:$B$608,B25,$C$7:$C$608,C25,$I$7:$I$608,"&lt;"&amp;I25,$AI$7:$AI$608,"yes")+COUNTIFS($B$7:B25,B25,$C$7:C25,C25,$I$7:I25,I25,$AI$7:AI25,"yes"),"")</f>
        <v/>
      </c>
      <c r="AH25" s="24">
        <f>IF(ISNUMBER(H25),"yes","no")</f>
        <v/>
      </c>
      <c r="AI25" s="24">
        <f>IF(ISNUMBER(I25),"yes","no")</f>
        <v/>
      </c>
      <c r="AJ25" s="101" t="n">
        <v>46295</v>
      </c>
      <c r="AK25" s="24" t="n"/>
    </row>
    <row r="26" ht="42" customHeight="1">
      <c r="A26" s="2" t="n"/>
      <c r="B26" s="27" t="inlineStr">
        <is>
          <t>GN 1/1 PC container, 65 mm</t>
        </is>
      </c>
      <c r="C26" s="27" t="inlineStr">
        <is>
          <t>Austria</t>
        </is>
      </c>
      <c r="D26" s="27" t="inlineStr">
        <is>
          <t>Gastrodax</t>
        </is>
      </c>
      <c r="E26" s="27" t="inlineStr">
        <is>
          <t>Hendi Gastronorm-Behälter 1/1, GN 1/1, 9L, Transparent, 530x325x(H)65mm – Polycarbonat</t>
        </is>
      </c>
      <c r="F26" s="102" t="n">
        <v>22.43</v>
      </c>
      <c r="G26" s="27" t="inlineStr">
        <is>
          <t>EUR</t>
        </is>
      </c>
      <c r="H26" s="102">
        <f>IF(AND(AE26="yes",ISNUMBER(AD26)),AD26,"")</f>
        <v/>
      </c>
      <c r="I26" s="103">
        <f>IF(AND(AE26="yes",ISNUMBER(AD26),ISNUMBER(INDEX('Sources'!$G$7:$G$10,MATCH(AB26,'Sources'!$B$7:$B$10,0)))),AD26/INDEX('Sources'!$G$7:$G$10,MATCH(AB26,'Sources'!$B$7:$B$10,0)),"")</f>
        <v/>
      </c>
      <c r="J26" s="27" t="inlineStr">
        <is>
          <t>EXACT</t>
        </is>
      </c>
      <c r="K26" s="27" t="inlineStr">
        <is>
          <t>2026-09-30</t>
        </is>
      </c>
      <c r="L26" s="71" t="n"/>
      <c r="M26" s="27" t="n"/>
      <c r="N26" s="28" t="inlineStr">
        <is>
          <t>https://www.gastrodax.de/hendi-gastronorm-behaelter-polykarbonat-transparent-gn-1-1-9-l-530-x-325-x-h-65-mm</t>
        </is>
      </c>
      <c r="O26" s="27" t="inlineStr">
        <is>
          <t>Hendi</t>
        </is>
      </c>
      <c r="P26" s="27" t="inlineStr">
        <is>
          <t>excl.</t>
        </is>
      </c>
      <c r="Q26" s="104" t="n"/>
      <c r="R26" s="27" t="n">
        <v>1</v>
      </c>
      <c r="S26" s="27" t="n"/>
      <c r="T26" s="27" t="inlineStr">
        <is>
          <t>EXACT</t>
        </is>
      </c>
      <c r="U26" s="27" t="inlineStr">
        <is>
          <t>Existing benchmark assignment and match quality retained.</t>
        </is>
      </c>
      <c r="V26" s="102" t="n">
        <v>22.43</v>
      </c>
      <c r="W26" s="102" t="n"/>
      <c r="X26" s="27" t="inlineStr">
        <is>
          <t>YES Gastro Austria Market Research.xlsx</t>
        </is>
      </c>
      <c r="Y26" s="27" t="n"/>
      <c r="Z26" s="27" t="n"/>
      <c r="AA26" s="27" t="n"/>
      <c r="AB26" s="27" t="inlineStr">
        <is>
          <t>EUR</t>
        </is>
      </c>
      <c r="AC26" s="27" t="inlineStr">
        <is>
          <t>yes</t>
        </is>
      </c>
      <c r="AD26" s="27">
        <f>IF(ISNUMBER(V26),V26,"")</f>
        <v/>
      </c>
      <c r="AE26" s="27">
        <f>IF(AND(AC26="yes",ISNUMBER(F26),IF('Compare'!$H$5="All mapped",TRUE,IF('Compare'!$H$5="EXACT only",J26="EXACT",OR(J26="EXACT",J26="CLOSE")))),"yes","no")</f>
        <v/>
      </c>
      <c r="AF26" s="27">
        <f>IF(ISNUMBER(H26),COUNTIFS($B$7:$B$608,B26,$C$7:$C$608,C26,$H$7:$H$608,"&lt;"&amp;H26,$AH$7:$AH$608,"yes")+COUNTIFS($B$7:B26,B26,$C$7:C26,C26,$H$7:H26,H26,$AH$7:AH26,"yes"),"")</f>
        <v/>
      </c>
      <c r="AG26" s="27">
        <f>IF(ISNUMBER(I26),COUNTIFS($B$7:$B$608,B26,$C$7:$C$608,C26,$I$7:$I$608,"&lt;"&amp;I26,$AI$7:$AI$608,"yes")+COUNTIFS($B$7:B26,B26,$C$7:C26,C26,$I$7:I26,I26,$AI$7:AI26,"yes"),"")</f>
        <v/>
      </c>
      <c r="AH26" s="27">
        <f>IF(ISNUMBER(H26),"yes","no")</f>
        <v/>
      </c>
      <c r="AI26" s="27">
        <f>IF(ISNUMBER(I26),"yes","no")</f>
        <v/>
      </c>
      <c r="AJ26" s="105" t="n">
        <v>46295</v>
      </c>
      <c r="AK26" s="27" t="n"/>
    </row>
    <row r="27" ht="42" customHeight="1">
      <c r="A27" s="2" t="n"/>
      <c r="B27" s="24" t="inlineStr">
        <is>
          <t>GN 1/1 PC container, 65 mm</t>
        </is>
      </c>
      <c r="C27" s="24" t="inlineStr">
        <is>
          <t>Austria</t>
        </is>
      </c>
      <c r="D27" s="24" t="inlineStr">
        <is>
          <t>Gastroladen.at (Harotec GmbH)</t>
        </is>
      </c>
      <c r="E27" s="24" t="inlineStr">
        <is>
          <t>Vogue Polycarbonat GN-Behälter GN1/1 65mm</t>
        </is>
      </c>
      <c r="F27" s="98" t="n">
        <v>12.49</v>
      </c>
      <c r="G27" s="24" t="inlineStr">
        <is>
          <t>EUR</t>
        </is>
      </c>
      <c r="H27" s="98">
        <f>IF(AND(AE27="yes",ISNUMBER(AD27)),AD27,"")</f>
        <v/>
      </c>
      <c r="I27" s="99">
        <f>IF(AND(AE27="yes",ISNUMBER(AD27),ISNUMBER(INDEX('Sources'!$G$7:$G$10,MATCH(AB27,'Sources'!$B$7:$B$10,0)))),AD27/INDEX('Sources'!$G$7:$G$10,MATCH(AB27,'Sources'!$B$7:$B$10,0)),"")</f>
        <v/>
      </c>
      <c r="J27" s="24" t="inlineStr">
        <is>
          <t>EXACT</t>
        </is>
      </c>
      <c r="K27" s="24" t="inlineStr">
        <is>
          <t>2026-09-30</t>
        </is>
      </c>
      <c r="L27" s="71" t="n"/>
      <c r="M27" s="24" t="inlineStr">
        <is>
          <t>Currently 'zurzeit nicht am Lager' (out of stock)</t>
        </is>
      </c>
      <c r="N27" s="25" t="inlineStr">
        <is>
          <t>https://www.gastroladen.at/3020@GN-U224/Vogue-Polycarbonat-GN-Beh%C3%A4lter-GN1-1-65mm.htm</t>
        </is>
      </c>
      <c r="O27" s="24" t="inlineStr">
        <is>
          <t>Vogue</t>
        </is>
      </c>
      <c r="P27" s="24" t="inlineStr">
        <is>
          <t>incl.</t>
        </is>
      </c>
      <c r="Q27" s="100" t="n"/>
      <c r="R27" s="24" t="n">
        <v>1</v>
      </c>
      <c r="S27" s="24" t="n"/>
      <c r="T27" s="24" t="inlineStr">
        <is>
          <t>EXACT</t>
        </is>
      </c>
      <c r="U27" s="24" t="inlineStr">
        <is>
          <t>Existing benchmark assignment and match quality retained.</t>
        </is>
      </c>
      <c r="V27" s="98" t="n">
        <v>10.41</v>
      </c>
      <c r="W27" s="98" t="n"/>
      <c r="X27" s="24" t="inlineStr">
        <is>
          <t>YES Gastro Austria Market Research.xlsx</t>
        </is>
      </c>
      <c r="Y27" s="24" t="n"/>
      <c r="Z27" s="24" t="n"/>
      <c r="AA27" s="24" t="n"/>
      <c r="AB27" s="24" t="inlineStr">
        <is>
          <t>EUR</t>
        </is>
      </c>
      <c r="AC27" s="24" t="inlineStr">
        <is>
          <t>yes</t>
        </is>
      </c>
      <c r="AD27" s="24">
        <f>IF(ISNUMBER(V27),V27,"")</f>
        <v/>
      </c>
      <c r="AE27" s="24">
        <f>IF(AND(AC27="yes",ISNUMBER(F27),IF('Compare'!$H$5="All mapped",TRUE,IF('Compare'!$H$5="EXACT only",J27="EXACT",OR(J27="EXACT",J27="CLOSE")))),"yes","no")</f>
        <v/>
      </c>
      <c r="AF27" s="24">
        <f>IF(ISNUMBER(H27),COUNTIFS($B$7:$B$608,B27,$C$7:$C$608,C27,$H$7:$H$608,"&lt;"&amp;H27,$AH$7:$AH$608,"yes")+COUNTIFS($B$7:B27,B27,$C$7:C27,C27,$H$7:H27,H27,$AH$7:AH27,"yes"),"")</f>
        <v/>
      </c>
      <c r="AG27" s="24">
        <f>IF(ISNUMBER(I27),COUNTIFS($B$7:$B$608,B27,$C$7:$C$608,C27,$I$7:$I$608,"&lt;"&amp;I27,$AI$7:$AI$608,"yes")+COUNTIFS($B$7:B27,B27,$C$7:C27,C27,$I$7:I27,I27,$AI$7:AI27,"yes"),"")</f>
        <v/>
      </c>
      <c r="AH27" s="24">
        <f>IF(ISNUMBER(H27),"yes","no")</f>
        <v/>
      </c>
      <c r="AI27" s="24">
        <f>IF(ISNUMBER(I27),"yes","no")</f>
        <v/>
      </c>
      <c r="AJ27" s="101" t="n">
        <v>46295</v>
      </c>
      <c r="AK27" s="24" t="n"/>
    </row>
    <row r="28" ht="42" customHeight="1">
      <c r="A28" s="2" t="n"/>
      <c r="B28" s="27" t="inlineStr">
        <is>
          <t>GN 1/1 PC container, 65 mm</t>
        </is>
      </c>
      <c r="C28" s="27" t="inlineStr">
        <is>
          <t>Austria</t>
        </is>
      </c>
      <c r="D28" s="27" t="inlineStr">
        <is>
          <t>Intergastro (AT shop)</t>
        </is>
      </c>
      <c r="E28" s="27" t="inlineStr">
        <is>
          <t>Gastronormbehälter GN 1/1 x 65 mm GN 94 Polycarbonat transparent</t>
        </is>
      </c>
      <c r="F28" s="102" t="n">
        <v>14.07</v>
      </c>
      <c r="G28" s="27" t="inlineStr">
        <is>
          <t>EUR</t>
        </is>
      </c>
      <c r="H28" s="102">
        <f>IF(AND(AE28="yes",ISNUMBER(AD28)),AD28,"")</f>
        <v/>
      </c>
      <c r="I28" s="103">
        <f>IF(AND(AE28="yes",ISNUMBER(AD28),ISNUMBER(INDEX('Sources'!$G$7:$G$10,MATCH(AB28,'Sources'!$B$7:$B$10,0)))),AD28/INDEX('Sources'!$G$7:$G$10,MATCH(AB28,'Sources'!$B$7:$B$10,0)),"")</f>
        <v/>
      </c>
      <c r="J28" s="27" t="inlineStr">
        <is>
          <t>EXACT</t>
        </is>
      </c>
      <c r="K28" s="27" t="inlineStr">
        <is>
          <t>2026-09-30</t>
        </is>
      </c>
      <c r="L28" s="71" t="n"/>
      <c r="M28" s="27" t="inlineStr">
        <is>
          <t>Gross 16.88 incl. 20% VAT; tier prices from 3 pcs</t>
        </is>
      </c>
      <c r="N28" s="28" t="inlineStr">
        <is>
          <t>https://www.intergastro.at/gastronormbehaelter-gn-1-1-x-65-mm-gn-94-polycarbonat-transparent-252042</t>
        </is>
      </c>
      <c r="O28" s="27" t="inlineStr">
        <is>
          <t>WAS Germany</t>
        </is>
      </c>
      <c r="P28" s="27" t="inlineStr">
        <is>
          <t>excl.</t>
        </is>
      </c>
      <c r="Q28" s="104" t="n"/>
      <c r="R28" s="27" t="n">
        <v>1</v>
      </c>
      <c r="S28" s="27" t="n"/>
      <c r="T28" s="27" t="inlineStr">
        <is>
          <t>EXACT</t>
        </is>
      </c>
      <c r="U28" s="27" t="inlineStr">
        <is>
          <t>Existing benchmark assignment and match quality retained.</t>
        </is>
      </c>
      <c r="V28" s="102" t="n">
        <v>14.07</v>
      </c>
      <c r="W28" s="102" t="n"/>
      <c r="X28" s="27" t="inlineStr">
        <is>
          <t>YES Gastro Austria Market Research.xlsx</t>
        </is>
      </c>
      <c r="Y28" s="27" t="n"/>
      <c r="Z28" s="27" t="n"/>
      <c r="AA28" s="27" t="n"/>
      <c r="AB28" s="27" t="inlineStr">
        <is>
          <t>EUR</t>
        </is>
      </c>
      <c r="AC28" s="27" t="inlineStr">
        <is>
          <t>yes</t>
        </is>
      </c>
      <c r="AD28" s="27">
        <f>IF(ISNUMBER(V28),V28,"")</f>
        <v/>
      </c>
      <c r="AE28" s="27">
        <f>IF(AND(AC28="yes",ISNUMBER(F28),IF('Compare'!$H$5="All mapped",TRUE,IF('Compare'!$H$5="EXACT only",J28="EXACT",OR(J28="EXACT",J28="CLOSE")))),"yes","no")</f>
        <v/>
      </c>
      <c r="AF28" s="27">
        <f>IF(ISNUMBER(H28),COUNTIFS($B$7:$B$608,B28,$C$7:$C$608,C28,$H$7:$H$608,"&lt;"&amp;H28,$AH$7:$AH$608,"yes")+COUNTIFS($B$7:B28,B28,$C$7:C28,C28,$H$7:H28,H28,$AH$7:AH28,"yes"),"")</f>
        <v/>
      </c>
      <c r="AG28" s="27">
        <f>IF(ISNUMBER(I28),COUNTIFS($B$7:$B$608,B28,$C$7:$C$608,C28,$I$7:$I$608,"&lt;"&amp;I28,$AI$7:$AI$608,"yes")+COUNTIFS($B$7:B28,B28,$C$7:C28,C28,$I$7:I28,I28,$AI$7:AI28,"yes"),"")</f>
        <v/>
      </c>
      <c r="AH28" s="27">
        <f>IF(ISNUMBER(H28),"yes","no")</f>
        <v/>
      </c>
      <c r="AI28" s="27">
        <f>IF(ISNUMBER(I28),"yes","no")</f>
        <v/>
      </c>
      <c r="AJ28" s="105" t="n">
        <v>46295</v>
      </c>
      <c r="AK28" s="27" t="n"/>
    </row>
    <row r="29" ht="42" customHeight="1">
      <c r="A29" s="2" t="n"/>
      <c r="B29" s="24" t="inlineStr">
        <is>
          <t>GN 1/1 PC container, 65 mm</t>
        </is>
      </c>
      <c r="C29" s="24" t="inlineStr">
        <is>
          <t>Austria</t>
        </is>
      </c>
      <c r="D29" s="24" t="inlineStr">
        <is>
          <t>shopbuero.com</t>
        </is>
      </c>
      <c r="E29" s="24" t="inlineStr">
        <is>
          <t>GN-Behälter - GN 1/1 (530 x 325 mm) - 65 mm - Inhalt 9,0 l - Polycarbonat</t>
        </is>
      </c>
      <c r="F29" s="98" t="n">
        <v>13.9</v>
      </c>
      <c r="G29" s="24" t="inlineStr">
        <is>
          <t>EUR</t>
        </is>
      </c>
      <c r="H29" s="98">
        <f>IF(AND(AE29="yes",ISNUMBER(AD29)),AD29,"")</f>
        <v/>
      </c>
      <c r="I29" s="99">
        <f>IF(AND(AE29="yes",ISNUMBER(AD29),ISNUMBER(INDEX('Sources'!$G$7:$G$10,MATCH(AB29,'Sources'!$B$7:$B$10,0)))),AD29/INDEX('Sources'!$G$7:$G$10,MATCH(AB29,'Sources'!$B$7:$B$10,0)),"")</f>
        <v/>
      </c>
      <c r="J29" s="24" t="inlineStr">
        <is>
          <t>EXACT</t>
        </is>
      </c>
      <c r="K29" s="24" t="inlineStr">
        <is>
          <t>2026-09-30</t>
        </is>
      </c>
      <c r="L29" s="71" t="n"/>
      <c r="M29" s="24" t="inlineStr">
        <is>
          <t>Regular price 22.55</t>
        </is>
      </c>
      <c r="N29" s="25" t="inlineStr">
        <is>
          <t>https://shopbuero.com/gn-behaelter-gn-1-1-530-x-325-mm-65-mm-inhalt-9-0-l-polycarbonat/530100-C</t>
        </is>
      </c>
      <c r="O29" s="24" t="inlineStr">
        <is>
          <t>Schneider</t>
        </is>
      </c>
      <c r="P29" s="24" t="inlineStr">
        <is>
          <t>excl.</t>
        </is>
      </c>
      <c r="Q29" s="100" t="n"/>
      <c r="R29" s="24" t="n">
        <v>1</v>
      </c>
      <c r="S29" s="24" t="n"/>
      <c r="T29" s="24" t="inlineStr">
        <is>
          <t>EXACT</t>
        </is>
      </c>
      <c r="U29" s="24" t="inlineStr">
        <is>
          <t>Existing benchmark assignment and match quality retained.</t>
        </is>
      </c>
      <c r="V29" s="98" t="n">
        <v>13.9</v>
      </c>
      <c r="W29" s="98" t="n"/>
      <c r="X29" s="24" t="inlineStr">
        <is>
          <t>YES Gastro Austria Market Research.xlsx</t>
        </is>
      </c>
      <c r="Y29" s="24" t="n"/>
      <c r="Z29" s="24" t="n"/>
      <c r="AA29" s="24" t="n"/>
      <c r="AB29" s="24" t="inlineStr">
        <is>
          <t>EUR</t>
        </is>
      </c>
      <c r="AC29" s="24" t="inlineStr">
        <is>
          <t>yes</t>
        </is>
      </c>
      <c r="AD29" s="24">
        <f>IF(ISNUMBER(V29),V29,"")</f>
        <v/>
      </c>
      <c r="AE29" s="24">
        <f>IF(AND(AC29="yes",ISNUMBER(F29),IF('Compare'!$H$5="All mapped",TRUE,IF('Compare'!$H$5="EXACT only",J29="EXACT",OR(J29="EXACT",J29="CLOSE")))),"yes","no")</f>
        <v/>
      </c>
      <c r="AF29" s="24">
        <f>IF(ISNUMBER(H29),COUNTIFS($B$7:$B$608,B29,$C$7:$C$608,C29,$H$7:$H$608,"&lt;"&amp;H29,$AH$7:$AH$608,"yes")+COUNTIFS($B$7:B29,B29,$C$7:C29,C29,$H$7:H29,H29,$AH$7:AH29,"yes"),"")</f>
        <v/>
      </c>
      <c r="AG29" s="24">
        <f>IF(ISNUMBER(I29),COUNTIFS($B$7:$B$608,B29,$C$7:$C$608,C29,$I$7:$I$608,"&lt;"&amp;I29,$AI$7:$AI$608,"yes")+COUNTIFS($B$7:B29,B29,$C$7:C29,C29,$I$7:I29,I29,$AI$7:AI29,"yes"),"")</f>
        <v/>
      </c>
      <c r="AH29" s="24">
        <f>IF(ISNUMBER(H29),"yes","no")</f>
        <v/>
      </c>
      <c r="AI29" s="24">
        <f>IF(ISNUMBER(I29),"yes","no")</f>
        <v/>
      </c>
      <c r="AJ29" s="101" t="n">
        <v>46295</v>
      </c>
      <c r="AK29" s="24" t="n"/>
    </row>
    <row r="30" ht="42" customHeight="1">
      <c r="A30" s="2" t="n"/>
      <c r="B30" s="27" t="inlineStr">
        <is>
          <t>GN 1/1 PC container, 65 mm</t>
        </is>
      </c>
      <c r="C30" s="27" t="inlineStr">
        <is>
          <t>Germany</t>
        </is>
      </c>
      <c r="D30" s="27" t="inlineStr">
        <is>
          <t>GGM Gastro</t>
        </is>
      </c>
      <c r="E30" s="27" t="inlineStr">
        <is>
          <t>(6 Stück) Polycarbonat-Behälter GN 1/1 - Transparent - Höhe: 65mm</t>
        </is>
      </c>
      <c r="F30" s="102" t="n">
        <v>44.99</v>
      </c>
      <c r="G30" s="27" t="inlineStr">
        <is>
          <t>EUR</t>
        </is>
      </c>
      <c r="H30" s="102">
        <f>IF(AND(AE30="yes",ISNUMBER(AD30)),AD30,"")</f>
        <v/>
      </c>
      <c r="I30" s="103">
        <f>IF(AND(AE30="yes",ISNUMBER(AD30),ISNUMBER(INDEX('Sources'!$G$7:$G$10,MATCH(AB30,'Sources'!$B$7:$B$10,0)))),AD30/INDEX('Sources'!$G$7:$G$10,MATCH(AB30,'Sources'!$B$7:$B$10,0)),"")</f>
        <v/>
      </c>
      <c r="J30" s="27" t="inlineStr">
        <is>
          <t>EXACT</t>
        </is>
      </c>
      <c r="K30" s="27" t="inlineStr">
        <is>
          <t>2026-09-30</t>
        </is>
      </c>
      <c r="L30" s="71" t="n"/>
      <c r="M30" s="27" t="inlineStr">
        <is>
          <t>RRP 87.99</t>
        </is>
      </c>
      <c r="N30" s="28" t="inlineStr">
        <is>
          <t>https://www.ggmgastro.com/de-de-eur/6-stueck-polycarbonat-behaelter-gn-1-1-transparent-hoehe-65mm-gpcp1165</t>
        </is>
      </c>
      <c r="O30" s="27" t="inlineStr">
        <is>
          <t>GGM</t>
        </is>
      </c>
      <c r="P30" s="27" t="inlineStr">
        <is>
          <t>excl.</t>
        </is>
      </c>
      <c r="Q30" s="104" t="n"/>
      <c r="R30" s="27" t="n">
        <v>6</v>
      </c>
      <c r="S30" s="27" t="inlineStr">
        <is>
          <t>set of 6</t>
        </is>
      </c>
      <c r="T30" s="27" t="inlineStr">
        <is>
          <t>EXACT</t>
        </is>
      </c>
      <c r="U30" s="27" t="inlineStr">
        <is>
          <t>Existing benchmark assignment and match quality retained.</t>
        </is>
      </c>
      <c r="V30" s="102" t="n">
        <v>7.5</v>
      </c>
      <c r="W30" s="102" t="n"/>
      <c r="X30" s="27" t="inlineStr">
        <is>
          <t>YES Gastro Germany Market Research.xlsx</t>
        </is>
      </c>
      <c r="Y30" s="27" t="n"/>
      <c r="Z30" s="27" t="n"/>
      <c r="AA30" s="27" t="n"/>
      <c r="AB30" s="27" t="inlineStr">
        <is>
          <t>EUR</t>
        </is>
      </c>
      <c r="AC30" s="27" t="inlineStr">
        <is>
          <t>yes</t>
        </is>
      </c>
      <c r="AD30" s="27">
        <f>IF(ISNUMBER(V30),V30,"")</f>
        <v/>
      </c>
      <c r="AE30" s="27">
        <f>IF(AND(AC30="yes",ISNUMBER(F30),IF('Compare'!$H$5="All mapped",TRUE,IF('Compare'!$H$5="EXACT only",J30="EXACT",OR(J30="EXACT",J30="CLOSE")))),"yes","no")</f>
        <v/>
      </c>
      <c r="AF30" s="27">
        <f>IF(ISNUMBER(H30),COUNTIFS($B$7:$B$608,B30,$C$7:$C$608,C30,$H$7:$H$608,"&lt;"&amp;H30,$AH$7:$AH$608,"yes")+COUNTIFS($B$7:B30,B30,$C$7:C30,C30,$H$7:H30,H30,$AH$7:AH30,"yes"),"")</f>
        <v/>
      </c>
      <c r="AG30" s="27">
        <f>IF(ISNUMBER(I30),COUNTIFS($B$7:$B$608,B30,$C$7:$C$608,C30,$I$7:$I$608,"&lt;"&amp;I30,$AI$7:$AI$608,"yes")+COUNTIFS($B$7:B30,B30,$C$7:C30,C30,$I$7:I30,I30,$AI$7:AI30,"yes"),"")</f>
        <v/>
      </c>
      <c r="AH30" s="27">
        <f>IF(ISNUMBER(H30),"yes","no")</f>
        <v/>
      </c>
      <c r="AI30" s="27">
        <f>IF(ISNUMBER(I30),"yes","no")</f>
        <v/>
      </c>
      <c r="AJ30" s="105" t="n">
        <v>46295</v>
      </c>
      <c r="AK30" s="27" t="n"/>
    </row>
    <row r="31" ht="42" customHeight="1">
      <c r="A31" s="2" t="n"/>
      <c r="B31" s="24" t="inlineStr">
        <is>
          <t>GN 1/1 PC container, 65 mm</t>
        </is>
      </c>
      <c r="C31" s="24" t="inlineStr">
        <is>
          <t>Germany</t>
        </is>
      </c>
      <c r="D31" s="24" t="inlineStr">
        <is>
          <t>GastroHero</t>
        </is>
      </c>
      <c r="E31" s="24" t="inlineStr">
        <is>
          <t>Schneider Polycarbonat GN 1/1 Behälter 65 mm, 8,5 l</t>
        </is>
      </c>
      <c r="F31" s="98" t="n">
        <v>14.29</v>
      </c>
      <c r="G31" s="24" t="inlineStr">
        <is>
          <t>EUR</t>
        </is>
      </c>
      <c r="H31" s="98">
        <f>IF(AND(AE31="yes",ISNUMBER(AD31)),AD31,"")</f>
        <v/>
      </c>
      <c r="I31" s="99">
        <f>IF(AND(AE31="yes",ISNUMBER(AD31),ISNUMBER(INDEX('Sources'!$G$7:$G$10,MATCH(AB31,'Sources'!$B$7:$B$10,0)))),AD31/INDEX('Sources'!$G$7:$G$10,MATCH(AB31,'Sources'!$B$7:$B$10,0)),"")</f>
        <v/>
      </c>
      <c r="J31" s="24" t="inlineStr">
        <is>
          <t>EXACT</t>
        </is>
      </c>
      <c r="K31" s="24" t="inlineStr">
        <is>
          <t>2026-09-30</t>
        </is>
      </c>
      <c r="L31" s="71" t="n"/>
      <c r="M31" s="24" t="inlineStr">
        <is>
          <t>Min. order qty 4</t>
        </is>
      </c>
      <c r="N31" s="25" t="inlineStr">
        <is>
          <t>https://www.gastro-hero.de/products/schneider-polycarbonat-gn-11-behaelter-65-mm-85-l-530100</t>
        </is>
      </c>
      <c r="O31" s="24" t="inlineStr">
        <is>
          <t>Schneider</t>
        </is>
      </c>
      <c r="P31" s="24" t="inlineStr">
        <is>
          <t>excl.</t>
        </is>
      </c>
      <c r="Q31" s="100" t="n"/>
      <c r="R31" s="24" t="n">
        <v>1</v>
      </c>
      <c r="S31" s="24" t="n"/>
      <c r="T31" s="24" t="inlineStr">
        <is>
          <t>EXACT</t>
        </is>
      </c>
      <c r="U31" s="24" t="inlineStr">
        <is>
          <t>Existing benchmark assignment and match quality retained.</t>
        </is>
      </c>
      <c r="V31" s="98" t="n">
        <v>14.29</v>
      </c>
      <c r="W31" s="98" t="n"/>
      <c r="X31" s="24" t="inlineStr">
        <is>
          <t>YES Gastro Germany Market Research.xlsx</t>
        </is>
      </c>
      <c r="Y31" s="24" t="n"/>
      <c r="Z31" s="24" t="n"/>
      <c r="AA31" s="24" t="n"/>
      <c r="AB31" s="24" t="inlineStr">
        <is>
          <t>EUR</t>
        </is>
      </c>
      <c r="AC31" s="24" t="inlineStr">
        <is>
          <t>yes</t>
        </is>
      </c>
      <c r="AD31" s="24">
        <f>IF(ISNUMBER(V31),V31,"")</f>
        <v/>
      </c>
      <c r="AE31" s="24">
        <f>IF(AND(AC31="yes",ISNUMBER(F31),IF('Compare'!$H$5="All mapped",TRUE,IF('Compare'!$H$5="EXACT only",J31="EXACT",OR(J31="EXACT",J31="CLOSE")))),"yes","no")</f>
        <v/>
      </c>
      <c r="AF31" s="24">
        <f>IF(ISNUMBER(H31),COUNTIFS($B$7:$B$608,B31,$C$7:$C$608,C31,$H$7:$H$608,"&lt;"&amp;H31,$AH$7:$AH$608,"yes")+COUNTIFS($B$7:B31,B31,$C$7:C31,C31,$H$7:H31,H31,$AH$7:AH31,"yes"),"")</f>
        <v/>
      </c>
      <c r="AG31" s="24">
        <f>IF(ISNUMBER(I31),COUNTIFS($B$7:$B$608,B31,$C$7:$C$608,C31,$I$7:$I$608,"&lt;"&amp;I31,$AI$7:$AI$608,"yes")+COUNTIFS($B$7:B31,B31,$C$7:C31,C31,$I$7:I31,I31,$AI$7:AI31,"yes"),"")</f>
        <v/>
      </c>
      <c r="AH31" s="24">
        <f>IF(ISNUMBER(H31),"yes","no")</f>
        <v/>
      </c>
      <c r="AI31" s="24">
        <f>IF(ISNUMBER(I31),"yes","no")</f>
        <v/>
      </c>
      <c r="AJ31" s="101" t="n">
        <v>46295</v>
      </c>
      <c r="AK31" s="24" t="n"/>
    </row>
    <row r="32" ht="42" customHeight="1">
      <c r="A32" s="2" t="n"/>
      <c r="B32" s="27" t="inlineStr">
        <is>
          <t>GN 1/1 PC container, 65 mm</t>
        </is>
      </c>
      <c r="C32" s="27" t="inlineStr">
        <is>
          <t>Germany</t>
        </is>
      </c>
      <c r="D32" s="27" t="inlineStr">
        <is>
          <t>Gastrodax [substitute]</t>
        </is>
      </c>
      <c r="E32" s="27" t="inlineStr">
        <is>
          <t>Hendi Gastronorm-Behälter 1/1, GN 1/1, 9L, Transparent, 530x325x(H)65mm – Polycarbonat</t>
        </is>
      </c>
      <c r="F32" s="102" t="n">
        <v>22.43</v>
      </c>
      <c r="G32" s="27" t="inlineStr">
        <is>
          <t>EUR</t>
        </is>
      </c>
      <c r="H32" s="102">
        <f>IF(AND(AE32="yes",ISNUMBER(AD32)),AD32,"")</f>
        <v/>
      </c>
      <c r="I32" s="103">
        <f>IF(AND(AE32="yes",ISNUMBER(AD32),ISNUMBER(INDEX('Sources'!$G$7:$G$10,MATCH(AB32,'Sources'!$B$7:$B$10,0)))),AD32/INDEX('Sources'!$G$7:$G$10,MATCH(AB32,'Sources'!$B$7:$B$10,0)),"")</f>
        <v/>
      </c>
      <c r="J32" s="27" t="inlineStr">
        <is>
          <t>EXACT</t>
        </is>
      </c>
      <c r="K32" s="27" t="inlineStr">
        <is>
          <t>2026-09-30</t>
        </is>
      </c>
      <c r="L32" s="71" t="n"/>
      <c r="M32" s="27" t="n"/>
      <c r="N32" s="28" t="inlineStr">
        <is>
          <t>https://www.gastrodax.de/hendi-gastronorm-behaelter-polykarbonat-transparent-gn-1-1-9-l-530-x-325-x-h-65-mm</t>
        </is>
      </c>
      <c r="O32" s="27" t="inlineStr">
        <is>
          <t>Hendi</t>
        </is>
      </c>
      <c r="P32" s="27" t="inlineStr">
        <is>
          <t>excl.</t>
        </is>
      </c>
      <c r="Q32" s="104" t="n"/>
      <c r="R32" s="27" t="n">
        <v>1</v>
      </c>
      <c r="S32" s="27" t="n"/>
      <c r="T32" s="27" t="inlineStr">
        <is>
          <t>EXACT</t>
        </is>
      </c>
      <c r="U32" s="27" t="inlineStr">
        <is>
          <t>Existing benchmark assignment and match quality retained.</t>
        </is>
      </c>
      <c r="V32" s="102" t="n">
        <v>22.43</v>
      </c>
      <c r="W32" s="102" t="n"/>
      <c r="X32" s="27" t="inlineStr">
        <is>
          <t>YES Gastro Germany Market Research.xlsx</t>
        </is>
      </c>
      <c r="Y32" s="27" t="n"/>
      <c r="Z32" s="27" t="n"/>
      <c r="AA32" s="27" t="n"/>
      <c r="AB32" s="27" t="inlineStr">
        <is>
          <t>EUR</t>
        </is>
      </c>
      <c r="AC32" s="27" t="inlineStr">
        <is>
          <t>yes</t>
        </is>
      </c>
      <c r="AD32" s="27">
        <f>IF(ISNUMBER(V32),V32,"")</f>
        <v/>
      </c>
      <c r="AE32" s="27">
        <f>IF(AND(AC32="yes",ISNUMBER(F32),IF('Compare'!$H$5="All mapped",TRUE,IF('Compare'!$H$5="EXACT only",J32="EXACT",OR(J32="EXACT",J32="CLOSE")))),"yes","no")</f>
        <v/>
      </c>
      <c r="AF32" s="27">
        <f>IF(ISNUMBER(H32),COUNTIFS($B$7:$B$608,B32,$C$7:$C$608,C32,$H$7:$H$608,"&lt;"&amp;H32,$AH$7:$AH$608,"yes")+COUNTIFS($B$7:B32,B32,$C$7:C32,C32,$H$7:H32,H32,$AH$7:AH32,"yes"),"")</f>
        <v/>
      </c>
      <c r="AG32" s="27">
        <f>IF(ISNUMBER(I32),COUNTIFS($B$7:$B$608,B32,$C$7:$C$608,C32,$I$7:$I$608,"&lt;"&amp;I32,$AI$7:$AI$608,"yes")+COUNTIFS($B$7:B32,B32,$C$7:C32,C32,$I$7:I32,I32,$AI$7:AI32,"yes"),"")</f>
        <v/>
      </c>
      <c r="AH32" s="27">
        <f>IF(ISNUMBER(H32),"yes","no")</f>
        <v/>
      </c>
      <c r="AI32" s="27">
        <f>IF(ISNUMBER(I32),"yes","no")</f>
        <v/>
      </c>
      <c r="AJ32" s="105" t="n">
        <v>46295</v>
      </c>
      <c r="AK32" s="27" t="n"/>
    </row>
    <row r="33" ht="42" customHeight="1">
      <c r="A33" s="2" t="n"/>
      <c r="B33" s="24" t="inlineStr">
        <is>
          <t>GN 1/1 PC container, 65 mm</t>
        </is>
      </c>
      <c r="C33" s="24" t="inlineStr">
        <is>
          <t>Germany</t>
        </is>
      </c>
      <c r="D33" s="24" t="inlineStr">
        <is>
          <t>Gastroladen.de (Harotec GmbH) [substitute]</t>
        </is>
      </c>
      <c r="E33" s="24" t="inlineStr">
        <is>
          <t>Vogue Polycarbonat GN-Behälter GN1/1 65mm</t>
        </is>
      </c>
      <c r="F33" s="98" t="n">
        <v>12.39</v>
      </c>
      <c r="G33" s="24" t="inlineStr">
        <is>
          <t>EUR</t>
        </is>
      </c>
      <c r="H33" s="98">
        <f>IF(AND(AE33="yes",ISNUMBER(AD33)),AD33,"")</f>
        <v/>
      </c>
      <c r="I33" s="99">
        <f>IF(AND(AE33="yes",ISNUMBER(AD33),ISNUMBER(INDEX('Sources'!$G$7:$G$10,MATCH(AB33,'Sources'!$B$7:$B$10,0)))),AD33/INDEX('Sources'!$G$7:$G$10,MATCH(AB33,'Sources'!$B$7:$B$10,0)),"")</f>
        <v/>
      </c>
      <c r="J33" s="24" t="inlineStr">
        <is>
          <t>EXACT</t>
        </is>
      </c>
      <c r="K33" s="24" t="inlineStr">
        <is>
          <t>2026-09-30</t>
        </is>
      </c>
      <c r="L33" s="71" t="n"/>
      <c r="M33" s="24" t="n"/>
      <c r="N33" s="25" t="inlineStr">
        <is>
          <t>https://www.gastroladen.de/3020@GN-U224/Vogue-Polycarbonat-GN-Beh%C3%A4lter-GN1-1-65mm.htm</t>
        </is>
      </c>
      <c r="O33" s="24" t="inlineStr">
        <is>
          <t>Vogue</t>
        </is>
      </c>
      <c r="P33" s="24" t="inlineStr">
        <is>
          <t>incl.</t>
        </is>
      </c>
      <c r="Q33" s="100" t="n"/>
      <c r="R33" s="24" t="n">
        <v>1</v>
      </c>
      <c r="S33" s="24" t="n"/>
      <c r="T33" s="24" t="inlineStr">
        <is>
          <t>EXACT</t>
        </is>
      </c>
      <c r="U33" s="24" t="inlineStr">
        <is>
          <t>Existing benchmark assignment and match quality retained.</t>
        </is>
      </c>
      <c r="V33" s="98" t="n">
        <v>10.41</v>
      </c>
      <c r="W33" s="98" t="n"/>
      <c r="X33" s="24" t="inlineStr">
        <is>
          <t>YES Gastro Germany Market Research.xlsx</t>
        </is>
      </c>
      <c r="Y33" s="24" t="n"/>
      <c r="Z33" s="24" t="n"/>
      <c r="AA33" s="24" t="n"/>
      <c r="AB33" s="24" t="inlineStr">
        <is>
          <t>EUR</t>
        </is>
      </c>
      <c r="AC33" s="24" t="inlineStr">
        <is>
          <t>yes</t>
        </is>
      </c>
      <c r="AD33" s="24">
        <f>IF(ISNUMBER(V33),V33,"")</f>
        <v/>
      </c>
      <c r="AE33" s="24">
        <f>IF(AND(AC33="yes",ISNUMBER(F33),IF('Compare'!$H$5="All mapped",TRUE,IF('Compare'!$H$5="EXACT only",J33="EXACT",OR(J33="EXACT",J33="CLOSE")))),"yes","no")</f>
        <v/>
      </c>
      <c r="AF33" s="24">
        <f>IF(ISNUMBER(H33),COUNTIFS($B$7:$B$608,B33,$C$7:$C$608,C33,$H$7:$H$608,"&lt;"&amp;H33,$AH$7:$AH$608,"yes")+COUNTIFS($B$7:B33,B33,$C$7:C33,C33,$H$7:H33,H33,$AH$7:AH33,"yes"),"")</f>
        <v/>
      </c>
      <c r="AG33" s="24">
        <f>IF(ISNUMBER(I33),COUNTIFS($B$7:$B$608,B33,$C$7:$C$608,C33,$I$7:$I$608,"&lt;"&amp;I33,$AI$7:$AI$608,"yes")+COUNTIFS($B$7:B33,B33,$C$7:C33,C33,$I$7:I33,I33,$AI$7:AI33,"yes"),"")</f>
        <v/>
      </c>
      <c r="AH33" s="24">
        <f>IF(ISNUMBER(H33),"yes","no")</f>
        <v/>
      </c>
      <c r="AI33" s="24">
        <f>IF(ISNUMBER(I33),"yes","no")</f>
        <v/>
      </c>
      <c r="AJ33" s="101" t="n">
        <v>46295</v>
      </c>
      <c r="AK33" s="24" t="n"/>
    </row>
    <row r="34" ht="42" customHeight="1">
      <c r="A34" s="2" t="n"/>
      <c r="B34" s="27" t="inlineStr">
        <is>
          <t>GN 1/1 PC container, 65 mm</t>
        </is>
      </c>
      <c r="C34" s="27" t="inlineStr">
        <is>
          <t>Germany</t>
        </is>
      </c>
      <c r="D34" s="27" t="inlineStr">
        <is>
          <t>Intergastro</t>
        </is>
      </c>
      <c r="E34" s="27" t="inlineStr">
        <is>
          <t>Gastronormbehälter GN 1/1 x 65 mm GN 94 Polycarbonat transparent</t>
        </is>
      </c>
      <c r="F34" s="102" t="n">
        <v>14.07</v>
      </c>
      <c r="G34" s="27" t="inlineStr">
        <is>
          <t>EUR</t>
        </is>
      </c>
      <c r="H34" s="102">
        <f>IF(AND(AE34="yes",ISNUMBER(AD34)),AD34,"")</f>
        <v/>
      </c>
      <c r="I34" s="103">
        <f>IF(AND(AE34="yes",ISNUMBER(AD34),ISNUMBER(INDEX('Sources'!$G$7:$G$10,MATCH(AB34,'Sources'!$B$7:$B$10,0)))),AD34/INDEX('Sources'!$G$7:$G$10,MATCH(AB34,'Sources'!$B$7:$B$10,0)),"")</f>
        <v/>
      </c>
      <c r="J34" s="27" t="inlineStr">
        <is>
          <t>EXACT</t>
        </is>
      </c>
      <c r="K34" s="27" t="inlineStr">
        <is>
          <t>2026-09-30</t>
        </is>
      </c>
      <c r="L34" s="71" t="n"/>
      <c r="M34" s="27" t="inlineStr">
        <is>
          <t>Gross 16.74 incl. 19% VAT; tier prices from 3 pcs</t>
        </is>
      </c>
      <c r="N34" s="28" t="inlineStr">
        <is>
          <t>https://www.intergastro.de/gastronormbehaelter-gn-1-1-x-65-mm-gn-94-polycarbonat-transparent-252042</t>
        </is>
      </c>
      <c r="O34" s="27" t="inlineStr">
        <is>
          <t>WAS Germany</t>
        </is>
      </c>
      <c r="P34" s="27" t="inlineStr">
        <is>
          <t>excl.</t>
        </is>
      </c>
      <c r="Q34" s="104" t="n"/>
      <c r="R34" s="27" t="n">
        <v>1</v>
      </c>
      <c r="S34" s="27" t="n"/>
      <c r="T34" s="27" t="inlineStr">
        <is>
          <t>EXACT</t>
        </is>
      </c>
      <c r="U34" s="27" t="inlineStr">
        <is>
          <t>Existing benchmark assignment and match quality retained.</t>
        </is>
      </c>
      <c r="V34" s="102" t="n">
        <v>14.07</v>
      </c>
      <c r="W34" s="102" t="n"/>
      <c r="X34" s="27" t="inlineStr">
        <is>
          <t>YES Gastro Germany Market Research.xlsx</t>
        </is>
      </c>
      <c r="Y34" s="27" t="n"/>
      <c r="Z34" s="27" t="n"/>
      <c r="AA34" s="27" t="n"/>
      <c r="AB34" s="27" t="inlineStr">
        <is>
          <t>EUR</t>
        </is>
      </c>
      <c r="AC34" s="27" t="inlineStr">
        <is>
          <t>yes</t>
        </is>
      </c>
      <c r="AD34" s="27">
        <f>IF(ISNUMBER(V34),V34,"")</f>
        <v/>
      </c>
      <c r="AE34" s="27">
        <f>IF(AND(AC34="yes",ISNUMBER(F34),IF('Compare'!$H$5="All mapped",TRUE,IF('Compare'!$H$5="EXACT only",J34="EXACT",OR(J34="EXACT",J34="CLOSE")))),"yes","no")</f>
        <v/>
      </c>
      <c r="AF34" s="27">
        <f>IF(ISNUMBER(H34),COUNTIFS($B$7:$B$608,B34,$C$7:$C$608,C34,$H$7:$H$608,"&lt;"&amp;H34,$AH$7:$AH$608,"yes")+COUNTIFS($B$7:B34,B34,$C$7:C34,C34,$H$7:H34,H34,$AH$7:AH34,"yes"),"")</f>
        <v/>
      </c>
      <c r="AG34" s="27">
        <f>IF(ISNUMBER(I34),COUNTIFS($B$7:$B$608,B34,$C$7:$C$608,C34,$I$7:$I$608,"&lt;"&amp;I34,$AI$7:$AI$608,"yes")+COUNTIFS($B$7:B34,B34,$C$7:C34,C34,$I$7:I34,I34,$AI$7:AI34,"yes"),"")</f>
        <v/>
      </c>
      <c r="AH34" s="27">
        <f>IF(ISNUMBER(H34),"yes","no")</f>
        <v/>
      </c>
      <c r="AI34" s="27">
        <f>IF(ISNUMBER(I34),"yes","no")</f>
        <v/>
      </c>
      <c r="AJ34" s="105" t="n">
        <v>46295</v>
      </c>
      <c r="AK34" s="27" t="n"/>
    </row>
    <row r="35" ht="42" customHeight="1">
      <c r="A35" s="2" t="n"/>
      <c r="B35" s="24" t="inlineStr">
        <is>
          <t>GN 1/1 PC container, 65 mm</t>
        </is>
      </c>
      <c r="C35" s="24" t="inlineStr">
        <is>
          <t>Germany</t>
        </is>
      </c>
      <c r="D35" s="24" t="inlineStr">
        <is>
          <t>Nisbets</t>
        </is>
      </c>
      <c r="E35" s="24" t="inlineStr">
        <is>
          <t>Vogue Polycarbonat GN-Behälter GN1/1 65mm</t>
        </is>
      </c>
      <c r="F35" s="98" t="n">
        <v>7.26</v>
      </c>
      <c r="G35" s="24" t="inlineStr">
        <is>
          <t>EUR</t>
        </is>
      </c>
      <c r="H35" s="98">
        <f>IF(AND(AE35="yes",ISNUMBER(AD35)),AD35,"")</f>
        <v/>
      </c>
      <c r="I35" s="99">
        <f>IF(AND(AE35="yes",ISNUMBER(AD35),ISNUMBER(INDEX('Sources'!$G$7:$G$10,MATCH(AB35,'Sources'!$B$7:$B$10,0)))),AD35/INDEX('Sources'!$G$7:$G$10,MATCH(AB35,'Sources'!$B$7:$B$10,0)),"")</f>
        <v/>
      </c>
      <c r="J35" s="24" t="inlineStr">
        <is>
          <t>EXACT</t>
        </is>
      </c>
      <c r="K35" s="24" t="inlineStr">
        <is>
          <t>2026-09-30</t>
        </is>
      </c>
      <c r="L35" s="71" t="n"/>
      <c r="M35" s="24" t="inlineStr">
        <is>
          <t>Reduced web price (UVP 15.29, -53%); 'Nicht vorrätig' (out of stock) on 2026-09-30</t>
        </is>
      </c>
      <c r="N35" s="25" t="inlineStr">
        <is>
          <t>https://www.nisbets.de/vogue-polycarbonat-gn-behlter-65mm/u224</t>
        </is>
      </c>
      <c r="O35" s="24" t="inlineStr">
        <is>
          <t>Vogue</t>
        </is>
      </c>
      <c r="P35" s="24" t="inlineStr">
        <is>
          <t>excl.</t>
        </is>
      </c>
      <c r="Q35" s="100" t="n"/>
      <c r="R35" s="24" t="n">
        <v>1</v>
      </c>
      <c r="S35" s="24" t="n"/>
      <c r="T35" s="24" t="inlineStr">
        <is>
          <t>EXACT</t>
        </is>
      </c>
      <c r="U35" s="24" t="inlineStr">
        <is>
          <t>Existing benchmark assignment and match quality retained.</t>
        </is>
      </c>
      <c r="V35" s="98" t="n">
        <v>7.26</v>
      </c>
      <c r="W35" s="98" t="n"/>
      <c r="X35" s="24" t="inlineStr">
        <is>
          <t>YES Gastro Germany Market Research.xlsx</t>
        </is>
      </c>
      <c r="Y35" s="24" t="n"/>
      <c r="Z35" s="24" t="n"/>
      <c r="AA35" s="24" t="n"/>
      <c r="AB35" s="24" t="inlineStr">
        <is>
          <t>EUR</t>
        </is>
      </c>
      <c r="AC35" s="24" t="inlineStr">
        <is>
          <t>yes</t>
        </is>
      </c>
      <c r="AD35" s="24">
        <f>IF(ISNUMBER(V35),V35,"")</f>
        <v/>
      </c>
      <c r="AE35" s="24">
        <f>IF(AND(AC35="yes",ISNUMBER(F35),IF('Compare'!$H$5="All mapped",TRUE,IF('Compare'!$H$5="EXACT only",J35="EXACT",OR(J35="EXACT",J35="CLOSE")))),"yes","no")</f>
        <v/>
      </c>
      <c r="AF35" s="24">
        <f>IF(ISNUMBER(H35),COUNTIFS($B$7:$B$608,B35,$C$7:$C$608,C35,$H$7:$H$608,"&lt;"&amp;H35,$AH$7:$AH$608,"yes")+COUNTIFS($B$7:B35,B35,$C$7:C35,C35,$H$7:H35,H35,$AH$7:AH35,"yes"),"")</f>
        <v/>
      </c>
      <c r="AG35" s="24">
        <f>IF(ISNUMBER(I35),COUNTIFS($B$7:$B$608,B35,$C$7:$C$608,C35,$I$7:$I$608,"&lt;"&amp;I35,$AI$7:$AI$608,"yes")+COUNTIFS($B$7:B35,B35,$C$7:C35,C35,$I$7:I35,I35,$AI$7:AI35,"yes"),"")</f>
        <v/>
      </c>
      <c r="AH35" s="24">
        <f>IF(ISNUMBER(H35),"yes","no")</f>
        <v/>
      </c>
      <c r="AI35" s="24">
        <f>IF(ISNUMBER(I35),"yes","no")</f>
        <v/>
      </c>
      <c r="AJ35" s="101" t="n">
        <v>46295</v>
      </c>
      <c r="AK35" s="24" t="n"/>
    </row>
    <row r="36" ht="52" customHeight="1">
      <c r="A36" s="2" t="n"/>
      <c r="B36" s="27" t="inlineStr">
        <is>
          <t>GN 1/1 PC container, 65 mm</t>
        </is>
      </c>
      <c r="C36" s="27" t="inlineStr">
        <is>
          <t>Czech</t>
        </is>
      </c>
      <c r="D36" s="27" t="inlineStr">
        <is>
          <t>GGM Gastro (CZ storefront)</t>
        </is>
      </c>
      <c r="E36" s="27" t="inlineStr">
        <is>
          <t>(6 ks) Gastronádoba GN GN 1/1 - polykarbonát - čirá - Výška: 65 mm</t>
        </is>
      </c>
      <c r="F36" s="102" t="n">
        <v>1143.69</v>
      </c>
      <c r="G36" s="27" t="inlineStr">
        <is>
          <t>CZK</t>
        </is>
      </c>
      <c r="H36" s="102">
        <f>IF(AND(AE36="yes",ISNUMBER(AD36)),AD36,"")</f>
        <v/>
      </c>
      <c r="I36" s="103">
        <f>IF(AND(AE36="yes",ISNUMBER(AD36),ISNUMBER(INDEX('Sources'!$G$7:$G$10,MATCH(AB36,'Sources'!$B$7:$B$10,0)))),AD36/INDEX('Sources'!$G$7:$G$10,MATCH(AB36,'Sources'!$B$7:$B$10,0)),"")</f>
        <v/>
      </c>
      <c r="J36" s="27" t="inlineStr">
        <is>
          <t>EXACT</t>
        </is>
      </c>
      <c r="K36" s="27" t="inlineStr">
        <is>
          <t>2026-09-30</t>
        </is>
      </c>
      <c r="L36" s="71" t="n"/>
      <c r="M36" s="27" t="inlineStr">
        <is>
          <t>Net CZK price as displayed; page footnote: "* čistá cena | hrubá cena vč. 19% DPH" (German VAT 19% used on the CZ storefront). SKU GPCP1165, pack of 6; gross 1,360.99 CZK; delivery 5-6 weeks.</t>
        </is>
      </c>
      <c r="N36" s="28" t="inlineStr">
        <is>
          <t>https://www.ggmgastro.com/cs-cz-czk/6-ks-gastronadoba-gn-gn-1-1-polykarbonat-cira-vyska-65-mm-gpcp1165</t>
        </is>
      </c>
      <c r="O36" s="27" t="inlineStr">
        <is>
          <t>GGM</t>
        </is>
      </c>
      <c r="P36" s="27" t="inlineStr">
        <is>
          <t>excl.</t>
        </is>
      </c>
      <c r="Q36" s="104" t="n">
        <v>0.19</v>
      </c>
      <c r="R36" s="27" t="n">
        <v>6</v>
      </c>
      <c r="S36" s="27" t="inlineStr">
        <is>
          <t>per pack</t>
        </is>
      </c>
      <c r="T36" s="27" t="inlineStr">
        <is>
          <t>EXACT</t>
        </is>
      </c>
      <c r="U36" s="27" t="inlineStr">
        <is>
          <t>Existing benchmark assignment and match quality retained.</t>
        </is>
      </c>
      <c r="V36" s="102" t="n"/>
      <c r="W36" s="102" t="n"/>
      <c r="X36" s="27" t="inlineStr">
        <is>
          <t>YES Gastro Czech Market Research.xlsx</t>
        </is>
      </c>
      <c r="Y36" s="27" t="n"/>
      <c r="Z36" s="27" t="n"/>
      <c r="AA36" s="27" t="n"/>
      <c r="AB36" s="27" t="inlineStr">
        <is>
          <t>CZK</t>
        </is>
      </c>
      <c r="AC36" s="27" t="inlineStr">
        <is>
          <t>yes</t>
        </is>
      </c>
      <c r="AD36" s="27">
        <f>IF(OR(F36="",Q36="",R36=""),"",ROUND(IF(P36="incl.",F36/(1+Q36),F36)/IF(S36="per pack",R36,1),2))</f>
        <v/>
      </c>
      <c r="AE36" s="27">
        <f>IF(AND(AC36="yes",ISNUMBER(F36),IF('Compare'!$H$5="All mapped",TRUE,IF('Compare'!$H$5="EXACT only",J36="EXACT",OR(J36="EXACT",J36="CLOSE")))),"yes","no")</f>
        <v/>
      </c>
      <c r="AF36" s="27">
        <f>IF(ISNUMBER(H36),COUNTIFS($B$7:$B$608,B36,$C$7:$C$608,C36,$H$7:$H$608,"&lt;"&amp;H36,$AH$7:$AH$608,"yes")+COUNTIFS($B$7:B36,B36,$C$7:C36,C36,$H$7:H36,H36,$AH$7:AH36,"yes"),"")</f>
        <v/>
      </c>
      <c r="AG36" s="27">
        <f>IF(ISNUMBER(I36),COUNTIFS($B$7:$B$608,B36,$C$7:$C$608,C36,$I$7:$I$608,"&lt;"&amp;I36,$AI$7:$AI$608,"yes")+COUNTIFS($B$7:B36,B36,$C$7:C36,C36,$I$7:I36,I36,$AI$7:AI36,"yes"),"")</f>
        <v/>
      </c>
      <c r="AH36" s="27">
        <f>IF(ISNUMBER(H36),"yes","no")</f>
        <v/>
      </c>
      <c r="AI36" s="27">
        <f>IF(ISNUMBER(I36),"yes","no")</f>
        <v/>
      </c>
      <c r="AJ36" s="105" t="n">
        <v>46295</v>
      </c>
      <c r="AK36" s="27" t="n"/>
    </row>
    <row r="37" ht="42" customHeight="1">
      <c r="A37" s="2" t="n"/>
      <c r="B37" s="24" t="inlineStr">
        <is>
          <t>GN 1/1 PC container, 65 mm</t>
        </is>
      </c>
      <c r="C37" s="24" t="inlineStr">
        <is>
          <t>Czech</t>
        </is>
      </c>
      <c r="D37" s="24" t="inlineStr">
        <is>
          <t>Gastro Novotný</t>
        </is>
      </c>
      <c r="E37" s="24" t="inlineStr">
        <is>
          <t>Gastronádoba PC 1/1 100</t>
        </is>
      </c>
      <c r="F37" s="98" t="n">
        <v>289</v>
      </c>
      <c r="G37" s="24" t="inlineStr">
        <is>
          <t>CZK</t>
        </is>
      </c>
      <c r="H37" s="98">
        <f>IF(AND(AE37="yes",ISNUMBER(AD37)),AD37,"")</f>
        <v/>
      </c>
      <c r="I37" s="99">
        <f>IF(AND(AE37="yes",ISNUMBER(AD37),ISNUMBER(INDEX('Sources'!$G$7:$G$10,MATCH(AB37,'Sources'!$B$7:$B$10,0)))),AD37/INDEX('Sources'!$G$7:$G$10,MATCH(AB37,'Sources'!$B$7:$B$10,0)),"")</f>
        <v/>
      </c>
      <c r="J37" s="24" t="inlineStr">
        <is>
          <t>APPROX</t>
        </is>
      </c>
      <c r="K37" s="24" t="inlineStr">
        <is>
          <t>2026-09-30</t>
        </is>
      </c>
      <c r="L37" s="71" t="n"/>
      <c r="M37" s="24" t="inlineStr">
        <is>
          <t>Polycarbonate GN 1/1 but 100 mm deep (no 65 mm PC listed; PC range 1/1 = 100 and 200 mm only). 349.69 CZK incl. VAT. Availability "Na dotaz".</t>
        </is>
      </c>
      <c r="N37" s="25" t="inlineStr">
        <is>
          <t>https://eshop.gastronovotny.cz/gastronadoba-pc-1-1-100--0835126/</t>
        </is>
      </c>
      <c r="O37" s="24" t="n"/>
      <c r="P37" s="24" t="inlineStr">
        <is>
          <t>excl.</t>
        </is>
      </c>
      <c r="Q37" s="100" t="n">
        <v>0.21</v>
      </c>
      <c r="R37" s="24" t="n">
        <v>1</v>
      </c>
      <c r="S37" s="24" t="inlineStr">
        <is>
          <t>per piece</t>
        </is>
      </c>
      <c r="T37" s="24" t="inlineStr">
        <is>
          <t>APPROX</t>
        </is>
      </c>
      <c r="U37" s="24" t="inlineStr">
        <is>
          <t>Existing benchmark assignment and match quality retained.</t>
        </is>
      </c>
      <c r="V37" s="98" t="n"/>
      <c r="W37" s="98" t="n"/>
      <c r="X37" s="24" t="inlineStr">
        <is>
          <t>YES Gastro Czech Market Research.xlsx</t>
        </is>
      </c>
      <c r="Y37" s="24" t="n"/>
      <c r="Z37" s="24" t="n"/>
      <c r="AA37" s="24" t="n"/>
      <c r="AB37" s="24" t="inlineStr">
        <is>
          <t>CZK</t>
        </is>
      </c>
      <c r="AC37" s="24" t="inlineStr">
        <is>
          <t>yes</t>
        </is>
      </c>
      <c r="AD37" s="24">
        <f>IF(OR(F37="",Q37="",R37=""),"",ROUND(IF(P37="incl.",F37/(1+Q37),F37)/IF(S37="per pack",R37,1),2))</f>
        <v/>
      </c>
      <c r="AE37" s="24">
        <f>IF(AND(AC37="yes",ISNUMBER(F37),IF('Compare'!$H$5="All mapped",TRUE,IF('Compare'!$H$5="EXACT only",J37="EXACT",OR(J37="EXACT",J37="CLOSE")))),"yes","no")</f>
        <v/>
      </c>
      <c r="AF37" s="24">
        <f>IF(ISNUMBER(H37),COUNTIFS($B$7:$B$608,B37,$C$7:$C$608,C37,$H$7:$H$608,"&lt;"&amp;H37,$AH$7:$AH$608,"yes")+COUNTIFS($B$7:B37,B37,$C$7:C37,C37,$H$7:H37,H37,$AH$7:AH37,"yes"),"")</f>
        <v/>
      </c>
      <c r="AG37" s="24">
        <f>IF(ISNUMBER(I37),COUNTIFS($B$7:$B$608,B37,$C$7:$C$608,C37,$I$7:$I$608,"&lt;"&amp;I37,$AI$7:$AI$608,"yes")+COUNTIFS($B$7:B37,B37,$C$7:C37,C37,$I$7:I37,I37,$AI$7:AI37,"yes"),"")</f>
        <v/>
      </c>
      <c r="AH37" s="24">
        <f>IF(ISNUMBER(H37),"yes","no")</f>
        <v/>
      </c>
      <c r="AI37" s="24">
        <f>IF(ISNUMBER(I37),"yes","no")</f>
        <v/>
      </c>
      <c r="AJ37" s="101" t="n">
        <v>46295</v>
      </c>
      <c r="AK37" s="24" t="n"/>
    </row>
    <row r="38" ht="52" customHeight="1">
      <c r="A38" s="2" t="n"/>
      <c r="B38" s="27" t="inlineStr">
        <is>
          <t>GN 1/1 PC container, 65 mm</t>
        </is>
      </c>
      <c r="C38" s="27" t="inlineStr">
        <is>
          <t>Czech</t>
        </is>
      </c>
      <c r="D38" s="27" t="inlineStr">
        <is>
          <t>Gastromania</t>
        </is>
      </c>
      <c r="E38" s="27" t="inlineStr">
        <is>
          <t>Gastronádoba z polykarbonátu GN 1/1 65 mm | HENDI, Profi Line</t>
        </is>
      </c>
      <c r="F38" s="102" t="n">
        <v>262</v>
      </c>
      <c r="G38" s="27" t="inlineStr">
        <is>
          <t>CZK</t>
        </is>
      </c>
      <c r="H38" s="102">
        <f>IF(AND(AE38="yes",ISNUMBER(AD38)),AD38,"")</f>
        <v/>
      </c>
      <c r="I38" s="103">
        <f>IF(AND(AE38="yes",ISNUMBER(AD38),ISNUMBER(INDEX('Sources'!$G$7:$G$10,MATCH(AB38,'Sources'!$B$7:$B$10,0)))),AD38/INDEX('Sources'!$G$7:$G$10,MATCH(AB38,'Sources'!$B$7:$B$10,0)),"")</f>
        <v/>
      </c>
      <c r="J38" s="27" t="inlineStr">
        <is>
          <t>EXACT</t>
        </is>
      </c>
      <c r="K38" s="27" t="inlineStr">
        <is>
          <t>2026-09-30</t>
        </is>
      </c>
      <c r="L38" s="71" t="n"/>
      <c r="M38" s="27" t="inlineStr">
        <is>
          <t>PC, 9 l. Current price 262 CZK excl. / 317 incl. is an "Outlet" discount from 368 excl. / 445 incl. (30-day low shown 445). Regular-priced alternative: Stalgast Bufet PC GN 1/1 65 mm 286 excl. / 346 incl.</t>
        </is>
      </c>
      <c r="N38" s="28" t="inlineStr">
        <is>
          <t>https://www.gastromania.cz/gastronadoby-polykarbonatove/gastronadoba-z-polykarbonatu-gn-1-1-65-mm-hendi-profi-line</t>
        </is>
      </c>
      <c r="O38" s="27" t="inlineStr">
        <is>
          <t>Hendi</t>
        </is>
      </c>
      <c r="P38" s="27" t="inlineStr">
        <is>
          <t>excl.</t>
        </is>
      </c>
      <c r="Q38" s="104" t="n">
        <v>0.21</v>
      </c>
      <c r="R38" s="27" t="n">
        <v>1</v>
      </c>
      <c r="S38" s="27" t="inlineStr">
        <is>
          <t>per piece</t>
        </is>
      </c>
      <c r="T38" s="27" t="inlineStr">
        <is>
          <t>EXACT</t>
        </is>
      </c>
      <c r="U38" s="27" t="inlineStr">
        <is>
          <t>Existing benchmark assignment and match quality retained.</t>
        </is>
      </c>
      <c r="V38" s="102" t="n"/>
      <c r="W38" s="102" t="n"/>
      <c r="X38" s="27" t="inlineStr">
        <is>
          <t>YES Gastro Czech Market Research.xlsx</t>
        </is>
      </c>
      <c r="Y38" s="27" t="n"/>
      <c r="Z38" s="27" t="n"/>
      <c r="AA38" s="27" t="n"/>
      <c r="AB38" s="27" t="inlineStr">
        <is>
          <t>CZK</t>
        </is>
      </c>
      <c r="AC38" s="27" t="inlineStr">
        <is>
          <t>yes</t>
        </is>
      </c>
      <c r="AD38" s="27">
        <f>IF(OR(F38="",Q38="",R38=""),"",ROUND(IF(P38="incl.",F38/(1+Q38),F38)/IF(S38="per pack",R38,1),2))</f>
        <v/>
      </c>
      <c r="AE38" s="27">
        <f>IF(AND(AC38="yes",ISNUMBER(F38),IF('Compare'!$H$5="All mapped",TRUE,IF('Compare'!$H$5="EXACT only",J38="EXACT",OR(J38="EXACT",J38="CLOSE")))),"yes","no")</f>
        <v/>
      </c>
      <c r="AF38" s="27">
        <f>IF(ISNUMBER(H38),COUNTIFS($B$7:$B$608,B38,$C$7:$C$608,C38,$H$7:$H$608,"&lt;"&amp;H38,$AH$7:$AH$608,"yes")+COUNTIFS($B$7:B38,B38,$C$7:C38,C38,$H$7:H38,H38,$AH$7:AH38,"yes"),"")</f>
        <v/>
      </c>
      <c r="AG38" s="27">
        <f>IF(ISNUMBER(I38),COUNTIFS($B$7:$B$608,B38,$C$7:$C$608,C38,$I$7:$I$608,"&lt;"&amp;I38,$AI$7:$AI$608,"yes")+COUNTIFS($B$7:B38,B38,$C$7:C38,C38,$I$7:I38,I38,$AI$7:AI38,"yes"),"")</f>
        <v/>
      </c>
      <c r="AH38" s="27">
        <f>IF(ISNUMBER(H38),"yes","no")</f>
        <v/>
      </c>
      <c r="AI38" s="27">
        <f>IF(ISNUMBER(I38),"yes","no")</f>
        <v/>
      </c>
      <c r="AJ38" s="105" t="n">
        <v>46295</v>
      </c>
      <c r="AK38" s="27" t="n"/>
    </row>
    <row r="39" ht="42" customHeight="1">
      <c r="A39" s="2" t="n"/>
      <c r="B39" s="24" t="inlineStr">
        <is>
          <t>GN 1/1 PC container, 65 mm</t>
        </is>
      </c>
      <c r="C39" s="24" t="inlineStr">
        <is>
          <t>Czech</t>
        </is>
      </c>
      <c r="D39" s="24" t="inlineStr">
        <is>
          <t>Gastrozone</t>
        </is>
      </c>
      <c r="E39" s="24" t="inlineStr">
        <is>
          <t>ARAVEN Gastronádoba GN 1/1, polykarbonát, hloubka: 65 mm, objem: 8,6 L</t>
        </is>
      </c>
      <c r="F39" s="98" t="n">
        <v>502</v>
      </c>
      <c r="G39" s="24" t="inlineStr">
        <is>
          <t>CZK</t>
        </is>
      </c>
      <c r="H39" s="98">
        <f>IF(AND(AE39="yes",ISNUMBER(AD39)),AD39,"")</f>
        <v/>
      </c>
      <c r="I39" s="99">
        <f>IF(AND(AE39="yes",ISNUMBER(AD39),ISNUMBER(INDEX('Sources'!$G$7:$G$10,MATCH(AB39,'Sources'!$B$7:$B$10,0)))),AD39/INDEX('Sources'!$G$7:$G$10,MATCH(AB39,'Sources'!$B$7:$B$10,0)),"")</f>
        <v/>
      </c>
      <c r="J39" s="24" t="inlineStr">
        <is>
          <t>EXACT</t>
        </is>
      </c>
      <c r="K39" s="24" t="inlineStr">
        <is>
          <t>2026-09-30</t>
        </is>
      </c>
      <c r="L39" s="71" t="n"/>
      <c r="M39" s="24" t="inlineStr">
        <is>
          <t>414.88 CZK bez DPH; availability "Na objednávku (3-5 týdnů)". In-stock alternative: ARAVEN PC GN 1/1 65 mm with integrated label 601 CZK.</t>
        </is>
      </c>
      <c r="N39" s="25" t="inlineStr">
        <is>
          <t>https://www.gastrozone.cz/araven-gn-box-1-1-polykarbonat-hloubka-65-mm-objem-8-6-l.html</t>
        </is>
      </c>
      <c r="O39" s="24" t="inlineStr">
        <is>
          <t>Araven</t>
        </is>
      </c>
      <c r="P39" s="24" t="inlineStr">
        <is>
          <t>incl.</t>
        </is>
      </c>
      <c r="Q39" s="100" t="n">
        <v>0.21</v>
      </c>
      <c r="R39" s="24" t="n">
        <v>1</v>
      </c>
      <c r="S39" s="24" t="inlineStr">
        <is>
          <t>per piece</t>
        </is>
      </c>
      <c r="T39" s="24" t="inlineStr">
        <is>
          <t>EXACT</t>
        </is>
      </c>
      <c r="U39" s="24" t="inlineStr">
        <is>
          <t>Existing benchmark assignment and match quality retained.</t>
        </is>
      </c>
      <c r="V39" s="98" t="n"/>
      <c r="W39" s="98" t="n"/>
      <c r="X39" s="24" t="inlineStr">
        <is>
          <t>YES Gastro Czech Market Research.xlsx</t>
        </is>
      </c>
      <c r="Y39" s="24" t="n"/>
      <c r="Z39" s="24" t="n"/>
      <c r="AA39" s="24" t="n"/>
      <c r="AB39" s="24" t="inlineStr">
        <is>
          <t>CZK</t>
        </is>
      </c>
      <c r="AC39" s="24" t="inlineStr">
        <is>
          <t>yes</t>
        </is>
      </c>
      <c r="AD39" s="24">
        <f>IF(OR(F39="",Q39="",R39=""),"",ROUND(IF(P39="incl.",F39/(1+Q39),F39)/IF(S39="per pack",R39,1),2))</f>
        <v/>
      </c>
      <c r="AE39" s="24">
        <f>IF(AND(AC39="yes",ISNUMBER(F39),IF('Compare'!$H$5="All mapped",TRUE,IF('Compare'!$H$5="EXACT only",J39="EXACT",OR(J39="EXACT",J39="CLOSE")))),"yes","no")</f>
        <v/>
      </c>
      <c r="AF39" s="24">
        <f>IF(ISNUMBER(H39),COUNTIFS($B$7:$B$608,B39,$C$7:$C$608,C39,$H$7:$H$608,"&lt;"&amp;H39,$AH$7:$AH$608,"yes")+COUNTIFS($B$7:B39,B39,$C$7:C39,C39,$H$7:H39,H39,$AH$7:AH39,"yes"),"")</f>
        <v/>
      </c>
      <c r="AG39" s="24">
        <f>IF(ISNUMBER(I39),COUNTIFS($B$7:$B$608,B39,$C$7:$C$608,C39,$I$7:$I$608,"&lt;"&amp;I39,$AI$7:$AI$608,"yes")+COUNTIFS($B$7:B39,B39,$C$7:C39,C39,$I$7:I39,I39,$AI$7:AI39,"yes"),"")</f>
        <v/>
      </c>
      <c r="AH39" s="24">
        <f>IF(ISNUMBER(H39),"yes","no")</f>
        <v/>
      </c>
      <c r="AI39" s="24">
        <f>IF(ISNUMBER(I39),"yes","no")</f>
        <v/>
      </c>
      <c r="AJ39" s="101" t="n">
        <v>46295</v>
      </c>
      <c r="AK39" s="24" t="n"/>
    </row>
    <row r="40" ht="42" customHeight="1">
      <c r="A40" s="2" t="n"/>
      <c r="B40" s="27" t="inlineStr">
        <is>
          <t>GN 1/1 PC container, 65 mm</t>
        </is>
      </c>
      <c r="C40" s="27" t="inlineStr">
        <is>
          <t>Czech</t>
        </is>
      </c>
      <c r="D40" s="27" t="inlineStr">
        <is>
          <t>TOMGAST</t>
        </is>
      </c>
      <c r="E40" s="27" t="inlineStr">
        <is>
          <t>Gastronádoba polykarbonátová GN 1/1 65 mm</t>
        </is>
      </c>
      <c r="F40" s="102" t="n">
        <v>401</v>
      </c>
      <c r="G40" s="27" t="inlineStr">
        <is>
          <t>CZK</t>
        </is>
      </c>
      <c r="H40" s="102">
        <f>IF(AND(AE40="yes",ISNUMBER(AD40)),AD40,"")</f>
        <v/>
      </c>
      <c r="I40" s="103">
        <f>IF(AND(AE40="yes",ISNUMBER(AD40),ISNUMBER(INDEX('Sources'!$G$7:$G$10,MATCH(AB40,'Sources'!$B$7:$B$10,0)))),AD40/INDEX('Sources'!$G$7:$G$10,MATCH(AB40,'Sources'!$B$7:$B$10,0)),"")</f>
        <v/>
      </c>
      <c r="J40" s="27" t="inlineStr">
        <is>
          <t>EXACT</t>
        </is>
      </c>
      <c r="K40" s="27" t="inlineStr">
        <is>
          <t>2026-09-30</t>
        </is>
      </c>
      <c r="L40" s="71" t="n"/>
      <c r="M40" s="27" t="inlineStr">
        <is>
          <t>Code R-M211065; site shows 331 CZK bez DPH; in stock</t>
        </is>
      </c>
      <c r="N40" s="28" t="inlineStr">
        <is>
          <t>https://www.tomgast.cz/gastronadoba-polykarbonatova-gn-1-1-65-mm/</t>
        </is>
      </c>
      <c r="O40" s="27" t="inlineStr">
        <is>
          <t>Cambro</t>
        </is>
      </c>
      <c r="P40" s="27" t="inlineStr">
        <is>
          <t>incl.</t>
        </is>
      </c>
      <c r="Q40" s="104" t="n">
        <v>0.21</v>
      </c>
      <c r="R40" s="27" t="n">
        <v>1</v>
      </c>
      <c r="S40" s="27" t="inlineStr">
        <is>
          <t>per piece</t>
        </is>
      </c>
      <c r="T40" s="27" t="inlineStr">
        <is>
          <t>EXACT</t>
        </is>
      </c>
      <c r="U40" s="27" t="inlineStr">
        <is>
          <t>Existing benchmark assignment and match quality retained.</t>
        </is>
      </c>
      <c r="V40" s="102" t="n"/>
      <c r="W40" s="102" t="n"/>
      <c r="X40" s="27" t="inlineStr">
        <is>
          <t>YES Gastro Czech Market Research.xlsx</t>
        </is>
      </c>
      <c r="Y40" s="27" t="n"/>
      <c r="Z40" s="27" t="n"/>
      <c r="AA40" s="27" t="n"/>
      <c r="AB40" s="27" t="inlineStr">
        <is>
          <t>CZK</t>
        </is>
      </c>
      <c r="AC40" s="27" t="inlineStr">
        <is>
          <t>yes</t>
        </is>
      </c>
      <c r="AD40" s="27">
        <f>IF(OR(F40="",Q40="",R40=""),"",ROUND(IF(P40="incl.",F40/(1+Q40),F40)/IF(S40="per pack",R40,1),2))</f>
        <v/>
      </c>
      <c r="AE40" s="27">
        <f>IF(AND(AC40="yes",ISNUMBER(F40),IF('Compare'!$H$5="All mapped",TRUE,IF('Compare'!$H$5="EXACT only",J40="EXACT",OR(J40="EXACT",J40="CLOSE")))),"yes","no")</f>
        <v/>
      </c>
      <c r="AF40" s="27">
        <f>IF(ISNUMBER(H40),COUNTIFS($B$7:$B$608,B40,$C$7:$C$608,C40,$H$7:$H$608,"&lt;"&amp;H40,$AH$7:$AH$608,"yes")+COUNTIFS($B$7:B40,B40,$C$7:C40,C40,$H$7:H40,H40,$AH$7:AH40,"yes"),"")</f>
        <v/>
      </c>
      <c r="AG40" s="27">
        <f>IF(ISNUMBER(I40),COUNTIFS($B$7:$B$608,B40,$C$7:$C$608,C40,$I$7:$I$608,"&lt;"&amp;I40,$AI$7:$AI$608,"yes")+COUNTIFS($B$7:B40,B40,$C$7:C40,C40,$I$7:I40,I40,$AI$7:AI40,"yes"),"")</f>
        <v/>
      </c>
      <c r="AH40" s="27">
        <f>IF(ISNUMBER(H40),"yes","no")</f>
        <v/>
      </c>
      <c r="AI40" s="27">
        <f>IF(ISNUMBER(I40),"yes","no")</f>
        <v/>
      </c>
      <c r="AJ40" s="105" t="n">
        <v>46295</v>
      </c>
      <c r="AK40" s="27" t="n"/>
    </row>
    <row r="41" ht="42" customHeight="1">
      <c r="A41" s="2" t="n"/>
      <c r="B41" s="24" t="inlineStr">
        <is>
          <t>GN 1/1 PC container, 65 mm</t>
        </is>
      </c>
      <c r="C41" s="24" t="inlineStr">
        <is>
          <t>Slovakia</t>
        </is>
      </c>
      <c r="D41" s="24" t="inlineStr">
        <is>
          <t>Gastromania.sk (GASTROMANIA CZ s.r.o., CZ)</t>
        </is>
      </c>
      <c r="E41" s="24" t="inlineStr">
        <is>
          <t>Polykarbonátová gastronádoba GN1/1 65 mm | CONTACTO, 8211/065</t>
        </is>
      </c>
      <c r="F41" s="98" t="n">
        <v>20.48</v>
      </c>
      <c r="G41" s="24" t="inlineStr">
        <is>
          <t>EUR</t>
        </is>
      </c>
      <c r="H41" s="98">
        <f>IF(AND(AE41="yes",ISNUMBER(AD41)),AD41,"")</f>
        <v/>
      </c>
      <c r="I41" s="99">
        <f>IF(AND(AE41="yes",ISNUMBER(AD41),ISNUMBER(INDEX('Sources'!$G$7:$G$10,MATCH(AB41,'Sources'!$B$7:$B$10,0)))),AD41/INDEX('Sources'!$G$7:$G$10,MATCH(AB41,'Sources'!$B$7:$B$10,0)),"")</f>
        <v/>
      </c>
      <c r="J41" s="24" t="inlineStr">
        <is>
          <t>EXACT</t>
        </is>
      </c>
      <c r="K41" s="24" t="inlineStr">
        <is>
          <t>2026-09-30</t>
        </is>
      </c>
      <c r="L41" s="71" t="n"/>
      <c r="M41" s="24" t="inlineStr">
        <is>
          <t>Listed 'Cena bez DPH' 20.48 EUR / 'Cena s DPH' 25.19 EUR. PC, GN 1/1, 65 mm, 8,5 l. Promo price; base 22,75 bez DPH / 27,98 s DPH. Availability 30 days.</t>
        </is>
      </c>
      <c r="N41" s="25" t="inlineStr">
        <is>
          <t>https://gastromania.sk/gastronadoby-polykarbonatove/polykarbonatova-gastronadoba-gn1-1-65-mm-contacto-8211-065</t>
        </is>
      </c>
      <c r="O41" s="24" t="inlineStr">
        <is>
          <t>Contacto</t>
        </is>
      </c>
      <c r="P41" s="24" t="inlineStr">
        <is>
          <t>excl.</t>
        </is>
      </c>
      <c r="Q41" s="100" t="inlineStr">
        <is>
          <t>n/a</t>
        </is>
      </c>
      <c r="R41" s="24" t="n">
        <v>1</v>
      </c>
      <c r="S41" s="24" t="inlineStr">
        <is>
          <t>per piece</t>
        </is>
      </c>
      <c r="T41" s="24" t="inlineStr">
        <is>
          <t>EXACT</t>
        </is>
      </c>
      <c r="U41" s="24" t="inlineStr">
        <is>
          <t>Existing benchmark assignment and match quality retained.</t>
        </is>
      </c>
      <c r="V41" s="98" t="n">
        <v>20.48</v>
      </c>
      <c r="W41" s="98" t="n"/>
      <c r="X41" s="24" t="inlineStr">
        <is>
          <t>YES Gastro Slovakia Market Research.xlsx</t>
        </is>
      </c>
      <c r="Y41" s="24" t="n"/>
      <c r="Z41" s="24" t="n"/>
      <c r="AA41" s="24" t="n"/>
      <c r="AB41" s="24" t="inlineStr">
        <is>
          <t>EUR</t>
        </is>
      </c>
      <c r="AC41" s="24" t="inlineStr">
        <is>
          <t>yes</t>
        </is>
      </c>
      <c r="AD41" s="24">
        <f>IF(ISNUMBER(V41),V41,"")</f>
        <v/>
      </c>
      <c r="AE41" s="24">
        <f>IF(AND(AC41="yes",ISNUMBER(F41),IF('Compare'!$H$5="All mapped",TRUE,IF('Compare'!$H$5="EXACT only",J41="EXACT",OR(J41="EXACT",J41="CLOSE")))),"yes","no")</f>
        <v/>
      </c>
      <c r="AF41" s="24">
        <f>IF(ISNUMBER(H41),COUNTIFS($B$7:$B$608,B41,$C$7:$C$608,C41,$H$7:$H$608,"&lt;"&amp;H41,$AH$7:$AH$608,"yes")+COUNTIFS($B$7:B41,B41,$C$7:C41,C41,$H$7:H41,H41,$AH$7:AH41,"yes"),"")</f>
        <v/>
      </c>
      <c r="AG41" s="24">
        <f>IF(ISNUMBER(I41),COUNTIFS($B$7:$B$608,B41,$C$7:$C$608,C41,$I$7:$I$608,"&lt;"&amp;I41,$AI$7:$AI$608,"yes")+COUNTIFS($B$7:B41,B41,$C$7:C41,C41,$I$7:I41,I41,$AI$7:AI41,"yes"),"")</f>
        <v/>
      </c>
      <c r="AH41" s="24">
        <f>IF(ISNUMBER(H41),"yes","no")</f>
        <v/>
      </c>
      <c r="AI41" s="24">
        <f>IF(ISNUMBER(I41),"yes","no")</f>
        <v/>
      </c>
      <c r="AJ41" s="101" t="n">
        <v>46295</v>
      </c>
      <c r="AK41" s="24" t="n"/>
    </row>
    <row r="42" ht="42" customHeight="1">
      <c r="A42" s="2" t="n"/>
      <c r="B42" s="27" t="inlineStr">
        <is>
          <t>GN 1/1 PC container, 65 mm</t>
        </is>
      </c>
      <c r="C42" s="27" t="inlineStr">
        <is>
          <t>Slovakia</t>
        </is>
      </c>
      <c r="D42" s="27" t="inlineStr">
        <is>
          <t>Gastrozone.sk (GASTROZONE, spol. s r.o., CZ)</t>
        </is>
      </c>
      <c r="E42" s="27" t="inlineStr">
        <is>
          <t>ARAVEN Gastronádoba GN 1/1, polykarbonát, Hĺbka: 65 mm, Objem: 8,6 L</t>
        </is>
      </c>
      <c r="F42" s="102" t="n">
        <v>20.24</v>
      </c>
      <c r="G42" s="27" t="inlineStr">
        <is>
          <t>EUR</t>
        </is>
      </c>
      <c r="H42" s="102">
        <f>IF(AND(AE42="yes",ISNUMBER(AD42)),AD42,"")</f>
        <v/>
      </c>
      <c r="I42" s="103">
        <f>IF(AND(AE42="yes",ISNUMBER(AD42),ISNUMBER(INDEX('Sources'!$G$7:$G$10,MATCH(AB42,'Sources'!$B$7:$B$10,0)))),AD42/INDEX('Sources'!$G$7:$G$10,MATCH(AB42,'Sources'!$B$7:$B$10,0)),"")</f>
        <v/>
      </c>
      <c r="J42" s="27" t="inlineStr">
        <is>
          <t>EXACT</t>
        </is>
      </c>
      <c r="K42" s="27" t="inlineStr">
        <is>
          <t>2026-09-30</t>
        </is>
      </c>
      <c r="L42" s="71" t="n"/>
      <c r="M42" s="27" t="inlineStr">
        <is>
          <t>Page shows 20,24 EUR / 16,46 EUR bez DPH. Availability: to order (3-5 weeks).</t>
        </is>
      </c>
      <c r="N42" s="28" t="inlineStr">
        <is>
          <t>https://www.gastrozone.sk/araven-gn-box-1-1-polykarbonat-hloubka-65-mm-objem-8-6-l.html</t>
        </is>
      </c>
      <c r="O42" s="27" t="inlineStr">
        <is>
          <t>Araven</t>
        </is>
      </c>
      <c r="P42" s="27" t="inlineStr">
        <is>
          <t>incl.</t>
        </is>
      </c>
      <c r="Q42" s="104" t="n">
        <v>0.23</v>
      </c>
      <c r="R42" s="27" t="n">
        <v>1</v>
      </c>
      <c r="S42" s="27" t="inlineStr">
        <is>
          <t>per piece</t>
        </is>
      </c>
      <c r="T42" s="27" t="inlineStr">
        <is>
          <t>EXACT</t>
        </is>
      </c>
      <c r="U42" s="27" t="inlineStr">
        <is>
          <t>Existing benchmark assignment and match quality retained.</t>
        </is>
      </c>
      <c r="V42" s="102" t="n">
        <v>16.4552845528455</v>
      </c>
      <c r="W42" s="102" t="n"/>
      <c r="X42" s="27" t="inlineStr">
        <is>
          <t>YES Gastro Slovakia Market Research.xlsx</t>
        </is>
      </c>
      <c r="Y42" s="27" t="n"/>
      <c r="Z42" s="27" t="n"/>
      <c r="AA42" s="27" t="n"/>
      <c r="AB42" s="27" t="inlineStr">
        <is>
          <t>EUR</t>
        </is>
      </c>
      <c r="AC42" s="27" t="inlineStr">
        <is>
          <t>yes</t>
        </is>
      </c>
      <c r="AD42" s="27">
        <f>IF(ISNUMBER(V42),V42,"")</f>
        <v/>
      </c>
      <c r="AE42" s="27">
        <f>IF(AND(AC42="yes",ISNUMBER(F42),IF('Compare'!$H$5="All mapped",TRUE,IF('Compare'!$H$5="EXACT only",J42="EXACT",OR(J42="EXACT",J42="CLOSE")))),"yes","no")</f>
        <v/>
      </c>
      <c r="AF42" s="27">
        <f>IF(ISNUMBER(H42),COUNTIFS($B$7:$B$608,B42,$C$7:$C$608,C42,$H$7:$H$608,"&lt;"&amp;H42,$AH$7:$AH$608,"yes")+COUNTIFS($B$7:B42,B42,$C$7:C42,C42,$H$7:H42,H42,$AH$7:AH42,"yes"),"")</f>
        <v/>
      </c>
      <c r="AG42" s="27">
        <f>IF(ISNUMBER(I42),COUNTIFS($B$7:$B$608,B42,$C$7:$C$608,C42,$I$7:$I$608,"&lt;"&amp;I42,$AI$7:$AI$608,"yes")+COUNTIFS($B$7:B42,B42,$C$7:C42,C42,$I$7:I42,I42,$AI$7:AI42,"yes"),"")</f>
        <v/>
      </c>
      <c r="AH42" s="27">
        <f>IF(ISNUMBER(H42),"yes","no")</f>
        <v/>
      </c>
      <c r="AI42" s="27">
        <f>IF(ISNUMBER(I42),"yes","no")</f>
        <v/>
      </c>
      <c r="AJ42" s="105" t="n">
        <v>46295</v>
      </c>
      <c r="AK42" s="27" t="n"/>
    </row>
    <row r="43" ht="42" customHeight="1">
      <c r="A43" s="2" t="n"/>
      <c r="B43" s="24" t="inlineStr">
        <is>
          <t>GN 1/2 PC container, 150 mm</t>
        </is>
      </c>
      <c r="C43" s="24" t="inlineStr">
        <is>
          <t>Hungary</t>
        </is>
      </c>
      <c r="D43" s="24" t="inlineStr">
        <is>
          <t>Attase</t>
        </is>
      </c>
      <c r="E43" s="24" t="inlineStr">
        <is>
          <t>GN 1/2 150 - Polycarbonate</t>
        </is>
      </c>
      <c r="F43" s="98" t="n">
        <v>3129</v>
      </c>
      <c r="G43" s="24" t="inlineStr">
        <is>
          <t>HUF</t>
        </is>
      </c>
      <c r="H43" s="98">
        <f>IF(AND(AE43="yes",ISNUMBER(AD43)),AD43,"")</f>
        <v/>
      </c>
      <c r="I43" s="99">
        <f>IF(AND(AE43="yes",ISNUMBER(AD43),ISNUMBER(INDEX('Sources'!$G$7:$G$10,MATCH(AB43,'Sources'!$B$7:$B$10,0)))),AD43/INDEX('Sources'!$G$7:$G$10,MATCH(AB43,'Sources'!$B$7:$B$10,0)),"")</f>
        <v/>
      </c>
      <c r="J43" s="24" t="inlineStr">
        <is>
          <t>EXACT</t>
        </is>
      </c>
      <c r="K43" s="24" t="inlineStr">
        <is>
          <t>08.06.2026</t>
        </is>
      </c>
      <c r="L43" s="71" t="n"/>
      <c r="M43" s="24" t="inlineStr">
        <is>
          <t>Source sheet: GN Containers; size: GN 1/2 150; material: Polycarbonate</t>
        </is>
      </c>
      <c r="N43" s="25" t="inlineStr">
        <is>
          <t>https://www.attase.hu/konyhai-eszkozok/gn-edeny/polikarbonat-gn-edenyek</t>
        </is>
      </c>
      <c r="O43" s="24" t="n"/>
      <c r="P43" s="24" t="n"/>
      <c r="Q43" s="100" t="n"/>
      <c r="R43" s="24" t="n"/>
      <c r="S43" s="24" t="n"/>
      <c r="T43" s="24" t="n"/>
      <c r="U43" s="24" t="inlineStr">
        <is>
          <t>GN size, depth and material agree. Colour is unrestricted in the benchmark.</t>
        </is>
      </c>
      <c r="V43" s="98" t="n"/>
      <c r="W43" s="98" t="n">
        <v>3129</v>
      </c>
      <c r="X43" s="24" t="inlineStr">
        <is>
          <t>YES Gastro Hungary Market Research.xlsx</t>
        </is>
      </c>
      <c r="Y43" s="24" t="n"/>
      <c r="Z43" s="24" t="n"/>
      <c r="AA43" s="24" t="inlineStr">
        <is>
          <t>Direct</t>
        </is>
      </c>
      <c r="AB43" s="24" t="inlineStr">
        <is>
          <t>HUF</t>
        </is>
      </c>
      <c r="AC43" s="24" t="inlineStr">
        <is>
          <t>yes</t>
        </is>
      </c>
      <c r="AD43" s="24">
        <f>IF(ISNUMBER(F43),IF(G43=AB43,F43,IF(AND(ISNUMBER(INDEX('Sources'!$G$7:$G$10,MATCH(G43,'Sources'!$B$7:$B$10,0))),ISNUMBER(INDEX('Sources'!$G$7:$G$10,MATCH(AB43,'Sources'!$B$7:$B$10,0)))),F43/INDEX('Sources'!$G$7:$G$10,MATCH(G43,'Sources'!$B$7:$B$10,0))*INDEX('Sources'!$G$7:$G$10,MATCH(AB43,'Sources'!$B$7:$B$10,0)),"")),"")</f>
        <v/>
      </c>
      <c r="AE43" s="24">
        <f>IF(AND(AC43="yes",ISNUMBER(F43),IF('Compare'!$H$5="All mapped",TRUE,IF('Compare'!$H$5="EXACT only",J43="EXACT",OR(J43="EXACT",J43="CLOSE")))),"yes","no")</f>
        <v/>
      </c>
      <c r="AF43" s="24">
        <f>IF(ISNUMBER(H43),COUNTIFS($B$7:$B$608,B43,$C$7:$C$608,C43,$H$7:$H$608,"&lt;"&amp;H43,$AH$7:$AH$608,"yes")+COUNTIFS($B$7:B43,B43,$C$7:C43,C43,$H$7:H43,H43,$AH$7:AH43,"yes"),"")</f>
        <v/>
      </c>
      <c r="AG43" s="24">
        <f>IF(ISNUMBER(I43),COUNTIFS($B$7:$B$608,B43,$C$7:$C$608,C43,$I$7:$I$608,"&lt;"&amp;I43,$AI$7:$AI$608,"yes")+COUNTIFS($B$7:B43,B43,$C$7:C43,C43,$I$7:I43,I43,$AI$7:AI43,"yes"),"")</f>
        <v/>
      </c>
      <c r="AH43" s="24">
        <f>IF(ISNUMBER(H43),"yes","no")</f>
        <v/>
      </c>
      <c r="AI43" s="24">
        <f>IF(ISNUMBER(I43),"yes","no")</f>
        <v/>
      </c>
      <c r="AJ43" s="101" t="n">
        <v>46181</v>
      </c>
      <c r="AK43" s="24" t="n"/>
    </row>
    <row r="44" ht="42" customHeight="1">
      <c r="A44" s="2" t="n"/>
      <c r="B44" s="27" t="inlineStr">
        <is>
          <t>GN 1/2 PC container, 150 mm</t>
        </is>
      </c>
      <c r="C44" s="27" t="inlineStr">
        <is>
          <t>Hungary</t>
        </is>
      </c>
      <c r="D44" s="27" t="inlineStr">
        <is>
          <t>Gammo</t>
        </is>
      </c>
      <c r="E44" s="27" t="inlineStr">
        <is>
          <t>GN 1/2 150 - Polycarbonate</t>
        </is>
      </c>
      <c r="F44" s="102" t="n">
        <v>2340</v>
      </c>
      <c r="G44" s="27" t="inlineStr">
        <is>
          <t>HUF</t>
        </is>
      </c>
      <c r="H44" s="102">
        <f>IF(AND(AE44="yes",ISNUMBER(AD44)),AD44,"")</f>
        <v/>
      </c>
      <c r="I44" s="103">
        <f>IF(AND(AE44="yes",ISNUMBER(AD44),ISNUMBER(INDEX('Sources'!$G$7:$G$10,MATCH(AB44,'Sources'!$B$7:$B$10,0)))),AD44/INDEX('Sources'!$G$7:$G$10,MATCH(AB44,'Sources'!$B$7:$B$10,0)),"")</f>
        <v/>
      </c>
      <c r="J44" s="27" t="inlineStr">
        <is>
          <t>EXACT</t>
        </is>
      </c>
      <c r="K44" s="27" t="inlineStr">
        <is>
          <t>08.06.2026</t>
        </is>
      </c>
      <c r="L44" s="71" t="n"/>
      <c r="M44" s="27" t="inlineStr">
        <is>
          <t>Source sheet: GN Containers; size: GN 1/2 150; material: Polycarbonate</t>
        </is>
      </c>
      <c r="N44" s="28" t="inlineStr">
        <is>
          <t>https://gammo.hu/edeny-tepsi/gasztronorm-gn-edeny</t>
        </is>
      </c>
      <c r="O44" s="27" t="n"/>
      <c r="P44" s="27" t="n"/>
      <c r="Q44" s="104" t="n"/>
      <c r="R44" s="27" t="n"/>
      <c r="S44" s="27" t="n"/>
      <c r="T44" s="27" t="n"/>
      <c r="U44" s="27" t="inlineStr">
        <is>
          <t>GN size, depth and material agree. Colour is unrestricted in the benchmark.</t>
        </is>
      </c>
      <c r="V44" s="102" t="n"/>
      <c r="W44" s="102" t="n">
        <v>2340</v>
      </c>
      <c r="X44" s="27" t="inlineStr">
        <is>
          <t>YES Gastro Hungary Market Research.xlsx</t>
        </is>
      </c>
      <c r="Y44" s="27" t="n"/>
      <c r="Z44" s="27" t="n"/>
      <c r="AA44" s="27" t="inlineStr">
        <is>
          <t>Direct</t>
        </is>
      </c>
      <c r="AB44" s="27" t="inlineStr">
        <is>
          <t>HUF</t>
        </is>
      </c>
      <c r="AC44" s="27" t="inlineStr">
        <is>
          <t>yes</t>
        </is>
      </c>
      <c r="AD44" s="27">
        <f>IF(ISNUMBER(F44),IF(G44=AB44,F44,IF(AND(ISNUMBER(INDEX('Sources'!$G$7:$G$10,MATCH(G44,'Sources'!$B$7:$B$10,0))),ISNUMBER(INDEX('Sources'!$G$7:$G$10,MATCH(AB44,'Sources'!$B$7:$B$10,0)))),F44/INDEX('Sources'!$G$7:$G$10,MATCH(G44,'Sources'!$B$7:$B$10,0))*INDEX('Sources'!$G$7:$G$10,MATCH(AB44,'Sources'!$B$7:$B$10,0)),"")),"")</f>
        <v/>
      </c>
      <c r="AE44" s="27">
        <f>IF(AND(AC44="yes",ISNUMBER(F44),IF('Compare'!$H$5="All mapped",TRUE,IF('Compare'!$H$5="EXACT only",J44="EXACT",OR(J44="EXACT",J44="CLOSE")))),"yes","no")</f>
        <v/>
      </c>
      <c r="AF44" s="27">
        <f>IF(ISNUMBER(H44),COUNTIFS($B$7:$B$608,B44,$C$7:$C$608,C44,$H$7:$H$608,"&lt;"&amp;H44,$AH$7:$AH$608,"yes")+COUNTIFS($B$7:B44,B44,$C$7:C44,C44,$H$7:H44,H44,$AH$7:AH44,"yes"),"")</f>
        <v/>
      </c>
      <c r="AG44" s="27">
        <f>IF(ISNUMBER(I44),COUNTIFS($B$7:$B$608,B44,$C$7:$C$608,C44,$I$7:$I$608,"&lt;"&amp;I44,$AI$7:$AI$608,"yes")+COUNTIFS($B$7:B44,B44,$C$7:C44,C44,$I$7:I44,I44,$AI$7:AI44,"yes"),"")</f>
        <v/>
      </c>
      <c r="AH44" s="27">
        <f>IF(ISNUMBER(H44),"yes","no")</f>
        <v/>
      </c>
      <c r="AI44" s="27">
        <f>IF(ISNUMBER(I44),"yes","no")</f>
        <v/>
      </c>
      <c r="AJ44" s="105" t="n">
        <v>46181</v>
      </c>
      <c r="AK44" s="27" t="n"/>
    </row>
    <row r="45" ht="42" customHeight="1">
      <c r="A45" s="2" t="n"/>
      <c r="B45" s="24" t="inlineStr">
        <is>
          <t>GN 1/2 PC container, 150 mm</t>
        </is>
      </c>
      <c r="C45" s="24" t="inlineStr">
        <is>
          <t>Hungary</t>
        </is>
      </c>
      <c r="D45" s="24" t="inlineStr">
        <is>
          <t>Gasztronagyker</t>
        </is>
      </c>
      <c r="E45" s="24" t="inlineStr">
        <is>
          <t>GN 1/2 150 - Polycarbonate</t>
        </is>
      </c>
      <c r="F45" s="98" t="n">
        <v>5740</v>
      </c>
      <c r="G45" s="24" t="inlineStr">
        <is>
          <t>HUF</t>
        </is>
      </c>
      <c r="H45" s="98">
        <f>IF(AND(AE45="yes",ISNUMBER(AD45)),AD45,"")</f>
        <v/>
      </c>
      <c r="I45" s="99">
        <f>IF(AND(AE45="yes",ISNUMBER(AD45),ISNUMBER(INDEX('Sources'!$G$7:$G$10,MATCH(AB45,'Sources'!$B$7:$B$10,0)))),AD45/INDEX('Sources'!$G$7:$G$10,MATCH(AB45,'Sources'!$B$7:$B$10,0)),"")</f>
        <v/>
      </c>
      <c r="J45" s="24" t="inlineStr">
        <is>
          <t>EXACT</t>
        </is>
      </c>
      <c r="K45" s="24" t="inlineStr">
        <is>
          <t>08.06.2026</t>
        </is>
      </c>
      <c r="L45" s="71" t="n"/>
      <c r="M45" s="24" t="inlineStr">
        <is>
          <t>Source sheet: GN Containers; size: GN 1/2 150; material: Polycarbonate</t>
        </is>
      </c>
      <c r="N45" s="25" t="inlineStr">
        <is>
          <t>https://www.gasztronagyker.hu/gn-edenyek</t>
        </is>
      </c>
      <c r="O45" s="24" t="n"/>
      <c r="P45" s="24" t="n"/>
      <c r="Q45" s="100" t="n"/>
      <c r="R45" s="24" t="n"/>
      <c r="S45" s="24" t="n"/>
      <c r="T45" s="24" t="n"/>
      <c r="U45" s="24" t="inlineStr">
        <is>
          <t>GN size, depth and material agree. Colour is unrestricted in the benchmark.</t>
        </is>
      </c>
      <c r="V45" s="98" t="n"/>
      <c r="W45" s="98" t="n">
        <v>5740</v>
      </c>
      <c r="X45" s="24" t="inlineStr">
        <is>
          <t>YES Gastro Hungary Market Research.xlsx</t>
        </is>
      </c>
      <c r="Y45" s="24" t="n"/>
      <c r="Z45" s="24" t="n"/>
      <c r="AA45" s="24" t="inlineStr">
        <is>
          <t>Direct</t>
        </is>
      </c>
      <c r="AB45" s="24" t="inlineStr">
        <is>
          <t>HUF</t>
        </is>
      </c>
      <c r="AC45" s="24" t="inlineStr">
        <is>
          <t>yes</t>
        </is>
      </c>
      <c r="AD45" s="24">
        <f>IF(ISNUMBER(F45),IF(G45=AB45,F45,IF(AND(ISNUMBER(INDEX('Sources'!$G$7:$G$10,MATCH(G45,'Sources'!$B$7:$B$10,0))),ISNUMBER(INDEX('Sources'!$G$7:$G$10,MATCH(AB45,'Sources'!$B$7:$B$10,0)))),F45/INDEX('Sources'!$G$7:$G$10,MATCH(G45,'Sources'!$B$7:$B$10,0))*INDEX('Sources'!$G$7:$G$10,MATCH(AB45,'Sources'!$B$7:$B$10,0)),"")),"")</f>
        <v/>
      </c>
      <c r="AE45" s="24">
        <f>IF(AND(AC45="yes",ISNUMBER(F45),IF('Compare'!$H$5="All mapped",TRUE,IF('Compare'!$H$5="EXACT only",J45="EXACT",OR(J45="EXACT",J45="CLOSE")))),"yes","no")</f>
        <v/>
      </c>
      <c r="AF45" s="24">
        <f>IF(ISNUMBER(H45),COUNTIFS($B$7:$B$608,B45,$C$7:$C$608,C45,$H$7:$H$608,"&lt;"&amp;H45,$AH$7:$AH$608,"yes")+COUNTIFS($B$7:B45,B45,$C$7:C45,C45,$H$7:H45,H45,$AH$7:AH45,"yes"),"")</f>
        <v/>
      </c>
      <c r="AG45" s="24">
        <f>IF(ISNUMBER(I45),COUNTIFS($B$7:$B$608,B45,$C$7:$C$608,C45,$I$7:$I$608,"&lt;"&amp;I45,$AI$7:$AI$608,"yes")+COUNTIFS($B$7:B45,B45,$C$7:C45,C45,$I$7:I45,I45,$AI$7:AI45,"yes"),"")</f>
        <v/>
      </c>
      <c r="AH45" s="24">
        <f>IF(ISNUMBER(H45),"yes","no")</f>
        <v/>
      </c>
      <c r="AI45" s="24">
        <f>IF(ISNUMBER(I45),"yes","no")</f>
        <v/>
      </c>
      <c r="AJ45" s="101" t="n">
        <v>46181</v>
      </c>
      <c r="AK45" s="24" t="n"/>
    </row>
    <row r="46" ht="42" customHeight="1">
      <c r="A46" s="2" t="n"/>
      <c r="B46" s="27" t="inlineStr">
        <is>
          <t>GN 1/2 PC container, 150 mm</t>
        </is>
      </c>
      <c r="C46" s="27" t="inlineStr">
        <is>
          <t>Hungary</t>
        </is>
      </c>
      <c r="D46" s="27" t="inlineStr">
        <is>
          <t>HFSE</t>
        </is>
      </c>
      <c r="E46" s="27" t="inlineStr">
        <is>
          <t>GN 1/2 150 - Polycarbonate</t>
        </is>
      </c>
      <c r="F46" s="102" t="n">
        <v>3535</v>
      </c>
      <c r="G46" s="27" t="inlineStr">
        <is>
          <t>HUF</t>
        </is>
      </c>
      <c r="H46" s="102">
        <f>IF(AND(AE46="yes",ISNUMBER(AD46)),AD46,"")</f>
        <v/>
      </c>
      <c r="I46" s="103">
        <f>IF(AND(AE46="yes",ISNUMBER(AD46),ISNUMBER(INDEX('Sources'!$G$7:$G$10,MATCH(AB46,'Sources'!$B$7:$B$10,0)))),AD46/INDEX('Sources'!$G$7:$G$10,MATCH(AB46,'Sources'!$B$7:$B$10,0)),"")</f>
        <v/>
      </c>
      <c r="J46" s="27" t="inlineStr">
        <is>
          <t>EXACT</t>
        </is>
      </c>
      <c r="K46" s="27" t="inlineStr">
        <is>
          <t>08.06.2026</t>
        </is>
      </c>
      <c r="L46" s="71" t="n"/>
      <c r="M46" s="27" t="inlineStr">
        <is>
          <t>Source sheet: GN Containers; size: GN 1/2 150; material: Polycarbonate</t>
        </is>
      </c>
      <c r="N46" s="28" t="inlineStr">
        <is>
          <t>https://hfse.hu/termekkategoria/konyhai-eszkozok/gn-edenyek/</t>
        </is>
      </c>
      <c r="O46" s="27" t="n"/>
      <c r="P46" s="27" t="n"/>
      <c r="Q46" s="104" t="n"/>
      <c r="R46" s="27" t="n"/>
      <c r="S46" s="27" t="n"/>
      <c r="T46" s="27" t="n"/>
      <c r="U46" s="27" t="inlineStr">
        <is>
          <t>GN size, depth and material agree. Colour is unrestricted in the benchmark.</t>
        </is>
      </c>
      <c r="V46" s="102" t="n"/>
      <c r="W46" s="102" t="n">
        <v>3535</v>
      </c>
      <c r="X46" s="27" t="inlineStr">
        <is>
          <t>YES Gastro Hungary Market Research.xlsx</t>
        </is>
      </c>
      <c r="Y46" s="27" t="n"/>
      <c r="Z46" s="27" t="n"/>
      <c r="AA46" s="27" t="inlineStr">
        <is>
          <t>Direct</t>
        </is>
      </c>
      <c r="AB46" s="27" t="inlineStr">
        <is>
          <t>HUF</t>
        </is>
      </c>
      <c r="AC46" s="27" t="inlineStr">
        <is>
          <t>yes</t>
        </is>
      </c>
      <c r="AD46" s="27">
        <f>IF(ISNUMBER(F46),IF(G46=AB46,F46,IF(AND(ISNUMBER(INDEX('Sources'!$G$7:$G$10,MATCH(G46,'Sources'!$B$7:$B$10,0))),ISNUMBER(INDEX('Sources'!$G$7:$G$10,MATCH(AB46,'Sources'!$B$7:$B$10,0)))),F46/INDEX('Sources'!$G$7:$G$10,MATCH(G46,'Sources'!$B$7:$B$10,0))*INDEX('Sources'!$G$7:$G$10,MATCH(AB46,'Sources'!$B$7:$B$10,0)),"")),"")</f>
        <v/>
      </c>
      <c r="AE46" s="27">
        <f>IF(AND(AC46="yes",ISNUMBER(F46),IF('Compare'!$H$5="All mapped",TRUE,IF('Compare'!$H$5="EXACT only",J46="EXACT",OR(J46="EXACT",J46="CLOSE")))),"yes","no")</f>
        <v/>
      </c>
      <c r="AF46" s="27">
        <f>IF(ISNUMBER(H46),COUNTIFS($B$7:$B$608,B46,$C$7:$C$608,C46,$H$7:$H$608,"&lt;"&amp;H46,$AH$7:$AH$608,"yes")+COUNTIFS($B$7:B46,B46,$C$7:C46,C46,$H$7:H46,H46,$AH$7:AH46,"yes"),"")</f>
        <v/>
      </c>
      <c r="AG46" s="27">
        <f>IF(ISNUMBER(I46),COUNTIFS($B$7:$B$608,B46,$C$7:$C$608,C46,$I$7:$I$608,"&lt;"&amp;I46,$AI$7:$AI$608,"yes")+COUNTIFS($B$7:B46,B46,$C$7:C46,C46,$I$7:I46,I46,$AI$7:AI46,"yes"),"")</f>
        <v/>
      </c>
      <c r="AH46" s="27">
        <f>IF(ISNUMBER(H46),"yes","no")</f>
        <v/>
      </c>
      <c r="AI46" s="27">
        <f>IF(ISNUMBER(I46),"yes","no")</f>
        <v/>
      </c>
      <c r="AJ46" s="105" t="n">
        <v>46181</v>
      </c>
      <c r="AK46" s="27" t="n"/>
    </row>
    <row r="47" ht="42" customHeight="1">
      <c r="A47" s="2" t="n"/>
      <c r="B47" s="24" t="inlineStr">
        <is>
          <t>GN 1/2 PC container, 150 mm</t>
        </is>
      </c>
      <c r="C47" s="24" t="inlineStr">
        <is>
          <t>Hungary</t>
        </is>
      </c>
      <c r="D47" s="24" t="inlineStr">
        <is>
          <t>Hunnia</t>
        </is>
      </c>
      <c r="E47" s="24" t="inlineStr">
        <is>
          <t>GN 1/2 150 - Polycarbonate</t>
        </is>
      </c>
      <c r="F47" s="98" t="n">
        <v>5419</v>
      </c>
      <c r="G47" s="24" t="inlineStr">
        <is>
          <t>HUF</t>
        </is>
      </c>
      <c r="H47" s="98">
        <f>IF(AND(AE47="yes",ISNUMBER(AD47)),AD47,"")</f>
        <v/>
      </c>
      <c r="I47" s="99">
        <f>IF(AND(AE47="yes",ISNUMBER(AD47),ISNUMBER(INDEX('Sources'!$G$7:$G$10,MATCH(AB47,'Sources'!$B$7:$B$10,0)))),AD47/INDEX('Sources'!$G$7:$G$10,MATCH(AB47,'Sources'!$B$7:$B$10,0)),"")</f>
        <v/>
      </c>
      <c r="J47" s="24" t="inlineStr">
        <is>
          <t>EXACT</t>
        </is>
      </c>
      <c r="K47" s="24" t="inlineStr">
        <is>
          <t>08.06.2026</t>
        </is>
      </c>
      <c r="L47" s="71" t="n"/>
      <c r="M47" s="24" t="inlineStr">
        <is>
          <t>Source sheet: GN Containers; size: GN 1/2 150; material: Polycarbonate</t>
        </is>
      </c>
      <c r="N47" s="25" t="inlineStr">
        <is>
          <t>https://hunniakristaly.hu/nagy-konyha/gn-edenyek-rozsdamentes-acelbol-polipropilenb-l-polikarbonat/gn-edenyek-torhetetlen-viztiszta-polikarbonatbol</t>
        </is>
      </c>
      <c r="O47" s="24" t="n"/>
      <c r="P47" s="24" t="n"/>
      <c r="Q47" s="100" t="n"/>
      <c r="R47" s="24" t="n"/>
      <c r="S47" s="24" t="n"/>
      <c r="T47" s="24" t="n"/>
      <c r="U47" s="24" t="inlineStr">
        <is>
          <t>GN size, depth and material agree. Colour is unrestricted in the benchmark.</t>
        </is>
      </c>
      <c r="V47" s="98" t="n"/>
      <c r="W47" s="98" t="n">
        <v>5419</v>
      </c>
      <c r="X47" s="24" t="inlineStr">
        <is>
          <t>YES Gastro Hungary Market Research.xlsx</t>
        </is>
      </c>
      <c r="Y47" s="24" t="n"/>
      <c r="Z47" s="24" t="n"/>
      <c r="AA47" s="24" t="inlineStr">
        <is>
          <t>Direct</t>
        </is>
      </c>
      <c r="AB47" s="24" t="inlineStr">
        <is>
          <t>HUF</t>
        </is>
      </c>
      <c r="AC47" s="24" t="inlineStr">
        <is>
          <t>yes</t>
        </is>
      </c>
      <c r="AD47" s="24">
        <f>IF(ISNUMBER(F47),IF(G47=AB47,F47,IF(AND(ISNUMBER(INDEX('Sources'!$G$7:$G$10,MATCH(G47,'Sources'!$B$7:$B$10,0))),ISNUMBER(INDEX('Sources'!$G$7:$G$10,MATCH(AB47,'Sources'!$B$7:$B$10,0)))),F47/INDEX('Sources'!$G$7:$G$10,MATCH(G47,'Sources'!$B$7:$B$10,0))*INDEX('Sources'!$G$7:$G$10,MATCH(AB47,'Sources'!$B$7:$B$10,0)),"")),"")</f>
        <v/>
      </c>
      <c r="AE47" s="24">
        <f>IF(AND(AC47="yes",ISNUMBER(F47),IF('Compare'!$H$5="All mapped",TRUE,IF('Compare'!$H$5="EXACT only",J47="EXACT",OR(J47="EXACT",J47="CLOSE")))),"yes","no")</f>
        <v/>
      </c>
      <c r="AF47" s="24">
        <f>IF(ISNUMBER(H47),COUNTIFS($B$7:$B$608,B47,$C$7:$C$608,C47,$H$7:$H$608,"&lt;"&amp;H47,$AH$7:$AH$608,"yes")+COUNTIFS($B$7:B47,B47,$C$7:C47,C47,$H$7:H47,H47,$AH$7:AH47,"yes"),"")</f>
        <v/>
      </c>
      <c r="AG47" s="24">
        <f>IF(ISNUMBER(I47),COUNTIFS($B$7:$B$608,B47,$C$7:$C$608,C47,$I$7:$I$608,"&lt;"&amp;I47,$AI$7:$AI$608,"yes")+COUNTIFS($B$7:B47,B47,$C$7:C47,C47,$I$7:I47,I47,$AI$7:AI47,"yes"),"")</f>
        <v/>
      </c>
      <c r="AH47" s="24">
        <f>IF(ISNUMBER(H47),"yes","no")</f>
        <v/>
      </c>
      <c r="AI47" s="24">
        <f>IF(ISNUMBER(I47),"yes","no")</f>
        <v/>
      </c>
      <c r="AJ47" s="101" t="n">
        <v>46181</v>
      </c>
      <c r="AK47" s="24" t="n"/>
    </row>
    <row r="48" ht="42" customHeight="1">
      <c r="A48" s="2" t="n"/>
      <c r="B48" s="27" t="inlineStr">
        <is>
          <t>GN 1/2 PC container, 150 mm</t>
        </is>
      </c>
      <c r="C48" s="27" t="inlineStr">
        <is>
          <t>Hungary</t>
        </is>
      </c>
      <c r="D48" s="27" t="inlineStr">
        <is>
          <t>Inox-Pláza</t>
        </is>
      </c>
      <c r="E48" s="27" t="inlineStr">
        <is>
          <t>GN 1/2 150 - Polycarbonate</t>
        </is>
      </c>
      <c r="F48" s="102" t="n">
        <v>3500</v>
      </c>
      <c r="G48" s="27" t="inlineStr">
        <is>
          <t>HUF</t>
        </is>
      </c>
      <c r="H48" s="102">
        <f>IF(AND(AE48="yes",ISNUMBER(AD48)),AD48,"")</f>
        <v/>
      </c>
      <c r="I48" s="103">
        <f>IF(AND(AE48="yes",ISNUMBER(AD48),ISNUMBER(INDEX('Sources'!$G$7:$G$10,MATCH(AB48,'Sources'!$B$7:$B$10,0)))),AD48/INDEX('Sources'!$G$7:$G$10,MATCH(AB48,'Sources'!$B$7:$B$10,0)),"")</f>
        <v/>
      </c>
      <c r="J48" s="27" t="inlineStr">
        <is>
          <t>EXACT</t>
        </is>
      </c>
      <c r="K48" s="27" t="inlineStr">
        <is>
          <t>08.06.2026</t>
        </is>
      </c>
      <c r="L48" s="71" t="n"/>
      <c r="M48" s="27" t="inlineStr">
        <is>
          <t>Source sheet: GN Containers; size: GN 1/2 150; material: Polycarbonate</t>
        </is>
      </c>
      <c r="N48" s="28" t="inlineStr">
        <is>
          <t>https://www.inoxplaza.hu/edenyzet/gn-edeny</t>
        </is>
      </c>
      <c r="O48" s="27" t="n"/>
      <c r="P48" s="27" t="n"/>
      <c r="Q48" s="104" t="n"/>
      <c r="R48" s="27" t="n"/>
      <c r="S48" s="27" t="n"/>
      <c r="T48" s="27" t="n"/>
      <c r="U48" s="27" t="inlineStr">
        <is>
          <t>GN size, depth and material agree. Colour is unrestricted in the benchmark.</t>
        </is>
      </c>
      <c r="V48" s="102" t="n"/>
      <c r="W48" s="102" t="n">
        <v>3500</v>
      </c>
      <c r="X48" s="27" t="inlineStr">
        <is>
          <t>YES Gastro Hungary Market Research.xlsx</t>
        </is>
      </c>
      <c r="Y48" s="27" t="n"/>
      <c r="Z48" s="27" t="n"/>
      <c r="AA48" s="27" t="inlineStr">
        <is>
          <t>Direct</t>
        </is>
      </c>
      <c r="AB48" s="27" t="inlineStr">
        <is>
          <t>HUF</t>
        </is>
      </c>
      <c r="AC48" s="27" t="inlineStr">
        <is>
          <t>yes</t>
        </is>
      </c>
      <c r="AD48" s="27">
        <f>IF(ISNUMBER(F48),IF(G48=AB48,F48,IF(AND(ISNUMBER(INDEX('Sources'!$G$7:$G$10,MATCH(G48,'Sources'!$B$7:$B$10,0))),ISNUMBER(INDEX('Sources'!$G$7:$G$10,MATCH(AB48,'Sources'!$B$7:$B$10,0)))),F48/INDEX('Sources'!$G$7:$G$10,MATCH(G48,'Sources'!$B$7:$B$10,0))*INDEX('Sources'!$G$7:$G$10,MATCH(AB48,'Sources'!$B$7:$B$10,0)),"")),"")</f>
        <v/>
      </c>
      <c r="AE48" s="27">
        <f>IF(AND(AC48="yes",ISNUMBER(F48),IF('Compare'!$H$5="All mapped",TRUE,IF('Compare'!$H$5="EXACT only",J48="EXACT",OR(J48="EXACT",J48="CLOSE")))),"yes","no")</f>
        <v/>
      </c>
      <c r="AF48" s="27">
        <f>IF(ISNUMBER(H48),COUNTIFS($B$7:$B$608,B48,$C$7:$C$608,C48,$H$7:$H$608,"&lt;"&amp;H48,$AH$7:$AH$608,"yes")+COUNTIFS($B$7:B48,B48,$C$7:C48,C48,$H$7:H48,H48,$AH$7:AH48,"yes"),"")</f>
        <v/>
      </c>
      <c r="AG48" s="27">
        <f>IF(ISNUMBER(I48),COUNTIFS($B$7:$B$608,B48,$C$7:$C$608,C48,$I$7:$I$608,"&lt;"&amp;I48,$AI$7:$AI$608,"yes")+COUNTIFS($B$7:B48,B48,$C$7:C48,C48,$I$7:I48,I48,$AI$7:AI48,"yes"),"")</f>
        <v/>
      </c>
      <c r="AH48" s="27">
        <f>IF(ISNUMBER(H48),"yes","no")</f>
        <v/>
      </c>
      <c r="AI48" s="27">
        <f>IF(ISNUMBER(I48),"yes","no")</f>
        <v/>
      </c>
      <c r="AJ48" s="105" t="n">
        <v>46181</v>
      </c>
      <c r="AK48" s="27" t="n"/>
    </row>
    <row r="49" ht="42" customHeight="1">
      <c r="A49" s="2" t="n"/>
      <c r="B49" s="24" t="inlineStr">
        <is>
          <t>GN 1/2 PC container, 150 mm</t>
        </is>
      </c>
      <c r="C49" s="24" t="inlineStr">
        <is>
          <t>Romania</t>
        </is>
      </c>
      <c r="D49" s="24" t="inlineStr">
        <is>
          <t>FiMax</t>
        </is>
      </c>
      <c r="E49" s="24" t="inlineStr">
        <is>
          <t>GN 1/2 150mm - Polycarbonate</t>
        </is>
      </c>
      <c r="F49" s="98" t="n">
        <v>57.38</v>
      </c>
      <c r="G49" s="24" t="inlineStr">
        <is>
          <t>RON</t>
        </is>
      </c>
      <c r="H49" s="98">
        <f>IF(AND(AE49="yes",ISNUMBER(AD49)),AD49,"")</f>
        <v/>
      </c>
      <c r="I49" s="99">
        <f>IF(AND(AE49="yes",ISNUMBER(AD49),ISNUMBER(INDEX('Sources'!$G$7:$G$10,MATCH(AB49,'Sources'!$B$7:$B$10,0)))),AD49/INDEX('Sources'!$G$7:$G$10,MATCH(AB49,'Sources'!$B$7:$B$10,0)),"")</f>
        <v/>
      </c>
      <c r="J49" s="24" t="inlineStr">
        <is>
          <t>EXACT</t>
        </is>
      </c>
      <c r="K49" s="24" t="inlineStr">
        <is>
          <t>2.07.2026</t>
        </is>
      </c>
      <c r="L49" s="71" t="n"/>
      <c r="M49" s="24" t="inlineStr">
        <is>
          <t>PC</t>
        </is>
      </c>
      <c r="N49" s="25" t="inlineStr">
        <is>
          <t>https://www.fimax.ro/categorie/echipamente-catering-autoservire-si-cuve-inox-gastronorm/cuve-gastronorm-gn/cuve-gn-policarbonat-transparent/</t>
        </is>
      </c>
      <c r="O49" s="24" t="n"/>
      <c r="P49" s="24" t="n"/>
      <c r="Q49" s="100" t="n"/>
      <c r="R49" s="24" t="n"/>
      <c r="S49" s="24" t="n"/>
      <c r="T49" s="24" t="n"/>
      <c r="U49" s="24" t="inlineStr">
        <is>
          <t>GN size, depth and material agree. Colour is unrestricted in the benchmark.</t>
        </is>
      </c>
      <c r="V49" s="98" t="n"/>
      <c r="W49" s="98" t="n">
        <v>11.476</v>
      </c>
      <c r="X49" s="24" t="inlineStr">
        <is>
          <t>YES Gastro Romania Market Research.xlsx</t>
        </is>
      </c>
      <c r="Y49" s="24" t="inlineStr">
        <is>
          <t>Gabi</t>
        </is>
      </c>
      <c r="Z49" s="24" t="n"/>
      <c r="AA49" s="24" t="n"/>
      <c r="AB49" s="24" t="inlineStr">
        <is>
          <t>RON</t>
        </is>
      </c>
      <c r="AC49" s="24" t="inlineStr">
        <is>
          <t>yes</t>
        </is>
      </c>
      <c r="AD49" s="24">
        <f>IF(ISNUMBER(F49),IF(G49=AB49,F49,IF(AND(ISNUMBER(INDEX('Sources'!$G$7:$G$10,MATCH(G49,'Sources'!$B$7:$B$10,0))),ISNUMBER(INDEX('Sources'!$G$7:$G$10,MATCH(AB49,'Sources'!$B$7:$B$10,0)))),F49/INDEX('Sources'!$G$7:$G$10,MATCH(G49,'Sources'!$B$7:$B$10,0))*INDEX('Sources'!$G$7:$G$10,MATCH(AB49,'Sources'!$B$7:$B$10,0)),"")),"")</f>
        <v/>
      </c>
      <c r="AE49" s="24">
        <f>IF(AND(AC49="yes",ISNUMBER(F49),IF('Compare'!$H$5="All mapped",TRUE,IF('Compare'!$H$5="EXACT only",J49="EXACT",OR(J49="EXACT",J49="CLOSE")))),"yes","no")</f>
        <v/>
      </c>
      <c r="AF49" s="24">
        <f>IF(ISNUMBER(H49),COUNTIFS($B$7:$B$608,B49,$C$7:$C$608,C49,$H$7:$H$608,"&lt;"&amp;H49,$AH$7:$AH$608,"yes")+COUNTIFS($B$7:B49,B49,$C$7:C49,C49,$H$7:H49,H49,$AH$7:AH49,"yes"),"")</f>
        <v/>
      </c>
      <c r="AG49" s="24">
        <f>IF(ISNUMBER(I49),COUNTIFS($B$7:$B$608,B49,$C$7:$C$608,C49,$I$7:$I$608,"&lt;"&amp;I49,$AI$7:$AI$608,"yes")+COUNTIFS($B$7:B49,B49,$C$7:C49,C49,$I$7:I49,I49,$AI$7:AI49,"yes"),"")</f>
        <v/>
      </c>
      <c r="AH49" s="24">
        <f>IF(ISNUMBER(H49),"yes","no")</f>
        <v/>
      </c>
      <c r="AI49" s="24">
        <f>IF(ISNUMBER(I49),"yes","no")</f>
        <v/>
      </c>
      <c r="AJ49" s="101" t="n">
        <v>46205</v>
      </c>
      <c r="AK49" s="24" t="n"/>
    </row>
    <row r="50" ht="42" customHeight="1">
      <c r="A50" s="2" t="n"/>
      <c r="B50" s="27" t="inlineStr">
        <is>
          <t>GN 1/2 PC container, 150 mm</t>
        </is>
      </c>
      <c r="C50" s="27" t="inlineStr">
        <is>
          <t>Romania</t>
        </is>
      </c>
      <c r="D50" s="27" t="inlineStr">
        <is>
          <t>FiMax</t>
        </is>
      </c>
      <c r="E50" s="27" t="inlineStr">
        <is>
          <t>GN 1/2 150mm - Polycarbonate Black</t>
        </is>
      </c>
      <c r="F50" s="102" t="n">
        <v>58.52</v>
      </c>
      <c r="G50" s="27" t="inlineStr">
        <is>
          <t>RON</t>
        </is>
      </c>
      <c r="H50" s="102">
        <f>IF(AND(AE50="yes",ISNUMBER(AD50)),AD50,"")</f>
        <v/>
      </c>
      <c r="I50" s="103">
        <f>IF(AND(AE50="yes",ISNUMBER(AD50),ISNUMBER(INDEX('Sources'!$G$7:$G$10,MATCH(AB50,'Sources'!$B$7:$B$10,0)))),AD50/INDEX('Sources'!$G$7:$G$10,MATCH(AB50,'Sources'!$B$7:$B$10,0)),"")</f>
        <v/>
      </c>
      <c r="J50" s="27" t="inlineStr">
        <is>
          <t>EXACT</t>
        </is>
      </c>
      <c r="K50" s="27" t="inlineStr">
        <is>
          <t>5.07.2026</t>
        </is>
      </c>
      <c r="L50" s="71" t="n"/>
      <c r="M50" s="27" t="inlineStr">
        <is>
          <t>PC</t>
        </is>
      </c>
      <c r="N50" s="28" t="inlineStr">
        <is>
          <t>https://www.fimax.ro/categorie/echipamente-catering-autoservire-si-cuve-inox-gastronorm/cuve-gastronorm-gn/cuve-gn-policarbonat-negru/</t>
        </is>
      </c>
      <c r="O50" s="27" t="n"/>
      <c r="P50" s="27" t="n"/>
      <c r="Q50" s="104" t="n"/>
      <c r="R50" s="27" t="n"/>
      <c r="S50" s="27" t="n"/>
      <c r="T50" s="27" t="n"/>
      <c r="U50" s="27" t="inlineStr">
        <is>
          <t>GN size, depth and material agree. Colour is unrestricted in the benchmark.</t>
        </is>
      </c>
      <c r="V50" s="102" t="n"/>
      <c r="W50" s="102" t="n">
        <v>11.704</v>
      </c>
      <c r="X50" s="27" t="inlineStr">
        <is>
          <t>YES Gastro Romania Market Research.xlsx</t>
        </is>
      </c>
      <c r="Y50" s="27" t="inlineStr">
        <is>
          <t>Gabi</t>
        </is>
      </c>
      <c r="Z50" s="27" t="n"/>
      <c r="AA50" s="27" t="n"/>
      <c r="AB50" s="27" t="inlineStr">
        <is>
          <t>RON</t>
        </is>
      </c>
      <c r="AC50" s="27" t="inlineStr">
        <is>
          <t>yes</t>
        </is>
      </c>
      <c r="AD50" s="27">
        <f>IF(ISNUMBER(F50),IF(G50=AB50,F50,IF(AND(ISNUMBER(INDEX('Sources'!$G$7:$G$10,MATCH(G50,'Sources'!$B$7:$B$10,0))),ISNUMBER(INDEX('Sources'!$G$7:$G$10,MATCH(AB50,'Sources'!$B$7:$B$10,0)))),F50/INDEX('Sources'!$G$7:$G$10,MATCH(G50,'Sources'!$B$7:$B$10,0))*INDEX('Sources'!$G$7:$G$10,MATCH(AB50,'Sources'!$B$7:$B$10,0)),"")),"")</f>
        <v/>
      </c>
      <c r="AE50" s="27">
        <f>IF(AND(AC50="yes",ISNUMBER(F50),IF('Compare'!$H$5="All mapped",TRUE,IF('Compare'!$H$5="EXACT only",J50="EXACT",OR(J50="EXACT",J50="CLOSE")))),"yes","no")</f>
        <v/>
      </c>
      <c r="AF50" s="27">
        <f>IF(ISNUMBER(H50),COUNTIFS($B$7:$B$608,B50,$C$7:$C$608,C50,$H$7:$H$608,"&lt;"&amp;H50,$AH$7:$AH$608,"yes")+COUNTIFS($B$7:B50,B50,$C$7:C50,C50,$H$7:H50,H50,$AH$7:AH50,"yes"),"")</f>
        <v/>
      </c>
      <c r="AG50" s="27">
        <f>IF(ISNUMBER(I50),COUNTIFS($B$7:$B$608,B50,$C$7:$C$608,C50,$I$7:$I$608,"&lt;"&amp;I50,$AI$7:$AI$608,"yes")+COUNTIFS($B$7:B50,B50,$C$7:C50,C50,$I$7:I50,I50,$AI$7:AI50,"yes"),"")</f>
        <v/>
      </c>
      <c r="AH50" s="27">
        <f>IF(ISNUMBER(H50),"yes","no")</f>
        <v/>
      </c>
      <c r="AI50" s="27">
        <f>IF(ISNUMBER(I50),"yes","no")</f>
        <v/>
      </c>
      <c r="AJ50" s="105" t="n">
        <v>46208</v>
      </c>
      <c r="AK50" s="27" t="n"/>
    </row>
    <row r="51" ht="42" customHeight="1">
      <c r="A51" s="2" t="n"/>
      <c r="B51" s="24" t="inlineStr">
        <is>
          <t>GN 1/2 PC container, 150 mm</t>
        </is>
      </c>
      <c r="C51" s="24" t="inlineStr">
        <is>
          <t>Romania</t>
        </is>
      </c>
      <c r="D51" s="24" t="inlineStr">
        <is>
          <t>Gastrozone</t>
        </is>
      </c>
      <c r="E51" s="24" t="inlineStr">
        <is>
          <t>GN 1/2 150 mm - Polycarbonate</t>
        </is>
      </c>
      <c r="F51" s="98" t="n">
        <v>85.04000000000001</v>
      </c>
      <c r="G51" s="24" t="inlineStr">
        <is>
          <t>RON</t>
        </is>
      </c>
      <c r="H51" s="98">
        <f>IF(AND(AE51="yes",ISNUMBER(AD51)),AD51,"")</f>
        <v/>
      </c>
      <c r="I51" s="99">
        <f>IF(AND(AE51="yes",ISNUMBER(AD51),ISNUMBER(INDEX('Sources'!$G$7:$G$10,MATCH(AB51,'Sources'!$B$7:$B$10,0)))),AD51/INDEX('Sources'!$G$7:$G$10,MATCH(AB51,'Sources'!$B$7:$B$10,0)),"")</f>
        <v/>
      </c>
      <c r="J51" s="24" t="inlineStr">
        <is>
          <t>EXACT</t>
        </is>
      </c>
      <c r="K51" s="24" t="inlineStr">
        <is>
          <t>30.09.2026</t>
        </is>
      </c>
      <c r="L51" s="71" t="n"/>
      <c r="M51" s="24" t="inlineStr">
        <is>
          <t>PC. Live check 30.09.2026: ARAVEN GN 1/2 PC 150 mm, 8 l - 102.90 lei incl. TVA = 85.04 lei net (on order, 3-5 weeks). Replaces the impossible source date 30.06.2028 (source price 85.27 RON net).</t>
        </is>
      </c>
      <c r="N51" s="25" t="inlineStr">
        <is>
          <t>https://www.gastrozone.ro/cautare/?text=gn+1/2+150mm+policarbonat</t>
        </is>
      </c>
      <c r="O51" s="24" t="inlineStr">
        <is>
          <t>Araven</t>
        </is>
      </c>
      <c r="P51" s="24" t="n"/>
      <c r="Q51" s="100" t="n"/>
      <c r="R51" s="24" t="n"/>
      <c r="S51" s="24" t="n"/>
      <c r="T51" s="24" t="n"/>
      <c r="U51" s="24" t="inlineStr">
        <is>
          <t>GN size, depth and material agree. Colour is unrestricted in the benchmark.</t>
        </is>
      </c>
      <c r="V51" s="98" t="n"/>
      <c r="W51" s="98" t="n">
        <v>17.054</v>
      </c>
      <c r="X51" s="24" t="inlineStr">
        <is>
          <t>YES Gastro Romania Market Research.xlsx</t>
        </is>
      </c>
      <c r="Y51" s="24" t="inlineStr">
        <is>
          <t>Gabi</t>
        </is>
      </c>
      <c r="Z51" s="24" t="n"/>
      <c r="AA51" s="24" t="n"/>
      <c r="AB51" s="24" t="inlineStr">
        <is>
          <t>RON</t>
        </is>
      </c>
      <c r="AC51" s="24" t="inlineStr">
        <is>
          <t>yes</t>
        </is>
      </c>
      <c r="AD51" s="24">
        <f>IF(ISNUMBER(F51),IF(G51=AB51,F51,IF(AND(ISNUMBER(INDEX('Sources'!$G$7:$G$10,MATCH(G51,'Sources'!$B$7:$B$10,0))),ISNUMBER(INDEX('Sources'!$G$7:$G$10,MATCH(AB51,'Sources'!$B$7:$B$10,0)))),F51/INDEX('Sources'!$G$7:$G$10,MATCH(G51,'Sources'!$B$7:$B$10,0))*INDEX('Sources'!$G$7:$G$10,MATCH(AB51,'Sources'!$B$7:$B$10,0)),"")),"")</f>
        <v/>
      </c>
      <c r="AE51" s="24">
        <f>IF(AND(AC51="yes",ISNUMBER(F51),IF('Compare'!$H$5="All mapped",TRUE,IF('Compare'!$H$5="EXACT only",J51="EXACT",OR(J51="EXACT",J51="CLOSE")))),"yes","no")</f>
        <v/>
      </c>
      <c r="AF51" s="24">
        <f>IF(ISNUMBER(H51),COUNTIFS($B$7:$B$608,B51,$C$7:$C$608,C51,$H$7:$H$608,"&lt;"&amp;H51,$AH$7:$AH$608,"yes")+COUNTIFS($B$7:B51,B51,$C$7:C51,C51,$H$7:H51,H51,$AH$7:AH51,"yes"),"")</f>
        <v/>
      </c>
      <c r="AG51" s="24">
        <f>IF(ISNUMBER(I51),COUNTIFS($B$7:$B$608,B51,$C$7:$C$608,C51,$I$7:$I$608,"&lt;"&amp;I51,$AI$7:$AI$608,"yes")+COUNTIFS($B$7:B51,B51,$C$7:C51,C51,$I$7:I51,I51,$AI$7:AI51,"yes"),"")</f>
        <v/>
      </c>
      <c r="AH51" s="24">
        <f>IF(ISNUMBER(H51),"yes","no")</f>
        <v/>
      </c>
      <c r="AI51" s="24">
        <f>IF(ISNUMBER(I51),"yes","no")</f>
        <v/>
      </c>
      <c r="AJ51" s="101" t="n">
        <v>46295</v>
      </c>
      <c r="AK51" s="24" t="n"/>
    </row>
    <row r="52" ht="42" customHeight="1">
      <c r="A52" s="2" t="n"/>
      <c r="B52" s="27" t="inlineStr">
        <is>
          <t>GN 1/2 PC container, 150 mm</t>
        </is>
      </c>
      <c r="C52" s="27" t="inlineStr">
        <is>
          <t>Romania</t>
        </is>
      </c>
      <c r="D52" s="27" t="inlineStr">
        <is>
          <t>Gastrozone</t>
        </is>
      </c>
      <c r="E52" s="27" t="inlineStr">
        <is>
          <t>GN 1/2 150mm - Polycarbonate Black</t>
        </is>
      </c>
      <c r="F52" s="102" t="n">
        <v>79.52</v>
      </c>
      <c r="G52" s="27" t="inlineStr">
        <is>
          <t>RON</t>
        </is>
      </c>
      <c r="H52" s="102">
        <f>IF(AND(AE52="yes",ISNUMBER(AD52)),AD52,"")</f>
        <v/>
      </c>
      <c r="I52" s="103">
        <f>IF(AND(AE52="yes",ISNUMBER(AD52),ISNUMBER(INDEX('Sources'!$G$7:$G$10,MATCH(AB52,'Sources'!$B$7:$B$10,0)))),AD52/INDEX('Sources'!$G$7:$G$10,MATCH(AB52,'Sources'!$B$7:$B$10,0)),"")</f>
        <v/>
      </c>
      <c r="J52" s="27" t="inlineStr">
        <is>
          <t>EXACT</t>
        </is>
      </c>
      <c r="K52" s="27" t="inlineStr">
        <is>
          <t>5.07.2026</t>
        </is>
      </c>
      <c r="L52" s="71" t="n"/>
      <c r="M52" s="27" t="inlineStr">
        <is>
          <t>PC</t>
        </is>
      </c>
      <c r="N52" s="28" t="inlineStr">
        <is>
          <t>https://www.gastrozone.ro/vase-gastro/marime=gn-1-2/inalta=150/material=policarbonat/</t>
        </is>
      </c>
      <c r="O52" s="27" t="inlineStr">
        <is>
          <t>APS</t>
        </is>
      </c>
      <c r="P52" s="27" t="n"/>
      <c r="Q52" s="104" t="n"/>
      <c r="R52" s="27" t="n"/>
      <c r="S52" s="27" t="n"/>
      <c r="T52" s="27" t="n"/>
      <c r="U52" s="27" t="inlineStr">
        <is>
          <t>GN size, depth and material agree. Colour is unrestricted in the benchmark.</t>
        </is>
      </c>
      <c r="V52" s="102" t="n"/>
      <c r="W52" s="102" t="n">
        <v>15.904</v>
      </c>
      <c r="X52" s="27" t="inlineStr">
        <is>
          <t>YES Gastro Romania Market Research.xlsx</t>
        </is>
      </c>
      <c r="Y52" s="27" t="inlineStr">
        <is>
          <t>Gabi</t>
        </is>
      </c>
      <c r="Z52" s="27" t="n"/>
      <c r="AA52" s="27" t="n"/>
      <c r="AB52" s="27" t="inlineStr">
        <is>
          <t>RON</t>
        </is>
      </c>
      <c r="AC52" s="27" t="inlineStr">
        <is>
          <t>yes</t>
        </is>
      </c>
      <c r="AD52" s="27">
        <f>IF(ISNUMBER(F52),IF(G52=AB52,F52,IF(AND(ISNUMBER(INDEX('Sources'!$G$7:$G$10,MATCH(G52,'Sources'!$B$7:$B$10,0))),ISNUMBER(INDEX('Sources'!$G$7:$G$10,MATCH(AB52,'Sources'!$B$7:$B$10,0)))),F52/INDEX('Sources'!$G$7:$G$10,MATCH(G52,'Sources'!$B$7:$B$10,0))*INDEX('Sources'!$G$7:$G$10,MATCH(AB52,'Sources'!$B$7:$B$10,0)),"")),"")</f>
        <v/>
      </c>
      <c r="AE52" s="27">
        <f>IF(AND(AC52="yes",ISNUMBER(F52),IF('Compare'!$H$5="All mapped",TRUE,IF('Compare'!$H$5="EXACT only",J52="EXACT",OR(J52="EXACT",J52="CLOSE")))),"yes","no")</f>
        <v/>
      </c>
      <c r="AF52" s="27">
        <f>IF(ISNUMBER(H52),COUNTIFS($B$7:$B$608,B52,$C$7:$C$608,C52,$H$7:$H$608,"&lt;"&amp;H52,$AH$7:$AH$608,"yes")+COUNTIFS($B$7:B52,B52,$C$7:C52,C52,$H$7:H52,H52,$AH$7:AH52,"yes"),"")</f>
        <v/>
      </c>
      <c r="AG52" s="27">
        <f>IF(ISNUMBER(I52),COUNTIFS($B$7:$B$608,B52,$C$7:$C$608,C52,$I$7:$I$608,"&lt;"&amp;I52,$AI$7:$AI$608,"yes")+COUNTIFS($B$7:B52,B52,$C$7:C52,C52,$I$7:I52,I52,$AI$7:AI52,"yes"),"")</f>
        <v/>
      </c>
      <c r="AH52" s="27">
        <f>IF(ISNUMBER(H52),"yes","no")</f>
        <v/>
      </c>
      <c r="AI52" s="27">
        <f>IF(ISNUMBER(I52),"yes","no")</f>
        <v/>
      </c>
      <c r="AJ52" s="105" t="n">
        <v>46208</v>
      </c>
      <c r="AK52" s="27" t="n"/>
    </row>
    <row r="53" ht="42" customHeight="1">
      <c r="A53" s="2" t="n"/>
      <c r="B53" s="24" t="inlineStr">
        <is>
          <t>GN 1/2 PC container, 150 mm</t>
        </is>
      </c>
      <c r="C53" s="24" t="inlineStr">
        <is>
          <t>Romania</t>
        </is>
      </c>
      <c r="D53" s="24" t="inlineStr">
        <is>
          <t>Hendi</t>
        </is>
      </c>
      <c r="E53" s="24" t="inlineStr">
        <is>
          <t>GN 1/2 150 mm - Polycarbonate</t>
        </is>
      </c>
      <c r="F53" s="98" t="n">
        <v>89.26000000000001</v>
      </c>
      <c r="G53" s="24" t="inlineStr">
        <is>
          <t>RON</t>
        </is>
      </c>
      <c r="H53" s="98">
        <f>IF(AND(AE53="yes",ISNUMBER(AD53)),AD53,"")</f>
        <v/>
      </c>
      <c r="I53" s="99">
        <f>IF(AND(AE53="yes",ISNUMBER(AD53),ISNUMBER(INDEX('Sources'!$G$7:$G$10,MATCH(AB53,'Sources'!$B$7:$B$10,0)))),AD53/INDEX('Sources'!$G$7:$G$10,MATCH(AB53,'Sources'!$B$7:$B$10,0)),"")</f>
        <v/>
      </c>
      <c r="J53" s="24" t="inlineStr">
        <is>
          <t>EXACT</t>
        </is>
      </c>
      <c r="K53" s="24" t="inlineStr">
        <is>
          <t>30.06.2026</t>
        </is>
      </c>
      <c r="L53" s="71" t="n"/>
      <c r="M53" s="24" t="inlineStr">
        <is>
          <t>PC</t>
        </is>
      </c>
      <c r="N53" s="25" t="inlineStr">
        <is>
          <t>https://www.hendi.ro/tavi-gastronorm/containere-gn?filter=25820/l/478616</t>
        </is>
      </c>
      <c r="O53" s="24" t="inlineStr">
        <is>
          <t>Hendi</t>
        </is>
      </c>
      <c r="P53" s="24" t="n"/>
      <c r="Q53" s="100" t="n"/>
      <c r="R53" s="24" t="n"/>
      <c r="S53" s="24" t="n"/>
      <c r="T53" s="24" t="n"/>
      <c r="U53" s="24" t="inlineStr">
        <is>
          <t>GN size, depth and material agree. Colour is unrestricted in the benchmark.</t>
        </is>
      </c>
      <c r="V53" s="98" t="n"/>
      <c r="W53" s="98" t="n">
        <v>17.852</v>
      </c>
      <c r="X53" s="24" t="inlineStr">
        <is>
          <t>YES Gastro Romania Market Research.xlsx</t>
        </is>
      </c>
      <c r="Y53" s="24" t="inlineStr">
        <is>
          <t>Gabi</t>
        </is>
      </c>
      <c r="Z53" s="24" t="n"/>
      <c r="AA53" s="24" t="n"/>
      <c r="AB53" s="24" t="inlineStr">
        <is>
          <t>RON</t>
        </is>
      </c>
      <c r="AC53" s="24" t="inlineStr">
        <is>
          <t>yes</t>
        </is>
      </c>
      <c r="AD53" s="24">
        <f>IF(ISNUMBER(F53),IF(G53=AB53,F53,IF(AND(ISNUMBER(INDEX('Sources'!$G$7:$G$10,MATCH(G53,'Sources'!$B$7:$B$10,0))),ISNUMBER(INDEX('Sources'!$G$7:$G$10,MATCH(AB53,'Sources'!$B$7:$B$10,0)))),F53/INDEX('Sources'!$G$7:$G$10,MATCH(G53,'Sources'!$B$7:$B$10,0))*INDEX('Sources'!$G$7:$G$10,MATCH(AB53,'Sources'!$B$7:$B$10,0)),"")),"")</f>
        <v/>
      </c>
      <c r="AE53" s="24">
        <f>IF(AND(AC53="yes",ISNUMBER(F53),IF('Compare'!$H$5="All mapped",TRUE,IF('Compare'!$H$5="EXACT only",J53="EXACT",OR(J53="EXACT",J53="CLOSE")))),"yes","no")</f>
        <v/>
      </c>
      <c r="AF53" s="24">
        <f>IF(ISNUMBER(H53),COUNTIFS($B$7:$B$608,B53,$C$7:$C$608,C53,$H$7:$H$608,"&lt;"&amp;H53,$AH$7:$AH$608,"yes")+COUNTIFS($B$7:B53,B53,$C$7:C53,C53,$H$7:H53,H53,$AH$7:AH53,"yes"),"")</f>
        <v/>
      </c>
      <c r="AG53" s="24">
        <f>IF(ISNUMBER(I53),COUNTIFS($B$7:$B$608,B53,$C$7:$C$608,C53,$I$7:$I$608,"&lt;"&amp;I53,$AI$7:$AI$608,"yes")+COUNTIFS($B$7:B53,B53,$C$7:C53,C53,$I$7:I53,I53,$AI$7:AI53,"yes"),"")</f>
        <v/>
      </c>
      <c r="AH53" s="24">
        <f>IF(ISNUMBER(H53),"yes","no")</f>
        <v/>
      </c>
      <c r="AI53" s="24">
        <f>IF(ISNUMBER(I53),"yes","no")</f>
        <v/>
      </c>
      <c r="AJ53" s="101" t="n">
        <v>46203</v>
      </c>
      <c r="AK53" s="24" t="n"/>
    </row>
    <row r="54" ht="42" customHeight="1">
      <c r="A54" s="2" t="n"/>
      <c r="B54" s="27" t="inlineStr">
        <is>
          <t>GN 1/2 PC container, 150 mm</t>
        </is>
      </c>
      <c r="C54" s="27" t="inlineStr">
        <is>
          <t>Romania</t>
        </is>
      </c>
      <c r="D54" s="27" t="inlineStr">
        <is>
          <t>Hendi</t>
        </is>
      </c>
      <c r="E54" s="27" t="inlineStr">
        <is>
          <t>GN 1/2 150mm - Polycarbonate Black</t>
        </is>
      </c>
      <c r="F54" s="102" t="n">
        <v>54.9</v>
      </c>
      <c r="G54" s="27" t="inlineStr">
        <is>
          <t>RON</t>
        </is>
      </c>
      <c r="H54" s="102">
        <f>IF(AND(AE54="yes",ISNUMBER(AD54)),AD54,"")</f>
        <v/>
      </c>
      <c r="I54" s="103">
        <f>IF(AND(AE54="yes",ISNUMBER(AD54),ISNUMBER(INDEX('Sources'!$G$7:$G$10,MATCH(AB54,'Sources'!$B$7:$B$10,0)))),AD54/INDEX('Sources'!$G$7:$G$10,MATCH(AB54,'Sources'!$B$7:$B$10,0)),"")</f>
        <v/>
      </c>
      <c r="J54" s="27" t="inlineStr">
        <is>
          <t>EXACT</t>
        </is>
      </c>
      <c r="K54" s="27" t="inlineStr">
        <is>
          <t>5.07.2026</t>
        </is>
      </c>
      <c r="L54" s="71" t="n"/>
      <c r="M54" s="27" t="inlineStr">
        <is>
          <t>PC</t>
        </is>
      </c>
      <c r="N54" s="28" t="inlineStr">
        <is>
          <t>https://www.hendi.ro/tavi-gastronorm/containere-gn?filter=25819/l/478607|25820/l/478616|25821/l/478668;478669</t>
        </is>
      </c>
      <c r="O54" s="27" t="inlineStr">
        <is>
          <t>Hendi</t>
        </is>
      </c>
      <c r="P54" s="27" t="n"/>
      <c r="Q54" s="104" t="n"/>
      <c r="R54" s="27" t="n"/>
      <c r="S54" s="27" t="n"/>
      <c r="T54" s="27" t="n"/>
      <c r="U54" s="27" t="inlineStr">
        <is>
          <t>GN size, depth and material agree. Colour is unrestricted in the benchmark.</t>
        </is>
      </c>
      <c r="V54" s="102" t="n"/>
      <c r="W54" s="102" t="n">
        <v>10.98</v>
      </c>
      <c r="X54" s="27" t="inlineStr">
        <is>
          <t>YES Gastro Romania Market Research.xlsx</t>
        </is>
      </c>
      <c r="Y54" s="27" t="inlineStr">
        <is>
          <t>Gabi</t>
        </is>
      </c>
      <c r="Z54" s="27" t="n"/>
      <c r="AA54" s="27" t="n"/>
      <c r="AB54" s="27" t="inlineStr">
        <is>
          <t>RON</t>
        </is>
      </c>
      <c r="AC54" s="27" t="inlineStr">
        <is>
          <t>yes</t>
        </is>
      </c>
      <c r="AD54" s="27">
        <f>IF(ISNUMBER(F54),IF(G54=AB54,F54,IF(AND(ISNUMBER(INDEX('Sources'!$G$7:$G$10,MATCH(G54,'Sources'!$B$7:$B$10,0))),ISNUMBER(INDEX('Sources'!$G$7:$G$10,MATCH(AB54,'Sources'!$B$7:$B$10,0)))),F54/INDEX('Sources'!$G$7:$G$10,MATCH(G54,'Sources'!$B$7:$B$10,0))*INDEX('Sources'!$G$7:$G$10,MATCH(AB54,'Sources'!$B$7:$B$10,0)),"")),"")</f>
        <v/>
      </c>
      <c r="AE54" s="27">
        <f>IF(AND(AC54="yes",ISNUMBER(F54),IF('Compare'!$H$5="All mapped",TRUE,IF('Compare'!$H$5="EXACT only",J54="EXACT",OR(J54="EXACT",J54="CLOSE")))),"yes","no")</f>
        <v/>
      </c>
      <c r="AF54" s="27">
        <f>IF(ISNUMBER(H54),COUNTIFS($B$7:$B$608,B54,$C$7:$C$608,C54,$H$7:$H$608,"&lt;"&amp;H54,$AH$7:$AH$608,"yes")+COUNTIFS($B$7:B54,B54,$C$7:C54,C54,$H$7:H54,H54,$AH$7:AH54,"yes"),"")</f>
        <v/>
      </c>
      <c r="AG54" s="27">
        <f>IF(ISNUMBER(I54),COUNTIFS($B$7:$B$608,B54,$C$7:$C$608,C54,$I$7:$I$608,"&lt;"&amp;I54,$AI$7:$AI$608,"yes")+COUNTIFS($B$7:B54,B54,$C$7:C54,C54,$I$7:I54,I54,$AI$7:AI54,"yes"),"")</f>
        <v/>
      </c>
      <c r="AH54" s="27">
        <f>IF(ISNUMBER(H54),"yes","no")</f>
        <v/>
      </c>
      <c r="AI54" s="27">
        <f>IF(ISNUMBER(I54),"yes","no")</f>
        <v/>
      </c>
      <c r="AJ54" s="105" t="n">
        <v>46208</v>
      </c>
      <c r="AK54" s="27" t="n"/>
    </row>
    <row r="55" ht="42" customHeight="1">
      <c r="A55" s="2" t="n"/>
      <c r="B55" s="24" t="inlineStr">
        <is>
          <t>GN 1/2 PC container, 150 mm</t>
        </is>
      </c>
      <c r="C55" s="24" t="inlineStr">
        <is>
          <t>Romania</t>
        </is>
      </c>
      <c r="D55" s="24" t="inlineStr">
        <is>
          <t>Lancom</t>
        </is>
      </c>
      <c r="E55" s="24" t="inlineStr">
        <is>
          <t>GN 1/2 150mm - Polycarbonate</t>
        </is>
      </c>
      <c r="F55" s="98" t="n">
        <v>5</v>
      </c>
      <c r="G55" s="24" t="inlineStr">
        <is>
          <t>EUR</t>
        </is>
      </c>
      <c r="H55" s="98">
        <f>IF(AND(AE55="yes",ISNUMBER(AD55)),AD55,"")</f>
        <v/>
      </c>
      <c r="I55" s="99">
        <f>IF(AND(AE55="yes",ISNUMBER(AD55),ISNUMBER(INDEX('Sources'!$G$7:$G$10,MATCH(AB55,'Sources'!$B$7:$B$10,0)))),AD55/INDEX('Sources'!$G$7:$G$10,MATCH(AB55,'Sources'!$B$7:$B$10,0)),"")</f>
        <v/>
      </c>
      <c r="J55" s="24" t="inlineStr">
        <is>
          <t>EXACT</t>
        </is>
      </c>
      <c r="K55" s="24" t="inlineStr">
        <is>
          <t>2026-09-12 00:00:00</t>
        </is>
      </c>
      <c r="L55" s="71" t="n"/>
      <c r="M55" s="24" t="inlineStr">
        <is>
          <t>PC. Live check 30.09.2026: 5.00 € / buc fara TVA (discounted from 6.24 €); Lancom prices in EUR and invoices in RON at the BNR rate. Previously recorded as 26.28 RON (the EUR price converted at about 5.26).</t>
        </is>
      </c>
      <c r="N55" s="25" t="inlineStr">
        <is>
          <t>https://www.lancom.ro/tava-gastronorm-gn-12-150-policarbonat-6940</t>
        </is>
      </c>
      <c r="O55" s="24" t="inlineStr">
        <is>
          <t>GastroPlast</t>
        </is>
      </c>
      <c r="P55" s="24" t="n"/>
      <c r="Q55" s="100" t="n"/>
      <c r="R55" s="24" t="n"/>
      <c r="S55" s="24" t="n"/>
      <c r="T55" s="24" t="n"/>
      <c r="U55" s="24" t="inlineStr">
        <is>
          <t>GN size, depth and material agree. Colour is unrestricted in the benchmark.</t>
        </is>
      </c>
      <c r="V55" s="98" t="n"/>
      <c r="W55" s="98" t="n">
        <v>5.256</v>
      </c>
      <c r="X55" s="24" t="inlineStr">
        <is>
          <t>YES Gastro Romania Market Research.xlsx</t>
        </is>
      </c>
      <c r="Y55" s="24" t="inlineStr">
        <is>
          <t>Gabi</t>
        </is>
      </c>
      <c r="Z55" s="24" t="n"/>
      <c r="AA55" s="24" t="n"/>
      <c r="AB55" s="24" t="inlineStr">
        <is>
          <t>RON</t>
        </is>
      </c>
      <c r="AC55" s="24" t="inlineStr">
        <is>
          <t>yes</t>
        </is>
      </c>
      <c r="AD55" s="24">
        <f>IF(ISNUMBER(F55),IF(G55=AB55,F55,IF(AND(ISNUMBER(INDEX('Sources'!$G$7:$G$10,MATCH(G55,'Sources'!$B$7:$B$10,0))),ISNUMBER(INDEX('Sources'!$G$7:$G$10,MATCH(AB55,'Sources'!$B$7:$B$10,0)))),F55/INDEX('Sources'!$G$7:$G$10,MATCH(G55,'Sources'!$B$7:$B$10,0))*INDEX('Sources'!$G$7:$G$10,MATCH(AB55,'Sources'!$B$7:$B$10,0)),"")),"")</f>
        <v/>
      </c>
      <c r="AE55" s="24">
        <f>IF(AND(AC55="yes",ISNUMBER(F55),IF('Compare'!$H$5="All mapped",TRUE,IF('Compare'!$H$5="EXACT only",J55="EXACT",OR(J55="EXACT",J55="CLOSE")))),"yes","no")</f>
        <v/>
      </c>
      <c r="AF55" s="24">
        <f>IF(ISNUMBER(H55),COUNTIFS($B$7:$B$608,B55,$C$7:$C$608,C55,$H$7:$H$608,"&lt;"&amp;H55,$AH$7:$AH$608,"yes")+COUNTIFS($B$7:B55,B55,$C$7:C55,C55,$H$7:H55,H55,$AH$7:AH55,"yes"),"")</f>
        <v/>
      </c>
      <c r="AG55" s="24">
        <f>IF(ISNUMBER(I55),COUNTIFS($B$7:$B$608,B55,$C$7:$C$608,C55,$I$7:$I$608,"&lt;"&amp;I55,$AI$7:$AI$608,"yes")+COUNTIFS($B$7:B55,B55,$C$7:C55,C55,$I$7:I55,I55,$AI$7:AI55,"yes"),"")</f>
        <v/>
      </c>
      <c r="AH55" s="24">
        <f>IF(ISNUMBER(H55),"yes","no")</f>
        <v/>
      </c>
      <c r="AI55" s="24">
        <f>IF(ISNUMBER(I55),"yes","no")</f>
        <v/>
      </c>
      <c r="AJ55" s="101" t="n">
        <v>46277</v>
      </c>
      <c r="AK55" s="24" t="n"/>
    </row>
    <row r="56" ht="42" customHeight="1">
      <c r="A56" s="2" t="n"/>
      <c r="B56" s="27" t="inlineStr">
        <is>
          <t>GN 1/2 PC container, 150 mm</t>
        </is>
      </c>
      <c r="C56" s="27" t="inlineStr">
        <is>
          <t>Romania</t>
        </is>
      </c>
      <c r="D56" s="27" t="inlineStr">
        <is>
          <t>Pro-cucina</t>
        </is>
      </c>
      <c r="E56" s="27" t="inlineStr">
        <is>
          <t>GN 1/2 150mm - Polycarbonate</t>
        </is>
      </c>
      <c r="F56" s="102" t="n">
        <v>6</v>
      </c>
      <c r="G56" s="27" t="inlineStr">
        <is>
          <t>EUR</t>
        </is>
      </c>
      <c r="H56" s="102">
        <f>IF(AND(AE56="yes",ISNUMBER(AD56)),AD56,"")</f>
        <v/>
      </c>
      <c r="I56" s="103">
        <f>IF(AND(AE56="yes",ISNUMBER(AD56),ISNUMBER(INDEX('Sources'!$G$7:$G$10,MATCH(AB56,'Sources'!$B$7:$B$10,0)))),AD56/INDEX('Sources'!$G$7:$G$10,MATCH(AB56,'Sources'!$B$7:$B$10,0)),"")</f>
        <v/>
      </c>
      <c r="J56" s="27" t="inlineStr">
        <is>
          <t>EXACT</t>
        </is>
      </c>
      <c r="K56" s="27" t="inlineStr">
        <is>
          <t>2.07.2026</t>
        </is>
      </c>
      <c r="L56" s="71" t="n"/>
      <c r="M56" s="27" t="inlineStr">
        <is>
          <t>PC</t>
        </is>
      </c>
      <c r="N56" s="28" t="inlineStr">
        <is>
          <t>https://pro-cucina.ro/tavi-gn/</t>
        </is>
      </c>
      <c r="O56" s="27" t="n"/>
      <c r="P56" s="27" t="n"/>
      <c r="Q56" s="104" t="n"/>
      <c r="R56" s="27" t="n"/>
      <c r="S56" s="27" t="n"/>
      <c r="T56" s="27" t="n"/>
      <c r="U56" s="27" t="inlineStr">
        <is>
          <t>GN size, depth and material agree. Colour is unrestricted in the benchmark.</t>
        </is>
      </c>
      <c r="V56" s="102" t="n"/>
      <c r="W56" s="102" t="n">
        <v>6</v>
      </c>
      <c r="X56" s="27" t="inlineStr">
        <is>
          <t>YES Gastro Romania Market Research.xlsx</t>
        </is>
      </c>
      <c r="Y56" s="27" t="inlineStr">
        <is>
          <t>Gabi</t>
        </is>
      </c>
      <c r="Z56" s="27" t="n"/>
      <c r="AA56" s="27" t="n"/>
      <c r="AB56" s="27" t="inlineStr">
        <is>
          <t>RON</t>
        </is>
      </c>
      <c r="AC56" s="27" t="inlineStr">
        <is>
          <t>yes</t>
        </is>
      </c>
      <c r="AD56" s="27">
        <f>IF(ISNUMBER(F56),IF(G56=AB56,F56,IF(AND(ISNUMBER(INDEX('Sources'!$G$7:$G$10,MATCH(G56,'Sources'!$B$7:$B$10,0))),ISNUMBER(INDEX('Sources'!$G$7:$G$10,MATCH(AB56,'Sources'!$B$7:$B$10,0)))),F56/INDEX('Sources'!$G$7:$G$10,MATCH(G56,'Sources'!$B$7:$B$10,0))*INDEX('Sources'!$G$7:$G$10,MATCH(AB56,'Sources'!$B$7:$B$10,0)),"")),"")</f>
        <v/>
      </c>
      <c r="AE56" s="27">
        <f>IF(AND(AC56="yes",ISNUMBER(F56),IF('Compare'!$H$5="All mapped",TRUE,IF('Compare'!$H$5="EXACT only",J56="EXACT",OR(J56="EXACT",J56="CLOSE")))),"yes","no")</f>
        <v/>
      </c>
      <c r="AF56" s="27">
        <f>IF(ISNUMBER(H56),COUNTIFS($B$7:$B$608,B56,$C$7:$C$608,C56,$H$7:$H$608,"&lt;"&amp;H56,$AH$7:$AH$608,"yes")+COUNTIFS($B$7:B56,B56,$C$7:C56,C56,$H$7:H56,H56,$AH$7:AH56,"yes"),"")</f>
        <v/>
      </c>
      <c r="AG56" s="27">
        <f>IF(ISNUMBER(I56),COUNTIFS($B$7:$B$608,B56,$C$7:$C$608,C56,$I$7:$I$608,"&lt;"&amp;I56,$AI$7:$AI$608,"yes")+COUNTIFS($B$7:B56,B56,$C$7:C56,C56,$I$7:I56,I56,$AI$7:AI56,"yes"),"")</f>
        <v/>
      </c>
      <c r="AH56" s="27">
        <f>IF(ISNUMBER(H56),"yes","no")</f>
        <v/>
      </c>
      <c r="AI56" s="27">
        <f>IF(ISNUMBER(I56),"yes","no")</f>
        <v/>
      </c>
      <c r="AJ56" s="105" t="n">
        <v>46205</v>
      </c>
      <c r="AK56" s="27" t="n"/>
    </row>
    <row r="57" ht="66" customHeight="1">
      <c r="A57" s="2" t="n"/>
      <c r="B57" s="24" t="inlineStr">
        <is>
          <t>GN 1/2 PC container, 150 mm</t>
        </is>
      </c>
      <c r="C57" s="24" t="inlineStr">
        <is>
          <t>Romania</t>
        </is>
      </c>
      <c r="D57" s="24" t="inlineStr">
        <is>
          <t>mmgastro</t>
        </is>
      </c>
      <c r="E57" s="24" t="inlineStr">
        <is>
          <t>GN 1/2 150mm - Polycarbonate</t>
        </is>
      </c>
      <c r="F57" s="98" t="n">
        <v>35.79</v>
      </c>
      <c r="G57" s="24" t="inlineStr">
        <is>
          <t>RON</t>
        </is>
      </c>
      <c r="H57" s="98">
        <f>IF(AND(AE57="yes",ISNUMBER(AD57)),AD57,"")</f>
        <v/>
      </c>
      <c r="I57" s="99">
        <f>IF(AND(AE57="yes",ISNUMBER(AD57),ISNUMBER(INDEX('Sources'!$G$7:$G$10,MATCH(AB57,'Sources'!$B$7:$B$10,0)))),AD57/INDEX('Sources'!$G$7:$G$10,MATCH(AB57,'Sources'!$B$7:$B$10,0)),"")</f>
        <v/>
      </c>
      <c r="J57" s="24" t="inlineStr">
        <is>
          <t>EXACT</t>
        </is>
      </c>
      <c r="K57" s="24" t="inlineStr">
        <is>
          <t>2.07.2026</t>
        </is>
      </c>
      <c r="L57" s="71" t="n"/>
      <c r="M57" s="24" t="inlineStr">
        <is>
          <t>PC</t>
        </is>
      </c>
      <c r="N57" s="25" t="inlineStr">
        <is>
          <t>https://mmgastro.ro/ro/menu/categorii/vase-gastronomice/vase-gn-din-policarbonat-11707?filter_text=&amp;filter_producer=&amp;filter_price=&amp;filter_traits[47062]=70733&amp;filter_traits[21]=&amp;filter_traits[47060]=50734&amp;filter_traits[69787]=&amp;filter_traits[73752]=</t>
        </is>
      </c>
      <c r="O57" s="24" t="inlineStr">
        <is>
          <t>Forgast</t>
        </is>
      </c>
      <c r="P57" s="24" t="n"/>
      <c r="Q57" s="100" t="n"/>
      <c r="R57" s="24" t="n"/>
      <c r="S57" s="24" t="n"/>
      <c r="T57" s="24" t="n"/>
      <c r="U57" s="24" t="inlineStr">
        <is>
          <t>GN size, depth and material agree. Colour is unrestricted in the benchmark.</t>
        </is>
      </c>
      <c r="V57" s="98" t="n"/>
      <c r="W57" s="98" t="n">
        <v>7.158</v>
      </c>
      <c r="X57" s="24" t="inlineStr">
        <is>
          <t>YES Gastro Romania Market Research.xlsx</t>
        </is>
      </c>
      <c r="Y57" s="24" t="inlineStr">
        <is>
          <t>Gabi</t>
        </is>
      </c>
      <c r="Z57" s="24" t="n"/>
      <c r="AA57" s="24" t="n"/>
      <c r="AB57" s="24" t="inlineStr">
        <is>
          <t>RON</t>
        </is>
      </c>
      <c r="AC57" s="24" t="inlineStr">
        <is>
          <t>yes</t>
        </is>
      </c>
      <c r="AD57" s="24">
        <f>IF(ISNUMBER(F57),IF(G57=AB57,F57,IF(AND(ISNUMBER(INDEX('Sources'!$G$7:$G$10,MATCH(G57,'Sources'!$B$7:$B$10,0))),ISNUMBER(INDEX('Sources'!$G$7:$G$10,MATCH(AB57,'Sources'!$B$7:$B$10,0)))),F57/INDEX('Sources'!$G$7:$G$10,MATCH(G57,'Sources'!$B$7:$B$10,0))*INDEX('Sources'!$G$7:$G$10,MATCH(AB57,'Sources'!$B$7:$B$10,0)),"")),"")</f>
        <v/>
      </c>
      <c r="AE57" s="24">
        <f>IF(AND(AC57="yes",ISNUMBER(F57),IF('Compare'!$H$5="All mapped",TRUE,IF('Compare'!$H$5="EXACT only",J57="EXACT",OR(J57="EXACT",J57="CLOSE")))),"yes","no")</f>
        <v/>
      </c>
      <c r="AF57" s="24">
        <f>IF(ISNUMBER(H57),COUNTIFS($B$7:$B$608,B57,$C$7:$C$608,C57,$H$7:$H$608,"&lt;"&amp;H57,$AH$7:$AH$608,"yes")+COUNTIFS($B$7:B57,B57,$C$7:C57,C57,$H$7:H57,H57,$AH$7:AH57,"yes"),"")</f>
        <v/>
      </c>
      <c r="AG57" s="24">
        <f>IF(ISNUMBER(I57),COUNTIFS($B$7:$B$608,B57,$C$7:$C$608,C57,$I$7:$I$608,"&lt;"&amp;I57,$AI$7:$AI$608,"yes")+COUNTIFS($B$7:B57,B57,$C$7:C57,C57,$I$7:I57,I57,$AI$7:AI57,"yes"),"")</f>
        <v/>
      </c>
      <c r="AH57" s="24">
        <f>IF(ISNUMBER(H57),"yes","no")</f>
        <v/>
      </c>
      <c r="AI57" s="24">
        <f>IF(ISNUMBER(I57),"yes","no")</f>
        <v/>
      </c>
      <c r="AJ57" s="101" t="n">
        <v>46205</v>
      </c>
      <c r="AK57" s="24" t="n"/>
    </row>
    <row r="58" ht="42" customHeight="1">
      <c r="A58" s="2" t="n"/>
      <c r="B58" s="27" t="inlineStr">
        <is>
          <t>GN 1/2 PC container, 150 mm</t>
        </is>
      </c>
      <c r="C58" s="27" t="inlineStr">
        <is>
          <t>Austria</t>
        </is>
      </c>
      <c r="D58" s="27" t="inlineStr">
        <is>
          <t>ALLPAX Österreich</t>
        </is>
      </c>
      <c r="E58" s="27" t="inlineStr">
        <is>
          <t>PC GN 1/2 Höhe 150 mm schwarz</t>
        </is>
      </c>
      <c r="F58" s="102" t="n">
        <v>7.29</v>
      </c>
      <c r="G58" s="27" t="inlineStr">
        <is>
          <t>EUR</t>
        </is>
      </c>
      <c r="H58" s="102">
        <f>IF(AND(AE58="yes",ISNUMBER(AD58)),AD58,"")</f>
        <v/>
      </c>
      <c r="I58" s="103">
        <f>IF(AND(AE58="yes",ISNUMBER(AD58),ISNUMBER(INDEX('Sources'!$G$7:$G$10,MATCH(AB58,'Sources'!$B$7:$B$10,0)))),AD58/INDEX('Sources'!$G$7:$G$10,MATCH(AB58,'Sources'!$B$7:$B$10,0)),"")</f>
        <v/>
      </c>
      <c r="J58" s="27" t="inlineStr">
        <is>
          <t>EXACT</t>
        </is>
      </c>
      <c r="K58" s="27" t="inlineStr">
        <is>
          <t>2026-09-30</t>
        </is>
      </c>
      <c r="L58" s="71" t="n"/>
      <c r="M58" s="27" t="inlineStr">
        <is>
          <t>'jetzt' price; regular 10.35</t>
        </is>
      </c>
      <c r="N58" s="28" t="inlineStr">
        <is>
          <t>https://www.allpax.at/product_info.php/info/PC-GN-1-2-Hoehe-150-mm-schwarz.html</t>
        </is>
      </c>
      <c r="O58" s="27" t="n"/>
      <c r="P58" s="27" t="inlineStr">
        <is>
          <t>excl.</t>
        </is>
      </c>
      <c r="Q58" s="104" t="n"/>
      <c r="R58" s="27" t="n">
        <v>1</v>
      </c>
      <c r="S58" s="27" t="n"/>
      <c r="T58" s="27" t="inlineStr">
        <is>
          <t>EXACT</t>
        </is>
      </c>
      <c r="U58" s="27" t="inlineStr">
        <is>
          <t>Existing benchmark assignment and match quality retained.</t>
        </is>
      </c>
      <c r="V58" s="102" t="n">
        <v>7.29</v>
      </c>
      <c r="W58" s="102" t="n"/>
      <c r="X58" s="27" t="inlineStr">
        <is>
          <t>YES Gastro Austria Market Research.xlsx</t>
        </is>
      </c>
      <c r="Y58" s="27" t="n"/>
      <c r="Z58" s="27" t="n"/>
      <c r="AA58" s="27" t="n"/>
      <c r="AB58" s="27" t="inlineStr">
        <is>
          <t>EUR</t>
        </is>
      </c>
      <c r="AC58" s="27" t="inlineStr">
        <is>
          <t>yes</t>
        </is>
      </c>
      <c r="AD58" s="27">
        <f>IF(ISNUMBER(V58),V58,"")</f>
        <v/>
      </c>
      <c r="AE58" s="27">
        <f>IF(AND(AC58="yes",ISNUMBER(F58),IF('Compare'!$H$5="All mapped",TRUE,IF('Compare'!$H$5="EXACT only",J58="EXACT",OR(J58="EXACT",J58="CLOSE")))),"yes","no")</f>
        <v/>
      </c>
      <c r="AF58" s="27">
        <f>IF(ISNUMBER(H58),COUNTIFS($B$7:$B$608,B58,$C$7:$C$608,C58,$H$7:$H$608,"&lt;"&amp;H58,$AH$7:$AH$608,"yes")+COUNTIFS($B$7:B58,B58,$C$7:C58,C58,$H$7:H58,H58,$AH$7:AH58,"yes"),"")</f>
        <v/>
      </c>
      <c r="AG58" s="27">
        <f>IF(ISNUMBER(I58),COUNTIFS($B$7:$B$608,B58,$C$7:$C$608,C58,$I$7:$I$608,"&lt;"&amp;I58,$AI$7:$AI$608,"yes")+COUNTIFS($B$7:B58,B58,$C$7:C58,C58,$I$7:I58,I58,$AI$7:AI58,"yes"),"")</f>
        <v/>
      </c>
      <c r="AH58" s="27">
        <f>IF(ISNUMBER(H58),"yes","no")</f>
        <v/>
      </c>
      <c r="AI58" s="27">
        <f>IF(ISNUMBER(I58),"yes","no")</f>
        <v/>
      </c>
      <c r="AJ58" s="105" t="n">
        <v>46295</v>
      </c>
      <c r="AK58" s="27" t="n"/>
    </row>
    <row r="59" ht="42" customHeight="1">
      <c r="A59" s="2" t="n"/>
      <c r="B59" s="24" t="inlineStr">
        <is>
          <t>GN 1/2 PC container, 150 mm</t>
        </is>
      </c>
      <c r="C59" s="24" t="inlineStr">
        <is>
          <t>Austria</t>
        </is>
      </c>
      <c r="D59" s="24" t="inlineStr">
        <is>
          <t>GastroHero Österreich</t>
        </is>
      </c>
      <c r="E59" s="24" t="inlineStr">
        <is>
          <t>Vogue GN-Behälter 1/2 Polycarbonat - Tiefe 150 mm</t>
        </is>
      </c>
      <c r="F59" s="98" t="n">
        <v>9.99</v>
      </c>
      <c r="G59" s="24" t="inlineStr">
        <is>
          <t>EUR</t>
        </is>
      </c>
      <c r="H59" s="98">
        <f>IF(AND(AE59="yes",ISNUMBER(AD59)),AD59,"")</f>
        <v/>
      </c>
      <c r="I59" s="99">
        <f>IF(AND(AE59="yes",ISNUMBER(AD59),ISNUMBER(INDEX('Sources'!$G$7:$G$10,MATCH(AB59,'Sources'!$B$7:$B$10,0)))),AD59/INDEX('Sources'!$G$7:$G$10,MATCH(AB59,'Sources'!$B$7:$B$10,0)),"")</f>
        <v/>
      </c>
      <c r="J59" s="24" t="inlineStr">
        <is>
          <t>EXACT</t>
        </is>
      </c>
      <c r="K59" s="24" t="inlineStr">
        <is>
          <t>2026-09-30</t>
        </is>
      </c>
      <c r="L59" s="71" t="n"/>
      <c r="M59" s="24" t="inlineStr">
        <is>
          <t>Sale price (normal 11.89); min. qty 4. Schneider equivalent 17.39</t>
        </is>
      </c>
      <c r="N59" s="25" t="inlineStr">
        <is>
          <t>https://www.gastro-hero.at/products/vogue-gn-behaelter-12-polycarbonat-tiefe-150-mm-u230</t>
        </is>
      </c>
      <c r="O59" s="24" t="inlineStr">
        <is>
          <t>Vogue</t>
        </is>
      </c>
      <c r="P59" s="24" t="inlineStr">
        <is>
          <t>excl.</t>
        </is>
      </c>
      <c r="Q59" s="100" t="n"/>
      <c r="R59" s="24" t="n">
        <v>1</v>
      </c>
      <c r="S59" s="24" t="n"/>
      <c r="T59" s="24" t="inlineStr">
        <is>
          <t>EXACT</t>
        </is>
      </c>
      <c r="U59" s="24" t="inlineStr">
        <is>
          <t>Existing benchmark assignment and match quality retained.</t>
        </is>
      </c>
      <c r="V59" s="98" t="n">
        <v>9.99</v>
      </c>
      <c r="W59" s="98" t="n"/>
      <c r="X59" s="24" t="inlineStr">
        <is>
          <t>YES Gastro Austria Market Research.xlsx</t>
        </is>
      </c>
      <c r="Y59" s="24" t="n"/>
      <c r="Z59" s="24" t="n"/>
      <c r="AA59" s="24" t="n"/>
      <c r="AB59" s="24" t="inlineStr">
        <is>
          <t>EUR</t>
        </is>
      </c>
      <c r="AC59" s="24" t="inlineStr">
        <is>
          <t>yes</t>
        </is>
      </c>
      <c r="AD59" s="24">
        <f>IF(ISNUMBER(V59),V59,"")</f>
        <v/>
      </c>
      <c r="AE59" s="24">
        <f>IF(AND(AC59="yes",ISNUMBER(F59),IF('Compare'!$H$5="All mapped",TRUE,IF('Compare'!$H$5="EXACT only",J59="EXACT",OR(J59="EXACT",J59="CLOSE")))),"yes","no")</f>
        <v/>
      </c>
      <c r="AF59" s="24">
        <f>IF(ISNUMBER(H59),COUNTIFS($B$7:$B$608,B59,$C$7:$C$608,C59,$H$7:$H$608,"&lt;"&amp;H59,$AH$7:$AH$608,"yes")+COUNTIFS($B$7:B59,B59,$C$7:C59,C59,$H$7:H59,H59,$AH$7:AH59,"yes"),"")</f>
        <v/>
      </c>
      <c r="AG59" s="24">
        <f>IF(ISNUMBER(I59),COUNTIFS($B$7:$B$608,B59,$C$7:$C$608,C59,$I$7:$I$608,"&lt;"&amp;I59,$AI$7:$AI$608,"yes")+COUNTIFS($B$7:B59,B59,$C$7:C59,C59,$I$7:I59,I59,$AI$7:AI59,"yes"),"")</f>
        <v/>
      </c>
      <c r="AH59" s="24">
        <f>IF(ISNUMBER(H59),"yes","no")</f>
        <v/>
      </c>
      <c r="AI59" s="24">
        <f>IF(ISNUMBER(I59),"yes","no")</f>
        <v/>
      </c>
      <c r="AJ59" s="101" t="n">
        <v>46295</v>
      </c>
      <c r="AK59" s="24" t="n"/>
    </row>
    <row r="60" ht="42" customHeight="1">
      <c r="A60" s="2" t="n"/>
      <c r="B60" s="27" t="inlineStr">
        <is>
          <t>GN 1/2 PC container, 150 mm</t>
        </is>
      </c>
      <c r="C60" s="27" t="inlineStr">
        <is>
          <t>Austria</t>
        </is>
      </c>
      <c r="D60" s="27" t="inlineStr">
        <is>
          <t>Gastrodax</t>
        </is>
      </c>
      <c r="E60" s="27" t="inlineStr">
        <is>
          <t>Hendi Gastronorm-Behälter 1/2, GN 1/2, 9,5L, Transparent, 325x265x(H)150mm – Polycarbonat</t>
        </is>
      </c>
      <c r="F60" s="102" t="n">
        <v>18.75</v>
      </c>
      <c r="G60" s="27" t="inlineStr">
        <is>
          <t>EUR</t>
        </is>
      </c>
      <c r="H60" s="102">
        <f>IF(AND(AE60="yes",ISNUMBER(AD60)),AD60,"")</f>
        <v/>
      </c>
      <c r="I60" s="103">
        <f>IF(AND(AE60="yes",ISNUMBER(AD60),ISNUMBER(INDEX('Sources'!$G$7:$G$10,MATCH(AB60,'Sources'!$B$7:$B$10,0)))),AD60/INDEX('Sources'!$G$7:$G$10,MATCH(AB60,'Sources'!$B$7:$B$10,0)),"")</f>
        <v/>
      </c>
      <c r="J60" s="27" t="inlineStr">
        <is>
          <t>EXACT</t>
        </is>
      </c>
      <c r="K60" s="27" t="inlineStr">
        <is>
          <t>2026-09-30</t>
        </is>
      </c>
      <c r="L60" s="71" t="n"/>
      <c r="M60" s="27" t="n"/>
      <c r="N60" s="28" t="inlineStr">
        <is>
          <t>https://www.gastrodax.de/hendi-gastronorm-behaelter-gn-1-2-9-5-l-polykarbonat-transparent-325-x-265-x-h-150-mm</t>
        </is>
      </c>
      <c r="O60" s="27" t="inlineStr">
        <is>
          <t>Hendi</t>
        </is>
      </c>
      <c r="P60" s="27" t="inlineStr">
        <is>
          <t>excl.</t>
        </is>
      </c>
      <c r="Q60" s="104" t="n"/>
      <c r="R60" s="27" t="n">
        <v>1</v>
      </c>
      <c r="S60" s="27" t="n"/>
      <c r="T60" s="27" t="inlineStr">
        <is>
          <t>EXACT</t>
        </is>
      </c>
      <c r="U60" s="27" t="inlineStr">
        <is>
          <t>Existing benchmark assignment and match quality retained.</t>
        </is>
      </c>
      <c r="V60" s="102" t="n">
        <v>18.75</v>
      </c>
      <c r="W60" s="102" t="n"/>
      <c r="X60" s="27" t="inlineStr">
        <is>
          <t>YES Gastro Austria Market Research.xlsx</t>
        </is>
      </c>
      <c r="Y60" s="27" t="n"/>
      <c r="Z60" s="27" t="n"/>
      <c r="AA60" s="27" t="n"/>
      <c r="AB60" s="27" t="inlineStr">
        <is>
          <t>EUR</t>
        </is>
      </c>
      <c r="AC60" s="27" t="inlineStr">
        <is>
          <t>yes</t>
        </is>
      </c>
      <c r="AD60" s="27">
        <f>IF(ISNUMBER(V60),V60,"")</f>
        <v/>
      </c>
      <c r="AE60" s="27">
        <f>IF(AND(AC60="yes",ISNUMBER(F60),IF('Compare'!$H$5="All mapped",TRUE,IF('Compare'!$H$5="EXACT only",J60="EXACT",OR(J60="EXACT",J60="CLOSE")))),"yes","no")</f>
        <v/>
      </c>
      <c r="AF60" s="27">
        <f>IF(ISNUMBER(H60),COUNTIFS($B$7:$B$608,B60,$C$7:$C$608,C60,$H$7:$H$608,"&lt;"&amp;H60,$AH$7:$AH$608,"yes")+COUNTIFS($B$7:B60,B60,$C$7:C60,C60,$H$7:H60,H60,$AH$7:AH60,"yes"),"")</f>
        <v/>
      </c>
      <c r="AG60" s="27">
        <f>IF(ISNUMBER(I60),COUNTIFS($B$7:$B$608,B60,$C$7:$C$608,C60,$I$7:$I$608,"&lt;"&amp;I60,$AI$7:$AI$608,"yes")+COUNTIFS($B$7:B60,B60,$C$7:C60,C60,$I$7:I60,I60,$AI$7:AI60,"yes"),"")</f>
        <v/>
      </c>
      <c r="AH60" s="27">
        <f>IF(ISNUMBER(H60),"yes","no")</f>
        <v/>
      </c>
      <c r="AI60" s="27">
        <f>IF(ISNUMBER(I60),"yes","no")</f>
        <v/>
      </c>
      <c r="AJ60" s="105" t="n">
        <v>46295</v>
      </c>
      <c r="AK60" s="27" t="n"/>
    </row>
    <row r="61" ht="42" customHeight="1">
      <c r="A61" s="2" t="n"/>
      <c r="B61" s="24" t="inlineStr">
        <is>
          <t>GN 1/2 PC container, 150 mm</t>
        </is>
      </c>
      <c r="C61" s="24" t="inlineStr">
        <is>
          <t>Austria</t>
        </is>
      </c>
      <c r="D61" s="24" t="inlineStr">
        <is>
          <t>Gastroladen.at (Harotec GmbH)</t>
        </is>
      </c>
      <c r="E61" s="24" t="inlineStr">
        <is>
          <t>Vogue Polycarbonat GN-Behälter GN1/2 150mm</t>
        </is>
      </c>
      <c r="F61" s="98" t="n">
        <v>10.09</v>
      </c>
      <c r="G61" s="24" t="inlineStr">
        <is>
          <t>EUR</t>
        </is>
      </c>
      <c r="H61" s="98">
        <f>IF(AND(AE61="yes",ISNUMBER(AD61)),AD61,"")</f>
        <v/>
      </c>
      <c r="I61" s="99">
        <f>IF(AND(AE61="yes",ISNUMBER(AD61),ISNUMBER(INDEX('Sources'!$G$7:$G$10,MATCH(AB61,'Sources'!$B$7:$B$10,0)))),AD61/INDEX('Sources'!$G$7:$G$10,MATCH(AB61,'Sources'!$B$7:$B$10,0)),"")</f>
        <v/>
      </c>
      <c r="J61" s="24" t="inlineStr">
        <is>
          <t>EXACT</t>
        </is>
      </c>
      <c r="K61" s="24" t="inlineStr">
        <is>
          <t>2026-09-30</t>
        </is>
      </c>
      <c r="L61" s="71" t="n"/>
      <c r="M61" s="24" t="n"/>
      <c r="N61" s="25" t="inlineStr">
        <is>
          <t>https://www.gastroladen.at/3020@GN-U230/Vogue-Polycarbonat-GN-Beh%C3%A4lter-GN1-2-150mm.htm</t>
        </is>
      </c>
      <c r="O61" s="24" t="inlineStr">
        <is>
          <t>Vogue</t>
        </is>
      </c>
      <c r="P61" s="24" t="inlineStr">
        <is>
          <t>incl.</t>
        </is>
      </c>
      <c r="Q61" s="100" t="n"/>
      <c r="R61" s="24" t="n">
        <v>1</v>
      </c>
      <c r="S61" s="24" t="n"/>
      <c r="T61" s="24" t="inlineStr">
        <is>
          <t>EXACT</t>
        </is>
      </c>
      <c r="U61" s="24" t="inlineStr">
        <is>
          <t>Existing benchmark assignment and match quality retained.</t>
        </is>
      </c>
      <c r="V61" s="98" t="n">
        <v>8.41</v>
      </c>
      <c r="W61" s="98" t="n"/>
      <c r="X61" s="24" t="inlineStr">
        <is>
          <t>YES Gastro Austria Market Research.xlsx</t>
        </is>
      </c>
      <c r="Y61" s="24" t="n"/>
      <c r="Z61" s="24" t="n"/>
      <c r="AA61" s="24" t="n"/>
      <c r="AB61" s="24" t="inlineStr">
        <is>
          <t>EUR</t>
        </is>
      </c>
      <c r="AC61" s="24" t="inlineStr">
        <is>
          <t>yes</t>
        </is>
      </c>
      <c r="AD61" s="24">
        <f>IF(ISNUMBER(V61),V61,"")</f>
        <v/>
      </c>
      <c r="AE61" s="24">
        <f>IF(AND(AC61="yes",ISNUMBER(F61),IF('Compare'!$H$5="All mapped",TRUE,IF('Compare'!$H$5="EXACT only",J61="EXACT",OR(J61="EXACT",J61="CLOSE")))),"yes","no")</f>
        <v/>
      </c>
      <c r="AF61" s="24">
        <f>IF(ISNUMBER(H61),COUNTIFS($B$7:$B$608,B61,$C$7:$C$608,C61,$H$7:$H$608,"&lt;"&amp;H61,$AH$7:$AH$608,"yes")+COUNTIFS($B$7:B61,B61,$C$7:C61,C61,$H$7:H61,H61,$AH$7:AH61,"yes"),"")</f>
        <v/>
      </c>
      <c r="AG61" s="24">
        <f>IF(ISNUMBER(I61),COUNTIFS($B$7:$B$608,B61,$C$7:$C$608,C61,$I$7:$I$608,"&lt;"&amp;I61,$AI$7:$AI$608,"yes")+COUNTIFS($B$7:B61,B61,$C$7:C61,C61,$I$7:I61,I61,$AI$7:AI61,"yes"),"")</f>
        <v/>
      </c>
      <c r="AH61" s="24">
        <f>IF(ISNUMBER(H61),"yes","no")</f>
        <v/>
      </c>
      <c r="AI61" s="24">
        <f>IF(ISNUMBER(I61),"yes","no")</f>
        <v/>
      </c>
      <c r="AJ61" s="101" t="n">
        <v>46295</v>
      </c>
      <c r="AK61" s="24" t="n"/>
    </row>
    <row r="62" ht="42" customHeight="1">
      <c r="A62" s="2" t="n"/>
      <c r="B62" s="27" t="inlineStr">
        <is>
          <t>GN 1/2 PC container, 150 mm</t>
        </is>
      </c>
      <c r="C62" s="27" t="inlineStr">
        <is>
          <t>Austria</t>
        </is>
      </c>
      <c r="D62" s="27" t="inlineStr">
        <is>
          <t>Intergastro (AT shop)</t>
        </is>
      </c>
      <c r="E62" s="27" t="inlineStr">
        <is>
          <t>Gastronorm Behälter GN 1/2 GN 96 BLACK Polycarbonat schwarz H 150 mm</t>
        </is>
      </c>
      <c r="F62" s="102" t="n">
        <v>10.17</v>
      </c>
      <c r="G62" s="27" t="inlineStr">
        <is>
          <t>EUR</t>
        </is>
      </c>
      <c r="H62" s="102">
        <f>IF(AND(AE62="yes",ISNUMBER(AD62)),AD62,"")</f>
        <v/>
      </c>
      <c r="I62" s="103">
        <f>IF(AND(AE62="yes",ISNUMBER(AD62),ISNUMBER(INDEX('Sources'!$G$7:$G$10,MATCH(AB62,'Sources'!$B$7:$B$10,0)))),AD62/INDEX('Sources'!$G$7:$G$10,MATCH(AB62,'Sources'!$B$7:$B$10,0)),"")</f>
        <v/>
      </c>
      <c r="J62" s="27" t="inlineStr">
        <is>
          <t>EXACT</t>
        </is>
      </c>
      <c r="K62" s="27" t="inlineStr">
        <is>
          <t>2026-09-30</t>
        </is>
      </c>
      <c r="L62" s="71" t="n"/>
      <c r="M62" s="27" t="inlineStr">
        <is>
          <t>Black PC; gross 12.20</t>
        </is>
      </c>
      <c r="N62" s="28" t="inlineStr">
        <is>
          <t>https://www.intergastro.at/gastronorm-behaelter-gn-1-2-gn-96-black-polycarbonat-schwarz-h-150-mm-1016774</t>
        </is>
      </c>
      <c r="O62" s="27" t="inlineStr">
        <is>
          <t>WAS Germany</t>
        </is>
      </c>
      <c r="P62" s="27" t="inlineStr">
        <is>
          <t>excl.</t>
        </is>
      </c>
      <c r="Q62" s="104" t="n"/>
      <c r="R62" s="27" t="n">
        <v>1</v>
      </c>
      <c r="S62" s="27" t="n"/>
      <c r="T62" s="27" t="inlineStr">
        <is>
          <t>EXACT</t>
        </is>
      </c>
      <c r="U62" s="27" t="inlineStr">
        <is>
          <t>Existing benchmark assignment and match quality retained.</t>
        </is>
      </c>
      <c r="V62" s="102" t="n">
        <v>10.17</v>
      </c>
      <c r="W62" s="102" t="n"/>
      <c r="X62" s="27" t="inlineStr">
        <is>
          <t>YES Gastro Austria Market Research.xlsx</t>
        </is>
      </c>
      <c r="Y62" s="27" t="n"/>
      <c r="Z62" s="27" t="n"/>
      <c r="AA62" s="27" t="n"/>
      <c r="AB62" s="27" t="inlineStr">
        <is>
          <t>EUR</t>
        </is>
      </c>
      <c r="AC62" s="27" t="inlineStr">
        <is>
          <t>yes</t>
        </is>
      </c>
      <c r="AD62" s="27">
        <f>IF(ISNUMBER(V62),V62,"")</f>
        <v/>
      </c>
      <c r="AE62" s="27">
        <f>IF(AND(AC62="yes",ISNUMBER(F62),IF('Compare'!$H$5="All mapped",TRUE,IF('Compare'!$H$5="EXACT only",J62="EXACT",OR(J62="EXACT",J62="CLOSE")))),"yes","no")</f>
        <v/>
      </c>
      <c r="AF62" s="27">
        <f>IF(ISNUMBER(H62),COUNTIFS($B$7:$B$608,B62,$C$7:$C$608,C62,$H$7:$H$608,"&lt;"&amp;H62,$AH$7:$AH$608,"yes")+COUNTIFS($B$7:B62,B62,$C$7:C62,C62,$H$7:H62,H62,$AH$7:AH62,"yes"),"")</f>
        <v/>
      </c>
      <c r="AG62" s="27">
        <f>IF(ISNUMBER(I62),COUNTIFS($B$7:$B$608,B62,$C$7:$C$608,C62,$I$7:$I$608,"&lt;"&amp;I62,$AI$7:$AI$608,"yes")+COUNTIFS($B$7:B62,B62,$C$7:C62,C62,$I$7:I62,I62,$AI$7:AI62,"yes"),"")</f>
        <v/>
      </c>
      <c r="AH62" s="27">
        <f>IF(ISNUMBER(H62),"yes","no")</f>
        <v/>
      </c>
      <c r="AI62" s="27">
        <f>IF(ISNUMBER(I62),"yes","no")</f>
        <v/>
      </c>
      <c r="AJ62" s="105" t="n">
        <v>46295</v>
      </c>
      <c r="AK62" s="27" t="n"/>
    </row>
    <row r="63" ht="42" customHeight="1">
      <c r="A63" s="2" t="n"/>
      <c r="B63" s="24" t="inlineStr">
        <is>
          <t>GN 1/2 PC container, 150 mm</t>
        </is>
      </c>
      <c r="C63" s="24" t="inlineStr">
        <is>
          <t>Austria</t>
        </is>
      </c>
      <c r="D63" s="24" t="inlineStr">
        <is>
          <t>Jungheinrich PROFISHOP Austria</t>
        </is>
      </c>
      <c r="E63" s="24" t="inlineStr">
        <is>
          <t>Stalgast ARAVEN Gastronormbehälter mit Deckel, Polypropylen, GN 1/2 (150 mm)</t>
        </is>
      </c>
      <c r="F63" s="98" t="n">
        <v>37.9</v>
      </c>
      <c r="G63" s="24" t="inlineStr">
        <is>
          <t>EUR</t>
        </is>
      </c>
      <c r="H63" s="98">
        <f>IF(AND(AE63="yes",ISNUMBER(AD63)),AD63,"")</f>
        <v/>
      </c>
      <c r="I63" s="99">
        <f>IF(AND(AE63="yes",ISNUMBER(AD63),ISNUMBER(INDEX('Sources'!$G$7:$G$10,MATCH(AB63,'Sources'!$B$7:$B$10,0)))),AD63/INDEX('Sources'!$G$7:$G$10,MATCH(AB63,'Sources'!$B$7:$B$10,0)),"")</f>
        <v/>
      </c>
      <c r="J63" s="24" t="inlineStr">
        <is>
          <t>APPROX</t>
        </is>
      </c>
      <c r="K63" s="24" t="inlineStr">
        <is>
          <t>2026-09-30</t>
        </is>
      </c>
      <c r="L63" s="71" t="n"/>
      <c r="M63" s="24" t="inlineStr">
        <is>
          <t>Polypropylene (not polycarbonate) and includes lid; no PC GN 1/2 150 mm found</t>
        </is>
      </c>
      <c r="N63" s="25" t="inlineStr">
        <is>
          <t>https://www.jh-profishop.at/p/stalgast-araven-gastronormbehaelter-mit-deckel-polypropylen-gn-1-2-150-mm-928334-347849/</t>
        </is>
      </c>
      <c r="O63" s="24" t="inlineStr">
        <is>
          <t>Stalgast / Araven</t>
        </is>
      </c>
      <c r="P63" s="24" t="inlineStr">
        <is>
          <t>excl.</t>
        </is>
      </c>
      <c r="Q63" s="100" t="n"/>
      <c r="R63" s="24" t="n">
        <v>1</v>
      </c>
      <c r="S63" s="24" t="n"/>
      <c r="T63" s="24" t="inlineStr">
        <is>
          <t>APPROX</t>
        </is>
      </c>
      <c r="U63" s="24" t="inlineStr">
        <is>
          <t>Existing benchmark assignment and match quality retained.</t>
        </is>
      </c>
      <c r="V63" s="98" t="n">
        <v>37.9</v>
      </c>
      <c r="W63" s="98" t="n"/>
      <c r="X63" s="24" t="inlineStr">
        <is>
          <t>YES Gastro Austria Market Research.xlsx</t>
        </is>
      </c>
      <c r="Y63" s="24" t="n"/>
      <c r="Z63" s="24" t="n"/>
      <c r="AA63" s="24" t="n"/>
      <c r="AB63" s="24" t="inlineStr">
        <is>
          <t>EUR</t>
        </is>
      </c>
      <c r="AC63" s="24" t="inlineStr">
        <is>
          <t>yes</t>
        </is>
      </c>
      <c r="AD63" s="24">
        <f>IF(ISNUMBER(V63),V63,"")</f>
        <v/>
      </c>
      <c r="AE63" s="24">
        <f>IF(AND(AC63="yes",ISNUMBER(F63),IF('Compare'!$H$5="All mapped",TRUE,IF('Compare'!$H$5="EXACT only",J63="EXACT",OR(J63="EXACT",J63="CLOSE")))),"yes","no")</f>
        <v/>
      </c>
      <c r="AF63" s="24">
        <f>IF(ISNUMBER(H63),COUNTIFS($B$7:$B$608,B63,$C$7:$C$608,C63,$H$7:$H$608,"&lt;"&amp;H63,$AH$7:$AH$608,"yes")+COUNTIFS($B$7:B63,B63,$C$7:C63,C63,$H$7:H63,H63,$AH$7:AH63,"yes"),"")</f>
        <v/>
      </c>
      <c r="AG63" s="24">
        <f>IF(ISNUMBER(I63),COUNTIFS($B$7:$B$608,B63,$C$7:$C$608,C63,$I$7:$I$608,"&lt;"&amp;I63,$AI$7:$AI$608,"yes")+COUNTIFS($B$7:B63,B63,$C$7:C63,C63,$I$7:I63,I63,$AI$7:AI63,"yes"),"")</f>
        <v/>
      </c>
      <c r="AH63" s="24">
        <f>IF(ISNUMBER(H63),"yes","no")</f>
        <v/>
      </c>
      <c r="AI63" s="24">
        <f>IF(ISNUMBER(I63),"yes","no")</f>
        <v/>
      </c>
      <c r="AJ63" s="101" t="n">
        <v>46295</v>
      </c>
      <c r="AK63" s="24" t="n"/>
    </row>
    <row r="64" ht="42" customHeight="1">
      <c r="A64" s="2" t="n"/>
      <c r="B64" s="27" t="inlineStr">
        <is>
          <t>GN 1/2 PC container, 150 mm</t>
        </is>
      </c>
      <c r="C64" s="27" t="inlineStr">
        <is>
          <t>Austria</t>
        </is>
      </c>
      <c r="D64" s="27" t="inlineStr">
        <is>
          <t>shopbuero.com</t>
        </is>
      </c>
      <c r="E64" s="27" t="inlineStr">
        <is>
          <t>GN-Behälter - GN 1/2 (325 x 265 mm) - 150 mm - Inhalt 9,0 l - Polycarbonat</t>
        </is>
      </c>
      <c r="F64" s="102" t="n">
        <v>10.9</v>
      </c>
      <c r="G64" s="27" t="inlineStr">
        <is>
          <t>EUR</t>
        </is>
      </c>
      <c r="H64" s="102">
        <f>IF(AND(AE64="yes",ISNUMBER(AD64)),AD64,"")</f>
        <v/>
      </c>
      <c r="I64" s="103">
        <f>IF(AND(AE64="yes",ISNUMBER(AD64),ISNUMBER(INDEX('Sources'!$G$7:$G$10,MATCH(AB64,'Sources'!$B$7:$B$10,0)))),AD64/INDEX('Sources'!$G$7:$G$10,MATCH(AB64,'Sources'!$B$7:$B$10,0)),"")</f>
        <v/>
      </c>
      <c r="J64" s="27" t="inlineStr">
        <is>
          <t>EXACT</t>
        </is>
      </c>
      <c r="K64" s="27" t="inlineStr">
        <is>
          <t>2026-09-30</t>
        </is>
      </c>
      <c r="L64" s="71" t="n"/>
      <c r="M64" s="27" t="inlineStr">
        <is>
          <t>Regular price 17.20</t>
        </is>
      </c>
      <c r="N64" s="28" t="inlineStr">
        <is>
          <t>https://shopbuero.com/gn-behaelter-gn-1-2-325-x-265-mm-150-mm-inhalt-9-0-l-polycarbonat/530112-C</t>
        </is>
      </c>
      <c r="O64" s="27" t="inlineStr">
        <is>
          <t>Schneider</t>
        </is>
      </c>
      <c r="P64" s="27" t="inlineStr">
        <is>
          <t>excl.</t>
        </is>
      </c>
      <c r="Q64" s="104" t="n"/>
      <c r="R64" s="27" t="n">
        <v>1</v>
      </c>
      <c r="S64" s="27" t="n"/>
      <c r="T64" s="27" t="inlineStr">
        <is>
          <t>EXACT</t>
        </is>
      </c>
      <c r="U64" s="27" t="inlineStr">
        <is>
          <t>Existing benchmark assignment and match quality retained.</t>
        </is>
      </c>
      <c r="V64" s="102" t="n">
        <v>10.9</v>
      </c>
      <c r="W64" s="102" t="n"/>
      <c r="X64" s="27" t="inlineStr">
        <is>
          <t>YES Gastro Austria Market Research.xlsx</t>
        </is>
      </c>
      <c r="Y64" s="27" t="n"/>
      <c r="Z64" s="27" t="n"/>
      <c r="AA64" s="27" t="n"/>
      <c r="AB64" s="27" t="inlineStr">
        <is>
          <t>EUR</t>
        </is>
      </c>
      <c r="AC64" s="27" t="inlineStr">
        <is>
          <t>yes</t>
        </is>
      </c>
      <c r="AD64" s="27">
        <f>IF(ISNUMBER(V64),V64,"")</f>
        <v/>
      </c>
      <c r="AE64" s="27">
        <f>IF(AND(AC64="yes",ISNUMBER(F64),IF('Compare'!$H$5="All mapped",TRUE,IF('Compare'!$H$5="EXACT only",J64="EXACT",OR(J64="EXACT",J64="CLOSE")))),"yes","no")</f>
        <v/>
      </c>
      <c r="AF64" s="27">
        <f>IF(ISNUMBER(H64),COUNTIFS($B$7:$B$608,B64,$C$7:$C$608,C64,$H$7:$H$608,"&lt;"&amp;H64,$AH$7:$AH$608,"yes")+COUNTIFS($B$7:B64,B64,$C$7:C64,C64,$H$7:H64,H64,$AH$7:AH64,"yes"),"")</f>
        <v/>
      </c>
      <c r="AG64" s="27">
        <f>IF(ISNUMBER(I64),COUNTIFS($B$7:$B$608,B64,$C$7:$C$608,C64,$I$7:$I$608,"&lt;"&amp;I64,$AI$7:$AI$608,"yes")+COUNTIFS($B$7:B64,B64,$C$7:C64,C64,$I$7:I64,I64,$AI$7:AI64,"yes"),"")</f>
        <v/>
      </c>
      <c r="AH64" s="27">
        <f>IF(ISNUMBER(H64),"yes","no")</f>
        <v/>
      </c>
      <c r="AI64" s="27">
        <f>IF(ISNUMBER(I64),"yes","no")</f>
        <v/>
      </c>
      <c r="AJ64" s="105" t="n">
        <v>46295</v>
      </c>
      <c r="AK64" s="27" t="n"/>
    </row>
    <row r="65" ht="42" customHeight="1">
      <c r="A65" s="2" t="n"/>
      <c r="B65" s="24" t="inlineStr">
        <is>
          <t>GN 1/2 PC container, 150 mm</t>
        </is>
      </c>
      <c r="C65" s="24" t="inlineStr">
        <is>
          <t>Germany</t>
        </is>
      </c>
      <c r="D65" s="24" t="inlineStr">
        <is>
          <t>ALLPAX</t>
        </is>
      </c>
      <c r="E65" s="24" t="inlineStr">
        <is>
          <t>PC GN 1/2 Höhe 150 mm schwarz</t>
        </is>
      </c>
      <c r="F65" s="98" t="n">
        <v>7.29</v>
      </c>
      <c r="G65" s="24" t="inlineStr">
        <is>
          <t>EUR</t>
        </is>
      </c>
      <c r="H65" s="98">
        <f>IF(AND(AE65="yes",ISNUMBER(AD65)),AD65,"")</f>
        <v/>
      </c>
      <c r="I65" s="99">
        <f>IF(AND(AE65="yes",ISNUMBER(AD65),ISNUMBER(INDEX('Sources'!$G$7:$G$10,MATCH(AB65,'Sources'!$B$7:$B$10,0)))),AD65/INDEX('Sources'!$G$7:$G$10,MATCH(AB65,'Sources'!$B$7:$B$10,0)),"")</f>
        <v/>
      </c>
      <c r="J65" s="24" t="inlineStr">
        <is>
          <t>EXACT</t>
        </is>
      </c>
      <c r="K65" s="24" t="inlineStr">
        <is>
          <t>2026-09-30</t>
        </is>
      </c>
      <c r="L65" s="71" t="n"/>
      <c r="M65" s="24" t="inlineStr">
        <is>
          <t>'jetzt' price; regular 10.35</t>
        </is>
      </c>
      <c r="N65" s="25" t="inlineStr">
        <is>
          <t>https://www.allpax.de/product_info.php/info/PC-GN-1-2-Hoehe-150-mm-schwarz.html</t>
        </is>
      </c>
      <c r="O65" s="24" t="n"/>
      <c r="P65" s="24" t="inlineStr">
        <is>
          <t>excl.</t>
        </is>
      </c>
      <c r="Q65" s="100" t="n"/>
      <c r="R65" s="24" t="n">
        <v>1</v>
      </c>
      <c r="S65" s="24" t="n"/>
      <c r="T65" s="24" t="inlineStr">
        <is>
          <t>EXACT</t>
        </is>
      </c>
      <c r="U65" s="24" t="inlineStr">
        <is>
          <t>Existing benchmark assignment and match quality retained.</t>
        </is>
      </c>
      <c r="V65" s="98" t="n">
        <v>7.29</v>
      </c>
      <c r="W65" s="98" t="n"/>
      <c r="X65" s="24" t="inlineStr">
        <is>
          <t>YES Gastro Germany Market Research.xlsx</t>
        </is>
      </c>
      <c r="Y65" s="24" t="n"/>
      <c r="Z65" s="24" t="n"/>
      <c r="AA65" s="24" t="n"/>
      <c r="AB65" s="24" t="inlineStr">
        <is>
          <t>EUR</t>
        </is>
      </c>
      <c r="AC65" s="24" t="inlineStr">
        <is>
          <t>yes</t>
        </is>
      </c>
      <c r="AD65" s="24">
        <f>IF(ISNUMBER(V65),V65,"")</f>
        <v/>
      </c>
      <c r="AE65" s="24">
        <f>IF(AND(AC65="yes",ISNUMBER(F65),IF('Compare'!$H$5="All mapped",TRUE,IF('Compare'!$H$5="EXACT only",J65="EXACT",OR(J65="EXACT",J65="CLOSE")))),"yes","no")</f>
        <v/>
      </c>
      <c r="AF65" s="24">
        <f>IF(ISNUMBER(H65),COUNTIFS($B$7:$B$608,B65,$C$7:$C$608,C65,$H$7:$H$608,"&lt;"&amp;H65,$AH$7:$AH$608,"yes")+COUNTIFS($B$7:B65,B65,$C$7:C65,C65,$H$7:H65,H65,$AH$7:AH65,"yes"),"")</f>
        <v/>
      </c>
      <c r="AG65" s="24">
        <f>IF(ISNUMBER(I65),COUNTIFS($B$7:$B$608,B65,$C$7:$C$608,C65,$I$7:$I$608,"&lt;"&amp;I65,$AI$7:$AI$608,"yes")+COUNTIFS($B$7:B65,B65,$C$7:C65,C65,$I$7:I65,I65,$AI$7:AI65,"yes"),"")</f>
        <v/>
      </c>
      <c r="AH65" s="24">
        <f>IF(ISNUMBER(H65),"yes","no")</f>
        <v/>
      </c>
      <c r="AI65" s="24">
        <f>IF(ISNUMBER(I65),"yes","no")</f>
        <v/>
      </c>
      <c r="AJ65" s="101" t="n">
        <v>46295</v>
      </c>
      <c r="AK65" s="24" t="n"/>
    </row>
    <row r="66" ht="42" customHeight="1">
      <c r="A66" s="2" t="n"/>
      <c r="B66" s="27" t="inlineStr">
        <is>
          <t>GN 1/2 PC container, 150 mm</t>
        </is>
      </c>
      <c r="C66" s="27" t="inlineStr">
        <is>
          <t>Germany</t>
        </is>
      </c>
      <c r="D66" s="27" t="inlineStr">
        <is>
          <t>GGM Gastro</t>
        </is>
      </c>
      <c r="E66" s="27" t="inlineStr">
        <is>
          <t>(6 Stück) CAMBRO CAMVIEW Copolymer-Behälter GN 1/2 - Höhe 150mm - BPA-frei</t>
        </is>
      </c>
      <c r="F66" s="102" t="n">
        <v>56.99</v>
      </c>
      <c r="G66" s="27" t="inlineStr">
        <is>
          <t>EUR</t>
        </is>
      </c>
      <c r="H66" s="102">
        <f>IF(AND(AE66="yes",ISNUMBER(AD66)),AD66,"")</f>
        <v/>
      </c>
      <c r="I66" s="103">
        <f>IF(AND(AE66="yes",ISNUMBER(AD66),ISNUMBER(INDEX('Sources'!$G$7:$G$10,MATCH(AB66,'Sources'!$B$7:$B$10,0)))),AD66/INDEX('Sources'!$G$7:$G$10,MATCH(AB66,'Sources'!$B$7:$B$10,0)),"")</f>
        <v/>
      </c>
      <c r="J66" s="27" t="inlineStr">
        <is>
          <t>APPROX</t>
        </is>
      </c>
      <c r="K66" s="27" t="inlineStr">
        <is>
          <t>2026-09-30</t>
        </is>
      </c>
      <c r="L66" s="71" t="n"/>
      <c r="M66" s="27" t="inlineStr">
        <is>
          <t>Copolyester (Tritan-type), not polycarbonate; no PC GN 1/2 150 mm found in GGM sitemap</t>
        </is>
      </c>
      <c r="N66" s="28" t="inlineStr">
        <is>
          <t>https://www.ggmgastro.com/de-de-eur/6-stueck-cambro-camview-r-copolymer-behaelter-gn-1-2-transparent-hoehe-150mm-bpa-frei-26cv135</t>
        </is>
      </c>
      <c r="O66" s="27" t="inlineStr">
        <is>
          <t>Cambro</t>
        </is>
      </c>
      <c r="P66" s="27" t="inlineStr">
        <is>
          <t>excl.</t>
        </is>
      </c>
      <c r="Q66" s="104" t="n"/>
      <c r="R66" s="27" t="n">
        <v>6</v>
      </c>
      <c r="S66" s="27" t="inlineStr">
        <is>
          <t>set of 6</t>
        </is>
      </c>
      <c r="T66" s="27" t="inlineStr">
        <is>
          <t>APPROX</t>
        </is>
      </c>
      <c r="U66" s="27" t="inlineStr">
        <is>
          <t>Existing benchmark assignment and match quality retained.</t>
        </is>
      </c>
      <c r="V66" s="102" t="n">
        <v>9.5</v>
      </c>
      <c r="W66" s="102" t="n"/>
      <c r="X66" s="27" t="inlineStr">
        <is>
          <t>YES Gastro Germany Market Research.xlsx</t>
        </is>
      </c>
      <c r="Y66" s="27" t="n"/>
      <c r="Z66" s="27" t="n"/>
      <c r="AA66" s="27" t="n"/>
      <c r="AB66" s="27" t="inlineStr">
        <is>
          <t>EUR</t>
        </is>
      </c>
      <c r="AC66" s="27" t="inlineStr">
        <is>
          <t>yes</t>
        </is>
      </c>
      <c r="AD66" s="27">
        <f>IF(ISNUMBER(V66),V66,"")</f>
        <v/>
      </c>
      <c r="AE66" s="27">
        <f>IF(AND(AC66="yes",ISNUMBER(F66),IF('Compare'!$H$5="All mapped",TRUE,IF('Compare'!$H$5="EXACT only",J66="EXACT",OR(J66="EXACT",J66="CLOSE")))),"yes","no")</f>
        <v/>
      </c>
      <c r="AF66" s="27">
        <f>IF(ISNUMBER(H66),COUNTIFS($B$7:$B$608,B66,$C$7:$C$608,C66,$H$7:$H$608,"&lt;"&amp;H66,$AH$7:$AH$608,"yes")+COUNTIFS($B$7:B66,B66,$C$7:C66,C66,$H$7:H66,H66,$AH$7:AH66,"yes"),"")</f>
        <v/>
      </c>
      <c r="AG66" s="27">
        <f>IF(ISNUMBER(I66),COUNTIFS($B$7:$B$608,B66,$C$7:$C$608,C66,$I$7:$I$608,"&lt;"&amp;I66,$AI$7:$AI$608,"yes")+COUNTIFS($B$7:B66,B66,$C$7:C66,C66,$I$7:I66,I66,$AI$7:AI66,"yes"),"")</f>
        <v/>
      </c>
      <c r="AH66" s="27">
        <f>IF(ISNUMBER(H66),"yes","no")</f>
        <v/>
      </c>
      <c r="AI66" s="27">
        <f>IF(ISNUMBER(I66),"yes","no")</f>
        <v/>
      </c>
      <c r="AJ66" s="105" t="n">
        <v>46295</v>
      </c>
      <c r="AK66" s="27" t="n"/>
    </row>
    <row r="67" ht="42" customHeight="1">
      <c r="A67" s="2" t="n"/>
      <c r="B67" s="24" t="inlineStr">
        <is>
          <t>GN 1/2 PC container, 150 mm</t>
        </is>
      </c>
      <c r="C67" s="24" t="inlineStr">
        <is>
          <t>Germany</t>
        </is>
      </c>
      <c r="D67" s="24" t="inlineStr">
        <is>
          <t>GastroHero</t>
        </is>
      </c>
      <c r="E67" s="24" t="inlineStr">
        <is>
          <t>Vogue GN-Behälter 1/2 Polycarbonat - Tiefe 150 mm</t>
        </is>
      </c>
      <c r="F67" s="98" t="n">
        <v>9.59</v>
      </c>
      <c r="G67" s="24" t="inlineStr">
        <is>
          <t>EUR</t>
        </is>
      </c>
      <c r="H67" s="98">
        <f>IF(AND(AE67="yes",ISNUMBER(AD67)),AD67,"")</f>
        <v/>
      </c>
      <c r="I67" s="99">
        <f>IF(AND(AE67="yes",ISNUMBER(AD67),ISNUMBER(INDEX('Sources'!$G$7:$G$10,MATCH(AB67,'Sources'!$B$7:$B$10,0)))),AD67/INDEX('Sources'!$G$7:$G$10,MATCH(AB67,'Sources'!$B$7:$B$10,0)),"")</f>
        <v/>
      </c>
      <c r="J67" s="24" t="inlineStr">
        <is>
          <t>EXACT</t>
        </is>
      </c>
      <c r="K67" s="24" t="inlineStr">
        <is>
          <t>2026-09-30</t>
        </is>
      </c>
      <c r="L67" s="71" t="n"/>
      <c r="M67" s="24" t="inlineStr">
        <is>
          <t>Min. qty 4. (Schneider equivalent available too)</t>
        </is>
      </c>
      <c r="N67" s="25" t="inlineStr">
        <is>
          <t>https://www.gastro-hero.de/products/vogue-gn-behaelter-12-polycarbonat-tiefe-150-mm-u230</t>
        </is>
      </c>
      <c r="O67" s="24" t="inlineStr">
        <is>
          <t>Vogue</t>
        </is>
      </c>
      <c r="P67" s="24" t="inlineStr">
        <is>
          <t>excl.</t>
        </is>
      </c>
      <c r="Q67" s="100" t="n"/>
      <c r="R67" s="24" t="n">
        <v>1</v>
      </c>
      <c r="S67" s="24" t="n"/>
      <c r="T67" s="24" t="inlineStr">
        <is>
          <t>EXACT</t>
        </is>
      </c>
      <c r="U67" s="24" t="inlineStr">
        <is>
          <t>Existing benchmark assignment and match quality retained.</t>
        </is>
      </c>
      <c r="V67" s="98" t="n">
        <v>9.59</v>
      </c>
      <c r="W67" s="98" t="n"/>
      <c r="X67" s="24" t="inlineStr">
        <is>
          <t>YES Gastro Germany Market Research.xlsx</t>
        </is>
      </c>
      <c r="Y67" s="24" t="n"/>
      <c r="Z67" s="24" t="n"/>
      <c r="AA67" s="24" t="n"/>
      <c r="AB67" s="24" t="inlineStr">
        <is>
          <t>EUR</t>
        </is>
      </c>
      <c r="AC67" s="24" t="inlineStr">
        <is>
          <t>yes</t>
        </is>
      </c>
      <c r="AD67" s="24">
        <f>IF(ISNUMBER(V67),V67,"")</f>
        <v/>
      </c>
      <c r="AE67" s="24">
        <f>IF(AND(AC67="yes",ISNUMBER(F67),IF('Compare'!$H$5="All mapped",TRUE,IF('Compare'!$H$5="EXACT only",J67="EXACT",OR(J67="EXACT",J67="CLOSE")))),"yes","no")</f>
        <v/>
      </c>
      <c r="AF67" s="24">
        <f>IF(ISNUMBER(H67),COUNTIFS($B$7:$B$608,B67,$C$7:$C$608,C67,$H$7:$H$608,"&lt;"&amp;H67,$AH$7:$AH$608,"yes")+COUNTIFS($B$7:B67,B67,$C$7:C67,C67,$H$7:H67,H67,$AH$7:AH67,"yes"),"")</f>
        <v/>
      </c>
      <c r="AG67" s="24">
        <f>IF(ISNUMBER(I67),COUNTIFS($B$7:$B$608,B67,$C$7:$C$608,C67,$I$7:$I$608,"&lt;"&amp;I67,$AI$7:$AI$608,"yes")+COUNTIFS($B$7:B67,B67,$C$7:C67,C67,$I$7:I67,I67,$AI$7:AI67,"yes"),"")</f>
        <v/>
      </c>
      <c r="AH67" s="24">
        <f>IF(ISNUMBER(H67),"yes","no")</f>
        <v/>
      </c>
      <c r="AI67" s="24">
        <f>IF(ISNUMBER(I67),"yes","no")</f>
        <v/>
      </c>
      <c r="AJ67" s="101" t="n">
        <v>46295</v>
      </c>
      <c r="AK67" s="24" t="n"/>
    </row>
    <row r="68" ht="42" customHeight="1">
      <c r="A68" s="2" t="n"/>
      <c r="B68" s="27" t="inlineStr">
        <is>
          <t>GN 1/2 PC container, 150 mm</t>
        </is>
      </c>
      <c r="C68" s="27" t="inlineStr">
        <is>
          <t>Germany</t>
        </is>
      </c>
      <c r="D68" s="27" t="inlineStr">
        <is>
          <t>Gastrodax [substitute]</t>
        </is>
      </c>
      <c r="E68" s="27" t="inlineStr">
        <is>
          <t>Hendi Gastronorm-Behälter 1/2, GN 1/2, 9,5L, Transparent, 325x265x(H)150mm – Polycarbonat</t>
        </is>
      </c>
      <c r="F68" s="102" t="n">
        <v>18.75</v>
      </c>
      <c r="G68" s="27" t="inlineStr">
        <is>
          <t>EUR</t>
        </is>
      </c>
      <c r="H68" s="102">
        <f>IF(AND(AE68="yes",ISNUMBER(AD68)),AD68,"")</f>
        <v/>
      </c>
      <c r="I68" s="103">
        <f>IF(AND(AE68="yes",ISNUMBER(AD68),ISNUMBER(INDEX('Sources'!$G$7:$G$10,MATCH(AB68,'Sources'!$B$7:$B$10,0)))),AD68/INDEX('Sources'!$G$7:$G$10,MATCH(AB68,'Sources'!$B$7:$B$10,0)),"")</f>
        <v/>
      </c>
      <c r="J68" s="27" t="inlineStr">
        <is>
          <t>EXACT</t>
        </is>
      </c>
      <c r="K68" s="27" t="inlineStr">
        <is>
          <t>2026-09-30</t>
        </is>
      </c>
      <c r="L68" s="71" t="n"/>
      <c r="M68" s="27" t="n"/>
      <c r="N68" s="28" t="inlineStr">
        <is>
          <t>https://www.gastrodax.de/hendi-gastronorm-behaelter-gn-1-2-9-5-l-polykarbonat-transparent-325-x-265-x-h-150-mm</t>
        </is>
      </c>
      <c r="O68" s="27" t="inlineStr">
        <is>
          <t>Hendi</t>
        </is>
      </c>
      <c r="P68" s="27" t="inlineStr">
        <is>
          <t>excl.</t>
        </is>
      </c>
      <c r="Q68" s="104" t="n"/>
      <c r="R68" s="27" t="n">
        <v>1</v>
      </c>
      <c r="S68" s="27" t="n"/>
      <c r="T68" s="27" t="inlineStr">
        <is>
          <t>EXACT</t>
        </is>
      </c>
      <c r="U68" s="27" t="inlineStr">
        <is>
          <t>Existing benchmark assignment and match quality retained.</t>
        </is>
      </c>
      <c r="V68" s="102" t="n">
        <v>18.75</v>
      </c>
      <c r="W68" s="102" t="n"/>
      <c r="X68" s="27" t="inlineStr">
        <is>
          <t>YES Gastro Germany Market Research.xlsx</t>
        </is>
      </c>
      <c r="Y68" s="27" t="n"/>
      <c r="Z68" s="27" t="n"/>
      <c r="AA68" s="27" t="n"/>
      <c r="AB68" s="27" t="inlineStr">
        <is>
          <t>EUR</t>
        </is>
      </c>
      <c r="AC68" s="27" t="inlineStr">
        <is>
          <t>yes</t>
        </is>
      </c>
      <c r="AD68" s="27">
        <f>IF(ISNUMBER(V68),V68,"")</f>
        <v/>
      </c>
      <c r="AE68" s="27">
        <f>IF(AND(AC68="yes",ISNUMBER(F68),IF('Compare'!$H$5="All mapped",TRUE,IF('Compare'!$H$5="EXACT only",J68="EXACT",OR(J68="EXACT",J68="CLOSE")))),"yes","no")</f>
        <v/>
      </c>
      <c r="AF68" s="27">
        <f>IF(ISNUMBER(H68),COUNTIFS($B$7:$B$608,B68,$C$7:$C$608,C68,$H$7:$H$608,"&lt;"&amp;H68,$AH$7:$AH$608,"yes")+COUNTIFS($B$7:B68,B68,$C$7:C68,C68,$H$7:H68,H68,$AH$7:AH68,"yes"),"")</f>
        <v/>
      </c>
      <c r="AG68" s="27">
        <f>IF(ISNUMBER(I68),COUNTIFS($B$7:$B$608,B68,$C$7:$C$608,C68,$I$7:$I$608,"&lt;"&amp;I68,$AI$7:$AI$608,"yes")+COUNTIFS($B$7:B68,B68,$C$7:C68,C68,$I$7:I68,I68,$AI$7:AI68,"yes"),"")</f>
        <v/>
      </c>
      <c r="AH68" s="27">
        <f>IF(ISNUMBER(H68),"yes","no")</f>
        <v/>
      </c>
      <c r="AI68" s="27">
        <f>IF(ISNUMBER(I68),"yes","no")</f>
        <v/>
      </c>
      <c r="AJ68" s="105" t="n">
        <v>46295</v>
      </c>
      <c r="AK68" s="27" t="n"/>
    </row>
    <row r="69" ht="42" customHeight="1">
      <c r="A69" s="2" t="n"/>
      <c r="B69" s="24" t="inlineStr">
        <is>
          <t>GN 1/2 PC container, 150 mm</t>
        </is>
      </c>
      <c r="C69" s="24" t="inlineStr">
        <is>
          <t>Germany</t>
        </is>
      </c>
      <c r="D69" s="24" t="inlineStr">
        <is>
          <t>Gastroladen.de (Harotec GmbH) [substitute]</t>
        </is>
      </c>
      <c r="E69" s="24" t="inlineStr">
        <is>
          <t>Vogue Polycarbonat GN-Behälter GN1/2 150mm</t>
        </is>
      </c>
      <c r="F69" s="98" t="n">
        <v>10.09</v>
      </c>
      <c r="G69" s="24" t="inlineStr">
        <is>
          <t>EUR</t>
        </is>
      </c>
      <c r="H69" s="98">
        <f>IF(AND(AE69="yes",ISNUMBER(AD69)),AD69,"")</f>
        <v/>
      </c>
      <c r="I69" s="99">
        <f>IF(AND(AE69="yes",ISNUMBER(AD69),ISNUMBER(INDEX('Sources'!$G$7:$G$10,MATCH(AB69,'Sources'!$B$7:$B$10,0)))),AD69/INDEX('Sources'!$G$7:$G$10,MATCH(AB69,'Sources'!$B$7:$B$10,0)),"")</f>
        <v/>
      </c>
      <c r="J69" s="24" t="inlineStr">
        <is>
          <t>EXACT</t>
        </is>
      </c>
      <c r="K69" s="24" t="inlineStr">
        <is>
          <t>2026-09-30</t>
        </is>
      </c>
      <c r="L69" s="71" t="n"/>
      <c r="M69" s="24" t="n"/>
      <c r="N69" s="25" t="inlineStr">
        <is>
          <t>https://www.gastroladen.de/3020@GN-U230/Vogue-Polycarbonat-GN-Beh%C3%A4lter-GN1-2-150mm.htm</t>
        </is>
      </c>
      <c r="O69" s="24" t="inlineStr">
        <is>
          <t>Vogue</t>
        </is>
      </c>
      <c r="P69" s="24" t="inlineStr">
        <is>
          <t>incl.</t>
        </is>
      </c>
      <c r="Q69" s="100" t="n"/>
      <c r="R69" s="24" t="n">
        <v>1</v>
      </c>
      <c r="S69" s="24" t="n"/>
      <c r="T69" s="24" t="inlineStr">
        <is>
          <t>EXACT</t>
        </is>
      </c>
      <c r="U69" s="24" t="inlineStr">
        <is>
          <t>Existing benchmark assignment and match quality retained.</t>
        </is>
      </c>
      <c r="V69" s="98" t="n">
        <v>8.48</v>
      </c>
      <c r="W69" s="98" t="n"/>
      <c r="X69" s="24" t="inlineStr">
        <is>
          <t>YES Gastro Germany Market Research.xlsx</t>
        </is>
      </c>
      <c r="Y69" s="24" t="n"/>
      <c r="Z69" s="24" t="n"/>
      <c r="AA69" s="24" t="n"/>
      <c r="AB69" s="24" t="inlineStr">
        <is>
          <t>EUR</t>
        </is>
      </c>
      <c r="AC69" s="24" t="inlineStr">
        <is>
          <t>yes</t>
        </is>
      </c>
      <c r="AD69" s="24">
        <f>IF(ISNUMBER(V69),V69,"")</f>
        <v/>
      </c>
      <c r="AE69" s="24">
        <f>IF(AND(AC69="yes",ISNUMBER(F69),IF('Compare'!$H$5="All mapped",TRUE,IF('Compare'!$H$5="EXACT only",J69="EXACT",OR(J69="EXACT",J69="CLOSE")))),"yes","no")</f>
        <v/>
      </c>
      <c r="AF69" s="24">
        <f>IF(ISNUMBER(H69),COUNTIFS($B$7:$B$608,B69,$C$7:$C$608,C69,$H$7:$H$608,"&lt;"&amp;H69,$AH$7:$AH$608,"yes")+COUNTIFS($B$7:B69,B69,$C$7:C69,C69,$H$7:H69,H69,$AH$7:AH69,"yes"),"")</f>
        <v/>
      </c>
      <c r="AG69" s="24">
        <f>IF(ISNUMBER(I69),COUNTIFS($B$7:$B$608,B69,$C$7:$C$608,C69,$I$7:$I$608,"&lt;"&amp;I69,$AI$7:$AI$608,"yes")+COUNTIFS($B$7:B69,B69,$C$7:C69,C69,$I$7:I69,I69,$AI$7:AI69,"yes"),"")</f>
        <v/>
      </c>
      <c r="AH69" s="24">
        <f>IF(ISNUMBER(H69),"yes","no")</f>
        <v/>
      </c>
      <c r="AI69" s="24">
        <f>IF(ISNUMBER(I69),"yes","no")</f>
        <v/>
      </c>
      <c r="AJ69" s="101" t="n">
        <v>46295</v>
      </c>
      <c r="AK69" s="24" t="n"/>
    </row>
    <row r="70" ht="42" customHeight="1">
      <c r="A70" s="2" t="n"/>
      <c r="B70" s="27" t="inlineStr">
        <is>
          <t>GN 1/2 PC container, 150 mm</t>
        </is>
      </c>
      <c r="C70" s="27" t="inlineStr">
        <is>
          <t>Germany</t>
        </is>
      </c>
      <c r="D70" s="27" t="inlineStr">
        <is>
          <t>Intergastro</t>
        </is>
      </c>
      <c r="E70" s="27" t="inlineStr">
        <is>
          <t>Gastronorm Behälter GN 1/2 GN 96 BLACK Polycarbonat schwarz H 150 mm</t>
        </is>
      </c>
      <c r="F70" s="102" t="n">
        <v>10.17</v>
      </c>
      <c r="G70" s="27" t="inlineStr">
        <is>
          <t>EUR</t>
        </is>
      </c>
      <c r="H70" s="102">
        <f>IF(AND(AE70="yes",ISNUMBER(AD70)),AD70,"")</f>
        <v/>
      </c>
      <c r="I70" s="103">
        <f>IF(AND(AE70="yes",ISNUMBER(AD70),ISNUMBER(INDEX('Sources'!$G$7:$G$10,MATCH(AB70,'Sources'!$B$7:$B$10,0)))),AD70/INDEX('Sources'!$G$7:$G$10,MATCH(AB70,'Sources'!$B$7:$B$10,0)),"")</f>
        <v/>
      </c>
      <c r="J70" s="27" t="inlineStr">
        <is>
          <t>EXACT</t>
        </is>
      </c>
      <c r="K70" s="27" t="inlineStr">
        <is>
          <t>2026-09-30</t>
        </is>
      </c>
      <c r="L70" s="71" t="n"/>
      <c r="M70" s="27" t="inlineStr">
        <is>
          <t>Black PC</t>
        </is>
      </c>
      <c r="N70" s="28" t="inlineStr">
        <is>
          <t>https://www.intergastro.de/gastronorm-behaelter-gn-1-2-gn-96-black-polycarbonat-schwarz-h-150-mm-1016774</t>
        </is>
      </c>
      <c r="O70" s="27" t="inlineStr">
        <is>
          <t>WAS Germany</t>
        </is>
      </c>
      <c r="P70" s="27" t="inlineStr">
        <is>
          <t>excl.</t>
        </is>
      </c>
      <c r="Q70" s="104" t="n"/>
      <c r="R70" s="27" t="n">
        <v>1</v>
      </c>
      <c r="S70" s="27" t="n"/>
      <c r="T70" s="27" t="inlineStr">
        <is>
          <t>EXACT</t>
        </is>
      </c>
      <c r="U70" s="27" t="inlineStr">
        <is>
          <t>Existing benchmark assignment and match quality retained.</t>
        </is>
      </c>
      <c r="V70" s="102" t="n">
        <v>10.17</v>
      </c>
      <c r="W70" s="102" t="n"/>
      <c r="X70" s="27" t="inlineStr">
        <is>
          <t>YES Gastro Germany Market Research.xlsx</t>
        </is>
      </c>
      <c r="Y70" s="27" t="n"/>
      <c r="Z70" s="27" t="n"/>
      <c r="AA70" s="27" t="n"/>
      <c r="AB70" s="27" t="inlineStr">
        <is>
          <t>EUR</t>
        </is>
      </c>
      <c r="AC70" s="27" t="inlineStr">
        <is>
          <t>yes</t>
        </is>
      </c>
      <c r="AD70" s="27">
        <f>IF(ISNUMBER(V70),V70,"")</f>
        <v/>
      </c>
      <c r="AE70" s="27">
        <f>IF(AND(AC70="yes",ISNUMBER(F70),IF('Compare'!$H$5="All mapped",TRUE,IF('Compare'!$H$5="EXACT only",J70="EXACT",OR(J70="EXACT",J70="CLOSE")))),"yes","no")</f>
        <v/>
      </c>
      <c r="AF70" s="27">
        <f>IF(ISNUMBER(H70),COUNTIFS($B$7:$B$608,B70,$C$7:$C$608,C70,$H$7:$H$608,"&lt;"&amp;H70,$AH$7:$AH$608,"yes")+COUNTIFS($B$7:B70,B70,$C$7:C70,C70,$H$7:H70,H70,$AH$7:AH70,"yes"),"")</f>
        <v/>
      </c>
      <c r="AG70" s="27">
        <f>IF(ISNUMBER(I70),COUNTIFS($B$7:$B$608,B70,$C$7:$C$608,C70,$I$7:$I$608,"&lt;"&amp;I70,$AI$7:$AI$608,"yes")+COUNTIFS($B$7:B70,B70,$C$7:C70,C70,$I$7:I70,I70,$AI$7:AI70,"yes"),"")</f>
        <v/>
      </c>
      <c r="AH70" s="27">
        <f>IF(ISNUMBER(H70),"yes","no")</f>
        <v/>
      </c>
      <c r="AI70" s="27">
        <f>IF(ISNUMBER(I70),"yes","no")</f>
        <v/>
      </c>
      <c r="AJ70" s="105" t="n">
        <v>46295</v>
      </c>
      <c r="AK70" s="27" t="n"/>
    </row>
    <row r="71" ht="42" customHeight="1">
      <c r="A71" s="2" t="n"/>
      <c r="B71" s="24" t="inlineStr">
        <is>
          <t>GN 1/2 PC container, 150 mm</t>
        </is>
      </c>
      <c r="C71" s="24" t="inlineStr">
        <is>
          <t>Germany</t>
        </is>
      </c>
      <c r="D71" s="24" t="inlineStr">
        <is>
          <t>Nisbets</t>
        </is>
      </c>
      <c r="E71" s="24" t="inlineStr">
        <is>
          <t>Vogue Polycarbonat GN-Behälter 1/2, 150mm, transparent</t>
        </is>
      </c>
      <c r="F71" s="98" t="n">
        <v>5.82</v>
      </c>
      <c r="G71" s="24" t="inlineStr">
        <is>
          <t>EUR</t>
        </is>
      </c>
      <c r="H71" s="98">
        <f>IF(AND(AE71="yes",ISNUMBER(AD71)),AD71,"")</f>
        <v/>
      </c>
      <c r="I71" s="99">
        <f>IF(AND(AE71="yes",ISNUMBER(AD71),ISNUMBER(INDEX('Sources'!$G$7:$G$10,MATCH(AB71,'Sources'!$B$7:$B$10,0)))),AD71/INDEX('Sources'!$G$7:$G$10,MATCH(AB71,'Sources'!$B$7:$B$10,0)),"")</f>
        <v/>
      </c>
      <c r="J71" s="24" t="inlineStr">
        <is>
          <t>EXACT</t>
        </is>
      </c>
      <c r="K71" s="24" t="inlineStr">
        <is>
          <t>2026-09-30</t>
        </is>
      </c>
      <c r="L71" s="71" t="n"/>
      <c r="M71" s="24" t="inlineStr">
        <is>
          <t>Reduced web price (UVP 12.19, -52%)</t>
        </is>
      </c>
      <c r="N71" s="25" t="inlineStr">
        <is>
          <t>https://www.nisbets.de/vogue-polycarbonat-gn-behlter-150mm/u230</t>
        </is>
      </c>
      <c r="O71" s="24" t="inlineStr">
        <is>
          <t>Vogue</t>
        </is>
      </c>
      <c r="P71" s="24" t="inlineStr">
        <is>
          <t>excl.</t>
        </is>
      </c>
      <c r="Q71" s="100" t="n"/>
      <c r="R71" s="24" t="n">
        <v>1</v>
      </c>
      <c r="S71" s="24" t="n"/>
      <c r="T71" s="24" t="inlineStr">
        <is>
          <t>EXACT</t>
        </is>
      </c>
      <c r="U71" s="24" t="inlineStr">
        <is>
          <t>Existing benchmark assignment and match quality retained.</t>
        </is>
      </c>
      <c r="V71" s="98" t="n">
        <v>5.82</v>
      </c>
      <c r="W71" s="98" t="n"/>
      <c r="X71" s="24" t="inlineStr">
        <is>
          <t>YES Gastro Germany Market Research.xlsx</t>
        </is>
      </c>
      <c r="Y71" s="24" t="n"/>
      <c r="Z71" s="24" t="n"/>
      <c r="AA71" s="24" t="n"/>
      <c r="AB71" s="24" t="inlineStr">
        <is>
          <t>EUR</t>
        </is>
      </c>
      <c r="AC71" s="24" t="inlineStr">
        <is>
          <t>yes</t>
        </is>
      </c>
      <c r="AD71" s="24">
        <f>IF(ISNUMBER(V71),V71,"")</f>
        <v/>
      </c>
      <c r="AE71" s="24">
        <f>IF(AND(AC71="yes",ISNUMBER(F71),IF('Compare'!$H$5="All mapped",TRUE,IF('Compare'!$H$5="EXACT only",J71="EXACT",OR(J71="EXACT",J71="CLOSE")))),"yes","no")</f>
        <v/>
      </c>
      <c r="AF71" s="24">
        <f>IF(ISNUMBER(H71),COUNTIFS($B$7:$B$608,B71,$C$7:$C$608,C71,$H$7:$H$608,"&lt;"&amp;H71,$AH$7:$AH$608,"yes")+COUNTIFS($B$7:B71,B71,$C$7:C71,C71,$H$7:H71,H71,$AH$7:AH71,"yes"),"")</f>
        <v/>
      </c>
      <c r="AG71" s="24">
        <f>IF(ISNUMBER(I71),COUNTIFS($B$7:$B$608,B71,$C$7:$C$608,C71,$I$7:$I$608,"&lt;"&amp;I71,$AI$7:$AI$608,"yes")+COUNTIFS($B$7:B71,B71,$C$7:C71,C71,$I$7:I71,I71,$AI$7:AI71,"yes"),"")</f>
        <v/>
      </c>
      <c r="AH71" s="24">
        <f>IF(ISNUMBER(H71),"yes","no")</f>
        <v/>
      </c>
      <c r="AI71" s="24">
        <f>IF(ISNUMBER(I71),"yes","no")</f>
        <v/>
      </c>
      <c r="AJ71" s="101" t="n">
        <v>46295</v>
      </c>
      <c r="AK71" s="24" t="n"/>
    </row>
    <row r="72" ht="66" customHeight="1">
      <c r="A72" s="2" t="n"/>
      <c r="B72" s="27" t="inlineStr">
        <is>
          <t>GN 1/2 PC container, 150 mm</t>
        </is>
      </c>
      <c r="C72" s="27" t="inlineStr">
        <is>
          <t>Czech</t>
        </is>
      </c>
      <c r="D72" s="27" t="inlineStr">
        <is>
          <t>GGM Gastro (CZ storefront)</t>
        </is>
      </c>
      <c r="E72" s="27" t="inlineStr">
        <is>
          <t>(6 ks) CAMBRO Camview – kopolymerové nádoby GN 1/2 – průhledné – výška: 150 mm – bez BPA</t>
        </is>
      </c>
      <c r="F72" s="102" t="n">
        <v>1460.1</v>
      </c>
      <c r="G72" s="27" t="inlineStr">
        <is>
          <t>CZK</t>
        </is>
      </c>
      <c r="H72" s="102">
        <f>IF(AND(AE72="yes",ISNUMBER(AD72)),AD72,"")</f>
        <v/>
      </c>
      <c r="I72" s="103">
        <f>IF(AND(AE72="yes",ISNUMBER(AD72),ISNUMBER(INDEX('Sources'!$G$7:$G$10,MATCH(AB72,'Sources'!$B$7:$B$10,0)))),AD72/INDEX('Sources'!$G$7:$G$10,MATCH(AB72,'Sources'!$B$7:$B$10,0)),"")</f>
        <v/>
      </c>
      <c r="J72" s="27" t="inlineStr">
        <is>
          <t>CLOSE</t>
        </is>
      </c>
      <c r="K72" s="27" t="inlineStr">
        <is>
          <t>2026-09-30</t>
        </is>
      </c>
      <c r="L72" s="71" t="n"/>
      <c r="M72" s="27" t="inlineStr">
        <is>
          <t>Net CZK price as displayed; page footnote: "* čistá cena | hrubá cena vč. 19% DPH" (German VAT 19% used on the CZ storefront). SKU 26CV135, pack of 6; copolymer (Camview), not polycarbonate - no clear PC GN 1/2 150 mm listed. Gross 1,737.52 CZK; in stock 3-5 days.</t>
        </is>
      </c>
      <c r="N72" s="28" t="inlineStr">
        <is>
          <t>https://www.ggmgastro.com/cs-cz-czk/6-ks-cambro-camview-r-kopolymerove-nadoby-gn-1-2-pruhledne-vyska-150-mm-bez-bpa-26cv135</t>
        </is>
      </c>
      <c r="O72" s="27" t="inlineStr">
        <is>
          <t>Cambro</t>
        </is>
      </c>
      <c r="P72" s="27" t="inlineStr">
        <is>
          <t>excl.</t>
        </is>
      </c>
      <c r="Q72" s="104" t="n">
        <v>0.19</v>
      </c>
      <c r="R72" s="27" t="n">
        <v>6</v>
      </c>
      <c r="S72" s="27" t="inlineStr">
        <is>
          <t>per pack</t>
        </is>
      </c>
      <c r="T72" s="27" t="inlineStr">
        <is>
          <t>CLOSE</t>
        </is>
      </c>
      <c r="U72" s="27" t="inlineStr">
        <is>
          <t>Existing benchmark assignment and match quality retained.</t>
        </is>
      </c>
      <c r="V72" s="102" t="n"/>
      <c r="W72" s="102" t="n"/>
      <c r="X72" s="27" t="inlineStr">
        <is>
          <t>YES Gastro Czech Market Research.xlsx</t>
        </is>
      </c>
      <c r="Y72" s="27" t="n"/>
      <c r="Z72" s="27" t="n"/>
      <c r="AA72" s="27" t="n"/>
      <c r="AB72" s="27" t="inlineStr">
        <is>
          <t>CZK</t>
        </is>
      </c>
      <c r="AC72" s="27" t="inlineStr">
        <is>
          <t>yes</t>
        </is>
      </c>
      <c r="AD72" s="27">
        <f>IF(OR(F72="",Q72="",R72=""),"",ROUND(IF(P72="incl.",F72/(1+Q72),F72)/IF(S72="per pack",R72,1),2))</f>
        <v/>
      </c>
      <c r="AE72" s="27">
        <f>IF(AND(AC72="yes",ISNUMBER(F72),IF('Compare'!$H$5="All mapped",TRUE,IF('Compare'!$H$5="EXACT only",J72="EXACT",OR(J72="EXACT",J72="CLOSE")))),"yes","no")</f>
        <v/>
      </c>
      <c r="AF72" s="27">
        <f>IF(ISNUMBER(H72),COUNTIFS($B$7:$B$608,B72,$C$7:$C$608,C72,$H$7:$H$608,"&lt;"&amp;H72,$AH$7:$AH$608,"yes")+COUNTIFS($B$7:B72,B72,$C$7:C72,C72,$H$7:H72,H72,$AH$7:AH72,"yes"),"")</f>
        <v/>
      </c>
      <c r="AG72" s="27">
        <f>IF(ISNUMBER(I72),COUNTIFS($B$7:$B$608,B72,$C$7:$C$608,C72,$I$7:$I$608,"&lt;"&amp;I72,$AI$7:$AI$608,"yes")+COUNTIFS($B$7:B72,B72,$C$7:C72,C72,$I$7:I72,I72,$AI$7:AI72,"yes"),"")</f>
        <v/>
      </c>
      <c r="AH72" s="27">
        <f>IF(ISNUMBER(H72),"yes","no")</f>
        <v/>
      </c>
      <c r="AI72" s="27">
        <f>IF(ISNUMBER(I72),"yes","no")</f>
        <v/>
      </c>
      <c r="AJ72" s="105" t="n">
        <v>46295</v>
      </c>
      <c r="AK72" s="27" t="n"/>
    </row>
    <row r="73" ht="42" customHeight="1">
      <c r="A73" s="2" t="n"/>
      <c r="B73" s="24" t="inlineStr">
        <is>
          <t>GN 1/2 PC container, 150 mm</t>
        </is>
      </c>
      <c r="C73" s="24" t="inlineStr">
        <is>
          <t>Czech</t>
        </is>
      </c>
      <c r="D73" s="24" t="inlineStr">
        <is>
          <t>Gastro Novotný</t>
        </is>
      </c>
      <c r="E73" s="24" t="inlineStr">
        <is>
          <t>Gastronádoba PC 1/2 150</t>
        </is>
      </c>
      <c r="F73" s="98" t="n">
        <v>270</v>
      </c>
      <c r="G73" s="24" t="inlineStr">
        <is>
          <t>CZK</t>
        </is>
      </c>
      <c r="H73" s="98">
        <f>IF(AND(AE73="yes",ISNUMBER(AD73)),AD73,"")</f>
        <v/>
      </c>
      <c r="I73" s="99">
        <f>IF(AND(AE73="yes",ISNUMBER(AD73),ISNUMBER(INDEX('Sources'!$G$7:$G$10,MATCH(AB73,'Sources'!$B$7:$B$10,0)))),AD73/INDEX('Sources'!$G$7:$G$10,MATCH(AB73,'Sources'!$B$7:$B$10,0)),"")</f>
        <v/>
      </c>
      <c r="J73" s="24" t="inlineStr">
        <is>
          <t>EXACT</t>
        </is>
      </c>
      <c r="K73" s="24" t="inlineStr">
        <is>
          <t>2026-09-30</t>
        </is>
      </c>
      <c r="L73" s="71" t="n"/>
      <c r="M73" s="24" t="inlineStr">
        <is>
          <t>Code 0835123; 326.70 CZK incl. VAT; availability "Na dotaz"</t>
        </is>
      </c>
      <c r="N73" s="25" t="inlineStr">
        <is>
          <t>https://eshop.gastronovotny.cz/gastronadoba-pc-1-2-150--0835123/</t>
        </is>
      </c>
      <c r="O73" s="24" t="n"/>
      <c r="P73" s="24" t="inlineStr">
        <is>
          <t>excl.</t>
        </is>
      </c>
      <c r="Q73" s="100" t="n">
        <v>0.21</v>
      </c>
      <c r="R73" s="24" t="n">
        <v>1</v>
      </c>
      <c r="S73" s="24" t="inlineStr">
        <is>
          <t>per piece</t>
        </is>
      </c>
      <c r="T73" s="24" t="inlineStr">
        <is>
          <t>EXACT</t>
        </is>
      </c>
      <c r="U73" s="24" t="inlineStr">
        <is>
          <t>Existing benchmark assignment and match quality retained.</t>
        </is>
      </c>
      <c r="V73" s="98" t="n"/>
      <c r="W73" s="98" t="n"/>
      <c r="X73" s="24" t="inlineStr">
        <is>
          <t>YES Gastro Czech Market Research.xlsx</t>
        </is>
      </c>
      <c r="Y73" s="24" t="n"/>
      <c r="Z73" s="24" t="n"/>
      <c r="AA73" s="24" t="n"/>
      <c r="AB73" s="24" t="inlineStr">
        <is>
          <t>CZK</t>
        </is>
      </c>
      <c r="AC73" s="24" t="inlineStr">
        <is>
          <t>yes</t>
        </is>
      </c>
      <c r="AD73" s="24">
        <f>IF(OR(F73="",Q73="",R73=""),"",ROUND(IF(P73="incl.",F73/(1+Q73),F73)/IF(S73="per pack",R73,1),2))</f>
        <v/>
      </c>
      <c r="AE73" s="24">
        <f>IF(AND(AC73="yes",ISNUMBER(F73),IF('Compare'!$H$5="All mapped",TRUE,IF('Compare'!$H$5="EXACT only",J73="EXACT",OR(J73="EXACT",J73="CLOSE")))),"yes","no")</f>
        <v/>
      </c>
      <c r="AF73" s="24">
        <f>IF(ISNUMBER(H73),COUNTIFS($B$7:$B$608,B73,$C$7:$C$608,C73,$H$7:$H$608,"&lt;"&amp;H73,$AH$7:$AH$608,"yes")+COUNTIFS($B$7:B73,B73,$C$7:C73,C73,$H$7:H73,H73,$AH$7:AH73,"yes"),"")</f>
        <v/>
      </c>
      <c r="AG73" s="24">
        <f>IF(ISNUMBER(I73),COUNTIFS($B$7:$B$608,B73,$C$7:$C$608,C73,$I$7:$I$608,"&lt;"&amp;I73,$AI$7:$AI$608,"yes")+COUNTIFS($B$7:B73,B73,$C$7:C73,C73,$I$7:I73,I73,$AI$7:AI73,"yes"),"")</f>
        <v/>
      </c>
      <c r="AH73" s="24">
        <f>IF(ISNUMBER(H73),"yes","no")</f>
        <v/>
      </c>
      <c r="AI73" s="24">
        <f>IF(ISNUMBER(I73),"yes","no")</f>
        <v/>
      </c>
      <c r="AJ73" s="101" t="n">
        <v>46295</v>
      </c>
      <c r="AK73" s="24" t="n"/>
    </row>
    <row r="74" ht="42" customHeight="1">
      <c r="A74" s="2" t="n"/>
      <c r="B74" s="27" t="inlineStr">
        <is>
          <t>GN 1/2 PC container, 150 mm</t>
        </is>
      </c>
      <c r="C74" s="27" t="inlineStr">
        <is>
          <t>Czech</t>
        </is>
      </c>
      <c r="D74" s="27" t="inlineStr">
        <is>
          <t>Gastromania</t>
        </is>
      </c>
      <c r="E74" s="27" t="inlineStr">
        <is>
          <t>Gastronádoba GN 1/2 polykarbonátová 150 mm | REDFOX, GNP-1/2-150</t>
        </is>
      </c>
      <c r="F74" s="102" t="n">
        <v>239</v>
      </c>
      <c r="G74" s="27" t="inlineStr">
        <is>
          <t>CZK</t>
        </is>
      </c>
      <c r="H74" s="102">
        <f>IF(AND(AE74="yes",ISNUMBER(AD74)),AD74,"")</f>
        <v/>
      </c>
      <c r="I74" s="103">
        <f>IF(AND(AE74="yes",ISNUMBER(AD74),ISNUMBER(INDEX('Sources'!$G$7:$G$10,MATCH(AB74,'Sources'!$B$7:$B$10,0)))),AD74/INDEX('Sources'!$G$7:$G$10,MATCH(AB74,'Sources'!$B$7:$B$10,0)),"")</f>
        <v/>
      </c>
      <c r="J74" s="27" t="inlineStr">
        <is>
          <t>EXACT</t>
        </is>
      </c>
      <c r="K74" s="27" t="inlineStr">
        <is>
          <t>2026-09-30</t>
        </is>
      </c>
      <c r="L74" s="71" t="n"/>
      <c r="M74" s="27" t="inlineStr">
        <is>
          <t>PC, 9.2 l; 289 CZK incl.; availability 5 days. (APS 82116 at 132 excl. is named polycarbonate but its parameters say polypropylene - conflicting, not used.)</t>
        </is>
      </c>
      <c r="N74" s="28" t="inlineStr">
        <is>
          <t>https://www.gastromania.cz/kuchynsky-inventar/gastronadoba-gn-1-2-polykarbonatova-150-mm-redfox-gnp-1-2-150</t>
        </is>
      </c>
      <c r="O74" s="27" t="inlineStr">
        <is>
          <t>Redfox</t>
        </is>
      </c>
      <c r="P74" s="27" t="inlineStr">
        <is>
          <t>excl.</t>
        </is>
      </c>
      <c r="Q74" s="104" t="n">
        <v>0.21</v>
      </c>
      <c r="R74" s="27" t="n">
        <v>1</v>
      </c>
      <c r="S74" s="27" t="inlineStr">
        <is>
          <t>per piece</t>
        </is>
      </c>
      <c r="T74" s="27" t="inlineStr">
        <is>
          <t>EXACT</t>
        </is>
      </c>
      <c r="U74" s="27" t="inlineStr">
        <is>
          <t>Existing benchmark assignment and match quality retained.</t>
        </is>
      </c>
      <c r="V74" s="102" t="n"/>
      <c r="W74" s="102" t="n"/>
      <c r="X74" s="27" t="inlineStr">
        <is>
          <t>YES Gastro Czech Market Research.xlsx</t>
        </is>
      </c>
      <c r="Y74" s="27" t="n"/>
      <c r="Z74" s="27" t="n"/>
      <c r="AA74" s="27" t="n"/>
      <c r="AB74" s="27" t="inlineStr">
        <is>
          <t>CZK</t>
        </is>
      </c>
      <c r="AC74" s="27" t="inlineStr">
        <is>
          <t>yes</t>
        </is>
      </c>
      <c r="AD74" s="27">
        <f>IF(OR(F74="",Q74="",R74=""),"",ROUND(IF(P74="incl.",F74/(1+Q74),F74)/IF(S74="per pack",R74,1),2))</f>
        <v/>
      </c>
      <c r="AE74" s="27">
        <f>IF(AND(AC74="yes",ISNUMBER(F74),IF('Compare'!$H$5="All mapped",TRUE,IF('Compare'!$H$5="EXACT only",J74="EXACT",OR(J74="EXACT",J74="CLOSE")))),"yes","no")</f>
        <v/>
      </c>
      <c r="AF74" s="27">
        <f>IF(ISNUMBER(H74),COUNTIFS($B$7:$B$608,B74,$C$7:$C$608,C74,$H$7:$H$608,"&lt;"&amp;H74,$AH$7:$AH$608,"yes")+COUNTIFS($B$7:B74,B74,$C$7:C74,C74,$H$7:H74,H74,$AH$7:AH74,"yes"),"")</f>
        <v/>
      </c>
      <c r="AG74" s="27">
        <f>IF(ISNUMBER(I74),COUNTIFS($B$7:$B$608,B74,$C$7:$C$608,C74,$I$7:$I$608,"&lt;"&amp;I74,$AI$7:$AI$608,"yes")+COUNTIFS($B$7:B74,B74,$C$7:C74,C74,$I$7:I74,I74,$AI$7:AI74,"yes"),"")</f>
        <v/>
      </c>
      <c r="AH74" s="27">
        <f>IF(ISNUMBER(H74),"yes","no")</f>
        <v/>
      </c>
      <c r="AI74" s="27">
        <f>IF(ISNUMBER(I74),"yes","no")</f>
        <v/>
      </c>
      <c r="AJ74" s="105" t="n">
        <v>46295</v>
      </c>
      <c r="AK74" s="27" t="n"/>
    </row>
    <row r="75" ht="42" customHeight="1">
      <c r="A75" s="2" t="n"/>
      <c r="B75" s="24" t="inlineStr">
        <is>
          <t>GN 1/2 PC container, 150 mm</t>
        </is>
      </c>
      <c r="C75" s="24" t="inlineStr">
        <is>
          <t>Czech</t>
        </is>
      </c>
      <c r="D75" s="24" t="inlineStr">
        <is>
          <t>Gastrozone</t>
        </is>
      </c>
      <c r="E75" s="24" t="inlineStr">
        <is>
          <t>ARAVEN Gastronádoba GN 1/2, polykarbonát, Hloubka: 150 mm, Objem: 8 L</t>
        </is>
      </c>
      <c r="F75" s="98" t="n">
        <v>464</v>
      </c>
      <c r="G75" s="24" t="inlineStr">
        <is>
          <t>CZK</t>
        </is>
      </c>
      <c r="H75" s="98">
        <f>IF(AND(AE75="yes",ISNUMBER(AD75)),AD75,"")</f>
        <v/>
      </c>
      <c r="I75" s="99">
        <f>IF(AND(AE75="yes",ISNUMBER(AD75),ISNUMBER(INDEX('Sources'!$G$7:$G$10,MATCH(AB75,'Sources'!$B$7:$B$10,0)))),AD75/INDEX('Sources'!$G$7:$G$10,MATCH(AB75,'Sources'!$B$7:$B$10,0)),"")</f>
        <v/>
      </c>
      <c r="J75" s="24" t="inlineStr">
        <is>
          <t>EXACT</t>
        </is>
      </c>
      <c r="K75" s="24" t="inlineStr">
        <is>
          <t>2026-09-30</t>
        </is>
      </c>
      <c r="L75" s="71" t="n"/>
      <c r="M75" s="24" t="inlineStr">
        <is>
          <t>383.47 CZK bez DPH; to order 3-5 weeks. In-stock alternative: Pujadas GN 1/2 PC 150 mm 630 CZK.</t>
        </is>
      </c>
      <c r="N75" s="25" t="inlineStr">
        <is>
          <t>https://www.gastrozone.cz/araven-gn-nadoba-1-2-polykarbonat-hloubka-150-mm-objem-8-l.html</t>
        </is>
      </c>
      <c r="O75" s="24" t="inlineStr">
        <is>
          <t>Araven</t>
        </is>
      </c>
      <c r="P75" s="24" t="inlineStr">
        <is>
          <t>incl.</t>
        </is>
      </c>
      <c r="Q75" s="100" t="n">
        <v>0.21</v>
      </c>
      <c r="R75" s="24" t="n">
        <v>1</v>
      </c>
      <c r="S75" s="24" t="inlineStr">
        <is>
          <t>per piece</t>
        </is>
      </c>
      <c r="T75" s="24" t="inlineStr">
        <is>
          <t>EXACT</t>
        </is>
      </c>
      <c r="U75" s="24" t="inlineStr">
        <is>
          <t>Existing benchmark assignment and match quality retained.</t>
        </is>
      </c>
      <c r="V75" s="98" t="n"/>
      <c r="W75" s="98" t="n"/>
      <c r="X75" s="24" t="inlineStr">
        <is>
          <t>YES Gastro Czech Market Research.xlsx</t>
        </is>
      </c>
      <c r="Y75" s="24" t="n"/>
      <c r="Z75" s="24" t="n"/>
      <c r="AA75" s="24" t="n"/>
      <c r="AB75" s="24" t="inlineStr">
        <is>
          <t>CZK</t>
        </is>
      </c>
      <c r="AC75" s="24" t="inlineStr">
        <is>
          <t>yes</t>
        </is>
      </c>
      <c r="AD75" s="24">
        <f>IF(OR(F75="",Q75="",R75=""),"",ROUND(IF(P75="incl.",F75/(1+Q75),F75)/IF(S75="per pack",R75,1),2))</f>
        <v/>
      </c>
      <c r="AE75" s="24">
        <f>IF(AND(AC75="yes",ISNUMBER(F75),IF('Compare'!$H$5="All mapped",TRUE,IF('Compare'!$H$5="EXACT only",J75="EXACT",OR(J75="EXACT",J75="CLOSE")))),"yes","no")</f>
        <v/>
      </c>
      <c r="AF75" s="24">
        <f>IF(ISNUMBER(H75),COUNTIFS($B$7:$B$608,B75,$C$7:$C$608,C75,$H$7:$H$608,"&lt;"&amp;H75,$AH$7:$AH$608,"yes")+COUNTIFS($B$7:B75,B75,$C$7:C75,C75,$H$7:H75,H75,$AH$7:AH75,"yes"),"")</f>
        <v/>
      </c>
      <c r="AG75" s="24">
        <f>IF(ISNUMBER(I75),COUNTIFS($B$7:$B$608,B75,$C$7:$C$608,C75,$I$7:$I$608,"&lt;"&amp;I75,$AI$7:$AI$608,"yes")+COUNTIFS($B$7:B75,B75,$C$7:C75,C75,$I$7:I75,I75,$AI$7:AI75,"yes"),"")</f>
        <v/>
      </c>
      <c r="AH75" s="24">
        <f>IF(ISNUMBER(H75),"yes","no")</f>
        <v/>
      </c>
      <c r="AI75" s="24">
        <f>IF(ISNUMBER(I75),"yes","no")</f>
        <v/>
      </c>
      <c r="AJ75" s="101" t="n">
        <v>46295</v>
      </c>
      <c r="AK75" s="24" t="n"/>
    </row>
    <row r="76" ht="42" customHeight="1">
      <c r="A76" s="2" t="n"/>
      <c r="B76" s="27" t="inlineStr">
        <is>
          <t>GN 1/2 PC container, 150 mm</t>
        </is>
      </c>
      <c r="C76" s="27" t="inlineStr">
        <is>
          <t>Czech</t>
        </is>
      </c>
      <c r="D76" s="27" t="inlineStr">
        <is>
          <t>TOMGAST</t>
        </is>
      </c>
      <c r="E76" s="27" t="inlineStr">
        <is>
          <t>Gastronádoba polykarbonátová GN 1/2 150 mm</t>
        </is>
      </c>
      <c r="F76" s="102" t="n">
        <v>356</v>
      </c>
      <c r="G76" s="27" t="inlineStr">
        <is>
          <t>CZK</t>
        </is>
      </c>
      <c r="H76" s="102">
        <f>IF(AND(AE76="yes",ISNUMBER(AD76)),AD76,"")</f>
        <v/>
      </c>
      <c r="I76" s="103">
        <f>IF(AND(AE76="yes",ISNUMBER(AD76),ISNUMBER(INDEX('Sources'!$G$7:$G$10,MATCH(AB76,'Sources'!$B$7:$B$10,0)))),AD76/INDEX('Sources'!$G$7:$G$10,MATCH(AB76,'Sources'!$B$7:$B$10,0)),"")</f>
        <v/>
      </c>
      <c r="J76" s="27" t="inlineStr">
        <is>
          <t>EXACT</t>
        </is>
      </c>
      <c r="K76" s="27" t="inlineStr">
        <is>
          <t>2026-09-30</t>
        </is>
      </c>
      <c r="L76" s="71" t="n"/>
      <c r="M76" s="27" t="inlineStr">
        <is>
          <t>Code R-M212150; 294 CZK bez DPH; in stock</t>
        </is>
      </c>
      <c r="N76" s="28" t="inlineStr">
        <is>
          <t>https://www.tomgast.cz/gastronadoba-polykarbonatova-gn-1-2-150-mm-2/</t>
        </is>
      </c>
      <c r="O76" s="27" t="inlineStr">
        <is>
          <t>Cambro</t>
        </is>
      </c>
      <c r="P76" s="27" t="inlineStr">
        <is>
          <t>incl.</t>
        </is>
      </c>
      <c r="Q76" s="104" t="n">
        <v>0.21</v>
      </c>
      <c r="R76" s="27" t="n">
        <v>1</v>
      </c>
      <c r="S76" s="27" t="inlineStr">
        <is>
          <t>per piece</t>
        </is>
      </c>
      <c r="T76" s="27" t="inlineStr">
        <is>
          <t>EXACT</t>
        </is>
      </c>
      <c r="U76" s="27" t="inlineStr">
        <is>
          <t>Existing benchmark assignment and match quality retained.</t>
        </is>
      </c>
      <c r="V76" s="102" t="n"/>
      <c r="W76" s="102" t="n"/>
      <c r="X76" s="27" t="inlineStr">
        <is>
          <t>YES Gastro Czech Market Research.xlsx</t>
        </is>
      </c>
      <c r="Y76" s="27" t="n"/>
      <c r="Z76" s="27" t="n"/>
      <c r="AA76" s="27" t="n"/>
      <c r="AB76" s="27" t="inlineStr">
        <is>
          <t>CZK</t>
        </is>
      </c>
      <c r="AC76" s="27" t="inlineStr">
        <is>
          <t>yes</t>
        </is>
      </c>
      <c r="AD76" s="27">
        <f>IF(OR(F76="",Q76="",R76=""),"",ROUND(IF(P76="incl.",F76/(1+Q76),F76)/IF(S76="per pack",R76,1),2))</f>
        <v/>
      </c>
      <c r="AE76" s="27">
        <f>IF(AND(AC76="yes",ISNUMBER(F76),IF('Compare'!$H$5="All mapped",TRUE,IF('Compare'!$H$5="EXACT only",J76="EXACT",OR(J76="EXACT",J76="CLOSE")))),"yes","no")</f>
        <v/>
      </c>
      <c r="AF76" s="27">
        <f>IF(ISNUMBER(H76),COUNTIFS($B$7:$B$608,B76,$C$7:$C$608,C76,$H$7:$H$608,"&lt;"&amp;H76,$AH$7:$AH$608,"yes")+COUNTIFS($B$7:B76,B76,$C$7:C76,C76,$H$7:H76,H76,$AH$7:AH76,"yes"),"")</f>
        <v/>
      </c>
      <c r="AG76" s="27">
        <f>IF(ISNUMBER(I76),COUNTIFS($B$7:$B$608,B76,$C$7:$C$608,C76,$I$7:$I$608,"&lt;"&amp;I76,$AI$7:$AI$608,"yes")+COUNTIFS($B$7:B76,B76,$C$7:C76,C76,$I$7:I76,I76,$AI$7:AI76,"yes"),"")</f>
        <v/>
      </c>
      <c r="AH76" s="27">
        <f>IF(ISNUMBER(H76),"yes","no")</f>
        <v/>
      </c>
      <c r="AI76" s="27">
        <f>IF(ISNUMBER(I76),"yes","no")</f>
        <v/>
      </c>
      <c r="AJ76" s="105" t="n">
        <v>46295</v>
      </c>
      <c r="AK76" s="27" t="n"/>
    </row>
    <row r="77" ht="42" customHeight="1">
      <c r="A77" s="2" t="n"/>
      <c r="B77" s="24" t="inlineStr">
        <is>
          <t>GN 1/2 PC container, 150 mm</t>
        </is>
      </c>
      <c r="C77" s="24" t="inlineStr">
        <is>
          <t>Slovakia</t>
        </is>
      </c>
      <c r="D77" s="24" t="inlineStr">
        <is>
          <t>Gastromania.sk (GASTROMANIA CZ s.r.o., CZ)</t>
        </is>
      </c>
      <c r="E77" s="24" t="inlineStr">
        <is>
          <t>Polykarbonátová gastronádoba GN1/2 150 mm | CONTACTO, 8212/150</t>
        </is>
      </c>
      <c r="F77" s="98" t="n">
        <v>16.15</v>
      </c>
      <c r="G77" s="24" t="inlineStr">
        <is>
          <t>EUR</t>
        </is>
      </c>
      <c r="H77" s="98">
        <f>IF(AND(AE77="yes",ISNUMBER(AD77)),AD77,"")</f>
        <v/>
      </c>
      <c r="I77" s="99">
        <f>IF(AND(AE77="yes",ISNUMBER(AD77),ISNUMBER(INDEX('Sources'!$G$7:$G$10,MATCH(AB77,'Sources'!$B$7:$B$10,0)))),AD77/INDEX('Sources'!$G$7:$G$10,MATCH(AB77,'Sources'!$B$7:$B$10,0)),"")</f>
        <v/>
      </c>
      <c r="J77" s="24" t="inlineStr">
        <is>
          <t>EXACT</t>
        </is>
      </c>
      <c r="K77" s="24" t="inlineStr">
        <is>
          <t>2026-09-30</t>
        </is>
      </c>
      <c r="L77" s="71" t="n"/>
      <c r="M77" s="24" t="inlineStr">
        <is>
          <t>Listed 'Cena bez DPH' 16.15 EUR / 'Cena s DPH' 19.86 EUR. PC, GN 1/2, 150 mm, 9 l. Promo price; base 17,94 / 22,07. Availability 30 days.</t>
        </is>
      </c>
      <c r="N77" s="25" t="inlineStr">
        <is>
          <t>https://gastromania.sk/gastronadoby-polykarbonatove/polykarbonatova-gastronadoba-gn1-2-150-mm-contacto-8212-150</t>
        </is>
      </c>
      <c r="O77" s="24" t="inlineStr">
        <is>
          <t>Contacto</t>
        </is>
      </c>
      <c r="P77" s="24" t="inlineStr">
        <is>
          <t>excl.</t>
        </is>
      </c>
      <c r="Q77" s="100" t="inlineStr">
        <is>
          <t>n/a</t>
        </is>
      </c>
      <c r="R77" s="24" t="n">
        <v>1</v>
      </c>
      <c r="S77" s="24" t="inlineStr">
        <is>
          <t>per piece</t>
        </is>
      </c>
      <c r="T77" s="24" t="inlineStr">
        <is>
          <t>EXACT</t>
        </is>
      </c>
      <c r="U77" s="24" t="inlineStr">
        <is>
          <t>Existing benchmark assignment and match quality retained.</t>
        </is>
      </c>
      <c r="V77" s="98" t="n">
        <v>16.15</v>
      </c>
      <c r="W77" s="98" t="n"/>
      <c r="X77" s="24" t="inlineStr">
        <is>
          <t>YES Gastro Slovakia Market Research.xlsx</t>
        </is>
      </c>
      <c r="Y77" s="24" t="n"/>
      <c r="Z77" s="24" t="n"/>
      <c r="AA77" s="24" t="n"/>
      <c r="AB77" s="24" t="inlineStr">
        <is>
          <t>EUR</t>
        </is>
      </c>
      <c r="AC77" s="24" t="inlineStr">
        <is>
          <t>yes</t>
        </is>
      </c>
      <c r="AD77" s="24">
        <f>IF(ISNUMBER(V77),V77,"")</f>
        <v/>
      </c>
      <c r="AE77" s="24">
        <f>IF(AND(AC77="yes",ISNUMBER(F77),IF('Compare'!$H$5="All mapped",TRUE,IF('Compare'!$H$5="EXACT only",J77="EXACT",OR(J77="EXACT",J77="CLOSE")))),"yes","no")</f>
        <v/>
      </c>
      <c r="AF77" s="24">
        <f>IF(ISNUMBER(H77),COUNTIFS($B$7:$B$608,B77,$C$7:$C$608,C77,$H$7:$H$608,"&lt;"&amp;H77,$AH$7:$AH$608,"yes")+COUNTIFS($B$7:B77,B77,$C$7:C77,C77,$H$7:H77,H77,$AH$7:AH77,"yes"),"")</f>
        <v/>
      </c>
      <c r="AG77" s="24">
        <f>IF(ISNUMBER(I77),COUNTIFS($B$7:$B$608,B77,$C$7:$C$608,C77,$I$7:$I$608,"&lt;"&amp;I77,$AI$7:$AI$608,"yes")+COUNTIFS($B$7:B77,B77,$C$7:C77,C77,$I$7:I77,I77,$AI$7:AI77,"yes"),"")</f>
        <v/>
      </c>
      <c r="AH77" s="24">
        <f>IF(ISNUMBER(H77),"yes","no")</f>
        <v/>
      </c>
      <c r="AI77" s="24">
        <f>IF(ISNUMBER(I77),"yes","no")</f>
        <v/>
      </c>
      <c r="AJ77" s="101" t="n">
        <v>46295</v>
      </c>
      <c r="AK77" s="24" t="n"/>
    </row>
    <row r="78" ht="42" customHeight="1">
      <c r="A78" s="2" t="n"/>
      <c r="B78" s="27" t="inlineStr">
        <is>
          <t>GN 1/2 PC container, 150 mm</t>
        </is>
      </c>
      <c r="C78" s="27" t="inlineStr">
        <is>
          <t>Slovakia</t>
        </is>
      </c>
      <c r="D78" s="27" t="inlineStr">
        <is>
          <t>Gastrozone.sk (GASTROZONE, spol. s r.o., CZ)</t>
        </is>
      </c>
      <c r="E78" s="27" t="inlineStr">
        <is>
          <t>ARAVEN Gastronádoba GN 1/2, polykarbonát, hĺbka: 150 mm, objem: 8 L</t>
        </is>
      </c>
      <c r="F78" s="102" t="n">
        <v>18.73</v>
      </c>
      <c r="G78" s="27" t="inlineStr">
        <is>
          <t>EUR</t>
        </is>
      </c>
      <c r="H78" s="102">
        <f>IF(AND(AE78="yes",ISNUMBER(AD78)),AD78,"")</f>
        <v/>
      </c>
      <c r="I78" s="103">
        <f>IF(AND(AE78="yes",ISNUMBER(AD78),ISNUMBER(INDEX('Sources'!$G$7:$G$10,MATCH(AB78,'Sources'!$B$7:$B$10,0)))),AD78/INDEX('Sources'!$G$7:$G$10,MATCH(AB78,'Sources'!$B$7:$B$10,0)),"")</f>
        <v/>
      </c>
      <c r="J78" s="27" t="inlineStr">
        <is>
          <t>EXACT</t>
        </is>
      </c>
      <c r="K78" s="27" t="inlineStr">
        <is>
          <t>2026-09-30</t>
        </is>
      </c>
      <c r="L78" s="71" t="n"/>
      <c r="M78" s="27" t="inlineStr">
        <is>
          <t>Page shows 18,73 EUR / 15,23 EUR bez DPH. Availability: to order (3-5 weeks).</t>
        </is>
      </c>
      <c r="N78" s="28" t="inlineStr">
        <is>
          <t>https://www.gastrozone.sk/araven-gn-nadoba-1-2-polykarbonat-hloubka-150-mm-objem-8-l.html</t>
        </is>
      </c>
      <c r="O78" s="27" t="inlineStr">
        <is>
          <t>Araven</t>
        </is>
      </c>
      <c r="P78" s="27" t="inlineStr">
        <is>
          <t>incl.</t>
        </is>
      </c>
      <c r="Q78" s="104" t="n">
        <v>0.23</v>
      </c>
      <c r="R78" s="27" t="n">
        <v>1</v>
      </c>
      <c r="S78" s="27" t="inlineStr">
        <is>
          <t>per piece</t>
        </is>
      </c>
      <c r="T78" s="27" t="inlineStr">
        <is>
          <t>EXACT</t>
        </is>
      </c>
      <c r="U78" s="27" t="inlineStr">
        <is>
          <t>Existing benchmark assignment and match quality retained.</t>
        </is>
      </c>
      <c r="V78" s="102" t="n">
        <v>15.2276422764228</v>
      </c>
      <c r="W78" s="102" t="n"/>
      <c r="X78" s="27" t="inlineStr">
        <is>
          <t>YES Gastro Slovakia Market Research.xlsx</t>
        </is>
      </c>
      <c r="Y78" s="27" t="n"/>
      <c r="Z78" s="27" t="n"/>
      <c r="AA78" s="27" t="n"/>
      <c r="AB78" s="27" t="inlineStr">
        <is>
          <t>EUR</t>
        </is>
      </c>
      <c r="AC78" s="27" t="inlineStr">
        <is>
          <t>yes</t>
        </is>
      </c>
      <c r="AD78" s="27">
        <f>IF(ISNUMBER(V78),V78,"")</f>
        <v/>
      </c>
      <c r="AE78" s="27">
        <f>IF(AND(AC78="yes",ISNUMBER(F78),IF('Compare'!$H$5="All mapped",TRUE,IF('Compare'!$H$5="EXACT only",J78="EXACT",OR(J78="EXACT",J78="CLOSE")))),"yes","no")</f>
        <v/>
      </c>
      <c r="AF78" s="27">
        <f>IF(ISNUMBER(H78),COUNTIFS($B$7:$B$608,B78,$C$7:$C$608,C78,$H$7:$H$608,"&lt;"&amp;H78,$AH$7:$AH$608,"yes")+COUNTIFS($B$7:B78,B78,$C$7:C78,C78,$H$7:H78,H78,$AH$7:AH78,"yes"),"")</f>
        <v/>
      </c>
      <c r="AG78" s="27">
        <f>IF(ISNUMBER(I78),COUNTIFS($B$7:$B$608,B78,$C$7:$C$608,C78,$I$7:$I$608,"&lt;"&amp;I78,$AI$7:$AI$608,"yes")+COUNTIFS($B$7:B78,B78,$C$7:C78,C78,$I$7:I78,I78,$AI$7:AI78,"yes"),"")</f>
        <v/>
      </c>
      <c r="AH78" s="27">
        <f>IF(ISNUMBER(H78),"yes","no")</f>
        <v/>
      </c>
      <c r="AI78" s="27">
        <f>IF(ISNUMBER(I78),"yes","no")</f>
        <v/>
      </c>
      <c r="AJ78" s="105" t="n">
        <v>46295</v>
      </c>
      <c r="AK78" s="27" t="n"/>
    </row>
    <row r="79" ht="42" customHeight="1">
      <c r="A79" s="2" t="n"/>
      <c r="B79" s="24" t="inlineStr">
        <is>
          <t>GN 1/3 PP container, 100 mm</t>
        </is>
      </c>
      <c r="C79" s="24" t="inlineStr">
        <is>
          <t>Hungary</t>
        </is>
      </c>
      <c r="D79" s="24" t="inlineStr">
        <is>
          <t>Attase</t>
        </is>
      </c>
      <c r="E79" s="24" t="inlineStr">
        <is>
          <t>GN 1/3 100 - Polypropylene</t>
        </is>
      </c>
      <c r="F79" s="98" t="n">
        <v>840</v>
      </c>
      <c r="G79" s="24" t="inlineStr">
        <is>
          <t>HUF</t>
        </is>
      </c>
      <c r="H79" s="98">
        <f>IF(AND(AE79="yes",ISNUMBER(AD79)),AD79,"")</f>
        <v/>
      </c>
      <c r="I79" s="99">
        <f>IF(AND(AE79="yes",ISNUMBER(AD79),ISNUMBER(INDEX('Sources'!$G$7:$G$10,MATCH(AB79,'Sources'!$B$7:$B$10,0)))),AD79/INDEX('Sources'!$G$7:$G$10,MATCH(AB79,'Sources'!$B$7:$B$10,0)),"")</f>
        <v/>
      </c>
      <c r="J79" s="24" t="inlineStr">
        <is>
          <t>EXACT</t>
        </is>
      </c>
      <c r="K79" s="24" t="inlineStr">
        <is>
          <t>08.06.2026</t>
        </is>
      </c>
      <c r="L79" s="71" t="n"/>
      <c r="M79" s="24" t="inlineStr">
        <is>
          <t>Source sheet: GN Containers; size: GN 1/3 100; material: Polypropylene</t>
        </is>
      </c>
      <c r="N79" s="25" t="inlineStr">
        <is>
          <t>https://www.attase.hu/konyhai-eszkozok/gn-edeny/polipropilen-gn-edenyek</t>
        </is>
      </c>
      <c r="O79" s="24" t="n"/>
      <c r="P79" s="24" t="n"/>
      <c r="Q79" s="100" t="n"/>
      <c r="R79" s="24" t="n"/>
      <c r="S79" s="24" t="n"/>
      <c r="T79" s="24" t="n"/>
      <c r="U79" s="24" t="inlineStr">
        <is>
          <t>GN size, depth and material agree. Colour is unrestricted in the benchmark.</t>
        </is>
      </c>
      <c r="V79" s="98" t="n"/>
      <c r="W79" s="98" t="n">
        <v>840</v>
      </c>
      <c r="X79" s="24" t="inlineStr">
        <is>
          <t>YES Gastro Hungary Market Research.xlsx</t>
        </is>
      </c>
      <c r="Y79" s="24" t="n"/>
      <c r="Z79" s="24" t="n"/>
      <c r="AA79" s="24" t="inlineStr">
        <is>
          <t>Direct</t>
        </is>
      </c>
      <c r="AB79" s="24" t="inlineStr">
        <is>
          <t>HUF</t>
        </is>
      </c>
      <c r="AC79" s="24" t="inlineStr">
        <is>
          <t>yes</t>
        </is>
      </c>
      <c r="AD79" s="24">
        <f>IF(ISNUMBER(F79),IF(G79=AB79,F79,IF(AND(ISNUMBER(INDEX('Sources'!$G$7:$G$10,MATCH(G79,'Sources'!$B$7:$B$10,0))),ISNUMBER(INDEX('Sources'!$G$7:$G$10,MATCH(AB79,'Sources'!$B$7:$B$10,0)))),F79/INDEX('Sources'!$G$7:$G$10,MATCH(G79,'Sources'!$B$7:$B$10,0))*INDEX('Sources'!$G$7:$G$10,MATCH(AB79,'Sources'!$B$7:$B$10,0)),"")),"")</f>
        <v/>
      </c>
      <c r="AE79" s="24">
        <f>IF(AND(AC79="yes",ISNUMBER(F79),IF('Compare'!$H$5="All mapped",TRUE,IF('Compare'!$H$5="EXACT only",J79="EXACT",OR(J79="EXACT",J79="CLOSE")))),"yes","no")</f>
        <v/>
      </c>
      <c r="AF79" s="24">
        <f>IF(ISNUMBER(H79),COUNTIFS($B$7:$B$608,B79,$C$7:$C$608,C79,$H$7:$H$608,"&lt;"&amp;H79,$AH$7:$AH$608,"yes")+COUNTIFS($B$7:B79,B79,$C$7:C79,C79,$H$7:H79,H79,$AH$7:AH79,"yes"),"")</f>
        <v/>
      </c>
      <c r="AG79" s="24">
        <f>IF(ISNUMBER(I79),COUNTIFS($B$7:$B$608,B79,$C$7:$C$608,C79,$I$7:$I$608,"&lt;"&amp;I79,$AI$7:$AI$608,"yes")+COUNTIFS($B$7:B79,B79,$C$7:C79,C79,$I$7:I79,I79,$AI$7:AI79,"yes"),"")</f>
        <v/>
      </c>
      <c r="AH79" s="24">
        <f>IF(ISNUMBER(H79),"yes","no")</f>
        <v/>
      </c>
      <c r="AI79" s="24">
        <f>IF(ISNUMBER(I79),"yes","no")</f>
        <v/>
      </c>
      <c r="AJ79" s="101" t="n">
        <v>46181</v>
      </c>
      <c r="AK79" s="24" t="n"/>
    </row>
    <row r="80" ht="42" customHeight="1">
      <c r="A80" s="2" t="n"/>
      <c r="B80" s="27" t="inlineStr">
        <is>
          <t>GN 1/3 PP container, 100 mm</t>
        </is>
      </c>
      <c r="C80" s="27" t="inlineStr">
        <is>
          <t>Hungary</t>
        </is>
      </c>
      <c r="D80" s="27" t="inlineStr">
        <is>
          <t>Gasztronagyker</t>
        </is>
      </c>
      <c r="E80" s="27" t="inlineStr">
        <is>
          <t>GN 1/3 100 - Polypropylene</t>
        </is>
      </c>
      <c r="F80" s="102" t="n">
        <v>1555</v>
      </c>
      <c r="G80" s="27" t="inlineStr">
        <is>
          <t>HUF</t>
        </is>
      </c>
      <c r="H80" s="102">
        <f>IF(AND(AE80="yes",ISNUMBER(AD80)),AD80,"")</f>
        <v/>
      </c>
      <c r="I80" s="103">
        <f>IF(AND(AE80="yes",ISNUMBER(AD80),ISNUMBER(INDEX('Sources'!$G$7:$G$10,MATCH(AB80,'Sources'!$B$7:$B$10,0)))),AD80/INDEX('Sources'!$G$7:$G$10,MATCH(AB80,'Sources'!$B$7:$B$10,0)),"")</f>
        <v/>
      </c>
      <c r="J80" s="27" t="inlineStr">
        <is>
          <t>EXACT</t>
        </is>
      </c>
      <c r="K80" s="27" t="inlineStr">
        <is>
          <t>08.06.2026</t>
        </is>
      </c>
      <c r="L80" s="71" t="n"/>
      <c r="M80" s="27" t="inlineStr">
        <is>
          <t>Source sheet: GN Containers; size: GN 1/3 100; material: Polypropylene</t>
        </is>
      </c>
      <c r="N80" s="28" t="inlineStr">
        <is>
          <t>https://www.gasztronagyker.hu/gn-edenyek</t>
        </is>
      </c>
      <c r="O80" s="27" t="n"/>
      <c r="P80" s="27" t="n"/>
      <c r="Q80" s="104" t="n"/>
      <c r="R80" s="27" t="n"/>
      <c r="S80" s="27" t="n"/>
      <c r="T80" s="27" t="n"/>
      <c r="U80" s="27" t="inlineStr">
        <is>
          <t>GN size, depth and material agree. Colour is unrestricted in the benchmark.</t>
        </is>
      </c>
      <c r="V80" s="102" t="n"/>
      <c r="W80" s="102" t="n">
        <v>1555</v>
      </c>
      <c r="X80" s="27" t="inlineStr">
        <is>
          <t>YES Gastro Hungary Market Research.xlsx</t>
        </is>
      </c>
      <c r="Y80" s="27" t="n"/>
      <c r="Z80" s="27" t="n"/>
      <c r="AA80" s="27" t="inlineStr">
        <is>
          <t>Direct</t>
        </is>
      </c>
      <c r="AB80" s="27" t="inlineStr">
        <is>
          <t>HUF</t>
        </is>
      </c>
      <c r="AC80" s="27" t="inlineStr">
        <is>
          <t>yes</t>
        </is>
      </c>
      <c r="AD80" s="27">
        <f>IF(ISNUMBER(F80),IF(G80=AB80,F80,IF(AND(ISNUMBER(INDEX('Sources'!$G$7:$G$10,MATCH(G80,'Sources'!$B$7:$B$10,0))),ISNUMBER(INDEX('Sources'!$G$7:$G$10,MATCH(AB80,'Sources'!$B$7:$B$10,0)))),F80/INDEX('Sources'!$G$7:$G$10,MATCH(G80,'Sources'!$B$7:$B$10,0))*INDEX('Sources'!$G$7:$G$10,MATCH(AB80,'Sources'!$B$7:$B$10,0)),"")),"")</f>
        <v/>
      </c>
      <c r="AE80" s="27">
        <f>IF(AND(AC80="yes",ISNUMBER(F80),IF('Compare'!$H$5="All mapped",TRUE,IF('Compare'!$H$5="EXACT only",J80="EXACT",OR(J80="EXACT",J80="CLOSE")))),"yes","no")</f>
        <v/>
      </c>
      <c r="AF80" s="27">
        <f>IF(ISNUMBER(H80),COUNTIFS($B$7:$B$608,B80,$C$7:$C$608,C80,$H$7:$H$608,"&lt;"&amp;H80,$AH$7:$AH$608,"yes")+COUNTIFS($B$7:B80,B80,$C$7:C80,C80,$H$7:H80,H80,$AH$7:AH80,"yes"),"")</f>
        <v/>
      </c>
      <c r="AG80" s="27">
        <f>IF(ISNUMBER(I80),COUNTIFS($B$7:$B$608,B80,$C$7:$C$608,C80,$I$7:$I$608,"&lt;"&amp;I80,$AI$7:$AI$608,"yes")+COUNTIFS($B$7:B80,B80,$C$7:C80,C80,$I$7:I80,I80,$AI$7:AI80,"yes"),"")</f>
        <v/>
      </c>
      <c r="AH80" s="27">
        <f>IF(ISNUMBER(H80),"yes","no")</f>
        <v/>
      </c>
      <c r="AI80" s="27">
        <f>IF(ISNUMBER(I80),"yes","no")</f>
        <v/>
      </c>
      <c r="AJ80" s="105" t="n">
        <v>46181</v>
      </c>
      <c r="AK80" s="27" t="n"/>
    </row>
    <row r="81" ht="42" customHeight="1">
      <c r="A81" s="2" t="n"/>
      <c r="B81" s="24" t="inlineStr">
        <is>
          <t>GN 1/3 PP container, 100 mm</t>
        </is>
      </c>
      <c r="C81" s="24" t="inlineStr">
        <is>
          <t>Hungary</t>
        </is>
      </c>
      <c r="D81" s="24" t="inlineStr">
        <is>
          <t>HFSE</t>
        </is>
      </c>
      <c r="E81" s="24" t="inlineStr">
        <is>
          <t>GN 1/3 100 - Polypropylene</t>
        </is>
      </c>
      <c r="F81" s="98" t="n">
        <v>1370</v>
      </c>
      <c r="G81" s="24" t="inlineStr">
        <is>
          <t>HUF</t>
        </is>
      </c>
      <c r="H81" s="98">
        <f>IF(AND(AE81="yes",ISNUMBER(AD81)),AD81,"")</f>
        <v/>
      </c>
      <c r="I81" s="99">
        <f>IF(AND(AE81="yes",ISNUMBER(AD81),ISNUMBER(INDEX('Sources'!$G$7:$G$10,MATCH(AB81,'Sources'!$B$7:$B$10,0)))),AD81/INDEX('Sources'!$G$7:$G$10,MATCH(AB81,'Sources'!$B$7:$B$10,0)),"")</f>
        <v/>
      </c>
      <c r="J81" s="24" t="inlineStr">
        <is>
          <t>EXACT</t>
        </is>
      </c>
      <c r="K81" s="24" t="inlineStr">
        <is>
          <t>08.06.2026</t>
        </is>
      </c>
      <c r="L81" s="71" t="n"/>
      <c r="M81" s="24" t="inlineStr">
        <is>
          <t>Source sheet: GN Containers; size: GN 1/3 100; material: Polypropylene</t>
        </is>
      </c>
      <c r="N81" s="25" t="inlineStr">
        <is>
          <t>https://hfse.hu/termekkategoria/konyhai-eszkozok/gn-edenyek/</t>
        </is>
      </c>
      <c r="O81" s="24" t="n"/>
      <c r="P81" s="24" t="n"/>
      <c r="Q81" s="100" t="n"/>
      <c r="R81" s="24" t="n"/>
      <c r="S81" s="24" t="n"/>
      <c r="T81" s="24" t="n"/>
      <c r="U81" s="24" t="inlineStr">
        <is>
          <t>GN size, depth and material agree. Colour is unrestricted in the benchmark.</t>
        </is>
      </c>
      <c r="V81" s="98" t="n"/>
      <c r="W81" s="98" t="n">
        <v>1370</v>
      </c>
      <c r="X81" s="24" t="inlineStr">
        <is>
          <t>YES Gastro Hungary Market Research.xlsx</t>
        </is>
      </c>
      <c r="Y81" s="24" t="n"/>
      <c r="Z81" s="24" t="n"/>
      <c r="AA81" s="24" t="inlineStr">
        <is>
          <t>Direct</t>
        </is>
      </c>
      <c r="AB81" s="24" t="inlineStr">
        <is>
          <t>HUF</t>
        </is>
      </c>
      <c r="AC81" s="24" t="inlineStr">
        <is>
          <t>yes</t>
        </is>
      </c>
      <c r="AD81" s="24">
        <f>IF(ISNUMBER(F81),IF(G81=AB81,F81,IF(AND(ISNUMBER(INDEX('Sources'!$G$7:$G$10,MATCH(G81,'Sources'!$B$7:$B$10,0))),ISNUMBER(INDEX('Sources'!$G$7:$G$10,MATCH(AB81,'Sources'!$B$7:$B$10,0)))),F81/INDEX('Sources'!$G$7:$G$10,MATCH(G81,'Sources'!$B$7:$B$10,0))*INDEX('Sources'!$G$7:$G$10,MATCH(AB81,'Sources'!$B$7:$B$10,0)),"")),"")</f>
        <v/>
      </c>
      <c r="AE81" s="24">
        <f>IF(AND(AC81="yes",ISNUMBER(F81),IF('Compare'!$H$5="All mapped",TRUE,IF('Compare'!$H$5="EXACT only",J81="EXACT",OR(J81="EXACT",J81="CLOSE")))),"yes","no")</f>
        <v/>
      </c>
      <c r="AF81" s="24">
        <f>IF(ISNUMBER(H81),COUNTIFS($B$7:$B$608,B81,$C$7:$C$608,C81,$H$7:$H$608,"&lt;"&amp;H81,$AH$7:$AH$608,"yes")+COUNTIFS($B$7:B81,B81,$C$7:C81,C81,$H$7:H81,H81,$AH$7:AH81,"yes"),"")</f>
        <v/>
      </c>
      <c r="AG81" s="24">
        <f>IF(ISNUMBER(I81),COUNTIFS($B$7:$B$608,B81,$C$7:$C$608,C81,$I$7:$I$608,"&lt;"&amp;I81,$AI$7:$AI$608,"yes")+COUNTIFS($B$7:B81,B81,$C$7:C81,C81,$I$7:I81,I81,$AI$7:AI81,"yes"),"")</f>
        <v/>
      </c>
      <c r="AH81" s="24">
        <f>IF(ISNUMBER(H81),"yes","no")</f>
        <v/>
      </c>
      <c r="AI81" s="24">
        <f>IF(ISNUMBER(I81),"yes","no")</f>
        <v/>
      </c>
      <c r="AJ81" s="101" t="n">
        <v>46181</v>
      </c>
      <c r="AK81" s="24" t="n"/>
    </row>
    <row r="82" ht="42" customHeight="1">
      <c r="A82" s="2" t="n"/>
      <c r="B82" s="27" t="inlineStr">
        <is>
          <t>GN 1/3 PP container, 100 mm</t>
        </is>
      </c>
      <c r="C82" s="27" t="inlineStr">
        <is>
          <t>Hungary</t>
        </is>
      </c>
      <c r="D82" s="27" t="inlineStr">
        <is>
          <t>Hunnia</t>
        </is>
      </c>
      <c r="E82" s="27" t="inlineStr">
        <is>
          <t>GN 1/3 100 - Polypropylene</t>
        </is>
      </c>
      <c r="F82" s="102" t="n">
        <v>2023</v>
      </c>
      <c r="G82" s="27" t="inlineStr">
        <is>
          <t>HUF</t>
        </is>
      </c>
      <c r="H82" s="102">
        <f>IF(AND(AE82="yes",ISNUMBER(AD82)),AD82,"")</f>
        <v/>
      </c>
      <c r="I82" s="103">
        <f>IF(AND(AE82="yes",ISNUMBER(AD82),ISNUMBER(INDEX('Sources'!$G$7:$G$10,MATCH(AB82,'Sources'!$B$7:$B$10,0)))),AD82/INDEX('Sources'!$G$7:$G$10,MATCH(AB82,'Sources'!$B$7:$B$10,0)),"")</f>
        <v/>
      </c>
      <c r="J82" s="27" t="inlineStr">
        <is>
          <t>EXACT</t>
        </is>
      </c>
      <c r="K82" s="27" t="inlineStr">
        <is>
          <t>08.06.2026</t>
        </is>
      </c>
      <c r="L82" s="71" t="n"/>
      <c r="M82" s="27" t="inlineStr">
        <is>
          <t>Source sheet: GN Containers; size: GN 1/3 100; material: Polypropylene</t>
        </is>
      </c>
      <c r="N82" s="28" t="inlineStr">
        <is>
          <t>https://hunniakristaly.hu/nagy-konyha/gn-edenyek-rozsdamentes-acelbol-polipropilenb-l-polikarbonat/gn-edenyek-polipropilenb-l</t>
        </is>
      </c>
      <c r="O82" s="27" t="n"/>
      <c r="P82" s="27" t="n"/>
      <c r="Q82" s="104" t="n"/>
      <c r="R82" s="27" t="n"/>
      <c r="S82" s="27" t="n"/>
      <c r="T82" s="27" t="n"/>
      <c r="U82" s="27" t="inlineStr">
        <is>
          <t>GN size, depth and material agree. Colour is unrestricted in the benchmark.</t>
        </is>
      </c>
      <c r="V82" s="102" t="n"/>
      <c r="W82" s="102" t="n">
        <v>2023</v>
      </c>
      <c r="X82" s="27" t="inlineStr">
        <is>
          <t>YES Gastro Hungary Market Research.xlsx</t>
        </is>
      </c>
      <c r="Y82" s="27" t="n"/>
      <c r="Z82" s="27" t="n"/>
      <c r="AA82" s="27" t="inlineStr">
        <is>
          <t>Direct</t>
        </is>
      </c>
      <c r="AB82" s="27" t="inlineStr">
        <is>
          <t>HUF</t>
        </is>
      </c>
      <c r="AC82" s="27" t="inlineStr">
        <is>
          <t>yes</t>
        </is>
      </c>
      <c r="AD82" s="27">
        <f>IF(ISNUMBER(F82),IF(G82=AB82,F82,IF(AND(ISNUMBER(INDEX('Sources'!$G$7:$G$10,MATCH(G82,'Sources'!$B$7:$B$10,0))),ISNUMBER(INDEX('Sources'!$G$7:$G$10,MATCH(AB82,'Sources'!$B$7:$B$10,0)))),F82/INDEX('Sources'!$G$7:$G$10,MATCH(G82,'Sources'!$B$7:$B$10,0))*INDEX('Sources'!$G$7:$G$10,MATCH(AB82,'Sources'!$B$7:$B$10,0)),"")),"")</f>
        <v/>
      </c>
      <c r="AE82" s="27">
        <f>IF(AND(AC82="yes",ISNUMBER(F82),IF('Compare'!$H$5="All mapped",TRUE,IF('Compare'!$H$5="EXACT only",J82="EXACT",OR(J82="EXACT",J82="CLOSE")))),"yes","no")</f>
        <v/>
      </c>
      <c r="AF82" s="27">
        <f>IF(ISNUMBER(H82),COUNTIFS($B$7:$B$608,B82,$C$7:$C$608,C82,$H$7:$H$608,"&lt;"&amp;H82,$AH$7:$AH$608,"yes")+COUNTIFS($B$7:B82,B82,$C$7:C82,C82,$H$7:H82,H82,$AH$7:AH82,"yes"),"")</f>
        <v/>
      </c>
      <c r="AG82" s="27">
        <f>IF(ISNUMBER(I82),COUNTIFS($B$7:$B$608,B82,$C$7:$C$608,C82,$I$7:$I$608,"&lt;"&amp;I82,$AI$7:$AI$608,"yes")+COUNTIFS($B$7:B82,B82,$C$7:C82,C82,$I$7:I82,I82,$AI$7:AI82,"yes"),"")</f>
        <v/>
      </c>
      <c r="AH82" s="27">
        <f>IF(ISNUMBER(H82),"yes","no")</f>
        <v/>
      </c>
      <c r="AI82" s="27">
        <f>IF(ISNUMBER(I82),"yes","no")</f>
        <v/>
      </c>
      <c r="AJ82" s="105" t="n">
        <v>46181</v>
      </c>
      <c r="AK82" s="27" t="n"/>
    </row>
    <row r="83" ht="42" customHeight="1">
      <c r="A83" s="2" t="n"/>
      <c r="B83" s="24" t="inlineStr">
        <is>
          <t>GN 1/3 PP container, 100 mm</t>
        </is>
      </c>
      <c r="C83" s="24" t="inlineStr">
        <is>
          <t>Hungary</t>
        </is>
      </c>
      <c r="D83" s="24" t="inlineStr">
        <is>
          <t>Inox-Pláza</t>
        </is>
      </c>
      <c r="E83" s="24" t="inlineStr">
        <is>
          <t>GN 1/3 100 - Polypropylene</t>
        </is>
      </c>
      <c r="F83" s="98" t="n">
        <v>1700</v>
      </c>
      <c r="G83" s="24" t="inlineStr">
        <is>
          <t>HUF</t>
        </is>
      </c>
      <c r="H83" s="98">
        <f>IF(AND(AE83="yes",ISNUMBER(AD83)),AD83,"")</f>
        <v/>
      </c>
      <c r="I83" s="99">
        <f>IF(AND(AE83="yes",ISNUMBER(AD83),ISNUMBER(INDEX('Sources'!$G$7:$G$10,MATCH(AB83,'Sources'!$B$7:$B$10,0)))),AD83/INDEX('Sources'!$G$7:$G$10,MATCH(AB83,'Sources'!$B$7:$B$10,0)),"")</f>
        <v/>
      </c>
      <c r="J83" s="24" t="inlineStr">
        <is>
          <t>EXACT</t>
        </is>
      </c>
      <c r="K83" s="24" t="inlineStr">
        <is>
          <t>08.06.2026</t>
        </is>
      </c>
      <c r="L83" s="71" t="n"/>
      <c r="M83" s="24" t="inlineStr">
        <is>
          <t>Source sheet: GN Containers; size: GN 1/3 100; material: Polypropylene</t>
        </is>
      </c>
      <c r="N83" s="25" t="inlineStr">
        <is>
          <t>https://www.inoxplaza.hu/edenyzet/gn-edeny</t>
        </is>
      </c>
      <c r="O83" s="24" t="n"/>
      <c r="P83" s="24" t="n"/>
      <c r="Q83" s="100" t="n"/>
      <c r="R83" s="24" t="n"/>
      <c r="S83" s="24" t="n"/>
      <c r="T83" s="24" t="n"/>
      <c r="U83" s="24" t="inlineStr">
        <is>
          <t>GN size, depth and material agree. Colour is unrestricted in the benchmark.</t>
        </is>
      </c>
      <c r="V83" s="98" t="n"/>
      <c r="W83" s="98" t="n">
        <v>1700</v>
      </c>
      <c r="X83" s="24" t="inlineStr">
        <is>
          <t>YES Gastro Hungary Market Research.xlsx</t>
        </is>
      </c>
      <c r="Y83" s="24" t="n"/>
      <c r="Z83" s="24" t="n"/>
      <c r="AA83" s="24" t="inlineStr">
        <is>
          <t>Direct</t>
        </is>
      </c>
      <c r="AB83" s="24" t="inlineStr">
        <is>
          <t>HUF</t>
        </is>
      </c>
      <c r="AC83" s="24" t="inlineStr">
        <is>
          <t>yes</t>
        </is>
      </c>
      <c r="AD83" s="24">
        <f>IF(ISNUMBER(F83),IF(G83=AB83,F83,IF(AND(ISNUMBER(INDEX('Sources'!$G$7:$G$10,MATCH(G83,'Sources'!$B$7:$B$10,0))),ISNUMBER(INDEX('Sources'!$G$7:$G$10,MATCH(AB83,'Sources'!$B$7:$B$10,0)))),F83/INDEX('Sources'!$G$7:$G$10,MATCH(G83,'Sources'!$B$7:$B$10,0))*INDEX('Sources'!$G$7:$G$10,MATCH(AB83,'Sources'!$B$7:$B$10,0)),"")),"")</f>
        <v/>
      </c>
      <c r="AE83" s="24">
        <f>IF(AND(AC83="yes",ISNUMBER(F83),IF('Compare'!$H$5="All mapped",TRUE,IF('Compare'!$H$5="EXACT only",J83="EXACT",OR(J83="EXACT",J83="CLOSE")))),"yes","no")</f>
        <v/>
      </c>
      <c r="AF83" s="24">
        <f>IF(ISNUMBER(H83),COUNTIFS($B$7:$B$608,B83,$C$7:$C$608,C83,$H$7:$H$608,"&lt;"&amp;H83,$AH$7:$AH$608,"yes")+COUNTIFS($B$7:B83,B83,$C$7:C83,C83,$H$7:H83,H83,$AH$7:AH83,"yes"),"")</f>
        <v/>
      </c>
      <c r="AG83" s="24">
        <f>IF(ISNUMBER(I83),COUNTIFS($B$7:$B$608,B83,$C$7:$C$608,C83,$I$7:$I$608,"&lt;"&amp;I83,$AI$7:$AI$608,"yes")+COUNTIFS($B$7:B83,B83,$C$7:C83,C83,$I$7:I83,I83,$AI$7:AI83,"yes"),"")</f>
        <v/>
      </c>
      <c r="AH83" s="24">
        <f>IF(ISNUMBER(H83),"yes","no")</f>
        <v/>
      </c>
      <c r="AI83" s="24">
        <f>IF(ISNUMBER(I83),"yes","no")</f>
        <v/>
      </c>
      <c r="AJ83" s="101" t="n">
        <v>46181</v>
      </c>
      <c r="AK83" s="24" t="n"/>
    </row>
    <row r="84" ht="42" customHeight="1">
      <c r="A84" s="2" t="n"/>
      <c r="B84" s="27" t="inlineStr">
        <is>
          <t>GN 1/3 PP container, 100 mm</t>
        </is>
      </c>
      <c r="C84" s="27" t="inlineStr">
        <is>
          <t>Romania</t>
        </is>
      </c>
      <c r="D84" s="27" t="inlineStr">
        <is>
          <t>Gastrozone</t>
        </is>
      </c>
      <c r="E84" s="27" t="inlineStr">
        <is>
          <t>GN 1/3 100mm - Polypropylene</t>
        </is>
      </c>
      <c r="F84" s="102" t="n">
        <v>35.63</v>
      </c>
      <c r="G84" s="27" t="inlineStr">
        <is>
          <t>RON</t>
        </is>
      </c>
      <c r="H84" s="102">
        <f>IF(AND(AE84="yes",ISNUMBER(AD84)),AD84,"")</f>
        <v/>
      </c>
      <c r="I84" s="103">
        <f>IF(AND(AE84="yes",ISNUMBER(AD84),ISNUMBER(INDEX('Sources'!$G$7:$G$10,MATCH(AB84,'Sources'!$B$7:$B$10,0)))),AD84/INDEX('Sources'!$G$7:$G$10,MATCH(AB84,'Sources'!$B$7:$B$10,0)),"")</f>
        <v/>
      </c>
      <c r="J84" s="27" t="inlineStr">
        <is>
          <t>EXACT</t>
        </is>
      </c>
      <c r="K84" s="27" t="inlineStr">
        <is>
          <t>2.07.2026</t>
        </is>
      </c>
      <c r="L84" s="71" t="n"/>
      <c r="M84" s="27" t="inlineStr">
        <is>
          <t>PP</t>
        </is>
      </c>
      <c r="N84" s="28" t="inlineStr">
        <is>
          <t>https://www.gastrozone.ro/polipropilenice/marime=gn-1-3/</t>
        </is>
      </c>
      <c r="O84" s="27" t="inlineStr">
        <is>
          <t>Pujadas</t>
        </is>
      </c>
      <c r="P84" s="27" t="n"/>
      <c r="Q84" s="104" t="n"/>
      <c r="R84" s="27" t="n"/>
      <c r="S84" s="27" t="n"/>
      <c r="T84" s="27" t="n"/>
      <c r="U84" s="27" t="inlineStr">
        <is>
          <t>GN size, depth and material agree. Colour is unrestricted in the benchmark.</t>
        </is>
      </c>
      <c r="V84" s="102" t="n"/>
      <c r="W84" s="102" t="n">
        <v>7.126000000000001</v>
      </c>
      <c r="X84" s="27" t="inlineStr">
        <is>
          <t>YES Gastro Romania Market Research.xlsx</t>
        </is>
      </c>
      <c r="Y84" s="27" t="inlineStr">
        <is>
          <t>Gabi</t>
        </is>
      </c>
      <c r="Z84" s="27" t="n"/>
      <c r="AA84" s="27" t="n"/>
      <c r="AB84" s="27" t="inlineStr">
        <is>
          <t>RON</t>
        </is>
      </c>
      <c r="AC84" s="27" t="inlineStr">
        <is>
          <t>yes</t>
        </is>
      </c>
      <c r="AD84" s="27">
        <f>IF(ISNUMBER(F84),IF(G84=AB84,F84,IF(AND(ISNUMBER(INDEX('Sources'!$G$7:$G$10,MATCH(G84,'Sources'!$B$7:$B$10,0))),ISNUMBER(INDEX('Sources'!$G$7:$G$10,MATCH(AB84,'Sources'!$B$7:$B$10,0)))),F84/INDEX('Sources'!$G$7:$G$10,MATCH(G84,'Sources'!$B$7:$B$10,0))*INDEX('Sources'!$G$7:$G$10,MATCH(AB84,'Sources'!$B$7:$B$10,0)),"")),"")</f>
        <v/>
      </c>
      <c r="AE84" s="27">
        <f>IF(AND(AC84="yes",ISNUMBER(F84),IF('Compare'!$H$5="All mapped",TRUE,IF('Compare'!$H$5="EXACT only",J84="EXACT",OR(J84="EXACT",J84="CLOSE")))),"yes","no")</f>
        <v/>
      </c>
      <c r="AF84" s="27">
        <f>IF(ISNUMBER(H84),COUNTIFS($B$7:$B$608,B84,$C$7:$C$608,C84,$H$7:$H$608,"&lt;"&amp;H84,$AH$7:$AH$608,"yes")+COUNTIFS($B$7:B84,B84,$C$7:C84,C84,$H$7:H84,H84,$AH$7:AH84,"yes"),"")</f>
        <v/>
      </c>
      <c r="AG84" s="27">
        <f>IF(ISNUMBER(I84),COUNTIFS($B$7:$B$608,B84,$C$7:$C$608,C84,$I$7:$I$608,"&lt;"&amp;I84,$AI$7:$AI$608,"yes")+COUNTIFS($B$7:B84,B84,$C$7:C84,C84,$I$7:I84,I84,$AI$7:AI84,"yes"),"")</f>
        <v/>
      </c>
      <c r="AH84" s="27">
        <f>IF(ISNUMBER(H84),"yes","no")</f>
        <v/>
      </c>
      <c r="AI84" s="27">
        <f>IF(ISNUMBER(I84),"yes","no")</f>
        <v/>
      </c>
      <c r="AJ84" s="105" t="n">
        <v>46205</v>
      </c>
      <c r="AK84" s="27" t="n"/>
    </row>
    <row r="85" ht="42" customHeight="1">
      <c r="A85" s="2" t="n"/>
      <c r="B85" s="24" t="inlineStr">
        <is>
          <t>GN 1/3 PP container, 100 mm</t>
        </is>
      </c>
      <c r="C85" s="24" t="inlineStr">
        <is>
          <t>Romania</t>
        </is>
      </c>
      <c r="D85" s="24" t="inlineStr">
        <is>
          <t>gastroprofesional</t>
        </is>
      </c>
      <c r="E85" s="24" t="inlineStr">
        <is>
          <t>GN 1/3 100mm - Polypropylene</t>
        </is>
      </c>
      <c r="F85" s="98" t="n">
        <v>33.8</v>
      </c>
      <c r="G85" s="24" t="inlineStr">
        <is>
          <t>RON</t>
        </is>
      </c>
      <c r="H85" s="98">
        <f>IF(AND(AE85="yes",ISNUMBER(AD85)),AD85,"")</f>
        <v/>
      </c>
      <c r="I85" s="99">
        <f>IF(AND(AE85="yes",ISNUMBER(AD85),ISNUMBER(INDEX('Sources'!$G$7:$G$10,MATCH(AB85,'Sources'!$B$7:$B$10,0)))),AD85/INDEX('Sources'!$G$7:$G$10,MATCH(AB85,'Sources'!$B$7:$B$10,0)),"")</f>
        <v/>
      </c>
      <c r="J85" s="24" t="inlineStr">
        <is>
          <t>EXACT</t>
        </is>
      </c>
      <c r="K85" s="24" t="inlineStr">
        <is>
          <t>2.07.2026</t>
        </is>
      </c>
      <c r="L85" s="71" t="n"/>
      <c r="M85" s="24" t="inlineStr">
        <is>
          <t>PP</t>
        </is>
      </c>
      <c r="N85" s="25" t="inlineStr">
        <is>
          <t>https://gastroprofesional.ro/accesorii-horeca/tavi-si-cuve-profesionale/tavi-gn-si-capace-polipropilena?q=Standard+t%C4%83vi+%5C/+recipiente-GN+1%5C/3</t>
        </is>
      </c>
      <c r="O85" s="24" t="inlineStr">
        <is>
          <t>Stalgast</t>
        </is>
      </c>
      <c r="P85" s="24" t="n"/>
      <c r="Q85" s="100" t="n"/>
      <c r="R85" s="24" t="n"/>
      <c r="S85" s="24" t="n"/>
      <c r="T85" s="24" t="n"/>
      <c r="U85" s="24" t="inlineStr">
        <is>
          <t>GN size, depth and material agree. Colour is unrestricted in the benchmark.</t>
        </is>
      </c>
      <c r="V85" s="98" t="n"/>
      <c r="W85" s="98" t="n">
        <v>6.76</v>
      </c>
      <c r="X85" s="24" t="inlineStr">
        <is>
          <t>YES Gastro Romania Market Research.xlsx</t>
        </is>
      </c>
      <c r="Y85" s="24" t="inlineStr">
        <is>
          <t>Gabi</t>
        </is>
      </c>
      <c r="Z85" s="24" t="n"/>
      <c r="AA85" s="24" t="n"/>
      <c r="AB85" s="24" t="inlineStr">
        <is>
          <t>RON</t>
        </is>
      </c>
      <c r="AC85" s="24" t="inlineStr">
        <is>
          <t>yes</t>
        </is>
      </c>
      <c r="AD85" s="24">
        <f>IF(ISNUMBER(F85),IF(G85=AB85,F85,IF(AND(ISNUMBER(INDEX('Sources'!$G$7:$G$10,MATCH(G85,'Sources'!$B$7:$B$10,0))),ISNUMBER(INDEX('Sources'!$G$7:$G$10,MATCH(AB85,'Sources'!$B$7:$B$10,0)))),F85/INDEX('Sources'!$G$7:$G$10,MATCH(G85,'Sources'!$B$7:$B$10,0))*INDEX('Sources'!$G$7:$G$10,MATCH(AB85,'Sources'!$B$7:$B$10,0)),"")),"")</f>
        <v/>
      </c>
      <c r="AE85" s="24">
        <f>IF(AND(AC85="yes",ISNUMBER(F85),IF('Compare'!$H$5="All mapped",TRUE,IF('Compare'!$H$5="EXACT only",J85="EXACT",OR(J85="EXACT",J85="CLOSE")))),"yes","no")</f>
        <v/>
      </c>
      <c r="AF85" s="24">
        <f>IF(ISNUMBER(H85),COUNTIFS($B$7:$B$608,B85,$C$7:$C$608,C85,$H$7:$H$608,"&lt;"&amp;H85,$AH$7:$AH$608,"yes")+COUNTIFS($B$7:B85,B85,$C$7:C85,C85,$H$7:H85,H85,$AH$7:AH85,"yes"),"")</f>
        <v/>
      </c>
      <c r="AG85" s="24">
        <f>IF(ISNUMBER(I85),COUNTIFS($B$7:$B$608,B85,$C$7:$C$608,C85,$I$7:$I$608,"&lt;"&amp;I85,$AI$7:$AI$608,"yes")+COUNTIFS($B$7:B85,B85,$C$7:C85,C85,$I$7:I85,I85,$AI$7:AI85,"yes"),"")</f>
        <v/>
      </c>
      <c r="AH85" s="24">
        <f>IF(ISNUMBER(H85),"yes","no")</f>
        <v/>
      </c>
      <c r="AI85" s="24">
        <f>IF(ISNUMBER(I85),"yes","no")</f>
        <v/>
      </c>
      <c r="AJ85" s="101" t="n">
        <v>46205</v>
      </c>
      <c r="AK85" s="24" t="n"/>
    </row>
    <row r="86" ht="66" customHeight="1">
      <c r="A86" s="2" t="n"/>
      <c r="B86" s="27" t="inlineStr">
        <is>
          <t>GN 1/3 PP container, 100 mm</t>
        </is>
      </c>
      <c r="C86" s="27" t="inlineStr">
        <is>
          <t>Romania</t>
        </is>
      </c>
      <c r="D86" s="27" t="inlineStr">
        <is>
          <t>mmgastro</t>
        </is>
      </c>
      <c r="E86" s="27" t="inlineStr">
        <is>
          <t>GN 1/3 100mm - Polypropylene</t>
        </is>
      </c>
      <c r="F86" s="102" t="n">
        <v>31.69</v>
      </c>
      <c r="G86" s="27" t="inlineStr">
        <is>
          <t>RON</t>
        </is>
      </c>
      <c r="H86" s="102">
        <f>IF(AND(AE86="yes",ISNUMBER(AD86)),AD86,"")</f>
        <v/>
      </c>
      <c r="I86" s="103">
        <f>IF(AND(AE86="yes",ISNUMBER(AD86),ISNUMBER(INDEX('Sources'!$G$7:$G$10,MATCH(AB86,'Sources'!$B$7:$B$10,0)))),AD86/INDEX('Sources'!$G$7:$G$10,MATCH(AB86,'Sources'!$B$7:$B$10,0)),"")</f>
        <v/>
      </c>
      <c r="J86" s="27" t="inlineStr">
        <is>
          <t>EXACT</t>
        </is>
      </c>
      <c r="K86" s="27" t="inlineStr">
        <is>
          <t>2.07.2026</t>
        </is>
      </c>
      <c r="L86" s="71" t="n"/>
      <c r="M86" s="27" t="inlineStr">
        <is>
          <t>PP</t>
        </is>
      </c>
      <c r="N86" s="28" t="inlineStr">
        <is>
          <t>https://mmgastro.ro/ro/menu/categorii/vase-gastronomice/vase-gn-din-polipropilena-11725?filter_text=&amp;filter_producer=&amp;filter_price=&amp;filter_traits[47062]=72558&amp;filter_traits[47060]=&amp;filter_traits[47034]=&amp;filter_traits[69787]=&amp;filter_traits[73752]=</t>
        </is>
      </c>
      <c r="O86" s="27" t="inlineStr">
        <is>
          <t>Hendi</t>
        </is>
      </c>
      <c r="P86" s="27" t="n"/>
      <c r="Q86" s="104" t="n"/>
      <c r="R86" s="27" t="n"/>
      <c r="S86" s="27" t="n"/>
      <c r="T86" s="27" t="n"/>
      <c r="U86" s="27" t="inlineStr">
        <is>
          <t>GN size, depth and material agree. Colour is unrestricted in the benchmark.</t>
        </is>
      </c>
      <c r="V86" s="102" t="n"/>
      <c r="W86" s="102" t="n">
        <v>6.338000000000001</v>
      </c>
      <c r="X86" s="27" t="inlineStr">
        <is>
          <t>YES Gastro Romania Market Research.xlsx</t>
        </is>
      </c>
      <c r="Y86" s="27" t="inlineStr">
        <is>
          <t>Gabi</t>
        </is>
      </c>
      <c r="Z86" s="27" t="n"/>
      <c r="AA86" s="27" t="n"/>
      <c r="AB86" s="27" t="inlineStr">
        <is>
          <t>RON</t>
        </is>
      </c>
      <c r="AC86" s="27" t="inlineStr">
        <is>
          <t>yes</t>
        </is>
      </c>
      <c r="AD86" s="27">
        <f>IF(ISNUMBER(F86),IF(G86=AB86,F86,IF(AND(ISNUMBER(INDEX('Sources'!$G$7:$G$10,MATCH(G86,'Sources'!$B$7:$B$10,0))),ISNUMBER(INDEX('Sources'!$G$7:$G$10,MATCH(AB86,'Sources'!$B$7:$B$10,0)))),F86/INDEX('Sources'!$G$7:$G$10,MATCH(G86,'Sources'!$B$7:$B$10,0))*INDEX('Sources'!$G$7:$G$10,MATCH(AB86,'Sources'!$B$7:$B$10,0)),"")),"")</f>
        <v/>
      </c>
      <c r="AE86" s="27">
        <f>IF(AND(AC86="yes",ISNUMBER(F86),IF('Compare'!$H$5="All mapped",TRUE,IF('Compare'!$H$5="EXACT only",J86="EXACT",OR(J86="EXACT",J86="CLOSE")))),"yes","no")</f>
        <v/>
      </c>
      <c r="AF86" s="27">
        <f>IF(ISNUMBER(H86),COUNTIFS($B$7:$B$608,B86,$C$7:$C$608,C86,$H$7:$H$608,"&lt;"&amp;H86,$AH$7:$AH$608,"yes")+COUNTIFS($B$7:B86,B86,$C$7:C86,C86,$H$7:H86,H86,$AH$7:AH86,"yes"),"")</f>
        <v/>
      </c>
      <c r="AG86" s="27">
        <f>IF(ISNUMBER(I86),COUNTIFS($B$7:$B$608,B86,$C$7:$C$608,C86,$I$7:$I$608,"&lt;"&amp;I86,$AI$7:$AI$608,"yes")+COUNTIFS($B$7:B86,B86,$C$7:C86,C86,$I$7:I86,I86,$AI$7:AI86,"yes"),"")</f>
        <v/>
      </c>
      <c r="AH86" s="27">
        <f>IF(ISNUMBER(H86),"yes","no")</f>
        <v/>
      </c>
      <c r="AI86" s="27">
        <f>IF(ISNUMBER(I86),"yes","no")</f>
        <v/>
      </c>
      <c r="AJ86" s="105" t="n">
        <v>46205</v>
      </c>
      <c r="AK86" s="27" t="n"/>
    </row>
    <row r="87" ht="42" customHeight="1">
      <c r="A87" s="2" t="n"/>
      <c r="B87" s="24" t="inlineStr">
        <is>
          <t>GN 1/3 PP container, 100 mm</t>
        </is>
      </c>
      <c r="C87" s="24" t="inlineStr">
        <is>
          <t>Austria</t>
        </is>
      </c>
      <c r="D87" s="24" t="inlineStr">
        <is>
          <t>GastroHero Österreich</t>
        </is>
      </c>
      <c r="E87" s="24" t="inlineStr">
        <is>
          <t>Araven GN1/3 Lebensmittelbehälter blau 100 mm</t>
        </is>
      </c>
      <c r="F87" s="98" t="n">
        <v>18.09</v>
      </c>
      <c r="G87" s="24" t="inlineStr">
        <is>
          <t>EUR</t>
        </is>
      </c>
      <c r="H87" s="98">
        <f>IF(AND(AE87="yes",ISNUMBER(AD87)),AD87,"")</f>
        <v/>
      </c>
      <c r="I87" s="99">
        <f>IF(AND(AE87="yes",ISNUMBER(AD87),ISNUMBER(INDEX('Sources'!$G$7:$G$10,MATCH(AB87,'Sources'!$B$7:$B$10,0)))),AD87/INDEX('Sources'!$G$7:$G$10,MATCH(AB87,'Sources'!$B$7:$B$10,0)),"")</f>
        <v/>
      </c>
      <c r="J87" s="24" t="inlineStr">
        <is>
          <t>EXACT</t>
        </is>
      </c>
      <c r="K87" s="24" t="inlineStr">
        <is>
          <t>2026-09-30</t>
        </is>
      </c>
      <c r="L87" s="71" t="n"/>
      <c r="M87" s="24" t="inlineStr">
        <is>
          <t>Polypropylene, colour-coded blue; sale price (normal 18.59)</t>
        </is>
      </c>
      <c r="N87" s="25" t="inlineStr">
        <is>
          <t>https://www.gastro-hero.at/products/araven-gn13-lebensmittelbehaelter-blau-100-mm-gp579</t>
        </is>
      </c>
      <c r="O87" s="24" t="inlineStr">
        <is>
          <t>Araven</t>
        </is>
      </c>
      <c r="P87" s="24" t="inlineStr">
        <is>
          <t>excl.</t>
        </is>
      </c>
      <c r="Q87" s="100" t="n"/>
      <c r="R87" s="24" t="n">
        <v>1</v>
      </c>
      <c r="S87" s="24" t="n"/>
      <c r="T87" s="24" t="inlineStr">
        <is>
          <t>EXACT</t>
        </is>
      </c>
      <c r="U87" s="24" t="inlineStr">
        <is>
          <t>Existing benchmark assignment and match quality retained.</t>
        </is>
      </c>
      <c r="V87" s="98" t="n">
        <v>18.09</v>
      </c>
      <c r="W87" s="98" t="n"/>
      <c r="X87" s="24" t="inlineStr">
        <is>
          <t>YES Gastro Austria Market Research.xlsx</t>
        </is>
      </c>
      <c r="Y87" s="24" t="n"/>
      <c r="Z87" s="24" t="n"/>
      <c r="AA87" s="24" t="n"/>
      <c r="AB87" s="24" t="inlineStr">
        <is>
          <t>EUR</t>
        </is>
      </c>
      <c r="AC87" s="24" t="inlineStr">
        <is>
          <t>yes</t>
        </is>
      </c>
      <c r="AD87" s="24">
        <f>IF(ISNUMBER(V87),V87,"")</f>
        <v/>
      </c>
      <c r="AE87" s="24">
        <f>IF(AND(AC87="yes",ISNUMBER(F87),IF('Compare'!$H$5="All mapped",TRUE,IF('Compare'!$H$5="EXACT only",J87="EXACT",OR(J87="EXACT",J87="CLOSE")))),"yes","no")</f>
        <v/>
      </c>
      <c r="AF87" s="24">
        <f>IF(ISNUMBER(H87),COUNTIFS($B$7:$B$608,B87,$C$7:$C$608,C87,$H$7:$H$608,"&lt;"&amp;H87,$AH$7:$AH$608,"yes")+COUNTIFS($B$7:B87,B87,$C$7:C87,C87,$H$7:H87,H87,$AH$7:AH87,"yes"),"")</f>
        <v/>
      </c>
      <c r="AG87" s="24">
        <f>IF(ISNUMBER(I87),COUNTIFS($B$7:$B$608,B87,$C$7:$C$608,C87,$I$7:$I$608,"&lt;"&amp;I87,$AI$7:$AI$608,"yes")+COUNTIFS($B$7:B87,B87,$C$7:C87,C87,$I$7:I87,I87,$AI$7:AI87,"yes"),"")</f>
        <v/>
      </c>
      <c r="AH87" s="24">
        <f>IF(ISNUMBER(H87),"yes","no")</f>
        <v/>
      </c>
      <c r="AI87" s="24">
        <f>IF(ISNUMBER(I87),"yes","no")</f>
        <v/>
      </c>
      <c r="AJ87" s="101" t="n">
        <v>46295</v>
      </c>
      <c r="AK87" s="24" t="n"/>
    </row>
    <row r="88" ht="42" customHeight="1">
      <c r="A88" s="2" t="n"/>
      <c r="B88" s="27" t="inlineStr">
        <is>
          <t>GN 1/3 PP container, 100 mm</t>
        </is>
      </c>
      <c r="C88" s="27" t="inlineStr">
        <is>
          <t>Austria</t>
        </is>
      </c>
      <c r="D88" s="27" t="inlineStr">
        <is>
          <t>Gastrodax</t>
        </is>
      </c>
      <c r="E88" s="27" t="inlineStr">
        <is>
          <t>Hendi Gastronorm-Behälter 1/3, GN 1/3, 4L, Transparent, 325x176x(H)100mm – Polypropylen</t>
        </is>
      </c>
      <c r="F88" s="102" t="n">
        <v>18.6</v>
      </c>
      <c r="G88" s="27" t="inlineStr">
        <is>
          <t>EUR</t>
        </is>
      </c>
      <c r="H88" s="102">
        <f>IF(AND(AE88="yes",ISNUMBER(AD88)),AD88,"")</f>
        <v/>
      </c>
      <c r="I88" s="103">
        <f>IF(AND(AE88="yes",ISNUMBER(AD88),ISNUMBER(INDEX('Sources'!$G$7:$G$10,MATCH(AB88,'Sources'!$B$7:$B$10,0)))),AD88/INDEX('Sources'!$G$7:$G$10,MATCH(AB88,'Sources'!$B$7:$B$10,0)),"")</f>
        <v/>
      </c>
      <c r="J88" s="27" t="inlineStr">
        <is>
          <t>EXACT</t>
        </is>
      </c>
      <c r="K88" s="27" t="inlineStr">
        <is>
          <t>2026-09-30</t>
        </is>
      </c>
      <c r="L88" s="71" t="n"/>
      <c r="M88" s="27" t="n"/>
      <c r="N88" s="28" t="inlineStr">
        <is>
          <t>https://www.gastrodax.de/hendi-haccp-aufbewahrungsbehaelter-gn-1-3-4-l-transparent-325-x-176-x-h-100-mm</t>
        </is>
      </c>
      <c r="O88" s="27" t="inlineStr">
        <is>
          <t>Hendi</t>
        </is>
      </c>
      <c r="P88" s="27" t="inlineStr">
        <is>
          <t>excl.</t>
        </is>
      </c>
      <c r="Q88" s="104" t="n"/>
      <c r="R88" s="27" t="n">
        <v>1</v>
      </c>
      <c r="S88" s="27" t="n"/>
      <c r="T88" s="27" t="inlineStr">
        <is>
          <t>EXACT</t>
        </is>
      </c>
      <c r="U88" s="27" t="inlineStr">
        <is>
          <t>Existing benchmark assignment and match quality retained.</t>
        </is>
      </c>
      <c r="V88" s="102" t="n">
        <v>18.6</v>
      </c>
      <c r="W88" s="102" t="n"/>
      <c r="X88" s="27" t="inlineStr">
        <is>
          <t>YES Gastro Austria Market Research.xlsx</t>
        </is>
      </c>
      <c r="Y88" s="27" t="n"/>
      <c r="Z88" s="27" t="n"/>
      <c r="AA88" s="27" t="n"/>
      <c r="AB88" s="27" t="inlineStr">
        <is>
          <t>EUR</t>
        </is>
      </c>
      <c r="AC88" s="27" t="inlineStr">
        <is>
          <t>yes</t>
        </is>
      </c>
      <c r="AD88" s="27">
        <f>IF(ISNUMBER(V88),V88,"")</f>
        <v/>
      </c>
      <c r="AE88" s="27">
        <f>IF(AND(AC88="yes",ISNUMBER(F88),IF('Compare'!$H$5="All mapped",TRUE,IF('Compare'!$H$5="EXACT only",J88="EXACT",OR(J88="EXACT",J88="CLOSE")))),"yes","no")</f>
        <v/>
      </c>
      <c r="AF88" s="27">
        <f>IF(ISNUMBER(H88),COUNTIFS($B$7:$B$608,B88,$C$7:$C$608,C88,$H$7:$H$608,"&lt;"&amp;H88,$AH$7:$AH$608,"yes")+COUNTIFS($B$7:B88,B88,$C$7:C88,C88,$H$7:H88,H88,$AH$7:AH88,"yes"),"")</f>
        <v/>
      </c>
      <c r="AG88" s="27">
        <f>IF(ISNUMBER(I88),COUNTIFS($B$7:$B$608,B88,$C$7:$C$608,C88,$I$7:$I$608,"&lt;"&amp;I88,$AI$7:$AI$608,"yes")+COUNTIFS($B$7:B88,B88,$C$7:C88,C88,$I$7:I88,I88,$AI$7:AI88,"yes"),"")</f>
        <v/>
      </c>
      <c r="AH88" s="27">
        <f>IF(ISNUMBER(H88),"yes","no")</f>
        <v/>
      </c>
      <c r="AI88" s="27">
        <f>IF(ISNUMBER(I88),"yes","no")</f>
        <v/>
      </c>
      <c r="AJ88" s="105" t="n">
        <v>46295</v>
      </c>
      <c r="AK88" s="27" t="n"/>
    </row>
    <row r="89" ht="42" customHeight="1">
      <c r="A89" s="2" t="n"/>
      <c r="B89" s="24" t="inlineStr">
        <is>
          <t>GN 1/3 PP container, 100 mm</t>
        </is>
      </c>
      <c r="C89" s="24" t="inlineStr">
        <is>
          <t>Austria</t>
        </is>
      </c>
      <c r="D89" s="24" t="inlineStr">
        <is>
          <t>Gastroladen.at (Harotec GmbH)</t>
        </is>
      </c>
      <c r="E89" s="24" t="inlineStr">
        <is>
          <t>Cambro Polypropylen GN 1/3 Behälter 100mm</t>
        </is>
      </c>
      <c r="F89" s="98" t="n">
        <v>6.98</v>
      </c>
      <c r="G89" s="24" t="inlineStr">
        <is>
          <t>EUR</t>
        </is>
      </c>
      <c r="H89" s="98">
        <f>IF(AND(AE89="yes",ISNUMBER(AD89)),AD89,"")</f>
        <v/>
      </c>
      <c r="I89" s="99">
        <f>IF(AND(AE89="yes",ISNUMBER(AD89),ISNUMBER(INDEX('Sources'!$G$7:$G$10,MATCH(AB89,'Sources'!$B$7:$B$10,0)))),AD89/INDEX('Sources'!$G$7:$G$10,MATCH(AB89,'Sources'!$B$7:$B$10,0)),"")</f>
        <v/>
      </c>
      <c r="J89" s="24" t="inlineStr">
        <is>
          <t>EXACT</t>
        </is>
      </c>
      <c r="K89" s="24" t="inlineStr">
        <is>
          <t>2026-09-30</t>
        </is>
      </c>
      <c r="L89" s="71" t="n"/>
      <c r="M89" s="24" t="inlineStr">
        <is>
          <t>3.6 l</t>
        </is>
      </c>
      <c r="N89" s="25" t="inlineStr">
        <is>
          <t>https://www.gastroladen.at/3030@GN-DW504/Cambro-Polypropylen-GN-1-3-Beh%C3%A4lter-100mm.htm</t>
        </is>
      </c>
      <c r="O89" s="24" t="inlineStr">
        <is>
          <t>Cambro</t>
        </is>
      </c>
      <c r="P89" s="24" t="inlineStr">
        <is>
          <t>incl.</t>
        </is>
      </c>
      <c r="Q89" s="100" t="n"/>
      <c r="R89" s="24" t="n">
        <v>1</v>
      </c>
      <c r="S89" s="24" t="n"/>
      <c r="T89" s="24" t="inlineStr">
        <is>
          <t>EXACT</t>
        </is>
      </c>
      <c r="U89" s="24" t="inlineStr">
        <is>
          <t>Existing benchmark assignment and match quality retained.</t>
        </is>
      </c>
      <c r="V89" s="98" t="n">
        <v>5.82</v>
      </c>
      <c r="W89" s="98" t="n"/>
      <c r="X89" s="24" t="inlineStr">
        <is>
          <t>YES Gastro Austria Market Research.xlsx</t>
        </is>
      </c>
      <c r="Y89" s="24" t="n"/>
      <c r="Z89" s="24" t="n"/>
      <c r="AA89" s="24" t="n"/>
      <c r="AB89" s="24" t="inlineStr">
        <is>
          <t>EUR</t>
        </is>
      </c>
      <c r="AC89" s="24" t="inlineStr">
        <is>
          <t>yes</t>
        </is>
      </c>
      <c r="AD89" s="24">
        <f>IF(ISNUMBER(V89),V89,"")</f>
        <v/>
      </c>
      <c r="AE89" s="24">
        <f>IF(AND(AC89="yes",ISNUMBER(F89),IF('Compare'!$H$5="All mapped",TRUE,IF('Compare'!$H$5="EXACT only",J89="EXACT",OR(J89="EXACT",J89="CLOSE")))),"yes","no")</f>
        <v/>
      </c>
      <c r="AF89" s="24">
        <f>IF(ISNUMBER(H89),COUNTIFS($B$7:$B$608,B89,$C$7:$C$608,C89,$H$7:$H$608,"&lt;"&amp;H89,$AH$7:$AH$608,"yes")+COUNTIFS($B$7:B89,B89,$C$7:C89,C89,$H$7:H89,H89,$AH$7:AH89,"yes"),"")</f>
        <v/>
      </c>
      <c r="AG89" s="24">
        <f>IF(ISNUMBER(I89),COUNTIFS($B$7:$B$608,B89,$C$7:$C$608,C89,$I$7:$I$608,"&lt;"&amp;I89,$AI$7:$AI$608,"yes")+COUNTIFS($B$7:B89,B89,$C$7:C89,C89,$I$7:I89,I89,$AI$7:AI89,"yes"),"")</f>
        <v/>
      </c>
      <c r="AH89" s="24">
        <f>IF(ISNUMBER(H89),"yes","no")</f>
        <v/>
      </c>
      <c r="AI89" s="24">
        <f>IF(ISNUMBER(I89),"yes","no")</f>
        <v/>
      </c>
      <c r="AJ89" s="101" t="n">
        <v>46295</v>
      </c>
      <c r="AK89" s="24" t="n"/>
    </row>
    <row r="90" ht="42" customHeight="1">
      <c r="A90" s="2" t="n"/>
      <c r="B90" s="27" t="inlineStr">
        <is>
          <t>GN 1/3 PP container, 100 mm</t>
        </is>
      </c>
      <c r="C90" s="27" t="inlineStr">
        <is>
          <t>Austria</t>
        </is>
      </c>
      <c r="D90" s="27" t="inlineStr">
        <is>
          <t>Intergastro (AT shop)</t>
        </is>
      </c>
      <c r="E90" s="27" t="inlineStr">
        <is>
          <t>GN-Behälter GN 1/3 x 100 mm Kunststoff transparent-weiß (Polypropylen)</t>
        </is>
      </c>
      <c r="F90" s="102" t="n">
        <v>10</v>
      </c>
      <c r="G90" s="27" t="inlineStr">
        <is>
          <t>EUR</t>
        </is>
      </c>
      <c r="H90" s="102">
        <f>IF(AND(AE90="yes",ISNUMBER(AD90)),AD90,"")</f>
        <v/>
      </c>
      <c r="I90" s="103">
        <f>IF(AND(AE90="yes",ISNUMBER(AD90),ISNUMBER(INDEX('Sources'!$G$7:$G$10,MATCH(AB90,'Sources'!$B$7:$B$10,0)))),AD90/INDEX('Sources'!$G$7:$G$10,MATCH(AB90,'Sources'!$B$7:$B$10,0)),"")</f>
        <v/>
      </c>
      <c r="J90" s="27" t="inlineStr">
        <is>
          <t>EXACT</t>
        </is>
      </c>
      <c r="K90" s="27" t="inlineStr">
        <is>
          <t>2026-09-30</t>
        </is>
      </c>
      <c r="L90" s="71" t="n"/>
      <c r="M90" s="27" t="inlineStr">
        <is>
          <t>Gross 12.00</t>
        </is>
      </c>
      <c r="N90" s="28" t="inlineStr">
        <is>
          <t>https://www.intergastro.at/gn-behaelter-gn-1-3-x-100-mm-kunststoff-transparent-weiss-251459</t>
        </is>
      </c>
      <c r="O90" s="27" t="inlineStr">
        <is>
          <t>Contacto</t>
        </is>
      </c>
      <c r="P90" s="27" t="inlineStr">
        <is>
          <t>excl.</t>
        </is>
      </c>
      <c r="Q90" s="104" t="n"/>
      <c r="R90" s="27" t="n">
        <v>1</v>
      </c>
      <c r="S90" s="27" t="n"/>
      <c r="T90" s="27" t="inlineStr">
        <is>
          <t>EXACT</t>
        </is>
      </c>
      <c r="U90" s="27" t="inlineStr">
        <is>
          <t>Existing benchmark assignment and match quality retained.</t>
        </is>
      </c>
      <c r="V90" s="102" t="n">
        <v>10</v>
      </c>
      <c r="W90" s="102" t="n"/>
      <c r="X90" s="27" t="inlineStr">
        <is>
          <t>YES Gastro Austria Market Research.xlsx</t>
        </is>
      </c>
      <c r="Y90" s="27" t="n"/>
      <c r="Z90" s="27" t="n"/>
      <c r="AA90" s="27" t="n"/>
      <c r="AB90" s="27" t="inlineStr">
        <is>
          <t>EUR</t>
        </is>
      </c>
      <c r="AC90" s="27" t="inlineStr">
        <is>
          <t>yes</t>
        </is>
      </c>
      <c r="AD90" s="27">
        <f>IF(ISNUMBER(V90),V90,"")</f>
        <v/>
      </c>
      <c r="AE90" s="27">
        <f>IF(AND(AC90="yes",ISNUMBER(F90),IF('Compare'!$H$5="All mapped",TRUE,IF('Compare'!$H$5="EXACT only",J90="EXACT",OR(J90="EXACT",J90="CLOSE")))),"yes","no")</f>
        <v/>
      </c>
      <c r="AF90" s="27">
        <f>IF(ISNUMBER(H90),COUNTIFS($B$7:$B$608,B90,$C$7:$C$608,C90,$H$7:$H$608,"&lt;"&amp;H90,$AH$7:$AH$608,"yes")+COUNTIFS($B$7:B90,B90,$C$7:C90,C90,$H$7:H90,H90,$AH$7:AH90,"yes"),"")</f>
        <v/>
      </c>
      <c r="AG90" s="27">
        <f>IF(ISNUMBER(I90),COUNTIFS($B$7:$B$608,B90,$C$7:$C$608,C90,$I$7:$I$608,"&lt;"&amp;I90,$AI$7:$AI$608,"yes")+COUNTIFS($B$7:B90,B90,$C$7:C90,C90,$I$7:I90,I90,$AI$7:AI90,"yes"),"")</f>
        <v/>
      </c>
      <c r="AH90" s="27">
        <f>IF(ISNUMBER(H90),"yes","no")</f>
        <v/>
      </c>
      <c r="AI90" s="27">
        <f>IF(ISNUMBER(I90),"yes","no")</f>
        <v/>
      </c>
      <c r="AJ90" s="105" t="n">
        <v>46295</v>
      </c>
      <c r="AK90" s="27" t="n"/>
    </row>
    <row r="91" ht="42" customHeight="1">
      <c r="A91" s="2" t="n"/>
      <c r="B91" s="24" t="inlineStr">
        <is>
          <t>GN 1/3 PP container, 100 mm</t>
        </is>
      </c>
      <c r="C91" s="24" t="inlineStr">
        <is>
          <t>Austria</t>
        </is>
      </c>
      <c r="D91" s="24" t="inlineStr">
        <is>
          <t>Jungheinrich PROFISHOP Austria</t>
        </is>
      </c>
      <c r="E91" s="24" t="inlineStr">
        <is>
          <t>Stalgast Gastronormbehälter, Polypropylen, GN 1/3 (100 mm)</t>
        </is>
      </c>
      <c r="F91" s="98" t="n">
        <v>14</v>
      </c>
      <c r="G91" s="24" t="inlineStr">
        <is>
          <t>EUR</t>
        </is>
      </c>
      <c r="H91" s="98">
        <f>IF(AND(AE91="yes",ISNUMBER(AD91)),AD91,"")</f>
        <v/>
      </c>
      <c r="I91" s="99">
        <f>IF(AND(AE91="yes",ISNUMBER(AD91),ISNUMBER(INDEX('Sources'!$G$7:$G$10,MATCH(AB91,'Sources'!$B$7:$B$10,0)))),AD91/INDEX('Sources'!$G$7:$G$10,MATCH(AB91,'Sources'!$B$7:$B$10,0)),"")</f>
        <v/>
      </c>
      <c r="J91" s="24" t="inlineStr">
        <is>
          <t>EXACT</t>
        </is>
      </c>
      <c r="K91" s="24" t="inlineStr">
        <is>
          <t>2026-09-30</t>
        </is>
      </c>
      <c r="L91" s="71" t="n"/>
      <c r="M91" s="24" t="n"/>
      <c r="N91" s="25" t="inlineStr">
        <is>
          <t>https://www.jh-profishop.at/p/stalgast-gastronormbehaelter-polypropylen-gn-1-3-100-mm-928342-347857/</t>
        </is>
      </c>
      <c r="O91" s="24" t="inlineStr">
        <is>
          <t>Stalgast</t>
        </is>
      </c>
      <c r="P91" s="24" t="inlineStr">
        <is>
          <t>excl.</t>
        </is>
      </c>
      <c r="Q91" s="100" t="n"/>
      <c r="R91" s="24" t="n">
        <v>1</v>
      </c>
      <c r="S91" s="24" t="n"/>
      <c r="T91" s="24" t="inlineStr">
        <is>
          <t>EXACT</t>
        </is>
      </c>
      <c r="U91" s="24" t="inlineStr">
        <is>
          <t>Existing benchmark assignment and match quality retained.</t>
        </is>
      </c>
      <c r="V91" s="98" t="n">
        <v>14</v>
      </c>
      <c r="W91" s="98" t="n"/>
      <c r="X91" s="24" t="inlineStr">
        <is>
          <t>YES Gastro Austria Market Research.xlsx</t>
        </is>
      </c>
      <c r="Y91" s="24" t="n"/>
      <c r="Z91" s="24" t="n"/>
      <c r="AA91" s="24" t="n"/>
      <c r="AB91" s="24" t="inlineStr">
        <is>
          <t>EUR</t>
        </is>
      </c>
      <c r="AC91" s="24" t="inlineStr">
        <is>
          <t>yes</t>
        </is>
      </c>
      <c r="AD91" s="24">
        <f>IF(ISNUMBER(V91),V91,"")</f>
        <v/>
      </c>
      <c r="AE91" s="24">
        <f>IF(AND(AC91="yes",ISNUMBER(F91),IF('Compare'!$H$5="All mapped",TRUE,IF('Compare'!$H$5="EXACT only",J91="EXACT",OR(J91="EXACT",J91="CLOSE")))),"yes","no")</f>
        <v/>
      </c>
      <c r="AF91" s="24">
        <f>IF(ISNUMBER(H91),COUNTIFS($B$7:$B$608,B91,$C$7:$C$608,C91,$H$7:$H$608,"&lt;"&amp;H91,$AH$7:$AH$608,"yes")+COUNTIFS($B$7:B91,B91,$C$7:C91,C91,$H$7:H91,H91,$AH$7:AH91,"yes"),"")</f>
        <v/>
      </c>
      <c r="AG91" s="24">
        <f>IF(ISNUMBER(I91),COUNTIFS($B$7:$B$608,B91,$C$7:$C$608,C91,$I$7:$I$608,"&lt;"&amp;I91,$AI$7:$AI$608,"yes")+COUNTIFS($B$7:B91,B91,$C$7:C91,C91,$I$7:I91,I91,$AI$7:AI91,"yes"),"")</f>
        <v/>
      </c>
      <c r="AH91" s="24">
        <f>IF(ISNUMBER(H91),"yes","no")</f>
        <v/>
      </c>
      <c r="AI91" s="24">
        <f>IF(ISNUMBER(I91),"yes","no")</f>
        <v/>
      </c>
      <c r="AJ91" s="101" t="n">
        <v>46295</v>
      </c>
      <c r="AK91" s="24" t="n"/>
    </row>
    <row r="92" ht="42" customHeight="1">
      <c r="A92" s="2" t="n"/>
      <c r="B92" s="27" t="inlineStr">
        <is>
          <t>GN 1/3 PP container, 100 mm</t>
        </is>
      </c>
      <c r="C92" s="27" t="inlineStr">
        <is>
          <t>Austria</t>
        </is>
      </c>
      <c r="D92" s="27" t="inlineStr">
        <is>
          <t>shopbuero.com</t>
        </is>
      </c>
      <c r="E92" s="27" t="inlineStr">
        <is>
          <t>GN-Behälter - Inhalt 3,8 l - GN 1/3 (325 x 176 mm) - 100 mm - Polypropylen</t>
        </is>
      </c>
      <c r="F92" s="102" t="n">
        <v>4.5</v>
      </c>
      <c r="G92" s="27" t="inlineStr">
        <is>
          <t>EUR</t>
        </is>
      </c>
      <c r="H92" s="102">
        <f>IF(AND(AE92="yes",ISNUMBER(AD92)),AD92,"")</f>
        <v/>
      </c>
      <c r="I92" s="103">
        <f>IF(AND(AE92="yes",ISNUMBER(AD92),ISNUMBER(INDEX('Sources'!$G$7:$G$10,MATCH(AB92,'Sources'!$B$7:$B$10,0)))),AD92/INDEX('Sources'!$G$7:$G$10,MATCH(AB92,'Sources'!$B$7:$B$10,0)),"")</f>
        <v/>
      </c>
      <c r="J92" s="27" t="inlineStr">
        <is>
          <t>EXACT</t>
        </is>
      </c>
      <c r="K92" s="27" t="inlineStr">
        <is>
          <t>2026-09-30</t>
        </is>
      </c>
      <c r="L92" s="71" t="n"/>
      <c r="M92" s="27" t="inlineStr">
        <is>
          <t>Regular price 6.90</t>
        </is>
      </c>
      <c r="N92" s="28" t="inlineStr">
        <is>
          <t>https://shopbuero.com/gn-behaelter-inhalt-3-8-l-gn-1-3-325-x-176-mm-100-mm-polypropylen/530021-C</t>
        </is>
      </c>
      <c r="O92" s="27" t="inlineStr">
        <is>
          <t>Schneider</t>
        </is>
      </c>
      <c r="P92" s="27" t="inlineStr">
        <is>
          <t>excl.</t>
        </is>
      </c>
      <c r="Q92" s="104" t="n"/>
      <c r="R92" s="27" t="n">
        <v>1</v>
      </c>
      <c r="S92" s="27" t="n"/>
      <c r="T92" s="27" t="inlineStr">
        <is>
          <t>EXACT</t>
        </is>
      </c>
      <c r="U92" s="27" t="inlineStr">
        <is>
          <t>Existing benchmark assignment and match quality retained.</t>
        </is>
      </c>
      <c r="V92" s="102" t="n">
        <v>4.5</v>
      </c>
      <c r="W92" s="102" t="n"/>
      <c r="X92" s="27" t="inlineStr">
        <is>
          <t>YES Gastro Austria Market Research.xlsx</t>
        </is>
      </c>
      <c r="Y92" s="27" t="n"/>
      <c r="Z92" s="27" t="n"/>
      <c r="AA92" s="27" t="n"/>
      <c r="AB92" s="27" t="inlineStr">
        <is>
          <t>EUR</t>
        </is>
      </c>
      <c r="AC92" s="27" t="inlineStr">
        <is>
          <t>yes</t>
        </is>
      </c>
      <c r="AD92" s="27">
        <f>IF(ISNUMBER(V92),V92,"")</f>
        <v/>
      </c>
      <c r="AE92" s="27">
        <f>IF(AND(AC92="yes",ISNUMBER(F92),IF('Compare'!$H$5="All mapped",TRUE,IF('Compare'!$H$5="EXACT only",J92="EXACT",OR(J92="EXACT",J92="CLOSE")))),"yes","no")</f>
        <v/>
      </c>
      <c r="AF92" s="27">
        <f>IF(ISNUMBER(H92),COUNTIFS($B$7:$B$608,B92,$C$7:$C$608,C92,$H$7:$H$608,"&lt;"&amp;H92,$AH$7:$AH$608,"yes")+COUNTIFS($B$7:B92,B92,$C$7:C92,C92,$H$7:H92,H92,$AH$7:AH92,"yes"),"")</f>
        <v/>
      </c>
      <c r="AG92" s="27">
        <f>IF(ISNUMBER(I92),COUNTIFS($B$7:$B$608,B92,$C$7:$C$608,C92,$I$7:$I$608,"&lt;"&amp;I92,$AI$7:$AI$608,"yes")+COUNTIFS($B$7:B92,B92,$C$7:C92,C92,$I$7:I92,I92,$AI$7:AI92,"yes"),"")</f>
        <v/>
      </c>
      <c r="AH92" s="27">
        <f>IF(ISNUMBER(H92),"yes","no")</f>
        <v/>
      </c>
      <c r="AI92" s="27">
        <f>IF(ISNUMBER(I92),"yes","no")</f>
        <v/>
      </c>
      <c r="AJ92" s="105" t="n">
        <v>46295</v>
      </c>
      <c r="AK92" s="27" t="n"/>
    </row>
    <row r="93" ht="42" customHeight="1">
      <c r="A93" s="2" t="n"/>
      <c r="B93" s="24" t="inlineStr">
        <is>
          <t>GN 1/3 PP container, 100 mm</t>
        </is>
      </c>
      <c r="C93" s="24" t="inlineStr">
        <is>
          <t>Germany</t>
        </is>
      </c>
      <c r="D93" s="24" t="inlineStr">
        <is>
          <t>GGM Gastro</t>
        </is>
      </c>
      <c r="E93" s="24" t="inlineStr">
        <is>
          <t>(12 Stück) Polypropylen-Behälter GN 1/3 - Milchig - Höhe: 100mm</t>
        </is>
      </c>
      <c r="F93" s="98" t="n">
        <v>37.99</v>
      </c>
      <c r="G93" s="24" t="inlineStr">
        <is>
          <t>EUR</t>
        </is>
      </c>
      <c r="H93" s="98">
        <f>IF(AND(AE93="yes",ISNUMBER(AD93)),AD93,"")</f>
        <v/>
      </c>
      <c r="I93" s="99">
        <f>IF(AND(AE93="yes",ISNUMBER(AD93),ISNUMBER(INDEX('Sources'!$G$7:$G$10,MATCH(AB93,'Sources'!$B$7:$B$10,0)))),AD93/INDEX('Sources'!$G$7:$G$10,MATCH(AB93,'Sources'!$B$7:$B$10,0)),"")</f>
        <v/>
      </c>
      <c r="J93" s="24" t="inlineStr">
        <is>
          <t>EXACT</t>
        </is>
      </c>
      <c r="K93" s="24" t="inlineStr">
        <is>
          <t>2026-09-30</t>
        </is>
      </c>
      <c r="L93" s="71" t="n"/>
      <c r="M93" s="24" t="inlineStr">
        <is>
          <t>The 6-piece version of the same item is listed at 174.99 net (looks like a listing error; not used)</t>
        </is>
      </c>
      <c r="N93" s="25" t="inlineStr">
        <is>
          <t>https://www.ggmgastro.com/de-de-eur/12-stueck-polypropylen-behaelter-gn-1-3-milchig-hoehe-100mm-gpp13100</t>
        </is>
      </c>
      <c r="O93" s="24" t="inlineStr">
        <is>
          <t>GGM</t>
        </is>
      </c>
      <c r="P93" s="24" t="inlineStr">
        <is>
          <t>excl.</t>
        </is>
      </c>
      <c r="Q93" s="100" t="n"/>
      <c r="R93" s="24" t="n">
        <v>12</v>
      </c>
      <c r="S93" s="24" t="inlineStr">
        <is>
          <t>set of 12</t>
        </is>
      </c>
      <c r="T93" s="24" t="inlineStr">
        <is>
          <t>EXACT</t>
        </is>
      </c>
      <c r="U93" s="24" t="inlineStr">
        <is>
          <t>Existing benchmark assignment and match quality retained.</t>
        </is>
      </c>
      <c r="V93" s="98" t="n">
        <v>3.17</v>
      </c>
      <c r="W93" s="98" t="n"/>
      <c r="X93" s="24" t="inlineStr">
        <is>
          <t>YES Gastro Germany Market Research.xlsx</t>
        </is>
      </c>
      <c r="Y93" s="24" t="n"/>
      <c r="Z93" s="24" t="n"/>
      <c r="AA93" s="24" t="n"/>
      <c r="AB93" s="24" t="inlineStr">
        <is>
          <t>EUR</t>
        </is>
      </c>
      <c r="AC93" s="24" t="inlineStr">
        <is>
          <t>yes</t>
        </is>
      </c>
      <c r="AD93" s="24">
        <f>IF(ISNUMBER(V93),V93,"")</f>
        <v/>
      </c>
      <c r="AE93" s="24">
        <f>IF(AND(AC93="yes",ISNUMBER(F93),IF('Compare'!$H$5="All mapped",TRUE,IF('Compare'!$H$5="EXACT only",J93="EXACT",OR(J93="EXACT",J93="CLOSE")))),"yes","no")</f>
        <v/>
      </c>
      <c r="AF93" s="24">
        <f>IF(ISNUMBER(H93),COUNTIFS($B$7:$B$608,B93,$C$7:$C$608,C93,$H$7:$H$608,"&lt;"&amp;H93,$AH$7:$AH$608,"yes")+COUNTIFS($B$7:B93,B93,$C$7:C93,C93,$H$7:H93,H93,$AH$7:AH93,"yes"),"")</f>
        <v/>
      </c>
      <c r="AG93" s="24">
        <f>IF(ISNUMBER(I93),COUNTIFS($B$7:$B$608,B93,$C$7:$C$608,C93,$I$7:$I$608,"&lt;"&amp;I93,$AI$7:$AI$608,"yes")+COUNTIFS($B$7:B93,B93,$C$7:C93,C93,$I$7:I93,I93,$AI$7:AI93,"yes"),"")</f>
        <v/>
      </c>
      <c r="AH93" s="24">
        <f>IF(ISNUMBER(H93),"yes","no")</f>
        <v/>
      </c>
      <c r="AI93" s="24">
        <f>IF(ISNUMBER(I93),"yes","no")</f>
        <v/>
      </c>
      <c r="AJ93" s="101" t="n">
        <v>46295</v>
      </c>
      <c r="AK93" s="24" t="n"/>
    </row>
    <row r="94" ht="42" customHeight="1">
      <c r="A94" s="2" t="n"/>
      <c r="B94" s="27" t="inlineStr">
        <is>
          <t>GN 1/3 PP container, 100 mm</t>
        </is>
      </c>
      <c r="C94" s="27" t="inlineStr">
        <is>
          <t>Germany</t>
        </is>
      </c>
      <c r="D94" s="27" t="inlineStr">
        <is>
          <t>GastroHero</t>
        </is>
      </c>
      <c r="E94" s="27" t="inlineStr">
        <is>
          <t>Araven GN1/3 Lebensmittelbehälter blau 100 mm</t>
        </is>
      </c>
      <c r="F94" s="102" t="n">
        <v>17.29</v>
      </c>
      <c r="G94" s="27" t="inlineStr">
        <is>
          <t>EUR</t>
        </is>
      </c>
      <c r="H94" s="102">
        <f>IF(AND(AE94="yes",ISNUMBER(AD94)),AD94,"")</f>
        <v/>
      </c>
      <c r="I94" s="103">
        <f>IF(AND(AE94="yes",ISNUMBER(AD94),ISNUMBER(INDEX('Sources'!$G$7:$G$10,MATCH(AB94,'Sources'!$B$7:$B$10,0)))),AD94/INDEX('Sources'!$G$7:$G$10,MATCH(AB94,'Sources'!$B$7:$B$10,0)),"")</f>
        <v/>
      </c>
      <c r="J94" s="27" t="inlineStr">
        <is>
          <t>EXACT</t>
        </is>
      </c>
      <c r="K94" s="27" t="inlineStr">
        <is>
          <t>2026-09-30</t>
        </is>
      </c>
      <c r="L94" s="71" t="n"/>
      <c r="M94" s="27" t="inlineStr">
        <is>
          <t>Polypropylene, colour-coded blue</t>
        </is>
      </c>
      <c r="N94" s="28" t="inlineStr">
        <is>
          <t>https://www.gastro-hero.de/products/araven-gn13-lebensmittelbehaelter-blau-100-mm-gp579</t>
        </is>
      </c>
      <c r="O94" s="27" t="inlineStr">
        <is>
          <t>Araven</t>
        </is>
      </c>
      <c r="P94" s="27" t="inlineStr">
        <is>
          <t>excl.</t>
        </is>
      </c>
      <c r="Q94" s="104" t="n"/>
      <c r="R94" s="27" t="n">
        <v>1</v>
      </c>
      <c r="S94" s="27" t="n"/>
      <c r="T94" s="27" t="inlineStr">
        <is>
          <t>EXACT</t>
        </is>
      </c>
      <c r="U94" s="27" t="inlineStr">
        <is>
          <t>Existing benchmark assignment and match quality retained.</t>
        </is>
      </c>
      <c r="V94" s="102" t="n">
        <v>17.29</v>
      </c>
      <c r="W94" s="102" t="n"/>
      <c r="X94" s="27" t="inlineStr">
        <is>
          <t>YES Gastro Germany Market Research.xlsx</t>
        </is>
      </c>
      <c r="Y94" s="27" t="n"/>
      <c r="Z94" s="27" t="n"/>
      <c r="AA94" s="27" t="n"/>
      <c r="AB94" s="27" t="inlineStr">
        <is>
          <t>EUR</t>
        </is>
      </c>
      <c r="AC94" s="27" t="inlineStr">
        <is>
          <t>yes</t>
        </is>
      </c>
      <c r="AD94" s="27">
        <f>IF(ISNUMBER(V94),V94,"")</f>
        <v/>
      </c>
      <c r="AE94" s="27">
        <f>IF(AND(AC94="yes",ISNUMBER(F94),IF('Compare'!$H$5="All mapped",TRUE,IF('Compare'!$H$5="EXACT only",J94="EXACT",OR(J94="EXACT",J94="CLOSE")))),"yes","no")</f>
        <v/>
      </c>
      <c r="AF94" s="27">
        <f>IF(ISNUMBER(H94),COUNTIFS($B$7:$B$608,B94,$C$7:$C$608,C94,$H$7:$H$608,"&lt;"&amp;H94,$AH$7:$AH$608,"yes")+COUNTIFS($B$7:B94,B94,$C$7:C94,C94,$H$7:H94,H94,$AH$7:AH94,"yes"),"")</f>
        <v/>
      </c>
      <c r="AG94" s="27">
        <f>IF(ISNUMBER(I94),COUNTIFS($B$7:$B$608,B94,$C$7:$C$608,C94,$I$7:$I$608,"&lt;"&amp;I94,$AI$7:$AI$608,"yes")+COUNTIFS($B$7:B94,B94,$C$7:C94,C94,$I$7:I94,I94,$AI$7:AI94,"yes"),"")</f>
        <v/>
      </c>
      <c r="AH94" s="27">
        <f>IF(ISNUMBER(H94),"yes","no")</f>
        <v/>
      </c>
      <c r="AI94" s="27">
        <f>IF(ISNUMBER(I94),"yes","no")</f>
        <v/>
      </c>
      <c r="AJ94" s="105" t="n">
        <v>46295</v>
      </c>
      <c r="AK94" s="27" t="n"/>
    </row>
    <row r="95" ht="42" customHeight="1">
      <c r="A95" s="2" t="n"/>
      <c r="B95" s="24" t="inlineStr">
        <is>
          <t>GN 1/3 PP container, 100 mm</t>
        </is>
      </c>
      <c r="C95" s="24" t="inlineStr">
        <is>
          <t>Germany</t>
        </is>
      </c>
      <c r="D95" s="24" t="inlineStr">
        <is>
          <t>Gastrodax [substitute]</t>
        </is>
      </c>
      <c r="E95" s="24" t="inlineStr">
        <is>
          <t>Hendi Gastronorm-Behälter 1/3, GN 1/3, 4L, Transparent, 325x176x(H)100mm – Polypropylen</t>
        </is>
      </c>
      <c r="F95" s="98" t="n">
        <v>18.6</v>
      </c>
      <c r="G95" s="24" t="inlineStr">
        <is>
          <t>EUR</t>
        </is>
      </c>
      <c r="H95" s="98">
        <f>IF(AND(AE95="yes",ISNUMBER(AD95)),AD95,"")</f>
        <v/>
      </c>
      <c r="I95" s="99">
        <f>IF(AND(AE95="yes",ISNUMBER(AD95),ISNUMBER(INDEX('Sources'!$G$7:$G$10,MATCH(AB95,'Sources'!$B$7:$B$10,0)))),AD95/INDEX('Sources'!$G$7:$G$10,MATCH(AB95,'Sources'!$B$7:$B$10,0)),"")</f>
        <v/>
      </c>
      <c r="J95" s="24" t="inlineStr">
        <is>
          <t>EXACT</t>
        </is>
      </c>
      <c r="K95" s="24" t="inlineStr">
        <is>
          <t>2026-09-30</t>
        </is>
      </c>
      <c r="L95" s="71" t="n"/>
      <c r="M95" s="24" t="n"/>
      <c r="N95" s="25" t="inlineStr">
        <is>
          <t>https://www.gastrodax.de/hendi-haccp-aufbewahrungsbehaelter-gn-1-3-4-l-transparent-325-x-176-x-h-100-mm</t>
        </is>
      </c>
      <c r="O95" s="24" t="inlineStr">
        <is>
          <t>Hendi</t>
        </is>
      </c>
      <c r="P95" s="24" t="inlineStr">
        <is>
          <t>excl.</t>
        </is>
      </c>
      <c r="Q95" s="100" t="n"/>
      <c r="R95" s="24" t="n">
        <v>1</v>
      </c>
      <c r="S95" s="24" t="n"/>
      <c r="T95" s="24" t="inlineStr">
        <is>
          <t>EXACT</t>
        </is>
      </c>
      <c r="U95" s="24" t="inlineStr">
        <is>
          <t>Existing benchmark assignment and match quality retained.</t>
        </is>
      </c>
      <c r="V95" s="98" t="n">
        <v>18.6</v>
      </c>
      <c r="W95" s="98" t="n"/>
      <c r="X95" s="24" t="inlineStr">
        <is>
          <t>YES Gastro Germany Market Research.xlsx</t>
        </is>
      </c>
      <c r="Y95" s="24" t="n"/>
      <c r="Z95" s="24" t="n"/>
      <c r="AA95" s="24" t="n"/>
      <c r="AB95" s="24" t="inlineStr">
        <is>
          <t>EUR</t>
        </is>
      </c>
      <c r="AC95" s="24" t="inlineStr">
        <is>
          <t>yes</t>
        </is>
      </c>
      <c r="AD95" s="24">
        <f>IF(ISNUMBER(V95),V95,"")</f>
        <v/>
      </c>
      <c r="AE95" s="24">
        <f>IF(AND(AC95="yes",ISNUMBER(F95),IF('Compare'!$H$5="All mapped",TRUE,IF('Compare'!$H$5="EXACT only",J95="EXACT",OR(J95="EXACT",J95="CLOSE")))),"yes","no")</f>
        <v/>
      </c>
      <c r="AF95" s="24">
        <f>IF(ISNUMBER(H95),COUNTIFS($B$7:$B$608,B95,$C$7:$C$608,C95,$H$7:$H$608,"&lt;"&amp;H95,$AH$7:$AH$608,"yes")+COUNTIFS($B$7:B95,B95,$C$7:C95,C95,$H$7:H95,H95,$AH$7:AH95,"yes"),"")</f>
        <v/>
      </c>
      <c r="AG95" s="24">
        <f>IF(ISNUMBER(I95),COUNTIFS($B$7:$B$608,B95,$C$7:$C$608,C95,$I$7:$I$608,"&lt;"&amp;I95,$AI$7:$AI$608,"yes")+COUNTIFS($B$7:B95,B95,$C$7:C95,C95,$I$7:I95,I95,$AI$7:AI95,"yes"),"")</f>
        <v/>
      </c>
      <c r="AH95" s="24">
        <f>IF(ISNUMBER(H95),"yes","no")</f>
        <v/>
      </c>
      <c r="AI95" s="24">
        <f>IF(ISNUMBER(I95),"yes","no")</f>
        <v/>
      </c>
      <c r="AJ95" s="101" t="n">
        <v>46295</v>
      </c>
      <c r="AK95" s="24" t="n"/>
    </row>
    <row r="96" ht="42" customHeight="1">
      <c r="A96" s="2" t="n"/>
      <c r="B96" s="27" t="inlineStr">
        <is>
          <t>GN 1/3 PP container, 100 mm</t>
        </is>
      </c>
      <c r="C96" s="27" t="inlineStr">
        <is>
          <t>Germany</t>
        </is>
      </c>
      <c r="D96" s="27" t="inlineStr">
        <is>
          <t>Gastroladen.de (Harotec GmbH) [substitute]</t>
        </is>
      </c>
      <c r="E96" s="27" t="inlineStr">
        <is>
          <t>Cambro Polypropylen GN 1/3 Behälter 100mm</t>
        </is>
      </c>
      <c r="F96" s="102" t="n">
        <v>6.98</v>
      </c>
      <c r="G96" s="27" t="inlineStr">
        <is>
          <t>EUR</t>
        </is>
      </c>
      <c r="H96" s="102">
        <f>IF(AND(AE96="yes",ISNUMBER(AD96)),AD96,"")</f>
        <v/>
      </c>
      <c r="I96" s="103">
        <f>IF(AND(AE96="yes",ISNUMBER(AD96),ISNUMBER(INDEX('Sources'!$G$7:$G$10,MATCH(AB96,'Sources'!$B$7:$B$10,0)))),AD96/INDEX('Sources'!$G$7:$G$10,MATCH(AB96,'Sources'!$B$7:$B$10,0)),"")</f>
        <v/>
      </c>
      <c r="J96" s="27" t="inlineStr">
        <is>
          <t>EXACT</t>
        </is>
      </c>
      <c r="K96" s="27" t="inlineStr">
        <is>
          <t>2026-09-30</t>
        </is>
      </c>
      <c r="L96" s="71" t="n"/>
      <c r="M96" s="27" t="inlineStr">
        <is>
          <t>3.6 l</t>
        </is>
      </c>
      <c r="N96" s="28" t="inlineStr">
        <is>
          <t>https://www.gastroladen.de/3030@GN-DW504/Cambro-Polypropylen-GN-1-3-Beh%C3%A4lter-100mm.htm</t>
        </is>
      </c>
      <c r="O96" s="27" t="inlineStr">
        <is>
          <t>Cambro</t>
        </is>
      </c>
      <c r="P96" s="27" t="inlineStr">
        <is>
          <t>incl.</t>
        </is>
      </c>
      <c r="Q96" s="104" t="n"/>
      <c r="R96" s="27" t="n">
        <v>1</v>
      </c>
      <c r="S96" s="27" t="n"/>
      <c r="T96" s="27" t="inlineStr">
        <is>
          <t>EXACT</t>
        </is>
      </c>
      <c r="U96" s="27" t="inlineStr">
        <is>
          <t>Existing benchmark assignment and match quality retained.</t>
        </is>
      </c>
      <c r="V96" s="102" t="n">
        <v>5.87</v>
      </c>
      <c r="W96" s="102" t="n"/>
      <c r="X96" s="27" t="inlineStr">
        <is>
          <t>YES Gastro Germany Market Research.xlsx</t>
        </is>
      </c>
      <c r="Y96" s="27" t="n"/>
      <c r="Z96" s="27" t="n"/>
      <c r="AA96" s="27" t="n"/>
      <c r="AB96" s="27" t="inlineStr">
        <is>
          <t>EUR</t>
        </is>
      </c>
      <c r="AC96" s="27" t="inlineStr">
        <is>
          <t>yes</t>
        </is>
      </c>
      <c r="AD96" s="27">
        <f>IF(ISNUMBER(V96),V96,"")</f>
        <v/>
      </c>
      <c r="AE96" s="27">
        <f>IF(AND(AC96="yes",ISNUMBER(F96),IF('Compare'!$H$5="All mapped",TRUE,IF('Compare'!$H$5="EXACT only",J96="EXACT",OR(J96="EXACT",J96="CLOSE")))),"yes","no")</f>
        <v/>
      </c>
      <c r="AF96" s="27">
        <f>IF(ISNUMBER(H96),COUNTIFS($B$7:$B$608,B96,$C$7:$C$608,C96,$H$7:$H$608,"&lt;"&amp;H96,$AH$7:$AH$608,"yes")+COUNTIFS($B$7:B96,B96,$C$7:C96,C96,$H$7:H96,H96,$AH$7:AH96,"yes"),"")</f>
        <v/>
      </c>
      <c r="AG96" s="27">
        <f>IF(ISNUMBER(I96),COUNTIFS($B$7:$B$608,B96,$C$7:$C$608,C96,$I$7:$I$608,"&lt;"&amp;I96,$AI$7:$AI$608,"yes")+COUNTIFS($B$7:B96,B96,$C$7:C96,C96,$I$7:I96,I96,$AI$7:AI96,"yes"),"")</f>
        <v/>
      </c>
      <c r="AH96" s="27">
        <f>IF(ISNUMBER(H96),"yes","no")</f>
        <v/>
      </c>
      <c r="AI96" s="27">
        <f>IF(ISNUMBER(I96),"yes","no")</f>
        <v/>
      </c>
      <c r="AJ96" s="105" t="n">
        <v>46295</v>
      </c>
      <c r="AK96" s="27" t="n"/>
    </row>
    <row r="97" ht="42" customHeight="1">
      <c r="A97" s="2" t="n"/>
      <c r="B97" s="24" t="inlineStr">
        <is>
          <t>GN 1/3 PP container, 100 mm</t>
        </is>
      </c>
      <c r="C97" s="24" t="inlineStr">
        <is>
          <t>Germany</t>
        </is>
      </c>
      <c r="D97" s="24" t="inlineStr">
        <is>
          <t>Intergastro</t>
        </is>
      </c>
      <c r="E97" s="24" t="inlineStr">
        <is>
          <t>GN-Behälter GN 1/3 x 100 mm Kunststoff transparent-weiß (Polypropylen)</t>
        </is>
      </c>
      <c r="F97" s="98" t="n">
        <v>10</v>
      </c>
      <c r="G97" s="24" t="inlineStr">
        <is>
          <t>EUR</t>
        </is>
      </c>
      <c r="H97" s="98">
        <f>IF(AND(AE97="yes",ISNUMBER(AD97)),AD97,"")</f>
        <v/>
      </c>
      <c r="I97" s="99">
        <f>IF(AND(AE97="yes",ISNUMBER(AD97),ISNUMBER(INDEX('Sources'!$G$7:$G$10,MATCH(AB97,'Sources'!$B$7:$B$10,0)))),AD97/INDEX('Sources'!$G$7:$G$10,MATCH(AB97,'Sources'!$B$7:$B$10,0)),"")</f>
        <v/>
      </c>
      <c r="J97" s="24" t="inlineStr">
        <is>
          <t>EXACT</t>
        </is>
      </c>
      <c r="K97" s="24" t="inlineStr">
        <is>
          <t>2026-09-30</t>
        </is>
      </c>
      <c r="L97" s="71" t="n"/>
      <c r="M97" s="24" t="n"/>
      <c r="N97" s="25" t="inlineStr">
        <is>
          <t>https://www.intergastro.de/gn-behaelter-gn-1-3-x-100-mm-kunststoff-transparent-weiss-251459</t>
        </is>
      </c>
      <c r="O97" s="24" t="inlineStr">
        <is>
          <t>Contacto</t>
        </is>
      </c>
      <c r="P97" s="24" t="inlineStr">
        <is>
          <t>excl.</t>
        </is>
      </c>
      <c r="Q97" s="100" t="n"/>
      <c r="R97" s="24" t="n">
        <v>1</v>
      </c>
      <c r="S97" s="24" t="n"/>
      <c r="T97" s="24" t="inlineStr">
        <is>
          <t>EXACT</t>
        </is>
      </c>
      <c r="U97" s="24" t="inlineStr">
        <is>
          <t>Existing benchmark assignment and match quality retained.</t>
        </is>
      </c>
      <c r="V97" s="98" t="n">
        <v>10</v>
      </c>
      <c r="W97" s="98" t="n"/>
      <c r="X97" s="24" t="inlineStr">
        <is>
          <t>YES Gastro Germany Market Research.xlsx</t>
        </is>
      </c>
      <c r="Y97" s="24" t="n"/>
      <c r="Z97" s="24" t="n"/>
      <c r="AA97" s="24" t="n"/>
      <c r="AB97" s="24" t="inlineStr">
        <is>
          <t>EUR</t>
        </is>
      </c>
      <c r="AC97" s="24" t="inlineStr">
        <is>
          <t>yes</t>
        </is>
      </c>
      <c r="AD97" s="24">
        <f>IF(ISNUMBER(V97),V97,"")</f>
        <v/>
      </c>
      <c r="AE97" s="24">
        <f>IF(AND(AC97="yes",ISNUMBER(F97),IF('Compare'!$H$5="All mapped",TRUE,IF('Compare'!$H$5="EXACT only",J97="EXACT",OR(J97="EXACT",J97="CLOSE")))),"yes","no")</f>
        <v/>
      </c>
      <c r="AF97" s="24">
        <f>IF(ISNUMBER(H97),COUNTIFS($B$7:$B$608,B97,$C$7:$C$608,C97,$H$7:$H$608,"&lt;"&amp;H97,$AH$7:$AH$608,"yes")+COUNTIFS($B$7:B97,B97,$C$7:C97,C97,$H$7:H97,H97,$AH$7:AH97,"yes"),"")</f>
        <v/>
      </c>
      <c r="AG97" s="24">
        <f>IF(ISNUMBER(I97),COUNTIFS($B$7:$B$608,B97,$C$7:$C$608,C97,$I$7:$I$608,"&lt;"&amp;I97,$AI$7:$AI$608,"yes")+COUNTIFS($B$7:B97,B97,$C$7:C97,C97,$I$7:I97,I97,$AI$7:AI97,"yes"),"")</f>
        <v/>
      </c>
      <c r="AH97" s="24">
        <f>IF(ISNUMBER(H97),"yes","no")</f>
        <v/>
      </c>
      <c r="AI97" s="24">
        <f>IF(ISNUMBER(I97),"yes","no")</f>
        <v/>
      </c>
      <c r="AJ97" s="101" t="n">
        <v>46295</v>
      </c>
      <c r="AK97" s="24" t="n"/>
    </row>
    <row r="98" ht="42" customHeight="1">
      <c r="A98" s="2" t="n"/>
      <c r="B98" s="27" t="inlineStr">
        <is>
          <t>GN 1/3 PP container, 100 mm</t>
        </is>
      </c>
      <c r="C98" s="27" t="inlineStr">
        <is>
          <t>Germany</t>
        </is>
      </c>
      <c r="D98" s="27" t="inlineStr">
        <is>
          <t>Nisbets</t>
        </is>
      </c>
      <c r="E98" s="27" t="inlineStr">
        <is>
          <t>Cambro Polypropylen GN 1/3 Gastronorm-Behälter 100mm</t>
        </is>
      </c>
      <c r="F98" s="102" t="n">
        <v>3.59</v>
      </c>
      <c r="G98" s="27" t="inlineStr">
        <is>
          <t>EUR</t>
        </is>
      </c>
      <c r="H98" s="102">
        <f>IF(AND(AE98="yes",ISNUMBER(AD98)),AD98,"")</f>
        <v/>
      </c>
      <c r="I98" s="103">
        <f>IF(AND(AE98="yes",ISNUMBER(AD98),ISNUMBER(INDEX('Sources'!$G$7:$G$10,MATCH(AB98,'Sources'!$B$7:$B$10,0)))),AD98/INDEX('Sources'!$G$7:$G$10,MATCH(AB98,'Sources'!$B$7:$B$10,0)),"")</f>
        <v/>
      </c>
      <c r="J98" s="27" t="inlineStr">
        <is>
          <t>EXACT</t>
        </is>
      </c>
      <c r="K98" s="27" t="inlineStr">
        <is>
          <t>2026-09-30</t>
        </is>
      </c>
      <c r="L98" s="71" t="n"/>
      <c r="M98" s="27" t="inlineStr">
        <is>
          <t>UVP 4.59; Nisbets Essentials HZ340 same spec 4.09</t>
        </is>
      </c>
      <c r="N98" s="28" t="inlineStr">
        <is>
          <t>https://www.nisbets.de/cambro-polypropylen-gn-13-behlter-100mm/dw504</t>
        </is>
      </c>
      <c r="O98" s="27" t="inlineStr">
        <is>
          <t>Cambro</t>
        </is>
      </c>
      <c r="P98" s="27" t="inlineStr">
        <is>
          <t>excl.</t>
        </is>
      </c>
      <c r="Q98" s="104" t="n"/>
      <c r="R98" s="27" t="n">
        <v>1</v>
      </c>
      <c r="S98" s="27" t="n"/>
      <c r="T98" s="27" t="inlineStr">
        <is>
          <t>EXACT</t>
        </is>
      </c>
      <c r="U98" s="27" t="inlineStr">
        <is>
          <t>Existing benchmark assignment and match quality retained.</t>
        </is>
      </c>
      <c r="V98" s="102" t="n">
        <v>3.59</v>
      </c>
      <c r="W98" s="102" t="n"/>
      <c r="X98" s="27" t="inlineStr">
        <is>
          <t>YES Gastro Germany Market Research.xlsx</t>
        </is>
      </c>
      <c r="Y98" s="27" t="n"/>
      <c r="Z98" s="27" t="n"/>
      <c r="AA98" s="27" t="n"/>
      <c r="AB98" s="27" t="inlineStr">
        <is>
          <t>EUR</t>
        </is>
      </c>
      <c r="AC98" s="27" t="inlineStr">
        <is>
          <t>yes</t>
        </is>
      </c>
      <c r="AD98" s="27">
        <f>IF(ISNUMBER(V98),V98,"")</f>
        <v/>
      </c>
      <c r="AE98" s="27">
        <f>IF(AND(AC98="yes",ISNUMBER(F98),IF('Compare'!$H$5="All mapped",TRUE,IF('Compare'!$H$5="EXACT only",J98="EXACT",OR(J98="EXACT",J98="CLOSE")))),"yes","no")</f>
        <v/>
      </c>
      <c r="AF98" s="27">
        <f>IF(ISNUMBER(H98),COUNTIFS($B$7:$B$608,B98,$C$7:$C$608,C98,$H$7:$H$608,"&lt;"&amp;H98,$AH$7:$AH$608,"yes")+COUNTIFS($B$7:B98,B98,$C$7:C98,C98,$H$7:H98,H98,$AH$7:AH98,"yes"),"")</f>
        <v/>
      </c>
      <c r="AG98" s="27">
        <f>IF(ISNUMBER(I98),COUNTIFS($B$7:$B$608,B98,$C$7:$C$608,C98,$I$7:$I$608,"&lt;"&amp;I98,$AI$7:$AI$608,"yes")+COUNTIFS($B$7:B98,B98,$C$7:C98,C98,$I$7:I98,I98,$AI$7:AI98,"yes"),"")</f>
        <v/>
      </c>
      <c r="AH98" s="27">
        <f>IF(ISNUMBER(H98),"yes","no")</f>
        <v/>
      </c>
      <c r="AI98" s="27">
        <f>IF(ISNUMBER(I98),"yes","no")</f>
        <v/>
      </c>
      <c r="AJ98" s="105" t="n">
        <v>46295</v>
      </c>
      <c r="AK98" s="27" t="n"/>
    </row>
    <row r="99" ht="66" customHeight="1">
      <c r="A99" s="2" t="n"/>
      <c r="B99" s="24" t="inlineStr">
        <is>
          <t>GN 1/3 PP container, 100 mm</t>
        </is>
      </c>
      <c r="C99" s="24" t="inlineStr">
        <is>
          <t>Czech</t>
        </is>
      </c>
      <c r="D99" s="24" t="inlineStr">
        <is>
          <t>GGM Gastro (CZ storefront)</t>
        </is>
      </c>
      <c r="E99" s="24" t="inlineStr">
        <is>
          <t>(12 ks) Gastronádoba polypropylen GN 1/3 - Mléčná - Výška: 100 mm</t>
        </is>
      </c>
      <c r="F99" s="98" t="n">
        <v>973.3200000000001</v>
      </c>
      <c r="G99" s="24" t="inlineStr">
        <is>
          <t>CZK</t>
        </is>
      </c>
      <c r="H99" s="98">
        <f>IF(AND(AE99="yes",ISNUMBER(AD99)),AD99,"")</f>
        <v/>
      </c>
      <c r="I99" s="99">
        <f>IF(AND(AE99="yes",ISNUMBER(AD99),ISNUMBER(INDEX('Sources'!$G$7:$G$10,MATCH(AB99,'Sources'!$B$7:$B$10,0)))),AD99/INDEX('Sources'!$G$7:$G$10,MATCH(AB99,'Sources'!$B$7:$B$10,0)),"")</f>
        <v/>
      </c>
      <c r="J99" s="24" t="inlineStr">
        <is>
          <t>EXACT</t>
        </is>
      </c>
      <c r="K99" s="24" t="inlineStr">
        <is>
          <t>2026-09-30</t>
        </is>
      </c>
      <c r="L99" s="71" t="n"/>
      <c r="M99" s="24" t="inlineStr">
        <is>
          <t>Net CZK price as displayed; page footnote: "* čistá cena | hrubá cena vč. 19% DPH" (German VAT 19% used on the CZ storefront). SKU GPP13100, pack of 12 (3.6 l); gross 1,158.25 CZK. A 6-pack SKU GPP13100#6 is listed at 4,040.03 CZK net (anomalous, ~8x the per-piece price) - not used.</t>
        </is>
      </c>
      <c r="N99" s="25" t="inlineStr">
        <is>
          <t>https://www.ggmgastro.com/cs-cz-czk/12-ks-gastronadoba-polypropylen-gn-1-3-mlecna-vyska-100-mm-gpp13100</t>
        </is>
      </c>
      <c r="O99" s="24" t="inlineStr">
        <is>
          <t>GGM</t>
        </is>
      </c>
      <c r="P99" s="24" t="inlineStr">
        <is>
          <t>excl.</t>
        </is>
      </c>
      <c r="Q99" s="100" t="n">
        <v>0.19</v>
      </c>
      <c r="R99" s="24" t="n">
        <v>12</v>
      </c>
      <c r="S99" s="24" t="inlineStr">
        <is>
          <t>per pack</t>
        </is>
      </c>
      <c r="T99" s="24" t="inlineStr">
        <is>
          <t>EXACT</t>
        </is>
      </c>
      <c r="U99" s="24" t="inlineStr">
        <is>
          <t>Existing benchmark assignment and match quality retained.</t>
        </is>
      </c>
      <c r="V99" s="98" t="n"/>
      <c r="W99" s="98" t="n"/>
      <c r="X99" s="24" t="inlineStr">
        <is>
          <t>YES Gastro Czech Market Research.xlsx</t>
        </is>
      </c>
      <c r="Y99" s="24" t="n"/>
      <c r="Z99" s="24" t="n"/>
      <c r="AA99" s="24" t="n"/>
      <c r="AB99" s="24" t="inlineStr">
        <is>
          <t>CZK</t>
        </is>
      </c>
      <c r="AC99" s="24" t="inlineStr">
        <is>
          <t>yes</t>
        </is>
      </c>
      <c r="AD99" s="24">
        <f>IF(OR(F99="",Q99="",R99=""),"",ROUND(IF(P99="incl.",F99/(1+Q99),F99)/IF(S99="per pack",R99,1),2))</f>
        <v/>
      </c>
      <c r="AE99" s="24">
        <f>IF(AND(AC99="yes",ISNUMBER(F99),IF('Compare'!$H$5="All mapped",TRUE,IF('Compare'!$H$5="EXACT only",J99="EXACT",OR(J99="EXACT",J99="CLOSE")))),"yes","no")</f>
        <v/>
      </c>
      <c r="AF99" s="24">
        <f>IF(ISNUMBER(H99),COUNTIFS($B$7:$B$608,B99,$C$7:$C$608,C99,$H$7:$H$608,"&lt;"&amp;H99,$AH$7:$AH$608,"yes")+COUNTIFS($B$7:B99,B99,$C$7:C99,C99,$H$7:H99,H99,$AH$7:AH99,"yes"),"")</f>
        <v/>
      </c>
      <c r="AG99" s="24">
        <f>IF(ISNUMBER(I99),COUNTIFS($B$7:$B$608,B99,$C$7:$C$608,C99,$I$7:$I$608,"&lt;"&amp;I99,$AI$7:$AI$608,"yes")+COUNTIFS($B$7:B99,B99,$C$7:C99,C99,$I$7:I99,I99,$AI$7:AI99,"yes"),"")</f>
        <v/>
      </c>
      <c r="AH99" s="24">
        <f>IF(ISNUMBER(H99),"yes","no")</f>
        <v/>
      </c>
      <c r="AI99" s="24">
        <f>IF(ISNUMBER(I99),"yes","no")</f>
        <v/>
      </c>
      <c r="AJ99" s="101" t="n">
        <v>46295</v>
      </c>
      <c r="AK99" s="24" t="n"/>
    </row>
    <row r="100" ht="42" customHeight="1">
      <c r="A100" s="2" t="n"/>
      <c r="B100" s="27" t="inlineStr">
        <is>
          <t>GN 1/3 PP container, 100 mm</t>
        </is>
      </c>
      <c r="C100" s="27" t="inlineStr">
        <is>
          <t>Czech</t>
        </is>
      </c>
      <c r="D100" s="27" t="inlineStr">
        <is>
          <t>Gastro Novotný</t>
        </is>
      </c>
      <c r="E100" s="27" t="inlineStr">
        <is>
          <t>Gastronádoba 1/3 100 polypropylen</t>
        </is>
      </c>
      <c r="F100" s="102" t="n">
        <v>100</v>
      </c>
      <c r="G100" s="27" t="inlineStr">
        <is>
          <t>CZK</t>
        </is>
      </c>
      <c r="H100" s="102">
        <f>IF(AND(AE100="yes",ISNUMBER(AD100)),AD100,"")</f>
        <v/>
      </c>
      <c r="I100" s="103">
        <f>IF(AND(AE100="yes",ISNUMBER(AD100),ISNUMBER(INDEX('Sources'!$G$7:$G$10,MATCH(AB100,'Sources'!$B$7:$B$10,0)))),AD100/INDEX('Sources'!$G$7:$G$10,MATCH(AB100,'Sources'!$B$7:$B$10,0)),"")</f>
        <v/>
      </c>
      <c r="J100" s="27" t="inlineStr">
        <is>
          <t>EXACT</t>
        </is>
      </c>
      <c r="K100" s="27" t="inlineStr">
        <is>
          <t>2026-09-30</t>
        </is>
      </c>
      <c r="L100" s="71" t="n"/>
      <c r="M100" s="27" t="inlineStr">
        <is>
          <t>Code 1814707-10; 325x180x100 mm, 3.6 l; 121 CZK incl. VAT; in stock</t>
        </is>
      </c>
      <c r="N100" s="28" t="inlineStr">
        <is>
          <t>https://eshop.gastronovotny.cz/gastronadoba-1-3-100-polypropylen-/</t>
        </is>
      </c>
      <c r="O100" s="27" t="n"/>
      <c r="P100" s="27" t="inlineStr">
        <is>
          <t>excl.</t>
        </is>
      </c>
      <c r="Q100" s="104" t="n">
        <v>0.21</v>
      </c>
      <c r="R100" s="27" t="n">
        <v>1</v>
      </c>
      <c r="S100" s="27" t="inlineStr">
        <is>
          <t>per piece</t>
        </is>
      </c>
      <c r="T100" s="27" t="inlineStr">
        <is>
          <t>EXACT</t>
        </is>
      </c>
      <c r="U100" s="27" t="inlineStr">
        <is>
          <t>Existing benchmark assignment and match quality retained.</t>
        </is>
      </c>
      <c r="V100" s="102" t="n"/>
      <c r="W100" s="102" t="n"/>
      <c r="X100" s="27" t="inlineStr">
        <is>
          <t>YES Gastro Czech Market Research.xlsx</t>
        </is>
      </c>
      <c r="Y100" s="27" t="n"/>
      <c r="Z100" s="27" t="n"/>
      <c r="AA100" s="27" t="n"/>
      <c r="AB100" s="27" t="inlineStr">
        <is>
          <t>CZK</t>
        </is>
      </c>
      <c r="AC100" s="27" t="inlineStr">
        <is>
          <t>yes</t>
        </is>
      </c>
      <c r="AD100" s="27">
        <f>IF(OR(F100="",Q100="",R100=""),"",ROUND(IF(P100="incl.",F100/(1+Q100),F100)/IF(S100="per pack",R100,1),2))</f>
        <v/>
      </c>
      <c r="AE100" s="27">
        <f>IF(AND(AC100="yes",ISNUMBER(F100),IF('Compare'!$H$5="All mapped",TRUE,IF('Compare'!$H$5="EXACT only",J100="EXACT",OR(J100="EXACT",J100="CLOSE")))),"yes","no")</f>
        <v/>
      </c>
      <c r="AF100" s="27">
        <f>IF(ISNUMBER(H100),COUNTIFS($B$7:$B$608,B100,$C$7:$C$608,C100,$H$7:$H$608,"&lt;"&amp;H100,$AH$7:$AH$608,"yes")+COUNTIFS($B$7:B100,B100,$C$7:C100,C100,$H$7:H100,H100,$AH$7:AH100,"yes"),"")</f>
        <v/>
      </c>
      <c r="AG100" s="27">
        <f>IF(ISNUMBER(I100),COUNTIFS($B$7:$B$608,B100,$C$7:$C$608,C100,$I$7:$I$608,"&lt;"&amp;I100,$AI$7:$AI$608,"yes")+COUNTIFS($B$7:B100,B100,$C$7:C100,C100,$I$7:I100,I100,$AI$7:AI100,"yes"),"")</f>
        <v/>
      </c>
      <c r="AH100" s="27">
        <f>IF(ISNUMBER(H100),"yes","no")</f>
        <v/>
      </c>
      <c r="AI100" s="27">
        <f>IF(ISNUMBER(I100),"yes","no")</f>
        <v/>
      </c>
      <c r="AJ100" s="105" t="n">
        <v>46295</v>
      </c>
      <c r="AK100" s="27" t="n"/>
    </row>
    <row r="101" ht="42" customHeight="1">
      <c r="A101" s="2" t="n"/>
      <c r="B101" s="24" t="inlineStr">
        <is>
          <t>GN 1/3 PP container, 100 mm</t>
        </is>
      </c>
      <c r="C101" s="24" t="inlineStr">
        <is>
          <t>Czech</t>
        </is>
      </c>
      <c r="D101" s="24" t="inlineStr">
        <is>
          <t>Gastromania</t>
        </is>
      </c>
      <c r="E101" s="24" t="inlineStr">
        <is>
          <t>Gastronádoba GN 1/3 - 100 polypropylenová | REDFOX, GNPP 1/3-100</t>
        </is>
      </c>
      <c r="F101" s="98" t="n">
        <v>99</v>
      </c>
      <c r="G101" s="24" t="inlineStr">
        <is>
          <t>CZK</t>
        </is>
      </c>
      <c r="H101" s="98">
        <f>IF(AND(AE101="yes",ISNUMBER(AD101)),AD101,"")</f>
        <v/>
      </c>
      <c r="I101" s="99">
        <f>IF(AND(AE101="yes",ISNUMBER(AD101),ISNUMBER(INDEX('Sources'!$G$7:$G$10,MATCH(AB101,'Sources'!$B$7:$B$10,0)))),AD101/INDEX('Sources'!$G$7:$G$10,MATCH(AB101,'Sources'!$B$7:$B$10,0)),"")</f>
        <v/>
      </c>
      <c r="J101" s="24" t="inlineStr">
        <is>
          <t>EXACT</t>
        </is>
      </c>
      <c r="K101" s="24" t="inlineStr">
        <is>
          <t>2026-09-30</t>
        </is>
      </c>
      <c r="L101" s="71" t="n"/>
      <c r="M101" s="24" t="inlineStr">
        <is>
          <t>PP, 4 l; 120 CZK incl.; availability 5 days; new item.</t>
        </is>
      </c>
      <c r="N101" s="25" t="inlineStr">
        <is>
          <t>https://www.gastromania.cz/gastronadoby-polypropylenove/gastronadoba-gn-1-3-100-polypropylenova-redfox-gnpp-1-3-100</t>
        </is>
      </c>
      <c r="O101" s="24" t="inlineStr">
        <is>
          <t>Redfox</t>
        </is>
      </c>
      <c r="P101" s="24" t="inlineStr">
        <is>
          <t>excl.</t>
        </is>
      </c>
      <c r="Q101" s="100" t="n">
        <v>0.21</v>
      </c>
      <c r="R101" s="24" t="n">
        <v>1</v>
      </c>
      <c r="S101" s="24" t="inlineStr">
        <is>
          <t>per piece</t>
        </is>
      </c>
      <c r="T101" s="24" t="inlineStr">
        <is>
          <t>EXACT</t>
        </is>
      </c>
      <c r="U101" s="24" t="inlineStr">
        <is>
          <t>Existing benchmark assignment and match quality retained.</t>
        </is>
      </c>
      <c r="V101" s="98" t="n"/>
      <c r="W101" s="98" t="n"/>
      <c r="X101" s="24" t="inlineStr">
        <is>
          <t>YES Gastro Czech Market Research.xlsx</t>
        </is>
      </c>
      <c r="Y101" s="24" t="n"/>
      <c r="Z101" s="24" t="n"/>
      <c r="AA101" s="24" t="n"/>
      <c r="AB101" s="24" t="inlineStr">
        <is>
          <t>CZK</t>
        </is>
      </c>
      <c r="AC101" s="24" t="inlineStr">
        <is>
          <t>yes</t>
        </is>
      </c>
      <c r="AD101" s="24">
        <f>IF(OR(F101="",Q101="",R101=""),"",ROUND(IF(P101="incl.",F101/(1+Q101),F101)/IF(S101="per pack",R101,1),2))</f>
        <v/>
      </c>
      <c r="AE101" s="24">
        <f>IF(AND(AC101="yes",ISNUMBER(F101),IF('Compare'!$H$5="All mapped",TRUE,IF('Compare'!$H$5="EXACT only",J101="EXACT",OR(J101="EXACT",J101="CLOSE")))),"yes","no")</f>
        <v/>
      </c>
      <c r="AF101" s="24">
        <f>IF(ISNUMBER(H101),COUNTIFS($B$7:$B$608,B101,$C$7:$C$608,C101,$H$7:$H$608,"&lt;"&amp;H101,$AH$7:$AH$608,"yes")+COUNTIFS($B$7:B101,B101,$C$7:C101,C101,$H$7:H101,H101,$AH$7:AH101,"yes"),"")</f>
        <v/>
      </c>
      <c r="AG101" s="24">
        <f>IF(ISNUMBER(I101),COUNTIFS($B$7:$B$608,B101,$C$7:$C$608,C101,$I$7:$I$608,"&lt;"&amp;I101,$AI$7:$AI$608,"yes")+COUNTIFS($B$7:B101,B101,$C$7:C101,C101,$I$7:I101,I101,$AI$7:AI101,"yes"),"")</f>
        <v/>
      </c>
      <c r="AH101" s="24">
        <f>IF(ISNUMBER(H101),"yes","no")</f>
        <v/>
      </c>
      <c r="AI101" s="24">
        <f>IF(ISNUMBER(I101),"yes","no")</f>
        <v/>
      </c>
      <c r="AJ101" s="101" t="n">
        <v>46295</v>
      </c>
      <c r="AK101" s="24" t="n"/>
    </row>
    <row r="102" ht="42" customHeight="1">
      <c r="A102" s="2" t="n"/>
      <c r="B102" s="27" t="inlineStr">
        <is>
          <t>GN 1/3 PP container, 100 mm</t>
        </is>
      </c>
      <c r="C102" s="27" t="inlineStr">
        <is>
          <t>Czech</t>
        </is>
      </c>
      <c r="D102" s="27" t="inlineStr">
        <is>
          <t>Gastrozone</t>
        </is>
      </c>
      <c r="E102" s="27" t="inlineStr">
        <is>
          <t>APS GN-nádoba polypropylen, GN 1/3, objem: 3,60 litru, hloubka: 100 mm</t>
        </is>
      </c>
      <c r="F102" s="102" t="n">
        <v>180</v>
      </c>
      <c r="G102" s="27" t="inlineStr">
        <is>
          <t>CZK</t>
        </is>
      </c>
      <c r="H102" s="102">
        <f>IF(AND(AE102="yes",ISNUMBER(AD102)),AD102,"")</f>
        <v/>
      </c>
      <c r="I102" s="103">
        <f>IF(AND(AE102="yes",ISNUMBER(AD102),ISNUMBER(INDEX('Sources'!$G$7:$G$10,MATCH(AB102,'Sources'!$B$7:$B$10,0)))),AD102/INDEX('Sources'!$G$7:$G$10,MATCH(AB102,'Sources'!$B$7:$B$10,0)),"")</f>
        <v/>
      </c>
      <c r="J102" s="27" t="inlineStr">
        <is>
          <t>EXACT</t>
        </is>
      </c>
      <c r="K102" s="27" t="inlineStr">
        <is>
          <t>2026-09-30</t>
        </is>
      </c>
      <c r="L102" s="71" t="n"/>
      <c r="M102" s="27" t="inlineStr">
        <is>
          <t>148.76 CZK bez DPH; to order 3-5 weeks. In-stock alternative: Pujadas GN 1/3 PP 100 mm 196 CZK.</t>
        </is>
      </c>
      <c r="N102" s="28" t="inlineStr">
        <is>
          <t>https://www.gastrozone.cz/aps-gn-nadoba-z-polypropylenu-gn-1-3-objem-3-60-litru-hloubka-100-mm.html</t>
        </is>
      </c>
      <c r="O102" s="27" t="inlineStr">
        <is>
          <t>APS</t>
        </is>
      </c>
      <c r="P102" s="27" t="inlineStr">
        <is>
          <t>incl.</t>
        </is>
      </c>
      <c r="Q102" s="104" t="n">
        <v>0.21</v>
      </c>
      <c r="R102" s="27" t="n">
        <v>1</v>
      </c>
      <c r="S102" s="27" t="inlineStr">
        <is>
          <t>per piece</t>
        </is>
      </c>
      <c r="T102" s="27" t="inlineStr">
        <is>
          <t>EXACT</t>
        </is>
      </c>
      <c r="U102" s="27" t="inlineStr">
        <is>
          <t>Existing benchmark assignment and match quality retained.</t>
        </is>
      </c>
      <c r="V102" s="102" t="n"/>
      <c r="W102" s="102" t="n"/>
      <c r="X102" s="27" t="inlineStr">
        <is>
          <t>YES Gastro Czech Market Research.xlsx</t>
        </is>
      </c>
      <c r="Y102" s="27" t="n"/>
      <c r="Z102" s="27" t="n"/>
      <c r="AA102" s="27" t="n"/>
      <c r="AB102" s="27" t="inlineStr">
        <is>
          <t>CZK</t>
        </is>
      </c>
      <c r="AC102" s="27" t="inlineStr">
        <is>
          <t>yes</t>
        </is>
      </c>
      <c r="AD102" s="27">
        <f>IF(OR(F102="",Q102="",R102=""),"",ROUND(IF(P102="incl.",F102/(1+Q102),F102)/IF(S102="per pack",R102,1),2))</f>
        <v/>
      </c>
      <c r="AE102" s="27">
        <f>IF(AND(AC102="yes",ISNUMBER(F102),IF('Compare'!$H$5="All mapped",TRUE,IF('Compare'!$H$5="EXACT only",J102="EXACT",OR(J102="EXACT",J102="CLOSE")))),"yes","no")</f>
        <v/>
      </c>
      <c r="AF102" s="27">
        <f>IF(ISNUMBER(H102),COUNTIFS($B$7:$B$608,B102,$C$7:$C$608,C102,$H$7:$H$608,"&lt;"&amp;H102,$AH$7:$AH$608,"yes")+COUNTIFS($B$7:B102,B102,$C$7:C102,C102,$H$7:H102,H102,$AH$7:AH102,"yes"),"")</f>
        <v/>
      </c>
      <c r="AG102" s="27">
        <f>IF(ISNUMBER(I102),COUNTIFS($B$7:$B$608,B102,$C$7:$C$608,C102,$I$7:$I$608,"&lt;"&amp;I102,$AI$7:$AI$608,"yes")+COUNTIFS($B$7:B102,B102,$C$7:C102,C102,$I$7:I102,I102,$AI$7:AI102,"yes"),"")</f>
        <v/>
      </c>
      <c r="AH102" s="27">
        <f>IF(ISNUMBER(H102),"yes","no")</f>
        <v/>
      </c>
      <c r="AI102" s="27">
        <f>IF(ISNUMBER(I102),"yes","no")</f>
        <v/>
      </c>
      <c r="AJ102" s="105" t="n">
        <v>46295</v>
      </c>
      <c r="AK102" s="27" t="n"/>
    </row>
    <row r="103" ht="42" customHeight="1">
      <c r="A103" s="2" t="n"/>
      <c r="B103" s="24" t="inlineStr">
        <is>
          <t>GN 1/3 PP container, 100 mm</t>
        </is>
      </c>
      <c r="C103" s="24" t="inlineStr">
        <is>
          <t>Czech</t>
        </is>
      </c>
      <c r="D103" s="24" t="inlineStr">
        <is>
          <t>TOMGAST</t>
        </is>
      </c>
      <c r="E103" s="24" t="inlineStr">
        <is>
          <t>Gastronádoba polypropylenová GN 1/3 100 mm</t>
        </is>
      </c>
      <c r="F103" s="98" t="n">
        <v>143</v>
      </c>
      <c r="G103" s="24" t="inlineStr">
        <is>
          <t>CZK</t>
        </is>
      </c>
      <c r="H103" s="98">
        <f>IF(AND(AE103="yes",ISNUMBER(AD103)),AD103,"")</f>
        <v/>
      </c>
      <c r="I103" s="99">
        <f>IF(AND(AE103="yes",ISNUMBER(AD103),ISNUMBER(INDEX('Sources'!$G$7:$G$10,MATCH(AB103,'Sources'!$B$7:$B$10,0)))),AD103/INDEX('Sources'!$G$7:$G$10,MATCH(AB103,'Sources'!$B$7:$B$10,0)),"")</f>
        <v/>
      </c>
      <c r="J103" s="24" t="inlineStr">
        <is>
          <t>EXACT</t>
        </is>
      </c>
      <c r="K103" s="24" t="inlineStr">
        <is>
          <t>2026-09-30</t>
        </is>
      </c>
      <c r="L103" s="71" t="n"/>
      <c r="M103" s="24" t="inlineStr">
        <is>
          <t>Code R-MP13100; 118 CZK bez DPH; in stock</t>
        </is>
      </c>
      <c r="N103" s="25" t="inlineStr">
        <is>
          <t>https://www.tomgast.cz/gastronadoba-polypropylenova-gn-1-3-100-mm-2/</t>
        </is>
      </c>
      <c r="O103" s="24" t="inlineStr">
        <is>
          <t>Cambro</t>
        </is>
      </c>
      <c r="P103" s="24" t="inlineStr">
        <is>
          <t>incl.</t>
        </is>
      </c>
      <c r="Q103" s="100" t="n">
        <v>0.21</v>
      </c>
      <c r="R103" s="24" t="n">
        <v>1</v>
      </c>
      <c r="S103" s="24" t="inlineStr">
        <is>
          <t>per piece</t>
        </is>
      </c>
      <c r="T103" s="24" t="inlineStr">
        <is>
          <t>EXACT</t>
        </is>
      </c>
      <c r="U103" s="24" t="inlineStr">
        <is>
          <t>Existing benchmark assignment and match quality retained.</t>
        </is>
      </c>
      <c r="V103" s="98" t="n"/>
      <c r="W103" s="98" t="n"/>
      <c r="X103" s="24" t="inlineStr">
        <is>
          <t>YES Gastro Czech Market Research.xlsx</t>
        </is>
      </c>
      <c r="Y103" s="24" t="n"/>
      <c r="Z103" s="24" t="n"/>
      <c r="AA103" s="24" t="n"/>
      <c r="AB103" s="24" t="inlineStr">
        <is>
          <t>CZK</t>
        </is>
      </c>
      <c r="AC103" s="24" t="inlineStr">
        <is>
          <t>yes</t>
        </is>
      </c>
      <c r="AD103" s="24">
        <f>IF(OR(F103="",Q103="",R103=""),"",ROUND(IF(P103="incl.",F103/(1+Q103),F103)/IF(S103="per pack",R103,1),2))</f>
        <v/>
      </c>
      <c r="AE103" s="24">
        <f>IF(AND(AC103="yes",ISNUMBER(F103),IF('Compare'!$H$5="All mapped",TRUE,IF('Compare'!$H$5="EXACT only",J103="EXACT",OR(J103="EXACT",J103="CLOSE")))),"yes","no")</f>
        <v/>
      </c>
      <c r="AF103" s="24">
        <f>IF(ISNUMBER(H103),COUNTIFS($B$7:$B$608,B103,$C$7:$C$608,C103,$H$7:$H$608,"&lt;"&amp;H103,$AH$7:$AH$608,"yes")+COUNTIFS($B$7:B103,B103,$C$7:C103,C103,$H$7:H103,H103,$AH$7:AH103,"yes"),"")</f>
        <v/>
      </c>
      <c r="AG103" s="24">
        <f>IF(ISNUMBER(I103),COUNTIFS($B$7:$B$608,B103,$C$7:$C$608,C103,$I$7:$I$608,"&lt;"&amp;I103,$AI$7:$AI$608,"yes")+COUNTIFS($B$7:B103,B103,$C$7:C103,C103,$I$7:I103,I103,$AI$7:AI103,"yes"),"")</f>
        <v/>
      </c>
      <c r="AH103" s="24">
        <f>IF(ISNUMBER(H103),"yes","no")</f>
        <v/>
      </c>
      <c r="AI103" s="24">
        <f>IF(ISNUMBER(I103),"yes","no")</f>
        <v/>
      </c>
      <c r="AJ103" s="101" t="n">
        <v>46295</v>
      </c>
      <c r="AK103" s="24" t="n"/>
    </row>
    <row r="104" ht="52" customHeight="1">
      <c r="A104" s="2" t="n"/>
      <c r="B104" s="27" t="inlineStr">
        <is>
          <t>GN 1/3 PP container, 100 mm</t>
        </is>
      </c>
      <c r="C104" s="27" t="inlineStr">
        <is>
          <t>Slovakia</t>
        </is>
      </c>
      <c r="D104" s="27" t="inlineStr">
        <is>
          <t>Gastromania.sk (GASTROMANIA CZ s.r.o., CZ)</t>
        </is>
      </c>
      <c r="E104" s="27" t="inlineStr">
        <is>
          <t>Gastronádoba z polypropylénu GN 1/3, 100 mm | CONTACTO, 5013/100</t>
        </is>
      </c>
      <c r="F104" s="102" t="n">
        <v>17.61</v>
      </c>
      <c r="G104" s="27" t="inlineStr">
        <is>
          <t>EUR</t>
        </is>
      </c>
      <c r="H104" s="102">
        <f>IF(AND(AE104="yes",ISNUMBER(AD104)),AD104,"")</f>
        <v/>
      </c>
      <c r="I104" s="103">
        <f>IF(AND(AE104="yes",ISNUMBER(AD104),ISNUMBER(INDEX('Sources'!$G$7:$G$10,MATCH(AB104,'Sources'!$B$7:$B$10,0)))),AD104/INDEX('Sources'!$G$7:$G$10,MATCH(AB104,'Sources'!$B$7:$B$10,0)),"")</f>
        <v/>
      </c>
      <c r="J104" s="27" t="inlineStr">
        <is>
          <t>CLOSE</t>
        </is>
      </c>
      <c r="K104" s="27" t="inlineStr">
        <is>
          <t>2026-09-30</t>
        </is>
      </c>
      <c r="L104" s="71" t="n"/>
      <c r="M104" s="27" t="inlineStr">
        <is>
          <t>Listed 'Cena bez DPH' 17.61 EUR / 'Cena s DPH' 21.66 EUR. PP, GN 1/3, 100 mm, 4 l, but sold WITH lid and colour clips (container-only price not shown). Promo; base 19,57 / 24,07. Stock 1-2 pcs.</t>
        </is>
      </c>
      <c r="N104" s="28" t="inlineStr">
        <is>
          <t>https://gastromania.sk/gastronadoby-polypropylenove/gastronadoba-z-polypropylenu-gn-1-3-100-mm-contacto-5013-100</t>
        </is>
      </c>
      <c r="O104" s="27" t="inlineStr">
        <is>
          <t>Contacto</t>
        </is>
      </c>
      <c r="P104" s="27" t="inlineStr">
        <is>
          <t>excl.</t>
        </is>
      </c>
      <c r="Q104" s="104" t="inlineStr">
        <is>
          <t>n/a</t>
        </is>
      </c>
      <c r="R104" s="27" t="n">
        <v>1</v>
      </c>
      <c r="S104" s="27" t="inlineStr">
        <is>
          <t>per piece</t>
        </is>
      </c>
      <c r="T104" s="27" t="inlineStr">
        <is>
          <t>CLOSE</t>
        </is>
      </c>
      <c r="U104" s="27" t="inlineStr">
        <is>
          <t>Existing benchmark assignment and match quality retained.</t>
        </is>
      </c>
      <c r="V104" s="102" t="n">
        <v>17.61</v>
      </c>
      <c r="W104" s="102" t="n"/>
      <c r="X104" s="27" t="inlineStr">
        <is>
          <t>YES Gastro Slovakia Market Research.xlsx</t>
        </is>
      </c>
      <c r="Y104" s="27" t="n"/>
      <c r="Z104" s="27" t="n"/>
      <c r="AA104" s="27" t="n"/>
      <c r="AB104" s="27" t="inlineStr">
        <is>
          <t>EUR</t>
        </is>
      </c>
      <c r="AC104" s="27" t="inlineStr">
        <is>
          <t>yes</t>
        </is>
      </c>
      <c r="AD104" s="27">
        <f>IF(ISNUMBER(V104),V104,"")</f>
        <v/>
      </c>
      <c r="AE104" s="27">
        <f>IF(AND(AC104="yes",ISNUMBER(F104),IF('Compare'!$H$5="All mapped",TRUE,IF('Compare'!$H$5="EXACT only",J104="EXACT",OR(J104="EXACT",J104="CLOSE")))),"yes","no")</f>
        <v/>
      </c>
      <c r="AF104" s="27">
        <f>IF(ISNUMBER(H104),COUNTIFS($B$7:$B$608,B104,$C$7:$C$608,C104,$H$7:$H$608,"&lt;"&amp;H104,$AH$7:$AH$608,"yes")+COUNTIFS($B$7:B104,B104,$C$7:C104,C104,$H$7:H104,H104,$AH$7:AH104,"yes"),"")</f>
        <v/>
      </c>
      <c r="AG104" s="27">
        <f>IF(ISNUMBER(I104),COUNTIFS($B$7:$B$608,B104,$C$7:$C$608,C104,$I$7:$I$608,"&lt;"&amp;I104,$AI$7:$AI$608,"yes")+COUNTIFS($B$7:B104,B104,$C$7:C104,C104,$I$7:I104,I104,$AI$7:AI104,"yes"),"")</f>
        <v/>
      </c>
      <c r="AH104" s="27">
        <f>IF(ISNUMBER(H104),"yes","no")</f>
        <v/>
      </c>
      <c r="AI104" s="27">
        <f>IF(ISNUMBER(I104),"yes","no")</f>
        <v/>
      </c>
      <c r="AJ104" s="105" t="n">
        <v>46295</v>
      </c>
      <c r="AK104" s="27" t="n"/>
    </row>
    <row r="105" ht="42" customHeight="1">
      <c r="A105" s="2" t="n"/>
      <c r="B105" s="24" t="inlineStr">
        <is>
          <t>GN 1/3 PP container, 100 mm</t>
        </is>
      </c>
      <c r="C105" s="24" t="inlineStr">
        <is>
          <t>Slovakia</t>
        </is>
      </c>
      <c r="D105" s="24" t="inlineStr">
        <is>
          <t>Gastrozone.sk (GASTROZONE, spol. s r.o., CZ)</t>
        </is>
      </c>
      <c r="E105" s="24" t="inlineStr">
        <is>
          <t>Gastro nádoba GN 1/3 176x325 mm, polypropylén, výška 100 mm</t>
        </is>
      </c>
      <c r="F105" s="98" t="n">
        <v>7.84</v>
      </c>
      <c r="G105" s="24" t="inlineStr">
        <is>
          <t>EUR</t>
        </is>
      </c>
      <c r="H105" s="98">
        <f>IF(AND(AE105="yes",ISNUMBER(AD105)),AD105,"")</f>
        <v/>
      </c>
      <c r="I105" s="99">
        <f>IF(AND(AE105="yes",ISNUMBER(AD105),ISNUMBER(INDEX('Sources'!$G$7:$G$10,MATCH(AB105,'Sources'!$B$7:$B$10,0)))),AD105/INDEX('Sources'!$G$7:$G$10,MATCH(AB105,'Sources'!$B$7:$B$10,0)),"")</f>
        <v/>
      </c>
      <c r="J105" s="24" t="inlineStr">
        <is>
          <t>EXACT</t>
        </is>
      </c>
      <c r="K105" s="24" t="inlineStr">
        <is>
          <t>2026-09-30</t>
        </is>
      </c>
      <c r="L105" s="71" t="n"/>
      <c r="M105" s="24" t="inlineStr">
        <is>
          <t>White PP, 100 mm high per description. Page shows 7,84 EUR / 6,37 EUR bez DPH. In stock.</t>
        </is>
      </c>
      <c r="N105" s="25" t="inlineStr">
        <is>
          <t>https://www.gastrozone.sk/pujadas-gastro-nadoba-gn-1-3-polyprepylen-v-100-mm-176x325-mm.html</t>
        </is>
      </c>
      <c r="O105" s="24" t="inlineStr">
        <is>
          <t>Vollrath Pujadas</t>
        </is>
      </c>
      <c r="P105" s="24" t="inlineStr">
        <is>
          <t>incl.</t>
        </is>
      </c>
      <c r="Q105" s="100" t="n">
        <v>0.23</v>
      </c>
      <c r="R105" s="24" t="n">
        <v>1</v>
      </c>
      <c r="S105" s="24" t="inlineStr">
        <is>
          <t>per piece</t>
        </is>
      </c>
      <c r="T105" s="24" t="inlineStr">
        <is>
          <t>EXACT</t>
        </is>
      </c>
      <c r="U105" s="24" t="inlineStr">
        <is>
          <t>Existing benchmark assignment and match quality retained.</t>
        </is>
      </c>
      <c r="V105" s="98" t="n">
        <v>6.3739837398374</v>
      </c>
      <c r="W105" s="98" t="n"/>
      <c r="X105" s="24" t="inlineStr">
        <is>
          <t>YES Gastro Slovakia Market Research.xlsx</t>
        </is>
      </c>
      <c r="Y105" s="24" t="n"/>
      <c r="Z105" s="24" t="n"/>
      <c r="AA105" s="24" t="n"/>
      <c r="AB105" s="24" t="inlineStr">
        <is>
          <t>EUR</t>
        </is>
      </c>
      <c r="AC105" s="24" t="inlineStr">
        <is>
          <t>yes</t>
        </is>
      </c>
      <c r="AD105" s="24">
        <f>IF(ISNUMBER(V105),V105,"")</f>
        <v/>
      </c>
      <c r="AE105" s="24">
        <f>IF(AND(AC105="yes",ISNUMBER(F105),IF('Compare'!$H$5="All mapped",TRUE,IF('Compare'!$H$5="EXACT only",J105="EXACT",OR(J105="EXACT",J105="CLOSE")))),"yes","no")</f>
        <v/>
      </c>
      <c r="AF105" s="24">
        <f>IF(ISNUMBER(H105),COUNTIFS($B$7:$B$608,B105,$C$7:$C$608,C105,$H$7:$H$608,"&lt;"&amp;H105,$AH$7:$AH$608,"yes")+COUNTIFS($B$7:B105,B105,$C$7:C105,C105,$H$7:H105,H105,$AH$7:AH105,"yes"),"")</f>
        <v/>
      </c>
      <c r="AG105" s="24">
        <f>IF(ISNUMBER(I105),COUNTIFS($B$7:$B$608,B105,$C$7:$C$608,C105,$I$7:$I$608,"&lt;"&amp;I105,$AI$7:$AI$608,"yes")+COUNTIFS($B$7:B105,B105,$C$7:C105,C105,$I$7:I105,I105,$AI$7:AI105,"yes"),"")</f>
        <v/>
      </c>
      <c r="AH105" s="24">
        <f>IF(ISNUMBER(H105),"yes","no")</f>
        <v/>
      </c>
      <c r="AI105" s="24">
        <f>IF(ISNUMBER(I105),"yes","no")</f>
        <v/>
      </c>
      <c r="AJ105" s="101" t="n">
        <v>46295</v>
      </c>
      <c r="AK105" s="24" t="n"/>
    </row>
    <row r="106" ht="42" customHeight="1">
      <c r="A106" s="2" t="n"/>
      <c r="B106" s="27" t="inlineStr">
        <is>
          <t>GN 1/1 PP lid</t>
        </is>
      </c>
      <c r="C106" s="27" t="inlineStr">
        <is>
          <t>Romania</t>
        </is>
      </c>
      <c r="D106" s="27" t="inlineStr">
        <is>
          <t>Direca</t>
        </is>
      </c>
      <c r="E106" s="27" t="inlineStr">
        <is>
          <t>GN 1/1 Polypropylene Lid</t>
        </is>
      </c>
      <c r="F106" s="102" t="n">
        <v>27.61</v>
      </c>
      <c r="G106" s="27" t="inlineStr">
        <is>
          <t>RON</t>
        </is>
      </c>
      <c r="H106" s="102">
        <f>IF(AND(AE106="yes",ISNUMBER(AD106)),AD106,"")</f>
        <v/>
      </c>
      <c r="I106" s="103">
        <f>IF(AND(AE106="yes",ISNUMBER(AD106),ISNUMBER(INDEX('Sources'!$G$7:$G$10,MATCH(AB106,'Sources'!$B$7:$B$10,0)))),AD106/INDEX('Sources'!$G$7:$G$10,MATCH(AB106,'Sources'!$B$7:$B$10,0)),"")</f>
        <v/>
      </c>
      <c r="J106" s="27" t="inlineStr">
        <is>
          <t>EXACT</t>
        </is>
      </c>
      <c r="K106" s="27" t="inlineStr">
        <is>
          <t>2026-09-07 00:00:00</t>
        </is>
      </c>
      <c r="L106" s="71" t="n"/>
      <c r="M106" s="27" t="inlineStr">
        <is>
          <t>PP</t>
        </is>
      </c>
      <c r="N106" s="28" t="inlineStr">
        <is>
          <t>https://direca.ro/?s=capac+din+polipropilena+gn+1%2F1&amp;post_type=product&amp;type_aws=true</t>
        </is>
      </c>
      <c r="O106" s="27" t="inlineStr">
        <is>
          <t>Stalgast</t>
        </is>
      </c>
      <c r="P106" s="27" t="n"/>
      <c r="Q106" s="104" t="n"/>
      <c r="R106" s="27" t="n"/>
      <c r="S106" s="27" t="n"/>
      <c r="T106" s="27" t="n"/>
      <c r="U106" s="27" t="inlineStr">
        <is>
          <t>GN size and lid material agree.</t>
        </is>
      </c>
      <c r="V106" s="102" t="n"/>
      <c r="W106" s="102" t="n">
        <v>5.522</v>
      </c>
      <c r="X106" s="27" t="inlineStr">
        <is>
          <t>YES Gastro Romania Market Research.xlsx</t>
        </is>
      </c>
      <c r="Y106" s="27" t="inlineStr">
        <is>
          <t>Gabi</t>
        </is>
      </c>
      <c r="Z106" s="27" t="n"/>
      <c r="AA106" s="27" t="n"/>
      <c r="AB106" s="27" t="inlineStr">
        <is>
          <t>RON</t>
        </is>
      </c>
      <c r="AC106" s="27" t="inlineStr">
        <is>
          <t>yes</t>
        </is>
      </c>
      <c r="AD106" s="27">
        <f>IF(ISNUMBER(F106),IF(G106=AB106,F106,IF(AND(ISNUMBER(INDEX('Sources'!$G$7:$G$10,MATCH(G106,'Sources'!$B$7:$B$10,0))),ISNUMBER(INDEX('Sources'!$G$7:$G$10,MATCH(AB106,'Sources'!$B$7:$B$10,0)))),F106/INDEX('Sources'!$G$7:$G$10,MATCH(G106,'Sources'!$B$7:$B$10,0))*INDEX('Sources'!$G$7:$G$10,MATCH(AB106,'Sources'!$B$7:$B$10,0)),"")),"")</f>
        <v/>
      </c>
      <c r="AE106" s="27">
        <f>IF(AND(AC106="yes",ISNUMBER(F106),IF('Compare'!$H$5="All mapped",TRUE,IF('Compare'!$H$5="EXACT only",J106="EXACT",OR(J106="EXACT",J106="CLOSE")))),"yes","no")</f>
        <v/>
      </c>
      <c r="AF106" s="27">
        <f>IF(ISNUMBER(H106),COUNTIFS($B$7:$B$608,B106,$C$7:$C$608,C106,$H$7:$H$608,"&lt;"&amp;H106,$AH$7:$AH$608,"yes")+COUNTIFS($B$7:B106,B106,$C$7:C106,C106,$H$7:H106,H106,$AH$7:AH106,"yes"),"")</f>
        <v/>
      </c>
      <c r="AG106" s="27">
        <f>IF(ISNUMBER(I106),COUNTIFS($B$7:$B$608,B106,$C$7:$C$608,C106,$I$7:$I$608,"&lt;"&amp;I106,$AI$7:$AI$608,"yes")+COUNTIFS($B$7:B106,B106,$C$7:C106,C106,$I$7:I106,I106,$AI$7:AI106,"yes"),"")</f>
        <v/>
      </c>
      <c r="AH106" s="27">
        <f>IF(ISNUMBER(H106),"yes","no")</f>
        <v/>
      </c>
      <c r="AI106" s="27">
        <f>IF(ISNUMBER(I106),"yes","no")</f>
        <v/>
      </c>
      <c r="AJ106" s="105" t="n">
        <v>46272</v>
      </c>
      <c r="AK106" s="27" t="n"/>
    </row>
    <row r="107" ht="42" customHeight="1">
      <c r="A107" s="2" t="n"/>
      <c r="B107" s="24" t="inlineStr">
        <is>
          <t>GN 1/1 PP lid</t>
        </is>
      </c>
      <c r="C107" s="24" t="inlineStr">
        <is>
          <t>Romania</t>
        </is>
      </c>
      <c r="D107" s="24" t="inlineStr">
        <is>
          <t>Hendi</t>
        </is>
      </c>
      <c r="E107" s="24" t="inlineStr">
        <is>
          <t>GN 1/1 Polypropylene Lid</t>
        </is>
      </c>
      <c r="F107" s="98" t="n">
        <v>23.8</v>
      </c>
      <c r="G107" s="24" t="inlineStr">
        <is>
          <t>RON</t>
        </is>
      </c>
      <c r="H107" s="98">
        <f>IF(AND(AE107="yes",ISNUMBER(AD107)),AD107,"")</f>
        <v/>
      </c>
      <c r="I107" s="99">
        <f>IF(AND(AE107="yes",ISNUMBER(AD107),ISNUMBER(INDEX('Sources'!$G$7:$G$10,MATCH(AB107,'Sources'!$B$7:$B$10,0)))),AD107/INDEX('Sources'!$G$7:$G$10,MATCH(AB107,'Sources'!$B$7:$B$10,0)),"")</f>
        <v/>
      </c>
      <c r="J107" s="24" t="inlineStr">
        <is>
          <t>EXACT</t>
        </is>
      </c>
      <c r="K107" s="24" t="inlineStr">
        <is>
          <t>2026-09-03 00:00:00</t>
        </is>
      </c>
      <c r="L107" s="71" t="n"/>
      <c r="M107" s="24" t="inlineStr">
        <is>
          <t>PP</t>
        </is>
      </c>
      <c r="N107" s="25" t="inlineStr">
        <is>
          <t>https://www.hendi.ro/capac-gastronorm-gn-1-1-polipropilena-hendi</t>
        </is>
      </c>
      <c r="O107" s="24" t="inlineStr">
        <is>
          <t>Hendi</t>
        </is>
      </c>
      <c r="P107" s="24" t="n"/>
      <c r="Q107" s="100" t="n"/>
      <c r="R107" s="24" t="n"/>
      <c r="S107" s="24" t="n"/>
      <c r="T107" s="24" t="n"/>
      <c r="U107" s="24" t="inlineStr">
        <is>
          <t>GN size and lid material agree.</t>
        </is>
      </c>
      <c r="V107" s="98" t="n"/>
      <c r="W107" s="98" t="n">
        <v>4.760000000000001</v>
      </c>
      <c r="X107" s="24" t="inlineStr">
        <is>
          <t>YES Gastro Romania Market Research.xlsx</t>
        </is>
      </c>
      <c r="Y107" s="24" t="inlineStr">
        <is>
          <t>Gabi</t>
        </is>
      </c>
      <c r="Z107" s="24" t="n"/>
      <c r="AA107" s="24" t="n"/>
      <c r="AB107" s="24" t="inlineStr">
        <is>
          <t>RON</t>
        </is>
      </c>
      <c r="AC107" s="24" t="inlineStr">
        <is>
          <t>yes</t>
        </is>
      </c>
      <c r="AD107" s="24">
        <f>IF(ISNUMBER(F107),IF(G107=AB107,F107,IF(AND(ISNUMBER(INDEX('Sources'!$G$7:$G$10,MATCH(G107,'Sources'!$B$7:$B$10,0))),ISNUMBER(INDEX('Sources'!$G$7:$G$10,MATCH(AB107,'Sources'!$B$7:$B$10,0)))),F107/INDEX('Sources'!$G$7:$G$10,MATCH(G107,'Sources'!$B$7:$B$10,0))*INDEX('Sources'!$G$7:$G$10,MATCH(AB107,'Sources'!$B$7:$B$10,0)),"")),"")</f>
        <v/>
      </c>
      <c r="AE107" s="24">
        <f>IF(AND(AC107="yes",ISNUMBER(F107),IF('Compare'!$H$5="All mapped",TRUE,IF('Compare'!$H$5="EXACT only",J107="EXACT",OR(J107="EXACT",J107="CLOSE")))),"yes","no")</f>
        <v/>
      </c>
      <c r="AF107" s="24">
        <f>IF(ISNUMBER(H107),COUNTIFS($B$7:$B$608,B107,$C$7:$C$608,C107,$H$7:$H$608,"&lt;"&amp;H107,$AH$7:$AH$608,"yes")+COUNTIFS($B$7:B107,B107,$C$7:C107,C107,$H$7:H107,H107,$AH$7:AH107,"yes"),"")</f>
        <v/>
      </c>
      <c r="AG107" s="24">
        <f>IF(ISNUMBER(I107),COUNTIFS($B$7:$B$608,B107,$C$7:$C$608,C107,$I$7:$I$608,"&lt;"&amp;I107,$AI$7:$AI$608,"yes")+COUNTIFS($B$7:B107,B107,$C$7:C107,C107,$I$7:I107,I107,$AI$7:AI107,"yes"),"")</f>
        <v/>
      </c>
      <c r="AH107" s="24">
        <f>IF(ISNUMBER(H107),"yes","no")</f>
        <v/>
      </c>
      <c r="AI107" s="24">
        <f>IF(ISNUMBER(I107),"yes","no")</f>
        <v/>
      </c>
      <c r="AJ107" s="101" t="n">
        <v>46268</v>
      </c>
      <c r="AK107" s="24" t="n"/>
    </row>
    <row r="108" ht="42" customHeight="1">
      <c r="A108" s="2" t="n"/>
      <c r="B108" s="27" t="inlineStr">
        <is>
          <t>GN 1/1 PP lid</t>
        </is>
      </c>
      <c r="C108" s="27" t="inlineStr">
        <is>
          <t>Romania</t>
        </is>
      </c>
      <c r="D108" s="27" t="inlineStr">
        <is>
          <t>mmgastro</t>
        </is>
      </c>
      <c r="E108" s="27" t="inlineStr">
        <is>
          <t>GN 1/1 Polypropylene Lid</t>
        </is>
      </c>
      <c r="F108" s="102" t="n">
        <v>23.05</v>
      </c>
      <c r="G108" s="27" t="inlineStr">
        <is>
          <t>RON</t>
        </is>
      </c>
      <c r="H108" s="102">
        <f>IF(AND(AE108="yes",ISNUMBER(AD108)),AD108,"")</f>
        <v/>
      </c>
      <c r="I108" s="103">
        <f>IF(AND(AE108="yes",ISNUMBER(AD108),ISNUMBER(INDEX('Sources'!$G$7:$G$10,MATCH(AB108,'Sources'!$B$7:$B$10,0)))),AD108/INDEX('Sources'!$G$7:$G$10,MATCH(AB108,'Sources'!$B$7:$B$10,0)),"")</f>
        <v/>
      </c>
      <c r="J108" s="27" t="inlineStr">
        <is>
          <t>EXACT</t>
        </is>
      </c>
      <c r="K108" s="27" t="inlineStr">
        <is>
          <t>2026-09-07 00:00:00</t>
        </is>
      </c>
      <c r="L108" s="71" t="n"/>
      <c r="M108" s="27" t="inlineStr">
        <is>
          <t>PP</t>
        </is>
      </c>
      <c r="N108" s="28" t="inlineStr">
        <is>
          <t>https://mmgastro.ro/ro/search?text=capac+gn+1%2F1</t>
        </is>
      </c>
      <c r="O108" s="27" t="inlineStr">
        <is>
          <t>Hendi</t>
        </is>
      </c>
      <c r="P108" s="27" t="n"/>
      <c r="Q108" s="104" t="n"/>
      <c r="R108" s="27" t="n"/>
      <c r="S108" s="27" t="n"/>
      <c r="T108" s="27" t="n"/>
      <c r="U108" s="27" t="inlineStr">
        <is>
          <t>GN size and lid material agree.</t>
        </is>
      </c>
      <c r="V108" s="102" t="n"/>
      <c r="W108" s="102" t="n">
        <v>4.61</v>
      </c>
      <c r="X108" s="27" t="inlineStr">
        <is>
          <t>YES Gastro Romania Market Research.xlsx</t>
        </is>
      </c>
      <c r="Y108" s="27" t="inlineStr">
        <is>
          <t>Gabi</t>
        </is>
      </c>
      <c r="Z108" s="27" t="n"/>
      <c r="AA108" s="27" t="n"/>
      <c r="AB108" s="27" t="inlineStr">
        <is>
          <t>RON</t>
        </is>
      </c>
      <c r="AC108" s="27" t="inlineStr">
        <is>
          <t>yes</t>
        </is>
      </c>
      <c r="AD108" s="27">
        <f>IF(ISNUMBER(F108),IF(G108=AB108,F108,IF(AND(ISNUMBER(INDEX('Sources'!$G$7:$G$10,MATCH(G108,'Sources'!$B$7:$B$10,0))),ISNUMBER(INDEX('Sources'!$G$7:$G$10,MATCH(AB108,'Sources'!$B$7:$B$10,0)))),F108/INDEX('Sources'!$G$7:$G$10,MATCH(G108,'Sources'!$B$7:$B$10,0))*INDEX('Sources'!$G$7:$G$10,MATCH(AB108,'Sources'!$B$7:$B$10,0)),"")),"")</f>
        <v/>
      </c>
      <c r="AE108" s="27">
        <f>IF(AND(AC108="yes",ISNUMBER(F108),IF('Compare'!$H$5="All mapped",TRUE,IF('Compare'!$H$5="EXACT only",J108="EXACT",OR(J108="EXACT",J108="CLOSE")))),"yes","no")</f>
        <v/>
      </c>
      <c r="AF108" s="27">
        <f>IF(ISNUMBER(H108),COUNTIFS($B$7:$B$608,B108,$C$7:$C$608,C108,$H$7:$H$608,"&lt;"&amp;H108,$AH$7:$AH$608,"yes")+COUNTIFS($B$7:B108,B108,$C$7:C108,C108,$H$7:H108,H108,$AH$7:AH108,"yes"),"")</f>
        <v/>
      </c>
      <c r="AG108" s="27">
        <f>IF(ISNUMBER(I108),COUNTIFS($B$7:$B$608,B108,$C$7:$C$608,C108,$I$7:$I$608,"&lt;"&amp;I108,$AI$7:$AI$608,"yes")+COUNTIFS($B$7:B108,B108,$C$7:C108,C108,$I$7:I108,I108,$AI$7:AI108,"yes"),"")</f>
        <v/>
      </c>
      <c r="AH108" s="27">
        <f>IF(ISNUMBER(H108),"yes","no")</f>
        <v/>
      </c>
      <c r="AI108" s="27">
        <f>IF(ISNUMBER(I108),"yes","no")</f>
        <v/>
      </c>
      <c r="AJ108" s="105" t="n">
        <v>46272</v>
      </c>
      <c r="AK108" s="27" t="n"/>
    </row>
    <row r="109" ht="42" customHeight="1">
      <c r="A109" s="2" t="n"/>
      <c r="B109" s="24" t="inlineStr">
        <is>
          <t>GN 1/1 PP lid</t>
        </is>
      </c>
      <c r="C109" s="24" t="inlineStr">
        <is>
          <t>Austria</t>
        </is>
      </c>
      <c r="D109" s="24" t="inlineStr">
        <is>
          <t>GastroHero Österreich</t>
        </is>
      </c>
      <c r="E109" s="24" t="inlineStr">
        <is>
          <t>Schneider PP GN 1/1 Deckel, einrastend</t>
        </is>
      </c>
      <c r="F109" s="98" t="n">
        <v>11.69</v>
      </c>
      <c r="G109" s="24" t="inlineStr">
        <is>
          <t>EUR</t>
        </is>
      </c>
      <c r="H109" s="98">
        <f>IF(AND(AE109="yes",ISNUMBER(AD109)),AD109,"")</f>
        <v/>
      </c>
      <c r="I109" s="99">
        <f>IF(AND(AE109="yes",ISNUMBER(AD109),ISNUMBER(INDEX('Sources'!$G$7:$G$10,MATCH(AB109,'Sources'!$B$7:$B$10,0)))),AD109/INDEX('Sources'!$G$7:$G$10,MATCH(AB109,'Sources'!$B$7:$B$10,0)),"")</f>
        <v/>
      </c>
      <c r="J109" s="24" t="inlineStr">
        <is>
          <t>EXACT</t>
        </is>
      </c>
      <c r="K109" s="24" t="inlineStr">
        <is>
          <t>2026-09-30</t>
        </is>
      </c>
      <c r="L109" s="71" t="n"/>
      <c r="M109" s="24" t="inlineStr">
        <is>
          <t>Min. qty 4</t>
        </is>
      </c>
      <c r="N109" s="25" t="inlineStr">
        <is>
          <t>https://www.gastro-hero.at/products/schneider-pp-gn-11-deckel-einrastend-530005</t>
        </is>
      </c>
      <c r="O109" s="24" t="inlineStr">
        <is>
          <t>Schneider</t>
        </is>
      </c>
      <c r="P109" s="24" t="inlineStr">
        <is>
          <t>excl.</t>
        </is>
      </c>
      <c r="Q109" s="100" t="n"/>
      <c r="R109" s="24" t="n">
        <v>1</v>
      </c>
      <c r="S109" s="24" t="n"/>
      <c r="T109" s="24" t="inlineStr">
        <is>
          <t>EXACT</t>
        </is>
      </c>
      <c r="U109" s="24" t="inlineStr">
        <is>
          <t>Existing benchmark assignment and match quality retained.</t>
        </is>
      </c>
      <c r="V109" s="98" t="n">
        <v>11.69</v>
      </c>
      <c r="W109" s="98" t="n"/>
      <c r="X109" s="24" t="inlineStr">
        <is>
          <t>YES Gastro Austria Market Research.xlsx</t>
        </is>
      </c>
      <c r="Y109" s="24" t="n"/>
      <c r="Z109" s="24" t="n"/>
      <c r="AA109" s="24" t="n"/>
      <c r="AB109" s="24" t="inlineStr">
        <is>
          <t>EUR</t>
        </is>
      </c>
      <c r="AC109" s="24" t="inlineStr">
        <is>
          <t>yes</t>
        </is>
      </c>
      <c r="AD109" s="24">
        <f>IF(ISNUMBER(V109),V109,"")</f>
        <v/>
      </c>
      <c r="AE109" s="24">
        <f>IF(AND(AC109="yes",ISNUMBER(F109),IF('Compare'!$H$5="All mapped",TRUE,IF('Compare'!$H$5="EXACT only",J109="EXACT",OR(J109="EXACT",J109="CLOSE")))),"yes","no")</f>
        <v/>
      </c>
      <c r="AF109" s="24">
        <f>IF(ISNUMBER(H109),COUNTIFS($B$7:$B$608,B109,$C$7:$C$608,C109,$H$7:$H$608,"&lt;"&amp;H109,$AH$7:$AH$608,"yes")+COUNTIFS($B$7:B109,B109,$C$7:C109,C109,$H$7:H109,H109,$AH$7:AH109,"yes"),"")</f>
        <v/>
      </c>
      <c r="AG109" s="24">
        <f>IF(ISNUMBER(I109),COUNTIFS($B$7:$B$608,B109,$C$7:$C$608,C109,$I$7:$I$608,"&lt;"&amp;I109,$AI$7:$AI$608,"yes")+COUNTIFS($B$7:B109,B109,$C$7:C109,C109,$I$7:I109,I109,$AI$7:AI109,"yes"),"")</f>
        <v/>
      </c>
      <c r="AH109" s="24">
        <f>IF(ISNUMBER(H109),"yes","no")</f>
        <v/>
      </c>
      <c r="AI109" s="24">
        <f>IF(ISNUMBER(I109),"yes","no")</f>
        <v/>
      </c>
      <c r="AJ109" s="101" t="n">
        <v>46295</v>
      </c>
      <c r="AK109" s="24" t="n"/>
    </row>
    <row r="110" ht="42" customHeight="1">
      <c r="A110" s="2" t="n"/>
      <c r="B110" s="27" t="inlineStr">
        <is>
          <t>GN 1/1 PP lid</t>
        </is>
      </c>
      <c r="C110" s="27" t="inlineStr">
        <is>
          <t>Austria</t>
        </is>
      </c>
      <c r="D110" s="27" t="inlineStr">
        <is>
          <t>Gastrodax</t>
        </is>
      </c>
      <c r="E110" s="27" t="inlineStr">
        <is>
          <t>Hendi Gastronorm-Deckel, GN 1/1, Transparent, 530x325mm</t>
        </is>
      </c>
      <c r="F110" s="102" t="n">
        <v>16.66</v>
      </c>
      <c r="G110" s="27" t="inlineStr">
        <is>
          <t>EUR</t>
        </is>
      </c>
      <c r="H110" s="102">
        <f>IF(AND(AE110="yes",ISNUMBER(AD110)),AD110,"")</f>
        <v/>
      </c>
      <c r="I110" s="103">
        <f>IF(AND(AE110="yes",ISNUMBER(AD110),ISNUMBER(INDEX('Sources'!$G$7:$G$10,MATCH(AB110,'Sources'!$B$7:$B$10,0)))),AD110/INDEX('Sources'!$G$7:$G$10,MATCH(AB110,'Sources'!$B$7:$B$10,0)),"")</f>
        <v/>
      </c>
      <c r="J110" s="27" t="inlineStr">
        <is>
          <t>CLOSE</t>
        </is>
      </c>
      <c r="K110" s="27" t="inlineStr">
        <is>
          <t>2026-09-30</t>
        </is>
      </c>
      <c r="L110" s="71" t="n"/>
      <c r="M110" s="27" t="inlineStr">
        <is>
          <t>Lid for Hendi polypropylene GN containers; lid material not explicitly stated</t>
        </is>
      </c>
      <c r="N110" s="28" t="inlineStr">
        <is>
          <t>https://www.gastrodax.de/hendi-gastronorm-deckel-gn-1-1-transparent-530-x-325-mm</t>
        </is>
      </c>
      <c r="O110" s="27" t="inlineStr">
        <is>
          <t>Hendi</t>
        </is>
      </c>
      <c r="P110" s="27" t="inlineStr">
        <is>
          <t>excl.</t>
        </is>
      </c>
      <c r="Q110" s="104" t="n"/>
      <c r="R110" s="27" t="n">
        <v>1</v>
      </c>
      <c r="S110" s="27" t="n"/>
      <c r="T110" s="27" t="inlineStr">
        <is>
          <t>CLOSE</t>
        </is>
      </c>
      <c r="U110" s="27" t="inlineStr">
        <is>
          <t>Existing benchmark assignment and match quality retained.</t>
        </is>
      </c>
      <c r="V110" s="102" t="n">
        <v>16.66</v>
      </c>
      <c r="W110" s="102" t="n"/>
      <c r="X110" s="27" t="inlineStr">
        <is>
          <t>YES Gastro Austria Market Research.xlsx</t>
        </is>
      </c>
      <c r="Y110" s="27" t="n"/>
      <c r="Z110" s="27" t="n"/>
      <c r="AA110" s="27" t="n"/>
      <c r="AB110" s="27" t="inlineStr">
        <is>
          <t>EUR</t>
        </is>
      </c>
      <c r="AC110" s="27" t="inlineStr">
        <is>
          <t>yes</t>
        </is>
      </c>
      <c r="AD110" s="27">
        <f>IF(ISNUMBER(V110),V110,"")</f>
        <v/>
      </c>
      <c r="AE110" s="27">
        <f>IF(AND(AC110="yes",ISNUMBER(F110),IF('Compare'!$H$5="All mapped",TRUE,IF('Compare'!$H$5="EXACT only",J110="EXACT",OR(J110="EXACT",J110="CLOSE")))),"yes","no")</f>
        <v/>
      </c>
      <c r="AF110" s="27">
        <f>IF(ISNUMBER(H110),COUNTIFS($B$7:$B$608,B110,$C$7:$C$608,C110,$H$7:$H$608,"&lt;"&amp;H110,$AH$7:$AH$608,"yes")+COUNTIFS($B$7:B110,B110,$C$7:C110,C110,$H$7:H110,H110,$AH$7:AH110,"yes"),"")</f>
        <v/>
      </c>
      <c r="AG110" s="27">
        <f>IF(ISNUMBER(I110),COUNTIFS($B$7:$B$608,B110,$C$7:$C$608,C110,$I$7:$I$608,"&lt;"&amp;I110,$AI$7:$AI$608,"yes")+COUNTIFS($B$7:B110,B110,$C$7:C110,C110,$I$7:I110,I110,$AI$7:AI110,"yes"),"")</f>
        <v/>
      </c>
      <c r="AH110" s="27">
        <f>IF(ISNUMBER(H110),"yes","no")</f>
        <v/>
      </c>
      <c r="AI110" s="27">
        <f>IF(ISNUMBER(I110),"yes","no")</f>
        <v/>
      </c>
      <c r="AJ110" s="105" t="n">
        <v>46295</v>
      </c>
      <c r="AK110" s="27" t="n"/>
    </row>
    <row r="111" ht="42" customHeight="1">
      <c r="A111" s="2" t="n"/>
      <c r="B111" s="24" t="inlineStr">
        <is>
          <t>GN 1/1 PP lid</t>
        </is>
      </c>
      <c r="C111" s="24" t="inlineStr">
        <is>
          <t>Austria</t>
        </is>
      </c>
      <c r="D111" s="24" t="inlineStr">
        <is>
          <t>Gastroladen.at (Harotec GmbH)</t>
        </is>
      </c>
      <c r="E111" s="24" t="inlineStr">
        <is>
          <t>Cambro biegsamer Polypropylen Deckel GN 1/1</t>
        </is>
      </c>
      <c r="F111" s="98" t="n">
        <v>11.09</v>
      </c>
      <c r="G111" s="24" t="inlineStr">
        <is>
          <t>EUR</t>
        </is>
      </c>
      <c r="H111" s="98">
        <f>IF(AND(AE111="yes",ISNUMBER(AD111)),AD111,"")</f>
        <v/>
      </c>
      <c r="I111" s="99">
        <f>IF(AND(AE111="yes",ISNUMBER(AD111),ISNUMBER(INDEX('Sources'!$G$7:$G$10,MATCH(AB111,'Sources'!$B$7:$B$10,0)))),AD111/INDEX('Sources'!$G$7:$G$10,MATCH(AB111,'Sources'!$B$7:$B$10,0)),"")</f>
        <v/>
      </c>
      <c r="J111" s="24" t="inlineStr">
        <is>
          <t>EXACT</t>
        </is>
      </c>
      <c r="K111" s="24" t="inlineStr">
        <is>
          <t>2026-09-30</t>
        </is>
      </c>
      <c r="L111" s="71" t="n"/>
      <c r="M111" s="24" t="inlineStr">
        <is>
          <t>Flexible PP lid with seal</t>
        </is>
      </c>
      <c r="N111" s="25" t="inlineStr">
        <is>
          <t>https://www.gastroladen.at/3030@GN-DM743/Cambro-biegsamer-Polypropylen-Deckel-GN-1-1.htm</t>
        </is>
      </c>
      <c r="O111" s="24" t="inlineStr">
        <is>
          <t>Cambro</t>
        </is>
      </c>
      <c r="P111" s="24" t="inlineStr">
        <is>
          <t>incl.</t>
        </is>
      </c>
      <c r="Q111" s="100" t="n"/>
      <c r="R111" s="24" t="n">
        <v>1</v>
      </c>
      <c r="S111" s="24" t="n"/>
      <c r="T111" s="24" t="inlineStr">
        <is>
          <t>EXACT</t>
        </is>
      </c>
      <c r="U111" s="24" t="inlineStr">
        <is>
          <t>Existing benchmark assignment and match quality retained.</t>
        </is>
      </c>
      <c r="V111" s="98" t="n">
        <v>9.24</v>
      </c>
      <c r="W111" s="98" t="n"/>
      <c r="X111" s="24" t="inlineStr">
        <is>
          <t>YES Gastro Austria Market Research.xlsx</t>
        </is>
      </c>
      <c r="Y111" s="24" t="n"/>
      <c r="Z111" s="24" t="n"/>
      <c r="AA111" s="24" t="n"/>
      <c r="AB111" s="24" t="inlineStr">
        <is>
          <t>EUR</t>
        </is>
      </c>
      <c r="AC111" s="24" t="inlineStr">
        <is>
          <t>yes</t>
        </is>
      </c>
      <c r="AD111" s="24">
        <f>IF(ISNUMBER(V111),V111,"")</f>
        <v/>
      </c>
      <c r="AE111" s="24">
        <f>IF(AND(AC111="yes",ISNUMBER(F111),IF('Compare'!$H$5="All mapped",TRUE,IF('Compare'!$H$5="EXACT only",J111="EXACT",OR(J111="EXACT",J111="CLOSE")))),"yes","no")</f>
        <v/>
      </c>
      <c r="AF111" s="24">
        <f>IF(ISNUMBER(H111),COUNTIFS($B$7:$B$608,B111,$C$7:$C$608,C111,$H$7:$H$608,"&lt;"&amp;H111,$AH$7:$AH$608,"yes")+COUNTIFS($B$7:B111,B111,$C$7:C111,C111,$H$7:H111,H111,$AH$7:AH111,"yes"),"")</f>
        <v/>
      </c>
      <c r="AG111" s="24">
        <f>IF(ISNUMBER(I111),COUNTIFS($B$7:$B$608,B111,$C$7:$C$608,C111,$I$7:$I$608,"&lt;"&amp;I111,$AI$7:$AI$608,"yes")+COUNTIFS($B$7:B111,B111,$C$7:C111,C111,$I$7:I111,I111,$AI$7:AI111,"yes"),"")</f>
        <v/>
      </c>
      <c r="AH111" s="24">
        <f>IF(ISNUMBER(H111),"yes","no")</f>
        <v/>
      </c>
      <c r="AI111" s="24">
        <f>IF(ISNUMBER(I111),"yes","no")</f>
        <v/>
      </c>
      <c r="AJ111" s="101" t="n">
        <v>46295</v>
      </c>
      <c r="AK111" s="24" t="n"/>
    </row>
    <row r="112" ht="42" customHeight="1">
      <c r="A112" s="2" t="n"/>
      <c r="B112" s="27" t="inlineStr">
        <is>
          <t>GN 1/1 PP lid</t>
        </is>
      </c>
      <c r="C112" s="27" t="inlineStr">
        <is>
          <t>Austria</t>
        </is>
      </c>
      <c r="D112" s="27" t="inlineStr">
        <is>
          <t>Intergastro (AT shop)</t>
        </is>
      </c>
      <c r="E112" s="27" t="inlineStr">
        <is>
          <t>GN Deckel GN 89 GN 1/1 Polypropylen weiß</t>
        </is>
      </c>
      <c r="F112" s="102" t="n">
        <v>7.5</v>
      </c>
      <c r="G112" s="27" t="inlineStr">
        <is>
          <t>EUR</t>
        </is>
      </c>
      <c r="H112" s="102">
        <f>IF(AND(AE112="yes",ISNUMBER(AD112)),AD112,"")</f>
        <v/>
      </c>
      <c r="I112" s="103">
        <f>IF(AND(AE112="yes",ISNUMBER(AD112),ISNUMBER(INDEX('Sources'!$G$7:$G$10,MATCH(AB112,'Sources'!$B$7:$B$10,0)))),AD112/INDEX('Sources'!$G$7:$G$10,MATCH(AB112,'Sources'!$B$7:$B$10,0)),"")</f>
        <v/>
      </c>
      <c r="J112" s="27" t="inlineStr">
        <is>
          <t>EXACT</t>
        </is>
      </c>
      <c r="K112" s="27" t="inlineStr">
        <is>
          <t>2026-09-30</t>
        </is>
      </c>
      <c r="L112" s="71" t="n"/>
      <c r="M112" s="27" t="inlineStr">
        <is>
          <t>Gross 9.00</t>
        </is>
      </c>
      <c r="N112" s="28" t="inlineStr">
        <is>
          <t>https://www.intergastro.at/gn-deckel-gn-89-gn-1-1-polypropylen-weiss-252554</t>
        </is>
      </c>
      <c r="O112" s="27" t="inlineStr">
        <is>
          <t>WAS Germany</t>
        </is>
      </c>
      <c r="P112" s="27" t="inlineStr">
        <is>
          <t>excl.</t>
        </is>
      </c>
      <c r="Q112" s="104" t="n"/>
      <c r="R112" s="27" t="n">
        <v>1</v>
      </c>
      <c r="S112" s="27" t="n"/>
      <c r="T112" s="27" t="inlineStr">
        <is>
          <t>EXACT</t>
        </is>
      </c>
      <c r="U112" s="27" t="inlineStr">
        <is>
          <t>Existing benchmark assignment and match quality retained.</t>
        </is>
      </c>
      <c r="V112" s="102" t="n">
        <v>7.5</v>
      </c>
      <c r="W112" s="102" t="n"/>
      <c r="X112" s="27" t="inlineStr">
        <is>
          <t>YES Gastro Austria Market Research.xlsx</t>
        </is>
      </c>
      <c r="Y112" s="27" t="n"/>
      <c r="Z112" s="27" t="n"/>
      <c r="AA112" s="27" t="n"/>
      <c r="AB112" s="27" t="inlineStr">
        <is>
          <t>EUR</t>
        </is>
      </c>
      <c r="AC112" s="27" t="inlineStr">
        <is>
          <t>yes</t>
        </is>
      </c>
      <c r="AD112" s="27">
        <f>IF(ISNUMBER(V112),V112,"")</f>
        <v/>
      </c>
      <c r="AE112" s="27">
        <f>IF(AND(AC112="yes",ISNUMBER(F112),IF('Compare'!$H$5="All mapped",TRUE,IF('Compare'!$H$5="EXACT only",J112="EXACT",OR(J112="EXACT",J112="CLOSE")))),"yes","no")</f>
        <v/>
      </c>
      <c r="AF112" s="27">
        <f>IF(ISNUMBER(H112),COUNTIFS($B$7:$B$608,B112,$C$7:$C$608,C112,$H$7:$H$608,"&lt;"&amp;H112,$AH$7:$AH$608,"yes")+COUNTIFS($B$7:B112,B112,$C$7:C112,C112,$H$7:H112,H112,$AH$7:AH112,"yes"),"")</f>
        <v/>
      </c>
      <c r="AG112" s="27">
        <f>IF(ISNUMBER(I112),COUNTIFS($B$7:$B$608,B112,$C$7:$C$608,C112,$I$7:$I$608,"&lt;"&amp;I112,$AI$7:$AI$608,"yes")+COUNTIFS($B$7:B112,B112,$C$7:C112,C112,$I$7:I112,I112,$AI$7:AI112,"yes"),"")</f>
        <v/>
      </c>
      <c r="AH112" s="27">
        <f>IF(ISNUMBER(H112),"yes","no")</f>
        <v/>
      </c>
      <c r="AI112" s="27">
        <f>IF(ISNUMBER(I112),"yes","no")</f>
        <v/>
      </c>
      <c r="AJ112" s="105" t="n">
        <v>46295</v>
      </c>
      <c r="AK112" s="27" t="n"/>
    </row>
    <row r="113" ht="42" customHeight="1">
      <c r="A113" s="2" t="n"/>
      <c r="B113" s="24" t="inlineStr">
        <is>
          <t>GN 1/1 PP lid</t>
        </is>
      </c>
      <c r="C113" s="24" t="inlineStr">
        <is>
          <t>Austria</t>
        </is>
      </c>
      <c r="D113" s="24" t="inlineStr">
        <is>
          <t>shopbuero.com</t>
        </is>
      </c>
      <c r="E113" s="24" t="inlineStr">
        <is>
          <t>GN-Deckel - einrastend - GN 1/1 (530 x 325 mm) - Polypropylen</t>
        </is>
      </c>
      <c r="F113" s="98" t="n">
        <v>5</v>
      </c>
      <c r="G113" s="24" t="inlineStr">
        <is>
          <t>EUR</t>
        </is>
      </c>
      <c r="H113" s="98">
        <f>IF(AND(AE113="yes",ISNUMBER(AD113)),AD113,"")</f>
        <v/>
      </c>
      <c r="I113" s="99">
        <f>IF(AND(AE113="yes",ISNUMBER(AD113),ISNUMBER(INDEX('Sources'!$G$7:$G$10,MATCH(AB113,'Sources'!$B$7:$B$10,0)))),AD113/INDEX('Sources'!$G$7:$G$10,MATCH(AB113,'Sources'!$B$7:$B$10,0)),"")</f>
        <v/>
      </c>
      <c r="J113" s="24" t="inlineStr">
        <is>
          <t>EXACT</t>
        </is>
      </c>
      <c r="K113" s="24" t="inlineStr">
        <is>
          <t>2026-09-30</t>
        </is>
      </c>
      <c r="L113" s="71" t="n"/>
      <c r="M113" s="24" t="inlineStr">
        <is>
          <t>Regular price 7.65. APS PP lid 82101-B: 4.20</t>
        </is>
      </c>
      <c r="N113" s="25" t="inlineStr">
        <is>
          <t>https://shopbuero.com/gn-deckel-einrastend-gn-1-1-530-x-325-mm-polypropylen/530005-C</t>
        </is>
      </c>
      <c r="O113" s="24" t="inlineStr">
        <is>
          <t>Schneider</t>
        </is>
      </c>
      <c r="P113" s="24" t="inlineStr">
        <is>
          <t>excl.</t>
        </is>
      </c>
      <c r="Q113" s="100" t="n"/>
      <c r="R113" s="24" t="n">
        <v>1</v>
      </c>
      <c r="S113" s="24" t="n"/>
      <c r="T113" s="24" t="inlineStr">
        <is>
          <t>EXACT</t>
        </is>
      </c>
      <c r="U113" s="24" t="inlineStr">
        <is>
          <t>Existing benchmark assignment and match quality retained.</t>
        </is>
      </c>
      <c r="V113" s="98" t="n">
        <v>5</v>
      </c>
      <c r="W113" s="98" t="n"/>
      <c r="X113" s="24" t="inlineStr">
        <is>
          <t>YES Gastro Austria Market Research.xlsx</t>
        </is>
      </c>
      <c r="Y113" s="24" t="n"/>
      <c r="Z113" s="24" t="n"/>
      <c r="AA113" s="24" t="n"/>
      <c r="AB113" s="24" t="inlineStr">
        <is>
          <t>EUR</t>
        </is>
      </c>
      <c r="AC113" s="24" t="inlineStr">
        <is>
          <t>yes</t>
        </is>
      </c>
      <c r="AD113" s="24">
        <f>IF(ISNUMBER(V113),V113,"")</f>
        <v/>
      </c>
      <c r="AE113" s="24">
        <f>IF(AND(AC113="yes",ISNUMBER(F113),IF('Compare'!$H$5="All mapped",TRUE,IF('Compare'!$H$5="EXACT only",J113="EXACT",OR(J113="EXACT",J113="CLOSE")))),"yes","no")</f>
        <v/>
      </c>
      <c r="AF113" s="24">
        <f>IF(ISNUMBER(H113),COUNTIFS($B$7:$B$608,B113,$C$7:$C$608,C113,$H$7:$H$608,"&lt;"&amp;H113,$AH$7:$AH$608,"yes")+COUNTIFS($B$7:B113,B113,$C$7:C113,C113,$H$7:H113,H113,$AH$7:AH113,"yes"),"")</f>
        <v/>
      </c>
      <c r="AG113" s="24">
        <f>IF(ISNUMBER(I113),COUNTIFS($B$7:$B$608,B113,$C$7:$C$608,C113,$I$7:$I$608,"&lt;"&amp;I113,$AI$7:$AI$608,"yes")+COUNTIFS($B$7:B113,B113,$C$7:C113,C113,$I$7:I113,I113,$AI$7:AI113,"yes"),"")</f>
        <v/>
      </c>
      <c r="AH113" s="24">
        <f>IF(ISNUMBER(H113),"yes","no")</f>
        <v/>
      </c>
      <c r="AI113" s="24">
        <f>IF(ISNUMBER(I113),"yes","no")</f>
        <v/>
      </c>
      <c r="AJ113" s="101" t="n">
        <v>46295</v>
      </c>
      <c r="AK113" s="24" t="n"/>
    </row>
    <row r="114" ht="42" customHeight="1">
      <c r="A114" s="2" t="n"/>
      <c r="B114" s="27" t="inlineStr">
        <is>
          <t>GN 1/1 PP lid</t>
        </is>
      </c>
      <c r="C114" s="27" t="inlineStr">
        <is>
          <t>Germany</t>
        </is>
      </c>
      <c r="D114" s="27" t="inlineStr">
        <is>
          <t>GGM Gastro</t>
        </is>
      </c>
      <c r="E114" s="27" t="inlineStr">
        <is>
          <t>(12 Stück) Polypropylen-Deckel GN 1/1 - Milchig - mit 24 Codierclips</t>
        </is>
      </c>
      <c r="F114" s="102" t="n">
        <v>27.99</v>
      </c>
      <c r="G114" s="27" t="inlineStr">
        <is>
          <t>EUR</t>
        </is>
      </c>
      <c r="H114" s="102">
        <f>IF(AND(AE114="yes",ISNUMBER(AD114)),AD114,"")</f>
        <v/>
      </c>
      <c r="I114" s="103">
        <f>IF(AND(AE114="yes",ISNUMBER(AD114),ISNUMBER(INDEX('Sources'!$G$7:$G$10,MATCH(AB114,'Sources'!$B$7:$B$10,0)))),AD114/INDEX('Sources'!$G$7:$G$10,MATCH(AB114,'Sources'!$B$7:$B$10,0)),"")</f>
        <v/>
      </c>
      <c r="J114" s="27" t="inlineStr">
        <is>
          <t>EXACT</t>
        </is>
      </c>
      <c r="K114" s="27" t="inlineStr">
        <is>
          <t>2026-09-30</t>
        </is>
      </c>
      <c r="L114" s="71" t="n"/>
      <c r="M114" s="27" t="inlineStr">
        <is>
          <t>Title says 12 pcs but spec table says 'Set Menge 6 Stk' - conflicting; if 6 pcs, net/pc would be 4.67</t>
        </is>
      </c>
      <c r="N114" s="28" t="inlineStr">
        <is>
          <t>https://www.ggmgastro.com/de-de-eur/12-stueck-polypropylen-deckel-gn-1-1-milchig-mit-24-codierclips-gppl11-12</t>
        </is>
      </c>
      <c r="O114" s="27" t="inlineStr">
        <is>
          <t>GGM</t>
        </is>
      </c>
      <c r="P114" s="27" t="inlineStr">
        <is>
          <t>excl.</t>
        </is>
      </c>
      <c r="Q114" s="104" t="n"/>
      <c r="R114" s="27" t="n">
        <v>12</v>
      </c>
      <c r="S114" s="27" t="inlineStr">
        <is>
          <t>set of 12 (per title)</t>
        </is>
      </c>
      <c r="T114" s="27" t="inlineStr">
        <is>
          <t>EXACT</t>
        </is>
      </c>
      <c r="U114" s="27" t="inlineStr">
        <is>
          <t>Existing benchmark assignment and match quality retained.</t>
        </is>
      </c>
      <c r="V114" s="102" t="n">
        <v>2.33</v>
      </c>
      <c r="W114" s="102" t="n"/>
      <c r="X114" s="27" t="inlineStr">
        <is>
          <t>YES Gastro Germany Market Research.xlsx</t>
        </is>
      </c>
      <c r="Y114" s="27" t="n"/>
      <c r="Z114" s="27" t="n"/>
      <c r="AA114" s="27" t="n"/>
      <c r="AB114" s="27" t="inlineStr">
        <is>
          <t>EUR</t>
        </is>
      </c>
      <c r="AC114" s="27" t="inlineStr">
        <is>
          <t>yes</t>
        </is>
      </c>
      <c r="AD114" s="27">
        <f>IF(ISNUMBER(V114),V114,"")</f>
        <v/>
      </c>
      <c r="AE114" s="27">
        <f>IF(AND(AC114="yes",ISNUMBER(F114),IF('Compare'!$H$5="All mapped",TRUE,IF('Compare'!$H$5="EXACT only",J114="EXACT",OR(J114="EXACT",J114="CLOSE")))),"yes","no")</f>
        <v/>
      </c>
      <c r="AF114" s="27">
        <f>IF(ISNUMBER(H114),COUNTIFS($B$7:$B$608,B114,$C$7:$C$608,C114,$H$7:$H$608,"&lt;"&amp;H114,$AH$7:$AH$608,"yes")+COUNTIFS($B$7:B114,B114,$C$7:C114,C114,$H$7:H114,H114,$AH$7:AH114,"yes"),"")</f>
        <v/>
      </c>
      <c r="AG114" s="27">
        <f>IF(ISNUMBER(I114),COUNTIFS($B$7:$B$608,B114,$C$7:$C$608,C114,$I$7:$I$608,"&lt;"&amp;I114,$AI$7:$AI$608,"yes")+COUNTIFS($B$7:B114,B114,$C$7:C114,C114,$I$7:I114,I114,$AI$7:AI114,"yes"),"")</f>
        <v/>
      </c>
      <c r="AH114" s="27">
        <f>IF(ISNUMBER(H114),"yes","no")</f>
        <v/>
      </c>
      <c r="AI114" s="27">
        <f>IF(ISNUMBER(I114),"yes","no")</f>
        <v/>
      </c>
      <c r="AJ114" s="105" t="n">
        <v>46295</v>
      </c>
      <c r="AK114" s="27" t="n"/>
    </row>
    <row r="115" ht="42" customHeight="1">
      <c r="A115" s="2" t="n"/>
      <c r="B115" s="24" t="inlineStr">
        <is>
          <t>GN 1/1 PP lid</t>
        </is>
      </c>
      <c r="C115" s="24" t="inlineStr">
        <is>
          <t>Germany</t>
        </is>
      </c>
      <c r="D115" s="24" t="inlineStr">
        <is>
          <t>GastroHero</t>
        </is>
      </c>
      <c r="E115" s="24" t="inlineStr">
        <is>
          <t>Schneider PP GN 1/1 Deckel, einrastend</t>
        </is>
      </c>
      <c r="F115" s="98" t="n">
        <v>5.29</v>
      </c>
      <c r="G115" s="24" t="inlineStr">
        <is>
          <t>EUR</t>
        </is>
      </c>
      <c r="H115" s="98">
        <f>IF(AND(AE115="yes",ISNUMBER(AD115)),AD115,"")</f>
        <v/>
      </c>
      <c r="I115" s="99">
        <f>IF(AND(AE115="yes",ISNUMBER(AD115),ISNUMBER(INDEX('Sources'!$G$7:$G$10,MATCH(AB115,'Sources'!$B$7:$B$10,0)))),AD115/INDEX('Sources'!$G$7:$G$10,MATCH(AB115,'Sources'!$B$7:$B$10,0)),"")</f>
        <v/>
      </c>
      <c r="J115" s="24" t="inlineStr">
        <is>
          <t>EXACT</t>
        </is>
      </c>
      <c r="K115" s="24" t="inlineStr">
        <is>
          <t>2026-09-30</t>
        </is>
      </c>
      <c r="L115" s="71" t="n"/>
      <c r="M115" s="24" t="inlineStr">
        <is>
          <t>Min. qty 4</t>
        </is>
      </c>
      <c r="N115" s="25" t="inlineStr">
        <is>
          <t>https://www.gastro-hero.de/products/schneider-pp-gn-11-deckel-einrastend-530005</t>
        </is>
      </c>
      <c r="O115" s="24" t="inlineStr">
        <is>
          <t>Schneider</t>
        </is>
      </c>
      <c r="P115" s="24" t="inlineStr">
        <is>
          <t>excl.</t>
        </is>
      </c>
      <c r="Q115" s="100" t="n"/>
      <c r="R115" s="24" t="n">
        <v>1</v>
      </c>
      <c r="S115" s="24" t="n"/>
      <c r="T115" s="24" t="inlineStr">
        <is>
          <t>EXACT</t>
        </is>
      </c>
      <c r="U115" s="24" t="inlineStr">
        <is>
          <t>Existing benchmark assignment and match quality retained.</t>
        </is>
      </c>
      <c r="V115" s="98" t="n">
        <v>5.29</v>
      </c>
      <c r="W115" s="98" t="n"/>
      <c r="X115" s="24" t="inlineStr">
        <is>
          <t>YES Gastro Germany Market Research.xlsx</t>
        </is>
      </c>
      <c r="Y115" s="24" t="n"/>
      <c r="Z115" s="24" t="n"/>
      <c r="AA115" s="24" t="n"/>
      <c r="AB115" s="24" t="inlineStr">
        <is>
          <t>EUR</t>
        </is>
      </c>
      <c r="AC115" s="24" t="inlineStr">
        <is>
          <t>yes</t>
        </is>
      </c>
      <c r="AD115" s="24">
        <f>IF(ISNUMBER(V115),V115,"")</f>
        <v/>
      </c>
      <c r="AE115" s="24">
        <f>IF(AND(AC115="yes",ISNUMBER(F115),IF('Compare'!$H$5="All mapped",TRUE,IF('Compare'!$H$5="EXACT only",J115="EXACT",OR(J115="EXACT",J115="CLOSE")))),"yes","no")</f>
        <v/>
      </c>
      <c r="AF115" s="24">
        <f>IF(ISNUMBER(H115),COUNTIFS($B$7:$B$608,B115,$C$7:$C$608,C115,$H$7:$H$608,"&lt;"&amp;H115,$AH$7:$AH$608,"yes")+COUNTIFS($B$7:B115,B115,$C$7:C115,C115,$H$7:H115,H115,$AH$7:AH115,"yes"),"")</f>
        <v/>
      </c>
      <c r="AG115" s="24">
        <f>IF(ISNUMBER(I115),COUNTIFS($B$7:$B$608,B115,$C$7:$C$608,C115,$I$7:$I$608,"&lt;"&amp;I115,$AI$7:$AI$608,"yes")+COUNTIFS($B$7:B115,B115,$C$7:C115,C115,$I$7:I115,I115,$AI$7:AI115,"yes"),"")</f>
        <v/>
      </c>
      <c r="AH115" s="24">
        <f>IF(ISNUMBER(H115),"yes","no")</f>
        <v/>
      </c>
      <c r="AI115" s="24">
        <f>IF(ISNUMBER(I115),"yes","no")</f>
        <v/>
      </c>
      <c r="AJ115" s="101" t="n">
        <v>46295</v>
      </c>
      <c r="AK115" s="24" t="n"/>
    </row>
    <row r="116" ht="42" customHeight="1">
      <c r="A116" s="2" t="n"/>
      <c r="B116" s="27" t="inlineStr">
        <is>
          <t>GN 1/1 PP lid</t>
        </is>
      </c>
      <c r="C116" s="27" t="inlineStr">
        <is>
          <t>Germany</t>
        </is>
      </c>
      <c r="D116" s="27" t="inlineStr">
        <is>
          <t>Gastrodax [substitute]</t>
        </is>
      </c>
      <c r="E116" s="27" t="inlineStr">
        <is>
          <t>Hendi Gastronorm-Deckel, GN 1/1, Transparent, 530x325mm</t>
        </is>
      </c>
      <c r="F116" s="102" t="n">
        <v>16.66</v>
      </c>
      <c r="G116" s="27" t="inlineStr">
        <is>
          <t>EUR</t>
        </is>
      </c>
      <c r="H116" s="102">
        <f>IF(AND(AE116="yes",ISNUMBER(AD116)),AD116,"")</f>
        <v/>
      </c>
      <c r="I116" s="103">
        <f>IF(AND(AE116="yes",ISNUMBER(AD116),ISNUMBER(INDEX('Sources'!$G$7:$G$10,MATCH(AB116,'Sources'!$B$7:$B$10,0)))),AD116/INDEX('Sources'!$G$7:$G$10,MATCH(AB116,'Sources'!$B$7:$B$10,0)),"")</f>
        <v/>
      </c>
      <c r="J116" s="27" t="inlineStr">
        <is>
          <t>CLOSE</t>
        </is>
      </c>
      <c r="K116" s="27" t="inlineStr">
        <is>
          <t>2026-09-30</t>
        </is>
      </c>
      <c r="L116" s="71" t="n"/>
      <c r="M116" s="27" t="inlineStr">
        <is>
          <t>Lid for Hendi polypropylene GN containers; lid material not explicitly stated</t>
        </is>
      </c>
      <c r="N116" s="28" t="inlineStr">
        <is>
          <t>https://www.gastrodax.de/hendi-gastronorm-deckel-gn-1-1-transparent-530-x-325-mm</t>
        </is>
      </c>
      <c r="O116" s="27" t="inlineStr">
        <is>
          <t>Hendi</t>
        </is>
      </c>
      <c r="P116" s="27" t="inlineStr">
        <is>
          <t>excl.</t>
        </is>
      </c>
      <c r="Q116" s="104" t="n"/>
      <c r="R116" s="27" t="n">
        <v>1</v>
      </c>
      <c r="S116" s="27" t="n"/>
      <c r="T116" s="27" t="inlineStr">
        <is>
          <t>CLOSE</t>
        </is>
      </c>
      <c r="U116" s="27" t="inlineStr">
        <is>
          <t>Existing benchmark assignment and match quality retained.</t>
        </is>
      </c>
      <c r="V116" s="102" t="n">
        <v>16.66</v>
      </c>
      <c r="W116" s="102" t="n"/>
      <c r="X116" s="27" t="inlineStr">
        <is>
          <t>YES Gastro Germany Market Research.xlsx</t>
        </is>
      </c>
      <c r="Y116" s="27" t="n"/>
      <c r="Z116" s="27" t="n"/>
      <c r="AA116" s="27" t="n"/>
      <c r="AB116" s="27" t="inlineStr">
        <is>
          <t>EUR</t>
        </is>
      </c>
      <c r="AC116" s="27" t="inlineStr">
        <is>
          <t>yes</t>
        </is>
      </c>
      <c r="AD116" s="27">
        <f>IF(ISNUMBER(V116),V116,"")</f>
        <v/>
      </c>
      <c r="AE116" s="27">
        <f>IF(AND(AC116="yes",ISNUMBER(F116),IF('Compare'!$H$5="All mapped",TRUE,IF('Compare'!$H$5="EXACT only",J116="EXACT",OR(J116="EXACT",J116="CLOSE")))),"yes","no")</f>
        <v/>
      </c>
      <c r="AF116" s="27">
        <f>IF(ISNUMBER(H116),COUNTIFS($B$7:$B$608,B116,$C$7:$C$608,C116,$H$7:$H$608,"&lt;"&amp;H116,$AH$7:$AH$608,"yes")+COUNTIFS($B$7:B116,B116,$C$7:C116,C116,$H$7:H116,H116,$AH$7:AH116,"yes"),"")</f>
        <v/>
      </c>
      <c r="AG116" s="27">
        <f>IF(ISNUMBER(I116),COUNTIFS($B$7:$B$608,B116,$C$7:$C$608,C116,$I$7:$I$608,"&lt;"&amp;I116,$AI$7:$AI$608,"yes")+COUNTIFS($B$7:B116,B116,$C$7:C116,C116,$I$7:I116,I116,$AI$7:AI116,"yes"),"")</f>
        <v/>
      </c>
      <c r="AH116" s="27">
        <f>IF(ISNUMBER(H116),"yes","no")</f>
        <v/>
      </c>
      <c r="AI116" s="27">
        <f>IF(ISNUMBER(I116),"yes","no")</f>
        <v/>
      </c>
      <c r="AJ116" s="105" t="n">
        <v>46295</v>
      </c>
      <c r="AK116" s="27" t="n"/>
    </row>
    <row r="117" ht="42" customHeight="1">
      <c r="A117" s="2" t="n"/>
      <c r="B117" s="24" t="inlineStr">
        <is>
          <t>GN 1/1 PP lid</t>
        </is>
      </c>
      <c r="C117" s="24" t="inlineStr">
        <is>
          <t>Germany</t>
        </is>
      </c>
      <c r="D117" s="24" t="inlineStr">
        <is>
          <t>Gastroladen.de (Harotec GmbH) [substitute]</t>
        </is>
      </c>
      <c r="E117" s="24" t="inlineStr">
        <is>
          <t>Cambro biegsamer Polypropylen Deckel GN 1/1</t>
        </is>
      </c>
      <c r="F117" s="98" t="n">
        <v>11.09</v>
      </c>
      <c r="G117" s="24" t="inlineStr">
        <is>
          <t>EUR</t>
        </is>
      </c>
      <c r="H117" s="98">
        <f>IF(AND(AE117="yes",ISNUMBER(AD117)),AD117,"")</f>
        <v/>
      </c>
      <c r="I117" s="99">
        <f>IF(AND(AE117="yes",ISNUMBER(AD117),ISNUMBER(INDEX('Sources'!$G$7:$G$10,MATCH(AB117,'Sources'!$B$7:$B$10,0)))),AD117/INDEX('Sources'!$G$7:$G$10,MATCH(AB117,'Sources'!$B$7:$B$10,0)),"")</f>
        <v/>
      </c>
      <c r="J117" s="24" t="inlineStr">
        <is>
          <t>EXACT</t>
        </is>
      </c>
      <c r="K117" s="24" t="inlineStr">
        <is>
          <t>2026-09-30</t>
        </is>
      </c>
      <c r="L117" s="71" t="n"/>
      <c r="M117" s="24" t="inlineStr">
        <is>
          <t>Flexible PP lid with seal</t>
        </is>
      </c>
      <c r="N117" s="25" t="inlineStr">
        <is>
          <t>https://www.gastroladen.de/3030@GN-DM743/Cambro-biegsamer-Polypropylen-Deckel-GN-1-1.htm</t>
        </is>
      </c>
      <c r="O117" s="24" t="inlineStr">
        <is>
          <t>Cambro</t>
        </is>
      </c>
      <c r="P117" s="24" t="inlineStr">
        <is>
          <t>incl.</t>
        </is>
      </c>
      <c r="Q117" s="100" t="n"/>
      <c r="R117" s="24" t="n">
        <v>1</v>
      </c>
      <c r="S117" s="24" t="n"/>
      <c r="T117" s="24" t="inlineStr">
        <is>
          <t>EXACT</t>
        </is>
      </c>
      <c r="U117" s="24" t="inlineStr">
        <is>
          <t>Existing benchmark assignment and match quality retained.</t>
        </is>
      </c>
      <c r="V117" s="98" t="n">
        <v>9.32</v>
      </c>
      <c r="W117" s="98" t="n"/>
      <c r="X117" s="24" t="inlineStr">
        <is>
          <t>YES Gastro Germany Market Research.xlsx</t>
        </is>
      </c>
      <c r="Y117" s="24" t="n"/>
      <c r="Z117" s="24" t="n"/>
      <c r="AA117" s="24" t="n"/>
      <c r="AB117" s="24" t="inlineStr">
        <is>
          <t>EUR</t>
        </is>
      </c>
      <c r="AC117" s="24" t="inlineStr">
        <is>
          <t>yes</t>
        </is>
      </c>
      <c r="AD117" s="24">
        <f>IF(ISNUMBER(V117),V117,"")</f>
        <v/>
      </c>
      <c r="AE117" s="24">
        <f>IF(AND(AC117="yes",ISNUMBER(F117),IF('Compare'!$H$5="All mapped",TRUE,IF('Compare'!$H$5="EXACT only",J117="EXACT",OR(J117="EXACT",J117="CLOSE")))),"yes","no")</f>
        <v/>
      </c>
      <c r="AF117" s="24">
        <f>IF(ISNUMBER(H117),COUNTIFS($B$7:$B$608,B117,$C$7:$C$608,C117,$H$7:$H$608,"&lt;"&amp;H117,$AH$7:$AH$608,"yes")+COUNTIFS($B$7:B117,B117,$C$7:C117,C117,$H$7:H117,H117,$AH$7:AH117,"yes"),"")</f>
        <v/>
      </c>
      <c r="AG117" s="24">
        <f>IF(ISNUMBER(I117),COUNTIFS($B$7:$B$608,B117,$C$7:$C$608,C117,$I$7:$I$608,"&lt;"&amp;I117,$AI$7:$AI$608,"yes")+COUNTIFS($B$7:B117,B117,$C$7:C117,C117,$I$7:I117,I117,$AI$7:AI117,"yes"),"")</f>
        <v/>
      </c>
      <c r="AH117" s="24">
        <f>IF(ISNUMBER(H117),"yes","no")</f>
        <v/>
      </c>
      <c r="AI117" s="24">
        <f>IF(ISNUMBER(I117),"yes","no")</f>
        <v/>
      </c>
      <c r="AJ117" s="101" t="n">
        <v>46295</v>
      </c>
      <c r="AK117" s="24" t="n"/>
    </row>
    <row r="118" ht="42" customHeight="1">
      <c r="A118" s="2" t="n"/>
      <c r="B118" s="27" t="inlineStr">
        <is>
          <t>GN 1/1 PP lid</t>
        </is>
      </c>
      <c r="C118" s="27" t="inlineStr">
        <is>
          <t>Germany</t>
        </is>
      </c>
      <c r="D118" s="27" t="inlineStr">
        <is>
          <t>Intergastro</t>
        </is>
      </c>
      <c r="E118" s="27" t="inlineStr">
        <is>
          <t>GN Deckel GN 89 GN 1/1 Polypropylen weiß</t>
        </is>
      </c>
      <c r="F118" s="102" t="n">
        <v>7.5</v>
      </c>
      <c r="G118" s="27" t="inlineStr">
        <is>
          <t>EUR</t>
        </is>
      </c>
      <c r="H118" s="102">
        <f>IF(AND(AE118="yes",ISNUMBER(AD118)),AD118,"")</f>
        <v/>
      </c>
      <c r="I118" s="103">
        <f>IF(AND(AE118="yes",ISNUMBER(AD118),ISNUMBER(INDEX('Sources'!$G$7:$G$10,MATCH(AB118,'Sources'!$B$7:$B$10,0)))),AD118/INDEX('Sources'!$G$7:$G$10,MATCH(AB118,'Sources'!$B$7:$B$10,0)),"")</f>
        <v/>
      </c>
      <c r="J118" s="27" t="inlineStr">
        <is>
          <t>EXACT</t>
        </is>
      </c>
      <c r="K118" s="27" t="inlineStr">
        <is>
          <t>2026-09-30</t>
        </is>
      </c>
      <c r="L118" s="71" t="n"/>
      <c r="M118" s="27" t="n"/>
      <c r="N118" s="28" t="inlineStr">
        <is>
          <t>https://www.intergastro.de/gn-deckel-gn-89-gn-1-1-polypropylen-weiss-252554</t>
        </is>
      </c>
      <c r="O118" s="27" t="inlineStr">
        <is>
          <t>WAS Germany</t>
        </is>
      </c>
      <c r="P118" s="27" t="inlineStr">
        <is>
          <t>excl.</t>
        </is>
      </c>
      <c r="Q118" s="104" t="n"/>
      <c r="R118" s="27" t="n">
        <v>1</v>
      </c>
      <c r="S118" s="27" t="n"/>
      <c r="T118" s="27" t="inlineStr">
        <is>
          <t>EXACT</t>
        </is>
      </c>
      <c r="U118" s="27" t="inlineStr">
        <is>
          <t>Existing benchmark assignment and match quality retained.</t>
        </is>
      </c>
      <c r="V118" s="102" t="n">
        <v>7.5</v>
      </c>
      <c r="W118" s="102" t="n"/>
      <c r="X118" s="27" t="inlineStr">
        <is>
          <t>YES Gastro Germany Market Research.xlsx</t>
        </is>
      </c>
      <c r="Y118" s="27" t="n"/>
      <c r="Z118" s="27" t="n"/>
      <c r="AA118" s="27" t="n"/>
      <c r="AB118" s="27" t="inlineStr">
        <is>
          <t>EUR</t>
        </is>
      </c>
      <c r="AC118" s="27" t="inlineStr">
        <is>
          <t>yes</t>
        </is>
      </c>
      <c r="AD118" s="27">
        <f>IF(ISNUMBER(V118),V118,"")</f>
        <v/>
      </c>
      <c r="AE118" s="27">
        <f>IF(AND(AC118="yes",ISNUMBER(F118),IF('Compare'!$H$5="All mapped",TRUE,IF('Compare'!$H$5="EXACT only",J118="EXACT",OR(J118="EXACT",J118="CLOSE")))),"yes","no")</f>
        <v/>
      </c>
      <c r="AF118" s="27">
        <f>IF(ISNUMBER(H118),COUNTIFS($B$7:$B$608,B118,$C$7:$C$608,C118,$H$7:$H$608,"&lt;"&amp;H118,$AH$7:$AH$608,"yes")+COUNTIFS($B$7:B118,B118,$C$7:C118,C118,$H$7:H118,H118,$AH$7:AH118,"yes"),"")</f>
        <v/>
      </c>
      <c r="AG118" s="27">
        <f>IF(ISNUMBER(I118),COUNTIFS($B$7:$B$608,B118,$C$7:$C$608,C118,$I$7:$I$608,"&lt;"&amp;I118,$AI$7:$AI$608,"yes")+COUNTIFS($B$7:B118,B118,$C$7:C118,C118,$I$7:I118,I118,$AI$7:AI118,"yes"),"")</f>
        <v/>
      </c>
      <c r="AH118" s="27">
        <f>IF(ISNUMBER(H118),"yes","no")</f>
        <v/>
      </c>
      <c r="AI118" s="27">
        <f>IF(ISNUMBER(I118),"yes","no")</f>
        <v/>
      </c>
      <c r="AJ118" s="105" t="n">
        <v>46295</v>
      </c>
      <c r="AK118" s="27" t="n"/>
    </row>
    <row r="119" ht="42" customHeight="1">
      <c r="A119" s="2" t="n"/>
      <c r="B119" s="24" t="inlineStr">
        <is>
          <t>GN 1/1 PP lid</t>
        </is>
      </c>
      <c r="C119" s="24" t="inlineStr">
        <is>
          <t>Germany</t>
        </is>
      </c>
      <c r="D119" s="24" t="inlineStr">
        <is>
          <t>Nisbets</t>
        </is>
      </c>
      <c r="E119" s="24" t="inlineStr">
        <is>
          <t>Nisbets Essentials Gastronorm-Deckel 1/1 aus Polypropylen, transparent</t>
        </is>
      </c>
      <c r="F119" s="98" t="n">
        <v>4.99</v>
      </c>
      <c r="G119" s="24" t="inlineStr">
        <is>
          <t>EUR</t>
        </is>
      </c>
      <c r="H119" s="98">
        <f>IF(AND(AE119="yes",ISNUMBER(AD119)),AD119,"")</f>
        <v/>
      </c>
      <c r="I119" s="99">
        <f>IF(AND(AE119="yes",ISNUMBER(AD119),ISNUMBER(INDEX('Sources'!$G$7:$G$10,MATCH(AB119,'Sources'!$B$7:$B$10,0)))),AD119/INDEX('Sources'!$G$7:$G$10,MATCH(AB119,'Sources'!$B$7:$B$10,0)),"")</f>
        <v/>
      </c>
      <c r="J119" s="24" t="inlineStr">
        <is>
          <t>EXACT</t>
        </is>
      </c>
      <c r="K119" s="24" t="inlineStr">
        <is>
          <t>2026-09-30</t>
        </is>
      </c>
      <c r="L119" s="71" t="n"/>
      <c r="M119" s="24" t="inlineStr">
        <is>
          <t>UVP 6.49; Cambro soft-seal PP lid DM743: 6.09</t>
        </is>
      </c>
      <c r="N119" s="25" t="inlineStr">
        <is>
          <t>https://www.nisbets.de/nisbets-essentials-gastronorm-deckel-1zu1-aus-polypropylenkma-transparent/fa826</t>
        </is>
      </c>
      <c r="O119" s="24" t="inlineStr">
        <is>
          <t>Nisbets Essentials</t>
        </is>
      </c>
      <c r="P119" s="24" t="inlineStr">
        <is>
          <t>excl.</t>
        </is>
      </c>
      <c r="Q119" s="100" t="n"/>
      <c r="R119" s="24" t="n">
        <v>1</v>
      </c>
      <c r="S119" s="24" t="n"/>
      <c r="T119" s="24" t="inlineStr">
        <is>
          <t>EXACT</t>
        </is>
      </c>
      <c r="U119" s="24" t="inlineStr">
        <is>
          <t>Existing benchmark assignment and match quality retained.</t>
        </is>
      </c>
      <c r="V119" s="98" t="n">
        <v>4.99</v>
      </c>
      <c r="W119" s="98" t="n"/>
      <c r="X119" s="24" t="inlineStr">
        <is>
          <t>YES Gastro Germany Market Research.xlsx</t>
        </is>
      </c>
      <c r="Y119" s="24" t="n"/>
      <c r="Z119" s="24" t="n"/>
      <c r="AA119" s="24" t="n"/>
      <c r="AB119" s="24" t="inlineStr">
        <is>
          <t>EUR</t>
        </is>
      </c>
      <c r="AC119" s="24" t="inlineStr">
        <is>
          <t>yes</t>
        </is>
      </c>
      <c r="AD119" s="24">
        <f>IF(ISNUMBER(V119),V119,"")</f>
        <v/>
      </c>
      <c r="AE119" s="24">
        <f>IF(AND(AC119="yes",ISNUMBER(F119),IF('Compare'!$H$5="All mapped",TRUE,IF('Compare'!$H$5="EXACT only",J119="EXACT",OR(J119="EXACT",J119="CLOSE")))),"yes","no")</f>
        <v/>
      </c>
      <c r="AF119" s="24">
        <f>IF(ISNUMBER(H119),COUNTIFS($B$7:$B$608,B119,$C$7:$C$608,C119,$H$7:$H$608,"&lt;"&amp;H119,$AH$7:$AH$608,"yes")+COUNTIFS($B$7:B119,B119,$C$7:C119,C119,$H$7:H119,H119,$AH$7:AH119,"yes"),"")</f>
        <v/>
      </c>
      <c r="AG119" s="24">
        <f>IF(ISNUMBER(I119),COUNTIFS($B$7:$B$608,B119,$C$7:$C$608,C119,$I$7:$I$608,"&lt;"&amp;I119,$AI$7:$AI$608,"yes")+COUNTIFS($B$7:B119,B119,$C$7:C119,C119,$I$7:I119,I119,$AI$7:AI119,"yes"),"")</f>
        <v/>
      </c>
      <c r="AH119" s="24">
        <f>IF(ISNUMBER(H119),"yes","no")</f>
        <v/>
      </c>
      <c r="AI119" s="24">
        <f>IF(ISNUMBER(I119),"yes","no")</f>
        <v/>
      </c>
      <c r="AJ119" s="101" t="n">
        <v>46295</v>
      </c>
      <c r="AK119" s="24" t="n"/>
    </row>
    <row r="120" ht="66" customHeight="1">
      <c r="A120" s="2" t="n"/>
      <c r="B120" s="27" t="inlineStr">
        <is>
          <t>GN 1/1 PP lid</t>
        </is>
      </c>
      <c r="C120" s="27" t="inlineStr">
        <is>
          <t>Czech</t>
        </is>
      </c>
      <c r="D120" s="27" t="inlineStr">
        <is>
          <t>GGM Gastro (CZ storefront)</t>
        </is>
      </c>
      <c r="E120" s="27" t="inlineStr">
        <is>
          <t>(6 kusů) CAMBRO SafeTrak - Polypropylenové víko GN 1/1 - červené</t>
        </is>
      </c>
      <c r="F120" s="102" t="n">
        <v>802.9400000000001</v>
      </c>
      <c r="G120" s="27" t="inlineStr">
        <is>
          <t>CZK</t>
        </is>
      </c>
      <c r="H120" s="102">
        <f>IF(AND(AE120="yes",ISNUMBER(AD120)),AD120,"")</f>
        <v/>
      </c>
      <c r="I120" s="103">
        <f>IF(AND(AE120="yes",ISNUMBER(AD120),ISNUMBER(INDEX('Sources'!$G$7:$G$10,MATCH(AB120,'Sources'!$B$7:$B$10,0)))),AD120/INDEX('Sources'!$G$7:$G$10,MATCH(AB120,'Sources'!$B$7:$B$10,0)),"")</f>
        <v/>
      </c>
      <c r="J120" s="27" t="inlineStr">
        <is>
          <t>EXACT</t>
        </is>
      </c>
      <c r="K120" s="27" t="inlineStr">
        <is>
          <t>2026-09-30</t>
        </is>
      </c>
      <c r="L120" s="71" t="n"/>
      <c r="M120" s="27" t="inlineStr">
        <is>
          <t>Net CZK price as displayed; page footnote: "* čistá cena | hrubá cena vč. 19% DPH" (German VAT 19% used on the CZ storefront). SKU 10PPCWSC544, PP, pack of 6; gross 955.50 CZK; in stock. GGM own-brand PP lid GPPL11-12 (717.76 CZK) has conflicting pack size (title 12 pcs, specs 6 pcs) and is available only from 19.10.2026 - not used.</t>
        </is>
      </c>
      <c r="N120" s="28" t="inlineStr">
        <is>
          <t>https://www.ggmgastro.com/cs-cz-czk/6-kusu-cambro-safetrak-polypropylenove-viko-gn-1-1-cervene-10ppcwsc544</t>
        </is>
      </c>
      <c r="O120" s="27" t="inlineStr">
        <is>
          <t>Cambro</t>
        </is>
      </c>
      <c r="P120" s="27" t="inlineStr">
        <is>
          <t>excl.</t>
        </is>
      </c>
      <c r="Q120" s="104" t="n">
        <v>0.19</v>
      </c>
      <c r="R120" s="27" t="n">
        <v>6</v>
      </c>
      <c r="S120" s="27" t="inlineStr">
        <is>
          <t>per pack</t>
        </is>
      </c>
      <c r="T120" s="27" t="inlineStr">
        <is>
          <t>EXACT</t>
        </is>
      </c>
      <c r="U120" s="27" t="inlineStr">
        <is>
          <t>Existing benchmark assignment and match quality retained.</t>
        </is>
      </c>
      <c r="V120" s="102" t="n"/>
      <c r="W120" s="102" t="n"/>
      <c r="X120" s="27" t="inlineStr">
        <is>
          <t>YES Gastro Czech Market Research.xlsx</t>
        </is>
      </c>
      <c r="Y120" s="27" t="n"/>
      <c r="Z120" s="27" t="n"/>
      <c r="AA120" s="27" t="n"/>
      <c r="AB120" s="27" t="inlineStr">
        <is>
          <t>CZK</t>
        </is>
      </c>
      <c r="AC120" s="27" t="inlineStr">
        <is>
          <t>yes</t>
        </is>
      </c>
      <c r="AD120" s="27">
        <f>IF(OR(F120="",Q120="",R120=""),"",ROUND(IF(P120="incl.",F120/(1+Q120),F120)/IF(S120="per pack",R120,1),2))</f>
        <v/>
      </c>
      <c r="AE120" s="27">
        <f>IF(AND(AC120="yes",ISNUMBER(F120),IF('Compare'!$H$5="All mapped",TRUE,IF('Compare'!$H$5="EXACT only",J120="EXACT",OR(J120="EXACT",J120="CLOSE")))),"yes","no")</f>
        <v/>
      </c>
      <c r="AF120" s="27">
        <f>IF(ISNUMBER(H120),COUNTIFS($B$7:$B$608,B120,$C$7:$C$608,C120,$H$7:$H$608,"&lt;"&amp;H120,$AH$7:$AH$608,"yes")+COUNTIFS($B$7:B120,B120,$C$7:C120,C120,$H$7:H120,H120,$AH$7:AH120,"yes"),"")</f>
        <v/>
      </c>
      <c r="AG120" s="27">
        <f>IF(ISNUMBER(I120),COUNTIFS($B$7:$B$608,B120,$C$7:$C$608,C120,$I$7:$I$608,"&lt;"&amp;I120,$AI$7:$AI$608,"yes")+COUNTIFS($B$7:B120,B120,$C$7:C120,C120,$I$7:I120,I120,$AI$7:AI120,"yes"),"")</f>
        <v/>
      </c>
      <c r="AH120" s="27">
        <f>IF(ISNUMBER(H120),"yes","no")</f>
        <v/>
      </c>
      <c r="AI120" s="27">
        <f>IF(ISNUMBER(I120),"yes","no")</f>
        <v/>
      </c>
      <c r="AJ120" s="105" t="n">
        <v>46295</v>
      </c>
      <c r="AK120" s="27" t="n"/>
    </row>
    <row r="121" ht="42" customHeight="1">
      <c r="A121" s="2" t="n"/>
      <c r="B121" s="24" t="inlineStr">
        <is>
          <t>GN 1/1 PP lid</t>
        </is>
      </c>
      <c r="C121" s="24" t="inlineStr">
        <is>
          <t>Czech</t>
        </is>
      </c>
      <c r="D121" s="24" t="inlineStr">
        <is>
          <t>Gastro Novotný</t>
        </is>
      </c>
      <c r="E121" s="24" t="inlineStr">
        <is>
          <t>Víko 1/1 polypropylen barevné</t>
        </is>
      </c>
      <c r="F121" s="98" t="n">
        <v>105</v>
      </c>
      <c r="G121" s="24" t="inlineStr">
        <is>
          <t>CZK</t>
        </is>
      </c>
      <c r="H121" s="98">
        <f>IF(AND(AE121="yes",ISNUMBER(AD121)),AD121,"")</f>
        <v/>
      </c>
      <c r="I121" s="99">
        <f>IF(AND(AE121="yes",ISNUMBER(AD121),ISNUMBER(INDEX('Sources'!$G$7:$G$10,MATCH(AB121,'Sources'!$B$7:$B$10,0)))),AD121/INDEX('Sources'!$G$7:$G$10,MATCH(AB121,'Sources'!$B$7:$B$10,0)),"")</f>
        <v/>
      </c>
      <c r="J121" s="24" t="inlineStr">
        <is>
          <t>EXACT</t>
        </is>
      </c>
      <c r="K121" s="24" t="inlineStr">
        <is>
          <t>2026-09-30</t>
        </is>
      </c>
      <c r="L121" s="71" t="n"/>
      <c r="M121" s="24" t="inlineStr">
        <is>
          <t>Code 1814722-11; PP lid 530x325 mm, coloured; 127.05 CZK incl. VAT. Alternative: Víko 1/1 polypropylen PIAZZA 119.01 CZK excl.</t>
        </is>
      </c>
      <c r="N121" s="25" t="inlineStr">
        <is>
          <t>https://eshop.gastronovotny.cz/viko-1-1-polypropylen-barevne--1814722-11/</t>
        </is>
      </c>
      <c r="O121" s="24" t="n"/>
      <c r="P121" s="24" t="inlineStr">
        <is>
          <t>excl.</t>
        </is>
      </c>
      <c r="Q121" s="100" t="n">
        <v>0.21</v>
      </c>
      <c r="R121" s="24" t="n">
        <v>1</v>
      </c>
      <c r="S121" s="24" t="inlineStr">
        <is>
          <t>per piece</t>
        </is>
      </c>
      <c r="T121" s="24" t="inlineStr">
        <is>
          <t>EXACT</t>
        </is>
      </c>
      <c r="U121" s="24" t="inlineStr">
        <is>
          <t>Existing benchmark assignment and match quality retained.</t>
        </is>
      </c>
      <c r="V121" s="98" t="n"/>
      <c r="W121" s="98" t="n"/>
      <c r="X121" s="24" t="inlineStr">
        <is>
          <t>YES Gastro Czech Market Research.xlsx</t>
        </is>
      </c>
      <c r="Y121" s="24" t="n"/>
      <c r="Z121" s="24" t="n"/>
      <c r="AA121" s="24" t="n"/>
      <c r="AB121" s="24" t="inlineStr">
        <is>
          <t>CZK</t>
        </is>
      </c>
      <c r="AC121" s="24" t="inlineStr">
        <is>
          <t>yes</t>
        </is>
      </c>
      <c r="AD121" s="24">
        <f>IF(OR(F121="",Q121="",R121=""),"",ROUND(IF(P121="incl.",F121/(1+Q121),F121)/IF(S121="per pack",R121,1),2))</f>
        <v/>
      </c>
      <c r="AE121" s="24">
        <f>IF(AND(AC121="yes",ISNUMBER(F121),IF('Compare'!$H$5="All mapped",TRUE,IF('Compare'!$H$5="EXACT only",J121="EXACT",OR(J121="EXACT",J121="CLOSE")))),"yes","no")</f>
        <v/>
      </c>
      <c r="AF121" s="24">
        <f>IF(ISNUMBER(H121),COUNTIFS($B$7:$B$608,B121,$C$7:$C$608,C121,$H$7:$H$608,"&lt;"&amp;H121,$AH$7:$AH$608,"yes")+COUNTIFS($B$7:B121,B121,$C$7:C121,C121,$H$7:H121,H121,$AH$7:AH121,"yes"),"")</f>
        <v/>
      </c>
      <c r="AG121" s="24">
        <f>IF(ISNUMBER(I121),COUNTIFS($B$7:$B$608,B121,$C$7:$C$608,C121,$I$7:$I$608,"&lt;"&amp;I121,$AI$7:$AI$608,"yes")+COUNTIFS($B$7:B121,B121,$C$7:C121,C121,$I$7:I121,I121,$AI$7:AI121,"yes"),"")</f>
        <v/>
      </c>
      <c r="AH121" s="24">
        <f>IF(ISNUMBER(H121),"yes","no")</f>
        <v/>
      </c>
      <c r="AI121" s="24">
        <f>IF(ISNUMBER(I121),"yes","no")</f>
        <v/>
      </c>
      <c r="AJ121" s="101" t="n">
        <v>46295</v>
      </c>
      <c r="AK121" s="24" t="n"/>
    </row>
    <row r="122" ht="52" customHeight="1">
      <c r="A122" s="2" t="n"/>
      <c r="B122" s="27" t="inlineStr">
        <is>
          <t>GN 1/1 PP lid</t>
        </is>
      </c>
      <c r="C122" s="27" t="inlineStr">
        <is>
          <t>Czech</t>
        </is>
      </c>
      <c r="D122" s="27" t="inlineStr">
        <is>
          <t>Gastromania</t>
        </is>
      </c>
      <c r="E122" s="27" t="inlineStr">
        <is>
          <t>Víko na nádobu GN 1/1 | APS, 82101</t>
        </is>
      </c>
      <c r="F122" s="102" t="n">
        <v>97</v>
      </c>
      <c r="G122" s="27" t="inlineStr">
        <is>
          <t>CZK</t>
        </is>
      </c>
      <c r="H122" s="102">
        <f>IF(AND(AE122="yes",ISNUMBER(AD122)),AD122,"")</f>
        <v/>
      </c>
      <c r="I122" s="103">
        <f>IF(AND(AE122="yes",ISNUMBER(AD122),ISNUMBER(INDEX('Sources'!$G$7:$G$10,MATCH(AB122,'Sources'!$B$7:$B$10,0)))),AD122/INDEX('Sources'!$G$7:$G$10,MATCH(AB122,'Sources'!$B$7:$B$10,0)),"")</f>
        <v/>
      </c>
      <c r="J122" s="27" t="inlineStr">
        <is>
          <t>EXACT</t>
        </is>
      </c>
      <c r="K122" s="27" t="inlineStr">
        <is>
          <t>2026-09-30</t>
        </is>
      </c>
      <c r="L122" s="71" t="n"/>
      <c r="M122" s="27" t="inlineStr">
        <is>
          <t>PP lid 530x325; 117 CZK incl. Discounted from 190 excl. / 230 incl. (30-day low 207); availability 21 days. Regular-priced alternative: Redfox VPP 1/1 99 excl. / 120 incl.</t>
        </is>
      </c>
      <c r="N122" s="28" t="inlineStr">
        <is>
          <t>https://www.gastromania.cz/vika-gn-polypropylenove/viko-na-nadobu-gn-1-1-aps-82101</t>
        </is>
      </c>
      <c r="O122" s="27" t="inlineStr">
        <is>
          <t>APS</t>
        </is>
      </c>
      <c r="P122" s="27" t="inlineStr">
        <is>
          <t>excl.</t>
        </is>
      </c>
      <c r="Q122" s="104" t="n">
        <v>0.21</v>
      </c>
      <c r="R122" s="27" t="n">
        <v>1</v>
      </c>
      <c r="S122" s="27" t="inlineStr">
        <is>
          <t>per piece</t>
        </is>
      </c>
      <c r="T122" s="27" t="inlineStr">
        <is>
          <t>EXACT</t>
        </is>
      </c>
      <c r="U122" s="27" t="inlineStr">
        <is>
          <t>Existing benchmark assignment and match quality retained.</t>
        </is>
      </c>
      <c r="V122" s="102" t="n"/>
      <c r="W122" s="102" t="n"/>
      <c r="X122" s="27" t="inlineStr">
        <is>
          <t>YES Gastro Czech Market Research.xlsx</t>
        </is>
      </c>
      <c r="Y122" s="27" t="n"/>
      <c r="Z122" s="27" t="n"/>
      <c r="AA122" s="27" t="n"/>
      <c r="AB122" s="27" t="inlineStr">
        <is>
          <t>CZK</t>
        </is>
      </c>
      <c r="AC122" s="27" t="inlineStr">
        <is>
          <t>yes</t>
        </is>
      </c>
      <c r="AD122" s="27">
        <f>IF(OR(F122="",Q122="",R122=""),"",ROUND(IF(P122="incl.",F122/(1+Q122),F122)/IF(S122="per pack",R122,1),2))</f>
        <v/>
      </c>
      <c r="AE122" s="27">
        <f>IF(AND(AC122="yes",ISNUMBER(F122),IF('Compare'!$H$5="All mapped",TRUE,IF('Compare'!$H$5="EXACT only",J122="EXACT",OR(J122="EXACT",J122="CLOSE")))),"yes","no")</f>
        <v/>
      </c>
      <c r="AF122" s="27">
        <f>IF(ISNUMBER(H122),COUNTIFS($B$7:$B$608,B122,$C$7:$C$608,C122,$H$7:$H$608,"&lt;"&amp;H122,$AH$7:$AH$608,"yes")+COUNTIFS($B$7:B122,B122,$C$7:C122,C122,$H$7:H122,H122,$AH$7:AH122,"yes"),"")</f>
        <v/>
      </c>
      <c r="AG122" s="27">
        <f>IF(ISNUMBER(I122),COUNTIFS($B$7:$B$608,B122,$C$7:$C$608,C122,$I$7:$I$608,"&lt;"&amp;I122,$AI$7:$AI$608,"yes")+COUNTIFS($B$7:B122,B122,$C$7:C122,C122,$I$7:I122,I122,$AI$7:AI122,"yes"),"")</f>
        <v/>
      </c>
      <c r="AH122" s="27">
        <f>IF(ISNUMBER(H122),"yes","no")</f>
        <v/>
      </c>
      <c r="AI122" s="27">
        <f>IF(ISNUMBER(I122),"yes","no")</f>
        <v/>
      </c>
      <c r="AJ122" s="105" t="n">
        <v>46295</v>
      </c>
      <c r="AK122" s="27" t="n"/>
    </row>
    <row r="123" ht="42" customHeight="1">
      <c r="A123" s="2" t="n"/>
      <c r="B123" s="24" t="inlineStr">
        <is>
          <t>GN 1/1 PP lid</t>
        </is>
      </c>
      <c r="C123" s="24" t="inlineStr">
        <is>
          <t>Czech</t>
        </is>
      </c>
      <c r="D123" s="24" t="inlineStr">
        <is>
          <t>Gastrozone</t>
        </is>
      </c>
      <c r="E123" s="24" t="inlineStr">
        <is>
          <t>víko na gastronádobu GN 1/1 polypropylen Pujadas</t>
        </is>
      </c>
      <c r="F123" s="98" t="n">
        <v>350</v>
      </c>
      <c r="G123" s="24" t="inlineStr">
        <is>
          <t>CZK</t>
        </is>
      </c>
      <c r="H123" s="98">
        <f>IF(AND(AE123="yes",ISNUMBER(AD123)),AD123,"")</f>
        <v/>
      </c>
      <c r="I123" s="99">
        <f>IF(AND(AE123="yes",ISNUMBER(AD123),ISNUMBER(INDEX('Sources'!$G$7:$G$10,MATCH(AB123,'Sources'!$B$7:$B$10,0)))),AD123/INDEX('Sources'!$G$7:$G$10,MATCH(AB123,'Sources'!$B$7:$B$10,0)),"")</f>
        <v/>
      </c>
      <c r="J123" s="24" t="inlineStr">
        <is>
          <t>EXACT</t>
        </is>
      </c>
      <c r="K123" s="24" t="inlineStr">
        <is>
          <t>2026-09-30</t>
        </is>
      </c>
      <c r="L123" s="71" t="n"/>
      <c r="M123" s="24" t="inlineStr">
        <is>
          <t>289.26 CZK bez DPH; in stock</t>
        </is>
      </c>
      <c r="N123" s="25" t="inlineStr">
        <is>
          <t>https://www.gastrozone.cz/viko-na-gastronadobu-gn-1-1-polypropylen-pujadas.html</t>
        </is>
      </c>
      <c r="O123" s="24" t="inlineStr">
        <is>
          <t>Vollrath Pujadas</t>
        </is>
      </c>
      <c r="P123" s="24" t="inlineStr">
        <is>
          <t>incl.</t>
        </is>
      </c>
      <c r="Q123" s="100" t="n">
        <v>0.21</v>
      </c>
      <c r="R123" s="24" t="n">
        <v>1</v>
      </c>
      <c r="S123" s="24" t="inlineStr">
        <is>
          <t>per piece</t>
        </is>
      </c>
      <c r="T123" s="24" t="inlineStr">
        <is>
          <t>EXACT</t>
        </is>
      </c>
      <c r="U123" s="24" t="inlineStr">
        <is>
          <t>Existing benchmark assignment and match quality retained.</t>
        </is>
      </c>
      <c r="V123" s="98" t="n"/>
      <c r="W123" s="98" t="n"/>
      <c r="X123" s="24" t="inlineStr">
        <is>
          <t>YES Gastro Czech Market Research.xlsx</t>
        </is>
      </c>
      <c r="Y123" s="24" t="n"/>
      <c r="Z123" s="24" t="n"/>
      <c r="AA123" s="24" t="n"/>
      <c r="AB123" s="24" t="inlineStr">
        <is>
          <t>CZK</t>
        </is>
      </c>
      <c r="AC123" s="24" t="inlineStr">
        <is>
          <t>yes</t>
        </is>
      </c>
      <c r="AD123" s="24">
        <f>IF(OR(F123="",Q123="",R123=""),"",ROUND(IF(P123="incl.",F123/(1+Q123),F123)/IF(S123="per pack",R123,1),2))</f>
        <v/>
      </c>
      <c r="AE123" s="24">
        <f>IF(AND(AC123="yes",ISNUMBER(F123),IF('Compare'!$H$5="All mapped",TRUE,IF('Compare'!$H$5="EXACT only",J123="EXACT",OR(J123="EXACT",J123="CLOSE")))),"yes","no")</f>
        <v/>
      </c>
      <c r="AF123" s="24">
        <f>IF(ISNUMBER(H123),COUNTIFS($B$7:$B$608,B123,$C$7:$C$608,C123,$H$7:$H$608,"&lt;"&amp;H123,$AH$7:$AH$608,"yes")+COUNTIFS($B$7:B123,B123,$C$7:C123,C123,$H$7:H123,H123,$AH$7:AH123,"yes"),"")</f>
        <v/>
      </c>
      <c r="AG123" s="24">
        <f>IF(ISNUMBER(I123),COUNTIFS($B$7:$B$608,B123,$C$7:$C$608,C123,$I$7:$I$608,"&lt;"&amp;I123,$AI$7:$AI$608,"yes")+COUNTIFS($B$7:B123,B123,$C$7:C123,C123,$I$7:I123,I123,$AI$7:AI123,"yes"),"")</f>
        <v/>
      </c>
      <c r="AH123" s="24">
        <f>IF(ISNUMBER(H123),"yes","no")</f>
        <v/>
      </c>
      <c r="AI123" s="24">
        <f>IF(ISNUMBER(I123),"yes","no")</f>
        <v/>
      </c>
      <c r="AJ123" s="101" t="n">
        <v>46295</v>
      </c>
      <c r="AK123" s="24" t="n"/>
    </row>
    <row r="124" ht="66" customHeight="1">
      <c r="A124" s="2" t="n"/>
      <c r="B124" s="27" t="inlineStr">
        <is>
          <t>GN 1/1 PP lid</t>
        </is>
      </c>
      <c r="C124" s="27" t="inlineStr">
        <is>
          <t>Czech</t>
        </is>
      </c>
      <c r="D124" s="27" t="inlineStr">
        <is>
          <t>TOMGAST</t>
        </is>
      </c>
      <c r="E124" s="27" t="inlineStr">
        <is>
          <t>Těsnící víko pro gastronádobu GN 1/1</t>
        </is>
      </c>
      <c r="F124" s="102" t="n">
        <v>204</v>
      </c>
      <c r="G124" s="27" t="inlineStr">
        <is>
          <t>CZK</t>
        </is>
      </c>
      <c r="H124" s="102">
        <f>IF(AND(AE124="yes",ISNUMBER(AD124)),AD124,"")</f>
        <v/>
      </c>
      <c r="I124" s="103">
        <f>IF(AND(AE124="yes",ISNUMBER(AD124),ISNUMBER(INDEX('Sources'!$G$7:$G$10,MATCH(AB124,'Sources'!$B$7:$B$10,0)))),AD124/INDEX('Sources'!$G$7:$G$10,MATCH(AB124,'Sources'!$B$7:$B$10,0)),"")</f>
        <v/>
      </c>
      <c r="J124" s="27" t="inlineStr">
        <is>
          <t>CLOSE</t>
        </is>
      </c>
      <c r="K124" s="27" t="inlineStr">
        <is>
          <t>2026-09-30</t>
        </is>
      </c>
      <c r="L124" s="71" t="n"/>
      <c r="M124" s="27" t="inlineStr">
        <is>
          <t>Code R-MP11001 (seal cover for PC and PP containers). Product page states material "polykarbonát", not polypropylene - material differs/unclear. Page text "Cena uvedena za 1 kus/6 ks v balení": price read as per piece. 169 CZK bez DPH. No PP GN 1/1 lid found.</t>
        </is>
      </c>
      <c r="N124" s="28" t="inlineStr">
        <is>
          <t>https://www.tomgast.cz/tesnici-viko-pro-gastronadobu-gn-1-1/</t>
        </is>
      </c>
      <c r="O124" s="27" t="inlineStr">
        <is>
          <t>Cambro</t>
        </is>
      </c>
      <c r="P124" s="27" t="inlineStr">
        <is>
          <t>incl.</t>
        </is>
      </c>
      <c r="Q124" s="104" t="n">
        <v>0.21</v>
      </c>
      <c r="R124" s="27" t="n">
        <v>1</v>
      </c>
      <c r="S124" s="27" t="inlineStr">
        <is>
          <t>per piece</t>
        </is>
      </c>
      <c r="T124" s="27" t="inlineStr">
        <is>
          <t>CLOSE</t>
        </is>
      </c>
      <c r="U124" s="27" t="inlineStr">
        <is>
          <t>Existing benchmark assignment and match quality retained.</t>
        </is>
      </c>
      <c r="V124" s="102" t="n"/>
      <c r="W124" s="102" t="n"/>
      <c r="X124" s="27" t="inlineStr">
        <is>
          <t>YES Gastro Czech Market Research.xlsx</t>
        </is>
      </c>
      <c r="Y124" s="27" t="n"/>
      <c r="Z124" s="27" t="n"/>
      <c r="AA124" s="27" t="n"/>
      <c r="AB124" s="27" t="inlineStr">
        <is>
          <t>CZK</t>
        </is>
      </c>
      <c r="AC124" s="27" t="inlineStr">
        <is>
          <t>yes</t>
        </is>
      </c>
      <c r="AD124" s="27">
        <f>IF(OR(F124="",Q124="",R124=""),"",ROUND(IF(P124="incl.",F124/(1+Q124),F124)/IF(S124="per pack",R124,1),2))</f>
        <v/>
      </c>
      <c r="AE124" s="27">
        <f>IF(AND(AC124="yes",ISNUMBER(F124),IF('Compare'!$H$5="All mapped",TRUE,IF('Compare'!$H$5="EXACT only",J124="EXACT",OR(J124="EXACT",J124="CLOSE")))),"yes","no")</f>
        <v/>
      </c>
      <c r="AF124" s="27">
        <f>IF(ISNUMBER(H124),COUNTIFS($B$7:$B$608,B124,$C$7:$C$608,C124,$H$7:$H$608,"&lt;"&amp;H124,$AH$7:$AH$608,"yes")+COUNTIFS($B$7:B124,B124,$C$7:C124,C124,$H$7:H124,H124,$AH$7:AH124,"yes"),"")</f>
        <v/>
      </c>
      <c r="AG124" s="27">
        <f>IF(ISNUMBER(I124),COUNTIFS($B$7:$B$608,B124,$C$7:$C$608,C124,$I$7:$I$608,"&lt;"&amp;I124,$AI$7:$AI$608,"yes")+COUNTIFS($B$7:B124,B124,$C$7:C124,C124,$I$7:I124,I124,$AI$7:AI124,"yes"),"")</f>
        <v/>
      </c>
      <c r="AH124" s="27">
        <f>IF(ISNUMBER(H124),"yes","no")</f>
        <v/>
      </c>
      <c r="AI124" s="27">
        <f>IF(ISNUMBER(I124),"yes","no")</f>
        <v/>
      </c>
      <c r="AJ124" s="105" t="n">
        <v>46295</v>
      </c>
      <c r="AK124" s="27" t="n"/>
    </row>
    <row r="125" ht="42" customHeight="1">
      <c r="A125" s="2" t="n"/>
      <c r="B125" s="24" t="inlineStr">
        <is>
          <t>GN 1/1 PP lid</t>
        </is>
      </c>
      <c r="C125" s="24" t="inlineStr">
        <is>
          <t>Slovakia</t>
        </is>
      </c>
      <c r="D125" s="24" t="inlineStr">
        <is>
          <t>Gastromania.sk (GASTROMANIA CZ s.r.o., CZ)</t>
        </is>
      </c>
      <c r="E125" s="24" t="inlineStr">
        <is>
          <t>Veko z polypropylénu pre GN1/1 5511 | CONTACTO, 5511/532</t>
        </is>
      </c>
      <c r="F125" s="98" t="n">
        <v>8.460000000000001</v>
      </c>
      <c r="G125" s="24" t="inlineStr">
        <is>
          <t>EUR</t>
        </is>
      </c>
      <c r="H125" s="98">
        <f>IF(AND(AE125="yes",ISNUMBER(AD125)),AD125,"")</f>
        <v/>
      </c>
      <c r="I125" s="99">
        <f>IF(AND(AE125="yes",ISNUMBER(AD125),ISNUMBER(INDEX('Sources'!$G$7:$G$10,MATCH(AB125,'Sources'!$B$7:$B$10,0)))),AD125/INDEX('Sources'!$G$7:$G$10,MATCH(AB125,'Sources'!$B$7:$B$10,0)),"")</f>
        <v/>
      </c>
      <c r="J125" s="24" t="inlineStr">
        <is>
          <t>EXACT</t>
        </is>
      </c>
      <c r="K125" s="24" t="inlineStr">
        <is>
          <t>2026-09-30</t>
        </is>
      </c>
      <c r="L125" s="71" t="n"/>
      <c r="M125" s="24" t="inlineStr">
        <is>
          <t>Listed 'Cena bez DPH' 8.46 EUR / 'Cena s DPH' 10.41 EUR. PP lid GN 1/1, no seal/cut-outs. Promo; base 9,10 / 11,19. In stock 5-9 pcs.</t>
        </is>
      </c>
      <c r="N125" s="25" t="inlineStr">
        <is>
          <t>https://gastromania.sk/veka-gn-polypropylenove/veko-z-polypropylenu-pre-gn1-1-5511-contacto-5511-532</t>
        </is>
      </c>
      <c r="O125" s="24" t="inlineStr">
        <is>
          <t>Contacto</t>
        </is>
      </c>
      <c r="P125" s="24" t="inlineStr">
        <is>
          <t>excl.</t>
        </is>
      </c>
      <c r="Q125" s="100" t="inlineStr">
        <is>
          <t>n/a</t>
        </is>
      </c>
      <c r="R125" s="24" t="n">
        <v>1</v>
      </c>
      <c r="S125" s="24" t="inlineStr">
        <is>
          <t>per piece</t>
        </is>
      </c>
      <c r="T125" s="24" t="inlineStr">
        <is>
          <t>EXACT</t>
        </is>
      </c>
      <c r="U125" s="24" t="inlineStr">
        <is>
          <t>Existing benchmark assignment and match quality retained.</t>
        </is>
      </c>
      <c r="V125" s="98" t="n">
        <v>8.460000000000001</v>
      </c>
      <c r="W125" s="98" t="n"/>
      <c r="X125" s="24" t="inlineStr">
        <is>
          <t>YES Gastro Slovakia Market Research.xlsx</t>
        </is>
      </c>
      <c r="Y125" s="24" t="n"/>
      <c r="Z125" s="24" t="n"/>
      <c r="AA125" s="24" t="n"/>
      <c r="AB125" s="24" t="inlineStr">
        <is>
          <t>EUR</t>
        </is>
      </c>
      <c r="AC125" s="24" t="inlineStr">
        <is>
          <t>yes</t>
        </is>
      </c>
      <c r="AD125" s="24">
        <f>IF(ISNUMBER(V125),V125,"")</f>
        <v/>
      </c>
      <c r="AE125" s="24">
        <f>IF(AND(AC125="yes",ISNUMBER(F125),IF('Compare'!$H$5="All mapped",TRUE,IF('Compare'!$H$5="EXACT only",J125="EXACT",OR(J125="EXACT",J125="CLOSE")))),"yes","no")</f>
        <v/>
      </c>
      <c r="AF125" s="24">
        <f>IF(ISNUMBER(H125),COUNTIFS($B$7:$B$608,B125,$C$7:$C$608,C125,$H$7:$H$608,"&lt;"&amp;H125,$AH$7:$AH$608,"yes")+COUNTIFS($B$7:B125,B125,$C$7:C125,C125,$H$7:H125,H125,$AH$7:AH125,"yes"),"")</f>
        <v/>
      </c>
      <c r="AG125" s="24">
        <f>IF(ISNUMBER(I125),COUNTIFS($B$7:$B$608,B125,$C$7:$C$608,C125,$I$7:$I$608,"&lt;"&amp;I125,$AI$7:$AI$608,"yes")+COUNTIFS($B$7:B125,B125,$C$7:C125,C125,$I$7:I125,I125,$AI$7:AI125,"yes"),"")</f>
        <v/>
      </c>
      <c r="AH125" s="24">
        <f>IF(ISNUMBER(H125),"yes","no")</f>
        <v/>
      </c>
      <c r="AI125" s="24">
        <f>IF(ISNUMBER(I125),"yes","no")</f>
        <v/>
      </c>
      <c r="AJ125" s="101" t="n">
        <v>46295</v>
      </c>
      <c r="AK125" s="24" t="n"/>
    </row>
    <row r="126" ht="42" customHeight="1">
      <c r="A126" s="2" t="n"/>
      <c r="B126" s="27" t="inlineStr">
        <is>
          <t>GN 1/1 PP lid</t>
        </is>
      </c>
      <c r="C126" s="27" t="inlineStr">
        <is>
          <t>Slovakia</t>
        </is>
      </c>
      <c r="D126" s="27" t="inlineStr">
        <is>
          <t>Gastrozone.sk (GASTROZONE, spol. s r.o., CZ)</t>
        </is>
      </c>
      <c r="E126" s="27" t="inlineStr">
        <is>
          <t>Veko ku gastronádobe 1/1 polypropylén</t>
        </is>
      </c>
      <c r="F126" s="102" t="n">
        <v>14.06</v>
      </c>
      <c r="G126" s="27" t="inlineStr">
        <is>
          <t>EUR</t>
        </is>
      </c>
      <c r="H126" s="102">
        <f>IF(AND(AE126="yes",ISNUMBER(AD126)),AD126,"")</f>
        <v/>
      </c>
      <c r="I126" s="103">
        <f>IF(AND(AE126="yes",ISNUMBER(AD126),ISNUMBER(INDEX('Sources'!$G$7:$G$10,MATCH(AB126,'Sources'!$B$7:$B$10,0)))),AD126/INDEX('Sources'!$G$7:$G$10,MATCH(AB126,'Sources'!$B$7:$B$10,0)),"")</f>
        <v/>
      </c>
      <c r="J126" s="27" t="inlineStr">
        <is>
          <t>EXACT</t>
        </is>
      </c>
      <c r="K126" s="27" t="inlineStr">
        <is>
          <t>2026-09-30</t>
        </is>
      </c>
      <c r="L126" s="71" t="n"/>
      <c r="M126" s="27" t="inlineStr">
        <is>
          <t>PP lid for GN 1/1. Page shows 14,06 EUR / 11,43 EUR bez DPH. In stock.</t>
        </is>
      </c>
      <c r="N126" s="28" t="inlineStr">
        <is>
          <t>https://www.gastrozone.sk/pujadas-veko-ku-gastronadobe-1-1-polyprepylen.html</t>
        </is>
      </c>
      <c r="O126" s="27" t="inlineStr">
        <is>
          <t>Vollrath Pujadas</t>
        </is>
      </c>
      <c r="P126" s="27" t="inlineStr">
        <is>
          <t>incl.</t>
        </is>
      </c>
      <c r="Q126" s="104" t="n">
        <v>0.23</v>
      </c>
      <c r="R126" s="27" t="n">
        <v>1</v>
      </c>
      <c r="S126" s="27" t="inlineStr">
        <is>
          <t>per piece</t>
        </is>
      </c>
      <c r="T126" s="27" t="inlineStr">
        <is>
          <t>EXACT</t>
        </is>
      </c>
      <c r="U126" s="27" t="inlineStr">
        <is>
          <t>Existing benchmark assignment and match quality retained.</t>
        </is>
      </c>
      <c r="V126" s="102" t="n">
        <v>11.4308943089431</v>
      </c>
      <c r="W126" s="102" t="n"/>
      <c r="X126" s="27" t="inlineStr">
        <is>
          <t>YES Gastro Slovakia Market Research.xlsx</t>
        </is>
      </c>
      <c r="Y126" s="27" t="n"/>
      <c r="Z126" s="27" t="n"/>
      <c r="AA126" s="27" t="n"/>
      <c r="AB126" s="27" t="inlineStr">
        <is>
          <t>EUR</t>
        </is>
      </c>
      <c r="AC126" s="27" t="inlineStr">
        <is>
          <t>yes</t>
        </is>
      </c>
      <c r="AD126" s="27">
        <f>IF(ISNUMBER(V126),V126,"")</f>
        <v/>
      </c>
      <c r="AE126" s="27">
        <f>IF(AND(AC126="yes",ISNUMBER(F126),IF('Compare'!$H$5="All mapped",TRUE,IF('Compare'!$H$5="EXACT only",J126="EXACT",OR(J126="EXACT",J126="CLOSE")))),"yes","no")</f>
        <v/>
      </c>
      <c r="AF126" s="27">
        <f>IF(ISNUMBER(H126),COUNTIFS($B$7:$B$608,B126,$C$7:$C$608,C126,$H$7:$H$608,"&lt;"&amp;H126,$AH$7:$AH$608,"yes")+COUNTIFS($B$7:B126,B126,$C$7:C126,C126,$H$7:H126,H126,$AH$7:AH126,"yes"),"")</f>
        <v/>
      </c>
      <c r="AG126" s="27">
        <f>IF(ISNUMBER(I126),COUNTIFS($B$7:$B$608,B126,$C$7:$C$608,C126,$I$7:$I$608,"&lt;"&amp;I126,$AI$7:$AI$608,"yes")+COUNTIFS($B$7:B126,B126,$C$7:C126,C126,$I$7:I126,I126,$AI$7:AI126,"yes"),"")</f>
        <v/>
      </c>
      <c r="AH126" s="27">
        <f>IF(ISNUMBER(H126),"yes","no")</f>
        <v/>
      </c>
      <c r="AI126" s="27">
        <f>IF(ISNUMBER(I126),"yes","no")</f>
        <v/>
      </c>
      <c r="AJ126" s="105" t="n">
        <v>46295</v>
      </c>
      <c r="AK126" s="27" t="n"/>
    </row>
    <row r="127" ht="42" customHeight="1">
      <c r="A127" s="2" t="n"/>
      <c r="B127" s="24" t="inlineStr">
        <is>
          <t>Squeeze bottle 500 ml, PP, single tip</t>
        </is>
      </c>
      <c r="C127" s="24" t="inlineStr">
        <is>
          <t>Austria</t>
        </is>
      </c>
      <c r="D127" s="24" t="inlineStr">
        <is>
          <t>ALLPAX Österreich</t>
        </is>
      </c>
      <c r="E127" s="24" t="inlineStr">
        <is>
          <t>Quetschflasche PE 0,45 l, mit Schraubdeckel, 6 Stück</t>
        </is>
      </c>
      <c r="F127" s="98" t="n">
        <v>8.5</v>
      </c>
      <c r="G127" s="24" t="inlineStr">
        <is>
          <t>EUR</t>
        </is>
      </c>
      <c r="H127" s="98">
        <f>IF(AND(AE127="yes",ISNUMBER(AD127)),AD127,"")</f>
        <v/>
      </c>
      <c r="I127" s="99">
        <f>IF(AND(AE127="yes",ISNUMBER(AD127),ISNUMBER(INDEX('Sources'!$G$7:$G$10,MATCH(AB127,'Sources'!$B$7:$B$10,0)))),AD127/INDEX('Sources'!$G$7:$G$10,MATCH(AB127,'Sources'!$B$7:$B$10,0)),"")</f>
        <v/>
      </c>
      <c r="J127" s="24" t="inlineStr">
        <is>
          <t>CLOSE</t>
        </is>
      </c>
      <c r="K127" s="24" t="inlineStr">
        <is>
          <t>2026-09-30</t>
        </is>
      </c>
      <c r="L127" s="71" t="n"/>
      <c r="M127" s="24" t="inlineStr">
        <is>
          <t>450 ml, polyethylene (not PP); site shows 1 pc = 1.42</t>
        </is>
      </c>
      <c r="N127" s="25" t="inlineStr">
        <is>
          <t>https://www.allpax.at/product_info.php/info/Quetschflasche-PE-0-45-l-mit-Schraubdeckel-6-St-uuml-ck.html</t>
        </is>
      </c>
      <c r="O127" s="24" t="n"/>
      <c r="P127" s="24" t="inlineStr">
        <is>
          <t>excl.</t>
        </is>
      </c>
      <c r="Q127" s="100" t="n"/>
      <c r="R127" s="24" t="n">
        <v>6</v>
      </c>
      <c r="S127" s="24" t="inlineStr">
        <is>
          <t>set of 6</t>
        </is>
      </c>
      <c r="T127" s="24" t="inlineStr">
        <is>
          <t>CLOSE</t>
        </is>
      </c>
      <c r="U127" s="24" t="inlineStr">
        <is>
          <t>Existing benchmark assignment and match quality retained.</t>
        </is>
      </c>
      <c r="V127" s="98" t="n">
        <v>1.42</v>
      </c>
      <c r="W127" s="98" t="n"/>
      <c r="X127" s="24" t="inlineStr">
        <is>
          <t>YES Gastro Austria Market Research.xlsx</t>
        </is>
      </c>
      <c r="Y127" s="24" t="n"/>
      <c r="Z127" s="24" t="n"/>
      <c r="AA127" s="24" t="n"/>
      <c r="AB127" s="24" t="inlineStr">
        <is>
          <t>EUR</t>
        </is>
      </c>
      <c r="AC127" s="24" t="inlineStr">
        <is>
          <t>yes</t>
        </is>
      </c>
      <c r="AD127" s="24">
        <f>IF(ISNUMBER(V127),V127,"")</f>
        <v/>
      </c>
      <c r="AE127" s="24">
        <f>IF(AND(AC127="yes",ISNUMBER(F127),IF('Compare'!$H$5="All mapped",TRUE,IF('Compare'!$H$5="EXACT only",J127="EXACT",OR(J127="EXACT",J127="CLOSE")))),"yes","no")</f>
        <v/>
      </c>
      <c r="AF127" s="24">
        <f>IF(ISNUMBER(H127),COUNTIFS($B$7:$B$608,B127,$C$7:$C$608,C127,$H$7:$H$608,"&lt;"&amp;H127,$AH$7:$AH$608,"yes")+COUNTIFS($B$7:B127,B127,$C$7:C127,C127,$H$7:H127,H127,$AH$7:AH127,"yes"),"")</f>
        <v/>
      </c>
      <c r="AG127" s="24">
        <f>IF(ISNUMBER(I127),COUNTIFS($B$7:$B$608,B127,$C$7:$C$608,C127,$I$7:$I$608,"&lt;"&amp;I127,$AI$7:$AI$608,"yes")+COUNTIFS($B$7:B127,B127,$C$7:C127,C127,$I$7:I127,I127,$AI$7:AI127,"yes"),"")</f>
        <v/>
      </c>
      <c r="AH127" s="24">
        <f>IF(ISNUMBER(H127),"yes","no")</f>
        <v/>
      </c>
      <c r="AI127" s="24">
        <f>IF(ISNUMBER(I127),"yes","no")</f>
        <v/>
      </c>
      <c r="AJ127" s="101" t="n">
        <v>46295</v>
      </c>
      <c r="AK127" s="24" t="n"/>
    </row>
    <row r="128" ht="42" customHeight="1">
      <c r="A128" s="2" t="n"/>
      <c r="B128" s="27" t="inlineStr">
        <is>
          <t>Squeeze bottle 500 ml, PP, single tip</t>
        </is>
      </c>
      <c r="C128" s="27" t="inlineStr">
        <is>
          <t>Austria</t>
        </is>
      </c>
      <c r="D128" s="27" t="inlineStr">
        <is>
          <t>GastroHero Österreich</t>
        </is>
      </c>
      <c r="E128" s="27" t="inlineStr">
        <is>
          <t>Schneider PP Quetschflasche transparent 500 ml</t>
        </is>
      </c>
      <c r="F128" s="102" t="n">
        <v>3.89</v>
      </c>
      <c r="G128" s="27" t="inlineStr">
        <is>
          <t>EUR</t>
        </is>
      </c>
      <c r="H128" s="102">
        <f>IF(AND(AE128="yes",ISNUMBER(AD128)),AD128,"")</f>
        <v/>
      </c>
      <c r="I128" s="103">
        <f>IF(AND(AE128="yes",ISNUMBER(AD128),ISNUMBER(INDEX('Sources'!$G$7:$G$10,MATCH(AB128,'Sources'!$B$7:$B$10,0)))),AD128/INDEX('Sources'!$G$7:$G$10,MATCH(AB128,'Sources'!$B$7:$B$10,0)),"")</f>
        <v/>
      </c>
      <c r="J128" s="27" t="inlineStr">
        <is>
          <t>EXACT</t>
        </is>
      </c>
      <c r="K128" s="27" t="inlineStr">
        <is>
          <t>2026-09-30</t>
        </is>
      </c>
      <c r="L128" s="71" t="n"/>
      <c r="M128" s="27" t="inlineStr">
        <is>
          <t>Min. qty 12</t>
        </is>
      </c>
      <c r="N128" s="28" t="inlineStr">
        <is>
          <t>https://www.gastro-hero.at/products/schneider-pp-quetschflasche-transparent-500-ml-200491</t>
        </is>
      </c>
      <c r="O128" s="27" t="inlineStr">
        <is>
          <t>Schneider</t>
        </is>
      </c>
      <c r="P128" s="27" t="inlineStr">
        <is>
          <t>excl.</t>
        </is>
      </c>
      <c r="Q128" s="104" t="n"/>
      <c r="R128" s="27" t="n">
        <v>1</v>
      </c>
      <c r="S128" s="27" t="n"/>
      <c r="T128" s="27" t="inlineStr">
        <is>
          <t>EXACT</t>
        </is>
      </c>
      <c r="U128" s="27" t="inlineStr">
        <is>
          <t>Existing benchmark assignment and match quality retained.</t>
        </is>
      </c>
      <c r="V128" s="102" t="n">
        <v>3.89</v>
      </c>
      <c r="W128" s="102" t="n"/>
      <c r="X128" s="27" t="inlineStr">
        <is>
          <t>YES Gastro Austria Market Research.xlsx</t>
        </is>
      </c>
      <c r="Y128" s="27" t="n"/>
      <c r="Z128" s="27" t="n"/>
      <c r="AA128" s="27" t="n"/>
      <c r="AB128" s="27" t="inlineStr">
        <is>
          <t>EUR</t>
        </is>
      </c>
      <c r="AC128" s="27" t="inlineStr">
        <is>
          <t>yes</t>
        </is>
      </c>
      <c r="AD128" s="27">
        <f>IF(ISNUMBER(V128),V128,"")</f>
        <v/>
      </c>
      <c r="AE128" s="27">
        <f>IF(AND(AC128="yes",ISNUMBER(F128),IF('Compare'!$H$5="All mapped",TRUE,IF('Compare'!$H$5="EXACT only",J128="EXACT",OR(J128="EXACT",J128="CLOSE")))),"yes","no")</f>
        <v/>
      </c>
      <c r="AF128" s="27">
        <f>IF(ISNUMBER(H128),COUNTIFS($B$7:$B$608,B128,$C$7:$C$608,C128,$H$7:$H$608,"&lt;"&amp;H128,$AH$7:$AH$608,"yes")+COUNTIFS($B$7:B128,B128,$C$7:C128,C128,$H$7:H128,H128,$AH$7:AH128,"yes"),"")</f>
        <v/>
      </c>
      <c r="AG128" s="27">
        <f>IF(ISNUMBER(I128),COUNTIFS($B$7:$B$608,B128,$C$7:$C$608,C128,$I$7:$I$608,"&lt;"&amp;I128,$AI$7:$AI$608,"yes")+COUNTIFS($B$7:B128,B128,$C$7:C128,C128,$I$7:I128,I128,$AI$7:AI128,"yes"),"")</f>
        <v/>
      </c>
      <c r="AH128" s="27">
        <f>IF(ISNUMBER(H128),"yes","no")</f>
        <v/>
      </c>
      <c r="AI128" s="27">
        <f>IF(ISNUMBER(I128),"yes","no")</f>
        <v/>
      </c>
      <c r="AJ128" s="105" t="n">
        <v>46295</v>
      </c>
      <c r="AK128" s="27" t="n"/>
    </row>
    <row r="129" ht="42" customHeight="1">
      <c r="A129" s="2" t="n"/>
      <c r="B129" s="24" t="inlineStr">
        <is>
          <t>Squeeze bottle 500 ml, PP, single tip</t>
        </is>
      </c>
      <c r="C129" s="24" t="inlineStr">
        <is>
          <t>Austria</t>
        </is>
      </c>
      <c r="D129" s="24" t="inlineStr">
        <is>
          <t>Gastrodax</t>
        </is>
      </c>
      <c r="E129" s="24" t="inlineStr">
        <is>
          <t>Contacto Quetschflasche 0,5 l</t>
        </is>
      </c>
      <c r="F129" s="98" t="n">
        <v>2.32</v>
      </c>
      <c r="G129" s="24" t="inlineStr">
        <is>
          <t>EUR</t>
        </is>
      </c>
      <c r="H129" s="98">
        <f>IF(AND(AE129="yes",ISNUMBER(AD129)),AD129,"")</f>
        <v/>
      </c>
      <c r="I129" s="99">
        <f>IF(AND(AE129="yes",ISNUMBER(AD129),ISNUMBER(INDEX('Sources'!$G$7:$G$10,MATCH(AB129,'Sources'!$B$7:$B$10,0)))),AD129/INDEX('Sources'!$G$7:$G$10,MATCH(AB129,'Sources'!$B$7:$B$10,0)),"")</f>
        <v/>
      </c>
      <c r="J129" s="24" t="inlineStr">
        <is>
          <t>CLOSE</t>
        </is>
      </c>
      <c r="K129" s="24" t="inlineStr">
        <is>
          <t>2026-09-30</t>
        </is>
      </c>
      <c r="L129" s="71" t="n"/>
      <c r="M129" s="24" t="inlineStr">
        <is>
          <t>Polyethylene (not PP), bottom-fill FIFO type with silicone valve; sale price, normal 2.90</t>
        </is>
      </c>
      <c r="N129" s="25" t="inlineStr">
        <is>
          <t>https://www.gastrodax.de/contacto-quetschflasche-0-5-l</t>
        </is>
      </c>
      <c r="O129" s="24" t="inlineStr">
        <is>
          <t>Contacto</t>
        </is>
      </c>
      <c r="P129" s="24" t="inlineStr">
        <is>
          <t>excl.</t>
        </is>
      </c>
      <c r="Q129" s="100" t="n"/>
      <c r="R129" s="24" t="n">
        <v>1</v>
      </c>
      <c r="S129" s="24" t="n"/>
      <c r="T129" s="24" t="inlineStr">
        <is>
          <t>CLOSE</t>
        </is>
      </c>
      <c r="U129" s="24" t="inlineStr">
        <is>
          <t>Existing benchmark assignment and match quality retained.</t>
        </is>
      </c>
      <c r="V129" s="98" t="n">
        <v>2.32</v>
      </c>
      <c r="W129" s="98" t="n"/>
      <c r="X129" s="24" t="inlineStr">
        <is>
          <t>YES Gastro Austria Market Research.xlsx</t>
        </is>
      </c>
      <c r="Y129" s="24" t="n"/>
      <c r="Z129" s="24" t="n"/>
      <c r="AA129" s="24" t="n"/>
      <c r="AB129" s="24" t="inlineStr">
        <is>
          <t>EUR</t>
        </is>
      </c>
      <c r="AC129" s="24" t="inlineStr">
        <is>
          <t>yes</t>
        </is>
      </c>
      <c r="AD129" s="24">
        <f>IF(ISNUMBER(V129),V129,"")</f>
        <v/>
      </c>
      <c r="AE129" s="24">
        <f>IF(AND(AC129="yes",ISNUMBER(F129),IF('Compare'!$H$5="All mapped",TRUE,IF('Compare'!$H$5="EXACT only",J129="EXACT",OR(J129="EXACT",J129="CLOSE")))),"yes","no")</f>
        <v/>
      </c>
      <c r="AF129" s="24">
        <f>IF(ISNUMBER(H129),COUNTIFS($B$7:$B$608,B129,$C$7:$C$608,C129,$H$7:$H$608,"&lt;"&amp;H129,$AH$7:$AH$608,"yes")+COUNTIFS($B$7:B129,B129,$C$7:C129,C129,$H$7:H129,H129,$AH$7:AH129,"yes"),"")</f>
        <v/>
      </c>
      <c r="AG129" s="24">
        <f>IF(ISNUMBER(I129),COUNTIFS($B$7:$B$608,B129,$C$7:$C$608,C129,$I$7:$I$608,"&lt;"&amp;I129,$AI$7:$AI$608,"yes")+COUNTIFS($B$7:B129,B129,$C$7:C129,C129,$I$7:I129,I129,$AI$7:AI129,"yes"),"")</f>
        <v/>
      </c>
      <c r="AH129" s="24">
        <f>IF(ISNUMBER(H129),"yes","no")</f>
        <v/>
      </c>
      <c r="AI129" s="24">
        <f>IF(ISNUMBER(I129),"yes","no")</f>
        <v/>
      </c>
      <c r="AJ129" s="101" t="n">
        <v>46295</v>
      </c>
      <c r="AK129" s="24" t="n"/>
    </row>
    <row r="130" ht="42" customHeight="1">
      <c r="A130" s="2" t="n"/>
      <c r="B130" s="27" t="inlineStr">
        <is>
          <t>Squeeze bottle 500 ml, PP, single tip</t>
        </is>
      </c>
      <c r="C130" s="27" t="inlineStr">
        <is>
          <t>Austria</t>
        </is>
      </c>
      <c r="D130" s="27" t="inlineStr">
        <is>
          <t>Gastroladen.at (Harotec GmbH)</t>
        </is>
      </c>
      <c r="E130" s="27" t="inlineStr">
        <is>
          <t>Vogue Quetschflasche extra breit klar 454ml</t>
        </is>
      </c>
      <c r="F130" s="102" t="n">
        <v>4.59</v>
      </c>
      <c r="G130" s="27" t="inlineStr">
        <is>
          <t>EUR</t>
        </is>
      </c>
      <c r="H130" s="102">
        <f>IF(AND(AE130="yes",ISNUMBER(AD130)),AD130,"")</f>
        <v/>
      </c>
      <c r="I130" s="103">
        <f>IF(AND(AE130="yes",ISNUMBER(AD130),ISNUMBER(INDEX('Sources'!$G$7:$G$10,MATCH(AB130,'Sources'!$B$7:$B$10,0)))),AD130/INDEX('Sources'!$G$7:$G$10,MATCH(AB130,'Sources'!$B$7:$B$10,0)),"")</f>
        <v/>
      </c>
      <c r="J130" s="27" t="inlineStr">
        <is>
          <t>CLOSE</t>
        </is>
      </c>
      <c r="K130" s="27" t="inlineStr">
        <is>
          <t>2026-09-30</t>
        </is>
      </c>
      <c r="L130" s="71" t="n"/>
      <c r="M130" s="27" t="inlineStr">
        <is>
          <t>454 ml, polyethylene (not PP), wide neck, single nozzle; sold singly</t>
        </is>
      </c>
      <c r="N130" s="28" t="inlineStr">
        <is>
          <t>https://www.gastroladen.at/G16771B@GN-E092/Vogue-Quetschflasche-extra-breit-klar-454ml.htm</t>
        </is>
      </c>
      <c r="O130" s="27" t="inlineStr">
        <is>
          <t>Vogue</t>
        </is>
      </c>
      <c r="P130" s="27" t="inlineStr">
        <is>
          <t>incl.</t>
        </is>
      </c>
      <c r="Q130" s="104" t="n"/>
      <c r="R130" s="27" t="n">
        <v>1</v>
      </c>
      <c r="S130" s="27" t="n"/>
      <c r="T130" s="27" t="inlineStr">
        <is>
          <t>CLOSE</t>
        </is>
      </c>
      <c r="U130" s="27" t="inlineStr">
        <is>
          <t>Existing benchmark assignment and match quality retained.</t>
        </is>
      </c>
      <c r="V130" s="102" t="n">
        <v>3.83</v>
      </c>
      <c r="W130" s="102" t="n"/>
      <c r="X130" s="27" t="inlineStr">
        <is>
          <t>YES Gastro Austria Market Research.xlsx</t>
        </is>
      </c>
      <c r="Y130" s="27" t="n"/>
      <c r="Z130" s="27" t="n"/>
      <c r="AA130" s="27" t="n"/>
      <c r="AB130" s="27" t="inlineStr">
        <is>
          <t>EUR</t>
        </is>
      </c>
      <c r="AC130" s="27" t="inlineStr">
        <is>
          <t>yes</t>
        </is>
      </c>
      <c r="AD130" s="27">
        <f>IF(ISNUMBER(V130),V130,"")</f>
        <v/>
      </c>
      <c r="AE130" s="27">
        <f>IF(AND(AC130="yes",ISNUMBER(F130),IF('Compare'!$H$5="All mapped",TRUE,IF('Compare'!$H$5="EXACT only",J130="EXACT",OR(J130="EXACT",J130="CLOSE")))),"yes","no")</f>
        <v/>
      </c>
      <c r="AF130" s="27">
        <f>IF(ISNUMBER(H130),COUNTIFS($B$7:$B$608,B130,$C$7:$C$608,C130,$H$7:$H$608,"&lt;"&amp;H130,$AH$7:$AH$608,"yes")+COUNTIFS($B$7:B130,B130,$C$7:C130,C130,$H$7:H130,H130,$AH$7:AH130,"yes"),"")</f>
        <v/>
      </c>
      <c r="AG130" s="27">
        <f>IF(ISNUMBER(I130),COUNTIFS($B$7:$B$608,B130,$C$7:$C$608,C130,$I$7:$I$608,"&lt;"&amp;I130,$AI$7:$AI$608,"yes")+COUNTIFS($B$7:B130,B130,$C$7:C130,C130,$I$7:I130,I130,$AI$7:AI130,"yes"),"")</f>
        <v/>
      </c>
      <c r="AH130" s="27">
        <f>IF(ISNUMBER(H130),"yes","no")</f>
        <v/>
      </c>
      <c r="AI130" s="27">
        <f>IF(ISNUMBER(I130),"yes","no")</f>
        <v/>
      </c>
      <c r="AJ130" s="105" t="n">
        <v>46295</v>
      </c>
      <c r="AK130" s="27" t="n"/>
    </row>
    <row r="131" ht="42" customHeight="1">
      <c r="A131" s="2" t="n"/>
      <c r="B131" s="24" t="inlineStr">
        <is>
          <t>Squeeze bottle 500 ml, PP, single tip</t>
        </is>
      </c>
      <c r="C131" s="24" t="inlineStr">
        <is>
          <t>Austria</t>
        </is>
      </c>
      <c r="D131" s="24" t="inlineStr">
        <is>
          <t>Intergastro (AT shop)</t>
        </is>
      </c>
      <c r="E131" s="24" t="inlineStr">
        <is>
          <t>Quetschflasche 490 ml transparent Ø 70 mm H 200 mm (6er Set)</t>
        </is>
      </c>
      <c r="F131" s="98" t="n">
        <v>8.73</v>
      </c>
      <c r="G131" s="24" t="inlineStr">
        <is>
          <t>EUR</t>
        </is>
      </c>
      <c r="H131" s="98">
        <f>IF(AND(AE131="yes",ISNUMBER(AD131)),AD131,"")</f>
        <v/>
      </c>
      <c r="I131" s="99">
        <f>IF(AND(AE131="yes",ISNUMBER(AD131),ISNUMBER(INDEX('Sources'!$G$7:$G$10,MATCH(AB131,'Sources'!$B$7:$B$10,0)))),AD131/INDEX('Sources'!$G$7:$G$10,MATCH(AB131,'Sources'!$B$7:$B$10,0)),"")</f>
        <v/>
      </c>
      <c r="J131" s="24" t="inlineStr">
        <is>
          <t>CLOSE</t>
        </is>
      </c>
      <c r="K131" s="24" t="inlineStr">
        <is>
          <t>2026-09-30</t>
        </is>
      </c>
      <c r="L131" s="71" t="n"/>
      <c r="M131" s="24" t="inlineStr">
        <is>
          <t>490 ml; material polyethylene (not PP); price per set of 6, gross 10.48</t>
        </is>
      </c>
      <c r="N131" s="25" t="inlineStr">
        <is>
          <t>https://www.intergastro.at/quetschflasche-490-ml-transparent-70-mm-h-200-mm-985062</t>
        </is>
      </c>
      <c r="O131" s="24" t="inlineStr">
        <is>
          <t>APS</t>
        </is>
      </c>
      <c r="P131" s="24" t="inlineStr">
        <is>
          <t>excl.</t>
        </is>
      </c>
      <c r="Q131" s="100" t="n"/>
      <c r="R131" s="24" t="n">
        <v>6</v>
      </c>
      <c r="S131" s="24" t="inlineStr">
        <is>
          <t>set of 6</t>
        </is>
      </c>
      <c r="T131" s="24" t="inlineStr">
        <is>
          <t>CLOSE</t>
        </is>
      </c>
      <c r="U131" s="24" t="inlineStr">
        <is>
          <t>Existing benchmark assignment and match quality retained.</t>
        </is>
      </c>
      <c r="V131" s="98" t="n">
        <v>1.46</v>
      </c>
      <c r="W131" s="98" t="n"/>
      <c r="X131" s="24" t="inlineStr">
        <is>
          <t>YES Gastro Austria Market Research.xlsx</t>
        </is>
      </c>
      <c r="Y131" s="24" t="n"/>
      <c r="Z131" s="24" t="n"/>
      <c r="AA131" s="24" t="n"/>
      <c r="AB131" s="24" t="inlineStr">
        <is>
          <t>EUR</t>
        </is>
      </c>
      <c r="AC131" s="24" t="inlineStr">
        <is>
          <t>yes</t>
        </is>
      </c>
      <c r="AD131" s="24">
        <f>IF(ISNUMBER(V131),V131,"")</f>
        <v/>
      </c>
      <c r="AE131" s="24">
        <f>IF(AND(AC131="yes",ISNUMBER(F131),IF('Compare'!$H$5="All mapped",TRUE,IF('Compare'!$H$5="EXACT only",J131="EXACT",OR(J131="EXACT",J131="CLOSE")))),"yes","no")</f>
        <v/>
      </c>
      <c r="AF131" s="24">
        <f>IF(ISNUMBER(H131),COUNTIFS($B$7:$B$608,B131,$C$7:$C$608,C131,$H$7:$H$608,"&lt;"&amp;H131,$AH$7:$AH$608,"yes")+COUNTIFS($B$7:B131,B131,$C$7:C131,C131,$H$7:H131,H131,$AH$7:AH131,"yes"),"")</f>
        <v/>
      </c>
      <c r="AG131" s="24">
        <f>IF(ISNUMBER(I131),COUNTIFS($B$7:$B$608,B131,$C$7:$C$608,C131,$I$7:$I$608,"&lt;"&amp;I131,$AI$7:$AI$608,"yes")+COUNTIFS($B$7:B131,B131,$C$7:C131,C131,$I$7:I131,I131,$AI$7:AI131,"yes"),"")</f>
        <v/>
      </c>
      <c r="AH131" s="24">
        <f>IF(ISNUMBER(H131),"yes","no")</f>
        <v/>
      </c>
      <c r="AI131" s="24">
        <f>IF(ISNUMBER(I131),"yes","no")</f>
        <v/>
      </c>
      <c r="AJ131" s="101" t="n">
        <v>46295</v>
      </c>
      <c r="AK131" s="24" t="n"/>
    </row>
    <row r="132" ht="42" customHeight="1">
      <c r="A132" s="2" t="n"/>
      <c r="B132" s="27" t="inlineStr">
        <is>
          <t>Squeeze bottle 500 ml, PP, single tip</t>
        </is>
      </c>
      <c r="C132" s="27" t="inlineStr">
        <is>
          <t>Germany</t>
        </is>
      </c>
      <c r="D132" s="27" t="inlineStr">
        <is>
          <t>ALLPAX</t>
        </is>
      </c>
      <c r="E132" s="27" t="inlineStr">
        <is>
          <t>Quetschflasche PE 0,45 l, mit Schraubdeckel, 6 Stück</t>
        </is>
      </c>
      <c r="F132" s="102" t="n">
        <v>8.5</v>
      </c>
      <c r="G132" s="27" t="inlineStr">
        <is>
          <t>EUR</t>
        </is>
      </c>
      <c r="H132" s="102">
        <f>IF(AND(AE132="yes",ISNUMBER(AD132)),AD132,"")</f>
        <v/>
      </c>
      <c r="I132" s="103">
        <f>IF(AND(AE132="yes",ISNUMBER(AD132),ISNUMBER(INDEX('Sources'!$G$7:$G$10,MATCH(AB132,'Sources'!$B$7:$B$10,0)))),AD132/INDEX('Sources'!$G$7:$G$10,MATCH(AB132,'Sources'!$B$7:$B$10,0)),"")</f>
        <v/>
      </c>
      <c r="J132" s="27" t="inlineStr">
        <is>
          <t>CLOSE</t>
        </is>
      </c>
      <c r="K132" s="27" t="inlineStr">
        <is>
          <t>2026-09-30</t>
        </is>
      </c>
      <c r="L132" s="71" t="n"/>
      <c r="M132" s="27" t="inlineStr">
        <is>
          <t>450 ml, polyethylene (not PP); site shows 1 pc = 1.42</t>
        </is>
      </c>
      <c r="N132" s="28" t="inlineStr">
        <is>
          <t>https://www.allpax.de/product_info.php/info/Quetschflasche-PE-0-45-l-mit-Schraubdeckel-6-St-uuml-ck.html</t>
        </is>
      </c>
      <c r="O132" s="27" t="n"/>
      <c r="P132" s="27" t="inlineStr">
        <is>
          <t>excl.</t>
        </is>
      </c>
      <c r="Q132" s="104" t="n"/>
      <c r="R132" s="27" t="n">
        <v>6</v>
      </c>
      <c r="S132" s="27" t="inlineStr">
        <is>
          <t>set of 6</t>
        </is>
      </c>
      <c r="T132" s="27" t="inlineStr">
        <is>
          <t>CLOSE</t>
        </is>
      </c>
      <c r="U132" s="27" t="inlineStr">
        <is>
          <t>Existing benchmark assignment and match quality retained.</t>
        </is>
      </c>
      <c r="V132" s="102" t="n">
        <v>1.42</v>
      </c>
      <c r="W132" s="102" t="n"/>
      <c r="X132" s="27" t="inlineStr">
        <is>
          <t>YES Gastro Germany Market Research.xlsx</t>
        </is>
      </c>
      <c r="Y132" s="27" t="n"/>
      <c r="Z132" s="27" t="n"/>
      <c r="AA132" s="27" t="n"/>
      <c r="AB132" s="27" t="inlineStr">
        <is>
          <t>EUR</t>
        </is>
      </c>
      <c r="AC132" s="27" t="inlineStr">
        <is>
          <t>yes</t>
        </is>
      </c>
      <c r="AD132" s="27">
        <f>IF(ISNUMBER(V132),V132,"")</f>
        <v/>
      </c>
      <c r="AE132" s="27">
        <f>IF(AND(AC132="yes",ISNUMBER(F132),IF('Compare'!$H$5="All mapped",TRUE,IF('Compare'!$H$5="EXACT only",J132="EXACT",OR(J132="EXACT",J132="CLOSE")))),"yes","no")</f>
        <v/>
      </c>
      <c r="AF132" s="27">
        <f>IF(ISNUMBER(H132),COUNTIFS($B$7:$B$608,B132,$C$7:$C$608,C132,$H$7:$H$608,"&lt;"&amp;H132,$AH$7:$AH$608,"yes")+COUNTIFS($B$7:B132,B132,$C$7:C132,C132,$H$7:H132,H132,$AH$7:AH132,"yes"),"")</f>
        <v/>
      </c>
      <c r="AG132" s="27">
        <f>IF(ISNUMBER(I132),COUNTIFS($B$7:$B$608,B132,$C$7:$C$608,C132,$I$7:$I$608,"&lt;"&amp;I132,$AI$7:$AI$608,"yes")+COUNTIFS($B$7:B132,B132,$C$7:C132,C132,$I$7:I132,I132,$AI$7:AI132,"yes"),"")</f>
        <v/>
      </c>
      <c r="AH132" s="27">
        <f>IF(ISNUMBER(H132),"yes","no")</f>
        <v/>
      </c>
      <c r="AI132" s="27">
        <f>IF(ISNUMBER(I132),"yes","no")</f>
        <v/>
      </c>
      <c r="AJ132" s="105" t="n">
        <v>46295</v>
      </c>
      <c r="AK132" s="27" t="n"/>
    </row>
    <row r="133" ht="42" customHeight="1">
      <c r="A133" s="2" t="n"/>
      <c r="B133" s="24" t="inlineStr">
        <is>
          <t>Squeeze bottle 500 ml, PP, single tip</t>
        </is>
      </c>
      <c r="C133" s="24" t="inlineStr">
        <is>
          <t>Germany</t>
        </is>
      </c>
      <c r="D133" s="24" t="inlineStr">
        <is>
          <t>GGM Gastro</t>
        </is>
      </c>
      <c r="E133" s="24" t="inlineStr">
        <is>
          <t>(12 Stück) Quetschflasche mit mittlerer Membran - 473ml</t>
        </is>
      </c>
      <c r="F133" s="98" t="n">
        <v>47.99</v>
      </c>
      <c r="G133" s="24" t="inlineStr">
        <is>
          <t>EUR</t>
        </is>
      </c>
      <c r="H133" s="98">
        <f>IF(AND(AE133="yes",ISNUMBER(AD133)),AD133,"")</f>
        <v/>
      </c>
      <c r="I133" s="99">
        <f>IF(AND(AE133="yes",ISNUMBER(AD133),ISNUMBER(INDEX('Sources'!$G$7:$G$10,MATCH(AB133,'Sources'!$B$7:$B$10,0)))),AD133/INDEX('Sources'!$G$7:$G$10,MATCH(AB133,'Sources'!$B$7:$B$10,0)),"")</f>
        <v/>
      </c>
      <c r="J133" s="24" t="inlineStr">
        <is>
          <t>CLOSE</t>
        </is>
      </c>
      <c r="K133" s="24" t="inlineStr">
        <is>
          <t>2026-09-30</t>
        </is>
      </c>
      <c r="L133" s="71" t="n"/>
      <c r="M133" s="24" t="inlineStr">
        <is>
          <t>473 ml, FIFO type with valve; material not stated</t>
        </is>
      </c>
      <c r="N133" s="25" t="inlineStr">
        <is>
          <t>https://www.ggmgastro.com/de-de-eur/12-stueck-quetschflasche-mit-mittlerer-membran-473ml-ffo-002</t>
        </is>
      </c>
      <c r="O133" s="24" t="inlineStr">
        <is>
          <t>GGM</t>
        </is>
      </c>
      <c r="P133" s="24" t="inlineStr">
        <is>
          <t>excl.</t>
        </is>
      </c>
      <c r="Q133" s="100" t="n"/>
      <c r="R133" s="24" t="n">
        <v>12</v>
      </c>
      <c r="S133" s="24" t="inlineStr">
        <is>
          <t>set of 12</t>
        </is>
      </c>
      <c r="T133" s="24" t="inlineStr">
        <is>
          <t>CLOSE</t>
        </is>
      </c>
      <c r="U133" s="24" t="inlineStr">
        <is>
          <t>Existing benchmark assignment and match quality retained.</t>
        </is>
      </c>
      <c r="V133" s="98" t="n">
        <v>4</v>
      </c>
      <c r="W133" s="98" t="n"/>
      <c r="X133" s="24" t="inlineStr">
        <is>
          <t>YES Gastro Germany Market Research.xlsx</t>
        </is>
      </c>
      <c r="Y133" s="24" t="n"/>
      <c r="Z133" s="24" t="n"/>
      <c r="AA133" s="24" t="n"/>
      <c r="AB133" s="24" t="inlineStr">
        <is>
          <t>EUR</t>
        </is>
      </c>
      <c r="AC133" s="24" t="inlineStr">
        <is>
          <t>yes</t>
        </is>
      </c>
      <c r="AD133" s="24">
        <f>IF(ISNUMBER(V133),V133,"")</f>
        <v/>
      </c>
      <c r="AE133" s="24">
        <f>IF(AND(AC133="yes",ISNUMBER(F133),IF('Compare'!$H$5="All mapped",TRUE,IF('Compare'!$H$5="EXACT only",J133="EXACT",OR(J133="EXACT",J133="CLOSE")))),"yes","no")</f>
        <v/>
      </c>
      <c r="AF133" s="24">
        <f>IF(ISNUMBER(H133),COUNTIFS($B$7:$B$608,B133,$C$7:$C$608,C133,$H$7:$H$608,"&lt;"&amp;H133,$AH$7:$AH$608,"yes")+COUNTIFS($B$7:B133,B133,$C$7:C133,C133,$H$7:H133,H133,$AH$7:AH133,"yes"),"")</f>
        <v/>
      </c>
      <c r="AG133" s="24">
        <f>IF(ISNUMBER(I133),COUNTIFS($B$7:$B$608,B133,$C$7:$C$608,C133,$I$7:$I$608,"&lt;"&amp;I133,$AI$7:$AI$608,"yes")+COUNTIFS($B$7:B133,B133,$C$7:C133,C133,$I$7:I133,I133,$AI$7:AI133,"yes"),"")</f>
        <v/>
      </c>
      <c r="AH133" s="24">
        <f>IF(ISNUMBER(H133),"yes","no")</f>
        <v/>
      </c>
      <c r="AI133" s="24">
        <f>IF(ISNUMBER(I133),"yes","no")</f>
        <v/>
      </c>
      <c r="AJ133" s="101" t="n">
        <v>46295</v>
      </c>
      <c r="AK133" s="24" t="n"/>
    </row>
    <row r="134" ht="42" customHeight="1">
      <c r="A134" s="2" t="n"/>
      <c r="B134" s="27" t="inlineStr">
        <is>
          <t>Squeeze bottle 500 ml, PP, single tip</t>
        </is>
      </c>
      <c r="C134" s="27" t="inlineStr">
        <is>
          <t>Germany</t>
        </is>
      </c>
      <c r="D134" s="27" t="inlineStr">
        <is>
          <t>GastroHero</t>
        </is>
      </c>
      <c r="E134" s="27" t="inlineStr">
        <is>
          <t>Schneider PP Quetschflasche transparent 500 ml</t>
        </is>
      </c>
      <c r="F134" s="102" t="n">
        <v>1.79</v>
      </c>
      <c r="G134" s="27" t="inlineStr">
        <is>
          <t>EUR</t>
        </is>
      </c>
      <c r="H134" s="102">
        <f>IF(AND(AE134="yes",ISNUMBER(AD134)),AD134,"")</f>
        <v/>
      </c>
      <c r="I134" s="103">
        <f>IF(AND(AE134="yes",ISNUMBER(AD134),ISNUMBER(INDEX('Sources'!$G$7:$G$10,MATCH(AB134,'Sources'!$B$7:$B$10,0)))),AD134/INDEX('Sources'!$G$7:$G$10,MATCH(AB134,'Sources'!$B$7:$B$10,0)),"")</f>
        <v/>
      </c>
      <c r="J134" s="27" t="inlineStr">
        <is>
          <t>EXACT</t>
        </is>
      </c>
      <c r="K134" s="27" t="inlineStr">
        <is>
          <t>2026-09-30</t>
        </is>
      </c>
      <c r="L134" s="71" t="n"/>
      <c r="M134" s="27" t="inlineStr">
        <is>
          <t>Min. qty 12</t>
        </is>
      </c>
      <c r="N134" s="28" t="inlineStr">
        <is>
          <t>https://www.gastro-hero.de/products/schneider-pp-quetschflasche-transparent-500-ml-200491</t>
        </is>
      </c>
      <c r="O134" s="27" t="inlineStr">
        <is>
          <t>Schneider</t>
        </is>
      </c>
      <c r="P134" s="27" t="inlineStr">
        <is>
          <t>excl.</t>
        </is>
      </c>
      <c r="Q134" s="104" t="n"/>
      <c r="R134" s="27" t="n">
        <v>1</v>
      </c>
      <c r="S134" s="27" t="n"/>
      <c r="T134" s="27" t="inlineStr">
        <is>
          <t>EXACT</t>
        </is>
      </c>
      <c r="U134" s="27" t="inlineStr">
        <is>
          <t>Existing benchmark assignment and match quality retained.</t>
        </is>
      </c>
      <c r="V134" s="102" t="n">
        <v>1.79</v>
      </c>
      <c r="W134" s="102" t="n"/>
      <c r="X134" s="27" t="inlineStr">
        <is>
          <t>YES Gastro Germany Market Research.xlsx</t>
        </is>
      </c>
      <c r="Y134" s="27" t="n"/>
      <c r="Z134" s="27" t="n"/>
      <c r="AA134" s="27" t="n"/>
      <c r="AB134" s="27" t="inlineStr">
        <is>
          <t>EUR</t>
        </is>
      </c>
      <c r="AC134" s="27" t="inlineStr">
        <is>
          <t>yes</t>
        </is>
      </c>
      <c r="AD134" s="27">
        <f>IF(ISNUMBER(V134),V134,"")</f>
        <v/>
      </c>
      <c r="AE134" s="27">
        <f>IF(AND(AC134="yes",ISNUMBER(F134),IF('Compare'!$H$5="All mapped",TRUE,IF('Compare'!$H$5="EXACT only",J134="EXACT",OR(J134="EXACT",J134="CLOSE")))),"yes","no")</f>
        <v/>
      </c>
      <c r="AF134" s="27">
        <f>IF(ISNUMBER(H134),COUNTIFS($B$7:$B$608,B134,$C$7:$C$608,C134,$H$7:$H$608,"&lt;"&amp;H134,$AH$7:$AH$608,"yes")+COUNTIFS($B$7:B134,B134,$C$7:C134,C134,$H$7:H134,H134,$AH$7:AH134,"yes"),"")</f>
        <v/>
      </c>
      <c r="AG134" s="27">
        <f>IF(ISNUMBER(I134),COUNTIFS($B$7:$B$608,B134,$C$7:$C$608,C134,$I$7:$I$608,"&lt;"&amp;I134,$AI$7:$AI$608,"yes")+COUNTIFS($B$7:B134,B134,$C$7:C134,C134,$I$7:I134,I134,$AI$7:AI134,"yes"),"")</f>
        <v/>
      </c>
      <c r="AH134" s="27">
        <f>IF(ISNUMBER(H134),"yes","no")</f>
        <v/>
      </c>
      <c r="AI134" s="27">
        <f>IF(ISNUMBER(I134),"yes","no")</f>
        <v/>
      </c>
      <c r="AJ134" s="105" t="n">
        <v>46295</v>
      </c>
      <c r="AK134" s="27" t="n"/>
    </row>
    <row r="135" ht="42" customHeight="1">
      <c r="A135" s="2" t="n"/>
      <c r="B135" s="24" t="inlineStr">
        <is>
          <t>Squeeze bottle 500 ml, PP, single tip</t>
        </is>
      </c>
      <c r="C135" s="24" t="inlineStr">
        <is>
          <t>Germany</t>
        </is>
      </c>
      <c r="D135" s="24" t="inlineStr">
        <is>
          <t>Gastrodax [substitute]</t>
        </is>
      </c>
      <c r="E135" s="24" t="inlineStr">
        <is>
          <t>Contacto Quetschflasche 0,5 l</t>
        </is>
      </c>
      <c r="F135" s="98" t="n">
        <v>2.32</v>
      </c>
      <c r="G135" s="24" t="inlineStr">
        <is>
          <t>EUR</t>
        </is>
      </c>
      <c r="H135" s="98">
        <f>IF(AND(AE135="yes",ISNUMBER(AD135)),AD135,"")</f>
        <v/>
      </c>
      <c r="I135" s="99">
        <f>IF(AND(AE135="yes",ISNUMBER(AD135),ISNUMBER(INDEX('Sources'!$G$7:$G$10,MATCH(AB135,'Sources'!$B$7:$B$10,0)))),AD135/INDEX('Sources'!$G$7:$G$10,MATCH(AB135,'Sources'!$B$7:$B$10,0)),"")</f>
        <v/>
      </c>
      <c r="J135" s="24" t="inlineStr">
        <is>
          <t>CLOSE</t>
        </is>
      </c>
      <c r="K135" s="24" t="inlineStr">
        <is>
          <t>2026-09-30</t>
        </is>
      </c>
      <c r="L135" s="71" t="n"/>
      <c r="M135" s="24" t="inlineStr">
        <is>
          <t>Polyethylene (not PP), bottom-fill FIFO type with silicone valve; sale price, normal 2.90</t>
        </is>
      </c>
      <c r="N135" s="25" t="inlineStr">
        <is>
          <t>https://www.gastrodax.de/contacto-quetschflasche-0-5-l</t>
        </is>
      </c>
      <c r="O135" s="24" t="inlineStr">
        <is>
          <t>Contacto</t>
        </is>
      </c>
      <c r="P135" s="24" t="inlineStr">
        <is>
          <t>excl.</t>
        </is>
      </c>
      <c r="Q135" s="100" t="n"/>
      <c r="R135" s="24" t="n">
        <v>1</v>
      </c>
      <c r="S135" s="24" t="n"/>
      <c r="T135" s="24" t="inlineStr">
        <is>
          <t>CLOSE</t>
        </is>
      </c>
      <c r="U135" s="24" t="inlineStr">
        <is>
          <t>Existing benchmark assignment and match quality retained.</t>
        </is>
      </c>
      <c r="V135" s="98" t="n">
        <v>2.32</v>
      </c>
      <c r="W135" s="98" t="n"/>
      <c r="X135" s="24" t="inlineStr">
        <is>
          <t>YES Gastro Germany Market Research.xlsx</t>
        </is>
      </c>
      <c r="Y135" s="24" t="n"/>
      <c r="Z135" s="24" t="n"/>
      <c r="AA135" s="24" t="n"/>
      <c r="AB135" s="24" t="inlineStr">
        <is>
          <t>EUR</t>
        </is>
      </c>
      <c r="AC135" s="24" t="inlineStr">
        <is>
          <t>yes</t>
        </is>
      </c>
      <c r="AD135" s="24">
        <f>IF(ISNUMBER(V135),V135,"")</f>
        <v/>
      </c>
      <c r="AE135" s="24">
        <f>IF(AND(AC135="yes",ISNUMBER(F135),IF('Compare'!$H$5="All mapped",TRUE,IF('Compare'!$H$5="EXACT only",J135="EXACT",OR(J135="EXACT",J135="CLOSE")))),"yes","no")</f>
        <v/>
      </c>
      <c r="AF135" s="24">
        <f>IF(ISNUMBER(H135),COUNTIFS($B$7:$B$608,B135,$C$7:$C$608,C135,$H$7:$H$608,"&lt;"&amp;H135,$AH$7:$AH$608,"yes")+COUNTIFS($B$7:B135,B135,$C$7:C135,C135,$H$7:H135,H135,$AH$7:AH135,"yes"),"")</f>
        <v/>
      </c>
      <c r="AG135" s="24">
        <f>IF(ISNUMBER(I135),COUNTIFS($B$7:$B$608,B135,$C$7:$C$608,C135,$I$7:$I$608,"&lt;"&amp;I135,$AI$7:$AI$608,"yes")+COUNTIFS($B$7:B135,B135,$C$7:C135,C135,$I$7:I135,I135,$AI$7:AI135,"yes"),"")</f>
        <v/>
      </c>
      <c r="AH135" s="24">
        <f>IF(ISNUMBER(H135),"yes","no")</f>
        <v/>
      </c>
      <c r="AI135" s="24">
        <f>IF(ISNUMBER(I135),"yes","no")</f>
        <v/>
      </c>
      <c r="AJ135" s="101" t="n">
        <v>46295</v>
      </c>
      <c r="AK135" s="24" t="n"/>
    </row>
    <row r="136" ht="42" customHeight="1">
      <c r="A136" s="2" t="n"/>
      <c r="B136" s="27" t="inlineStr">
        <is>
          <t>Squeeze bottle 500 ml, PP, single tip</t>
        </is>
      </c>
      <c r="C136" s="27" t="inlineStr">
        <is>
          <t>Germany</t>
        </is>
      </c>
      <c r="D136" s="27" t="inlineStr">
        <is>
          <t>Gastroladen.de (Harotec GmbH) [substitute]</t>
        </is>
      </c>
      <c r="E136" s="27" t="inlineStr">
        <is>
          <t>Vogue Quetschflasche extra breit klar 454ml</t>
        </is>
      </c>
      <c r="F136" s="102" t="n">
        <v>4.59</v>
      </c>
      <c r="G136" s="27" t="inlineStr">
        <is>
          <t>EUR</t>
        </is>
      </c>
      <c r="H136" s="102">
        <f>IF(AND(AE136="yes",ISNUMBER(AD136)),AD136,"")</f>
        <v/>
      </c>
      <c r="I136" s="103">
        <f>IF(AND(AE136="yes",ISNUMBER(AD136),ISNUMBER(INDEX('Sources'!$G$7:$G$10,MATCH(AB136,'Sources'!$B$7:$B$10,0)))),AD136/INDEX('Sources'!$G$7:$G$10,MATCH(AB136,'Sources'!$B$7:$B$10,0)),"")</f>
        <v/>
      </c>
      <c r="J136" s="27" t="inlineStr">
        <is>
          <t>CLOSE</t>
        </is>
      </c>
      <c r="K136" s="27" t="inlineStr">
        <is>
          <t>2026-09-30</t>
        </is>
      </c>
      <c r="L136" s="71" t="n"/>
      <c r="M136" s="27" t="inlineStr">
        <is>
          <t>454 ml, polyethylene (not PP), wide neck, single nozzle; sold singly</t>
        </is>
      </c>
      <c r="N136" s="28" t="inlineStr">
        <is>
          <t>https://www.gastroladen.de/G16771B@GN-E092/Vogue-Quetschflasche-extra-breit-klar-454ml.htm</t>
        </is>
      </c>
      <c r="O136" s="27" t="inlineStr">
        <is>
          <t>Vogue</t>
        </is>
      </c>
      <c r="P136" s="27" t="inlineStr">
        <is>
          <t>incl.</t>
        </is>
      </c>
      <c r="Q136" s="104" t="n"/>
      <c r="R136" s="27" t="n">
        <v>1</v>
      </c>
      <c r="S136" s="27" t="n"/>
      <c r="T136" s="27" t="inlineStr">
        <is>
          <t>CLOSE</t>
        </is>
      </c>
      <c r="U136" s="27" t="inlineStr">
        <is>
          <t>Existing benchmark assignment and match quality retained.</t>
        </is>
      </c>
      <c r="V136" s="102" t="n">
        <v>3.86</v>
      </c>
      <c r="W136" s="102" t="n"/>
      <c r="X136" s="27" t="inlineStr">
        <is>
          <t>YES Gastro Germany Market Research.xlsx</t>
        </is>
      </c>
      <c r="Y136" s="27" t="n"/>
      <c r="Z136" s="27" t="n"/>
      <c r="AA136" s="27" t="n"/>
      <c r="AB136" s="27" t="inlineStr">
        <is>
          <t>EUR</t>
        </is>
      </c>
      <c r="AC136" s="27" t="inlineStr">
        <is>
          <t>yes</t>
        </is>
      </c>
      <c r="AD136" s="27">
        <f>IF(ISNUMBER(V136),V136,"")</f>
        <v/>
      </c>
      <c r="AE136" s="27">
        <f>IF(AND(AC136="yes",ISNUMBER(F136),IF('Compare'!$H$5="All mapped",TRUE,IF('Compare'!$H$5="EXACT only",J136="EXACT",OR(J136="EXACT",J136="CLOSE")))),"yes","no")</f>
        <v/>
      </c>
      <c r="AF136" s="27">
        <f>IF(ISNUMBER(H136),COUNTIFS($B$7:$B$608,B136,$C$7:$C$608,C136,$H$7:$H$608,"&lt;"&amp;H136,$AH$7:$AH$608,"yes")+COUNTIFS($B$7:B136,B136,$C$7:C136,C136,$H$7:H136,H136,$AH$7:AH136,"yes"),"")</f>
        <v/>
      </c>
      <c r="AG136" s="27">
        <f>IF(ISNUMBER(I136),COUNTIFS($B$7:$B$608,B136,$C$7:$C$608,C136,$I$7:$I$608,"&lt;"&amp;I136,$AI$7:$AI$608,"yes")+COUNTIFS($B$7:B136,B136,$C$7:C136,C136,$I$7:I136,I136,$AI$7:AI136,"yes"),"")</f>
        <v/>
      </c>
      <c r="AH136" s="27">
        <f>IF(ISNUMBER(H136),"yes","no")</f>
        <v/>
      </c>
      <c r="AI136" s="27">
        <f>IF(ISNUMBER(I136),"yes","no")</f>
        <v/>
      </c>
      <c r="AJ136" s="105" t="n">
        <v>46295</v>
      </c>
      <c r="AK136" s="27" t="n"/>
    </row>
    <row r="137" ht="42" customHeight="1">
      <c r="A137" s="2" t="n"/>
      <c r="B137" s="24" t="inlineStr">
        <is>
          <t>Squeeze bottle 500 ml, PP, single tip</t>
        </is>
      </c>
      <c r="C137" s="24" t="inlineStr">
        <is>
          <t>Germany</t>
        </is>
      </c>
      <c r="D137" s="24" t="inlineStr">
        <is>
          <t>Intergastro</t>
        </is>
      </c>
      <c r="E137" s="24" t="inlineStr">
        <is>
          <t>Quetschflasche 490 ml transparent Ø 70 mm H 200 mm (6er Set)</t>
        </is>
      </c>
      <c r="F137" s="98" t="n">
        <v>8.73</v>
      </c>
      <c r="G137" s="24" t="inlineStr">
        <is>
          <t>EUR</t>
        </is>
      </c>
      <c r="H137" s="98">
        <f>IF(AND(AE137="yes",ISNUMBER(AD137)),AD137,"")</f>
        <v/>
      </c>
      <c r="I137" s="99">
        <f>IF(AND(AE137="yes",ISNUMBER(AD137),ISNUMBER(INDEX('Sources'!$G$7:$G$10,MATCH(AB137,'Sources'!$B$7:$B$10,0)))),AD137/INDEX('Sources'!$G$7:$G$10,MATCH(AB137,'Sources'!$B$7:$B$10,0)),"")</f>
        <v/>
      </c>
      <c r="J137" s="24" t="inlineStr">
        <is>
          <t>CLOSE</t>
        </is>
      </c>
      <c r="K137" s="24" t="inlineStr">
        <is>
          <t>2026-09-30</t>
        </is>
      </c>
      <c r="L137" s="71" t="n"/>
      <c r="M137" s="24" t="inlineStr">
        <is>
          <t>490 ml; material polyethylene (not PP); price per set of 6</t>
        </is>
      </c>
      <c r="N137" s="25" t="inlineStr">
        <is>
          <t>https://www.intergastro.de/quetschflasche-490-ml-transparent-70-mm-h-200-mm-985062</t>
        </is>
      </c>
      <c r="O137" s="24" t="inlineStr">
        <is>
          <t>APS</t>
        </is>
      </c>
      <c r="P137" s="24" t="inlineStr">
        <is>
          <t>excl.</t>
        </is>
      </c>
      <c r="Q137" s="100" t="n"/>
      <c r="R137" s="24" t="n">
        <v>6</v>
      </c>
      <c r="S137" s="24" t="inlineStr">
        <is>
          <t>set of 6</t>
        </is>
      </c>
      <c r="T137" s="24" t="inlineStr">
        <is>
          <t>CLOSE</t>
        </is>
      </c>
      <c r="U137" s="24" t="inlineStr">
        <is>
          <t>Existing benchmark assignment and match quality retained.</t>
        </is>
      </c>
      <c r="V137" s="98" t="n">
        <v>1.46</v>
      </c>
      <c r="W137" s="98" t="n"/>
      <c r="X137" s="24" t="inlineStr">
        <is>
          <t>YES Gastro Germany Market Research.xlsx</t>
        </is>
      </c>
      <c r="Y137" s="24" t="n"/>
      <c r="Z137" s="24" t="n"/>
      <c r="AA137" s="24" t="n"/>
      <c r="AB137" s="24" t="inlineStr">
        <is>
          <t>EUR</t>
        </is>
      </c>
      <c r="AC137" s="24" t="inlineStr">
        <is>
          <t>yes</t>
        </is>
      </c>
      <c r="AD137" s="24">
        <f>IF(ISNUMBER(V137),V137,"")</f>
        <v/>
      </c>
      <c r="AE137" s="24">
        <f>IF(AND(AC137="yes",ISNUMBER(F137),IF('Compare'!$H$5="All mapped",TRUE,IF('Compare'!$H$5="EXACT only",J137="EXACT",OR(J137="EXACT",J137="CLOSE")))),"yes","no")</f>
        <v/>
      </c>
      <c r="AF137" s="24">
        <f>IF(ISNUMBER(H137),COUNTIFS($B$7:$B$608,B137,$C$7:$C$608,C137,$H$7:$H$608,"&lt;"&amp;H137,$AH$7:$AH$608,"yes")+COUNTIFS($B$7:B137,B137,$C$7:C137,C137,$H$7:H137,H137,$AH$7:AH137,"yes"),"")</f>
        <v/>
      </c>
      <c r="AG137" s="24">
        <f>IF(ISNUMBER(I137),COUNTIFS($B$7:$B$608,B137,$C$7:$C$608,C137,$I$7:$I$608,"&lt;"&amp;I137,$AI$7:$AI$608,"yes")+COUNTIFS($B$7:B137,B137,$C$7:C137,C137,$I$7:I137,I137,$AI$7:AI137,"yes"),"")</f>
        <v/>
      </c>
      <c r="AH137" s="24">
        <f>IF(ISNUMBER(H137),"yes","no")</f>
        <v/>
      </c>
      <c r="AI137" s="24">
        <f>IF(ISNUMBER(I137),"yes","no")</f>
        <v/>
      </c>
      <c r="AJ137" s="101" t="n">
        <v>46295</v>
      </c>
      <c r="AK137" s="24" t="n"/>
    </row>
    <row r="138" ht="42" customHeight="1">
      <c r="A138" s="2" t="n"/>
      <c r="B138" s="27" t="inlineStr">
        <is>
          <t>Squeeze bottle 500 ml, PP, single tip</t>
        </is>
      </c>
      <c r="C138" s="27" t="inlineStr">
        <is>
          <t>Germany</t>
        </is>
      </c>
      <c r="D138" s="27" t="inlineStr">
        <is>
          <t>Nisbets</t>
        </is>
      </c>
      <c r="E138" s="27" t="inlineStr">
        <is>
          <t>Araven klare tropffreie Soßenflasche 50cl</t>
        </is>
      </c>
      <c r="F138" s="102" t="n">
        <v>2.69</v>
      </c>
      <c r="G138" s="27" t="inlineStr">
        <is>
          <t>EUR</t>
        </is>
      </c>
      <c r="H138" s="102">
        <f>IF(AND(AE138="yes",ISNUMBER(AD138)),AD138,"")</f>
        <v/>
      </c>
      <c r="I138" s="103">
        <f>IF(AND(AE138="yes",ISNUMBER(AD138),ISNUMBER(INDEX('Sources'!$G$7:$G$10,MATCH(AB138,'Sources'!$B$7:$B$10,0)))),AD138/INDEX('Sources'!$G$7:$G$10,MATCH(AB138,'Sources'!$B$7:$B$10,0)),"")</f>
        <v/>
      </c>
      <c r="J138" s="27" t="inlineStr">
        <is>
          <t>CLOSE</t>
        </is>
      </c>
      <c r="K138" s="27" t="inlineStr">
        <is>
          <t>2026-09-30</t>
        </is>
      </c>
      <c r="L138" s="71" t="n"/>
      <c r="M138" s="27" t="inlineStr">
        <is>
          <t>500 ml, polyethylene (not PP), drip-free valve; Vogue 454 ml (E092) no longer listed</t>
        </is>
      </c>
      <c r="N138" s="28" t="inlineStr">
        <is>
          <t>https://www.nisbets.de/araven-klare-tropffreie-soenflasche-50cl/cw112</t>
        </is>
      </c>
      <c r="O138" s="27" t="inlineStr">
        <is>
          <t>Araven</t>
        </is>
      </c>
      <c r="P138" s="27" t="inlineStr">
        <is>
          <t>excl.</t>
        </is>
      </c>
      <c r="Q138" s="104" t="n"/>
      <c r="R138" s="27" t="n">
        <v>1</v>
      </c>
      <c r="S138" s="27" t="n"/>
      <c r="T138" s="27" t="inlineStr">
        <is>
          <t>CLOSE</t>
        </is>
      </c>
      <c r="U138" s="27" t="inlineStr">
        <is>
          <t>Existing benchmark assignment and match quality retained.</t>
        </is>
      </c>
      <c r="V138" s="102" t="n">
        <v>2.69</v>
      </c>
      <c r="W138" s="102" t="n"/>
      <c r="X138" s="27" t="inlineStr">
        <is>
          <t>YES Gastro Germany Market Research.xlsx</t>
        </is>
      </c>
      <c r="Y138" s="27" t="n"/>
      <c r="Z138" s="27" t="n"/>
      <c r="AA138" s="27" t="n"/>
      <c r="AB138" s="27" t="inlineStr">
        <is>
          <t>EUR</t>
        </is>
      </c>
      <c r="AC138" s="27" t="inlineStr">
        <is>
          <t>yes</t>
        </is>
      </c>
      <c r="AD138" s="27">
        <f>IF(ISNUMBER(V138),V138,"")</f>
        <v/>
      </c>
      <c r="AE138" s="27">
        <f>IF(AND(AC138="yes",ISNUMBER(F138),IF('Compare'!$H$5="All mapped",TRUE,IF('Compare'!$H$5="EXACT only",J138="EXACT",OR(J138="EXACT",J138="CLOSE")))),"yes","no")</f>
        <v/>
      </c>
      <c r="AF138" s="27">
        <f>IF(ISNUMBER(H138),COUNTIFS($B$7:$B$608,B138,$C$7:$C$608,C138,$H$7:$H$608,"&lt;"&amp;H138,$AH$7:$AH$608,"yes")+COUNTIFS($B$7:B138,B138,$C$7:C138,C138,$H$7:H138,H138,$AH$7:AH138,"yes"),"")</f>
        <v/>
      </c>
      <c r="AG138" s="27">
        <f>IF(ISNUMBER(I138),COUNTIFS($B$7:$B$608,B138,$C$7:$C$608,C138,$I$7:$I$608,"&lt;"&amp;I138,$AI$7:$AI$608,"yes")+COUNTIFS($B$7:B138,B138,$C$7:C138,C138,$I$7:I138,I138,$AI$7:AI138,"yes"),"")</f>
        <v/>
      </c>
      <c r="AH138" s="27">
        <f>IF(ISNUMBER(H138),"yes","no")</f>
        <v/>
      </c>
      <c r="AI138" s="27">
        <f>IF(ISNUMBER(I138),"yes","no")</f>
        <v/>
      </c>
      <c r="AJ138" s="105" t="n">
        <v>46295</v>
      </c>
      <c r="AK138" s="27" t="n"/>
    </row>
    <row r="139" ht="66" customHeight="1">
      <c r="A139" s="2" t="n"/>
      <c r="B139" s="24" t="inlineStr">
        <is>
          <t>Squeeze bottle 500 ml, PP, single tip</t>
        </is>
      </c>
      <c r="C139" s="24" t="inlineStr">
        <is>
          <t>Czech</t>
        </is>
      </c>
      <c r="D139" s="24" t="inlineStr">
        <is>
          <t>GGM Gastro (CZ storefront)</t>
        </is>
      </c>
      <c r="E139" s="24" t="inlineStr">
        <is>
          <t>(12 ks) Stlačovací lahev na omáčky se středovou membránou - 473 ml</t>
        </is>
      </c>
      <c r="F139" s="98" t="n">
        <v>1241.05</v>
      </c>
      <c r="G139" s="24" t="inlineStr">
        <is>
          <t>CZK</t>
        </is>
      </c>
      <c r="H139" s="98">
        <f>IF(AND(AE139="yes",ISNUMBER(AD139)),AD139,"")</f>
        <v/>
      </c>
      <c r="I139" s="99">
        <f>IF(AND(AE139="yes",ISNUMBER(AD139),ISNUMBER(INDEX('Sources'!$G$7:$G$10,MATCH(AB139,'Sources'!$B$7:$B$10,0)))),AD139/INDEX('Sources'!$G$7:$G$10,MATCH(AB139,'Sources'!$B$7:$B$10,0)),"")</f>
        <v/>
      </c>
      <c r="J139" s="24" t="inlineStr">
        <is>
          <t>CLOSE</t>
        </is>
      </c>
      <c r="K139" s="24" t="inlineStr">
        <is>
          <t>2026-09-30</t>
        </is>
      </c>
      <c r="L139" s="71" t="n"/>
      <c r="M139" s="24" t="inlineStr">
        <is>
          <t>Net CZK price as displayed; page footnote: "* čistá cena | hrubá cena vč. 19% DPH" (German VAT 19% used on the CZ storefront). SKU FFO-002, 473 ml, pack of 12, valve (membrane) nozzle; material NOT stated (flagged). Gross 1,476.85 CZK. 3-pack version with screw cap FFO-007: 486.54 CZK.</t>
        </is>
      </c>
      <c r="N139" s="25" t="inlineStr">
        <is>
          <t>https://www.ggmgastro.com/cs-cz-czk/12-ks-stlacovaci-lahev-na-omacky-se-stredovou-membranou-473-ml-ffo-002</t>
        </is>
      </c>
      <c r="O139" s="24" t="inlineStr">
        <is>
          <t>GGM</t>
        </is>
      </c>
      <c r="P139" s="24" t="inlineStr">
        <is>
          <t>excl.</t>
        </is>
      </c>
      <c r="Q139" s="100" t="n">
        <v>0.19</v>
      </c>
      <c r="R139" s="24" t="n">
        <v>12</v>
      </c>
      <c r="S139" s="24" t="inlineStr">
        <is>
          <t>per pack</t>
        </is>
      </c>
      <c r="T139" s="24" t="inlineStr">
        <is>
          <t>CLOSE</t>
        </is>
      </c>
      <c r="U139" s="24" t="inlineStr">
        <is>
          <t>Existing benchmark assignment and match quality retained.</t>
        </is>
      </c>
      <c r="V139" s="98" t="n"/>
      <c r="W139" s="98" t="n"/>
      <c r="X139" s="24" t="inlineStr">
        <is>
          <t>YES Gastro Czech Market Research.xlsx</t>
        </is>
      </c>
      <c r="Y139" s="24" t="n"/>
      <c r="Z139" s="24" t="n"/>
      <c r="AA139" s="24" t="n"/>
      <c r="AB139" s="24" t="inlineStr">
        <is>
          <t>CZK</t>
        </is>
      </c>
      <c r="AC139" s="24" t="inlineStr">
        <is>
          <t>yes</t>
        </is>
      </c>
      <c r="AD139" s="24">
        <f>IF(OR(F139="",Q139="",R139=""),"",ROUND(IF(P139="incl.",F139/(1+Q139),F139)/IF(S139="per pack",R139,1),2))</f>
        <v/>
      </c>
      <c r="AE139" s="24">
        <f>IF(AND(AC139="yes",ISNUMBER(F139),IF('Compare'!$H$5="All mapped",TRUE,IF('Compare'!$H$5="EXACT only",J139="EXACT",OR(J139="EXACT",J139="CLOSE")))),"yes","no")</f>
        <v/>
      </c>
      <c r="AF139" s="24">
        <f>IF(ISNUMBER(H139),COUNTIFS($B$7:$B$608,B139,$C$7:$C$608,C139,$H$7:$H$608,"&lt;"&amp;H139,$AH$7:$AH$608,"yes")+COUNTIFS($B$7:B139,B139,$C$7:C139,C139,$H$7:H139,H139,$AH$7:AH139,"yes"),"")</f>
        <v/>
      </c>
      <c r="AG139" s="24">
        <f>IF(ISNUMBER(I139),COUNTIFS($B$7:$B$608,B139,$C$7:$C$608,C139,$I$7:$I$608,"&lt;"&amp;I139,$AI$7:$AI$608,"yes")+COUNTIFS($B$7:B139,B139,$C$7:C139,C139,$I$7:I139,I139,$AI$7:AI139,"yes"),"")</f>
        <v/>
      </c>
      <c r="AH139" s="24">
        <f>IF(ISNUMBER(H139),"yes","no")</f>
        <v/>
      </c>
      <c r="AI139" s="24">
        <f>IF(ISNUMBER(I139),"yes","no")</f>
        <v/>
      </c>
      <c r="AJ139" s="101" t="n">
        <v>46295</v>
      </c>
      <c r="AK139" s="24" t="n"/>
    </row>
    <row r="140" ht="52" customHeight="1">
      <c r="A140" s="2" t="n"/>
      <c r="B140" s="27" t="inlineStr">
        <is>
          <t>Squeeze bottle 500 ml, PP, single tip</t>
        </is>
      </c>
      <c r="C140" s="27" t="inlineStr">
        <is>
          <t>Czech</t>
        </is>
      </c>
      <c r="D140" s="27" t="inlineStr">
        <is>
          <t>Gastro Novotný</t>
        </is>
      </c>
      <c r="E140" s="27" t="inlineStr">
        <is>
          <t>Láhev plastová dávkovací čirá 354ml</t>
        </is>
      </c>
      <c r="F140" s="102" t="n">
        <v>29</v>
      </c>
      <c r="G140" s="27" t="inlineStr">
        <is>
          <t>CZK</t>
        </is>
      </c>
      <c r="H140" s="102">
        <f>IF(AND(AE140="yes",ISNUMBER(AD140)),AD140,"")</f>
        <v/>
      </c>
      <c r="I140" s="103">
        <f>IF(AND(AE140="yes",ISNUMBER(AD140),ISNUMBER(INDEX('Sources'!$G$7:$G$10,MATCH(AB140,'Sources'!$B$7:$B$10,0)))),AD140/INDEX('Sources'!$G$7:$G$10,MATCH(AB140,'Sources'!$B$7:$B$10,0)),"")</f>
        <v/>
      </c>
      <c r="J140" s="27" t="inlineStr">
        <is>
          <t>APPROX</t>
        </is>
      </c>
      <c r="K140" s="27" t="inlineStr">
        <is>
          <t>2026-09-30</t>
        </is>
      </c>
      <c r="L140" s="71" t="n"/>
      <c r="M140" s="27" t="inlineStr">
        <is>
          <t>354 ml instead of 500 ml; plastic type not stated. 35.09 CZK incl. VAT. Red variant same price. Largest squeeze bottle is a 708 ml "zdobící" (decorating) bottle, 39 CZK excl.</t>
        </is>
      </c>
      <c r="N140" s="28" t="inlineStr">
        <is>
          <t>https://eshop.gastronovotny.cz/lahev-plastova-davkovaci-cira-354ml--255046026/</t>
        </is>
      </c>
      <c r="O140" s="27" t="n"/>
      <c r="P140" s="27" t="inlineStr">
        <is>
          <t>excl.</t>
        </is>
      </c>
      <c r="Q140" s="104" t="n">
        <v>0.21</v>
      </c>
      <c r="R140" s="27" t="n">
        <v>1</v>
      </c>
      <c r="S140" s="27" t="inlineStr">
        <is>
          <t>per piece</t>
        </is>
      </c>
      <c r="T140" s="27" t="inlineStr">
        <is>
          <t>APPROX</t>
        </is>
      </c>
      <c r="U140" s="27" t="inlineStr">
        <is>
          <t>Existing benchmark assignment and match quality retained.</t>
        </is>
      </c>
      <c r="V140" s="102" t="n"/>
      <c r="W140" s="102" t="n"/>
      <c r="X140" s="27" t="inlineStr">
        <is>
          <t>YES Gastro Czech Market Research.xlsx</t>
        </is>
      </c>
      <c r="Y140" s="27" t="n"/>
      <c r="Z140" s="27" t="n"/>
      <c r="AA140" s="27" t="n"/>
      <c r="AB140" s="27" t="inlineStr">
        <is>
          <t>CZK</t>
        </is>
      </c>
      <c r="AC140" s="27" t="inlineStr">
        <is>
          <t>yes</t>
        </is>
      </c>
      <c r="AD140" s="27">
        <f>IF(OR(F140="",Q140="",R140=""),"",ROUND(IF(P140="incl.",F140/(1+Q140),F140)/IF(S140="per pack",R140,1),2))</f>
        <v/>
      </c>
      <c r="AE140" s="27">
        <f>IF(AND(AC140="yes",ISNUMBER(F140),IF('Compare'!$H$5="All mapped",TRUE,IF('Compare'!$H$5="EXACT only",J140="EXACT",OR(J140="EXACT",J140="CLOSE")))),"yes","no")</f>
        <v/>
      </c>
      <c r="AF140" s="27">
        <f>IF(ISNUMBER(H140),COUNTIFS($B$7:$B$608,B140,$C$7:$C$608,C140,$H$7:$H$608,"&lt;"&amp;H140,$AH$7:$AH$608,"yes")+COUNTIFS($B$7:B140,B140,$C$7:C140,C140,$H$7:H140,H140,$AH$7:AH140,"yes"),"")</f>
        <v/>
      </c>
      <c r="AG140" s="27">
        <f>IF(ISNUMBER(I140),COUNTIFS($B$7:$B$608,B140,$C$7:$C$608,C140,$I$7:$I$608,"&lt;"&amp;I140,$AI$7:$AI$608,"yes")+COUNTIFS($B$7:B140,B140,$C$7:C140,C140,$I$7:I140,I140,$AI$7:AI140,"yes"),"")</f>
        <v/>
      </c>
      <c r="AH140" s="27">
        <f>IF(ISNUMBER(H140),"yes","no")</f>
        <v/>
      </c>
      <c r="AI140" s="27">
        <f>IF(ISNUMBER(I140),"yes","no")</f>
        <v/>
      </c>
      <c r="AJ140" s="105" t="n">
        <v>46295</v>
      </c>
      <c r="AK140" s="27" t="n"/>
    </row>
    <row r="141" ht="52" customHeight="1">
      <c r="A141" s="2" t="n"/>
      <c r="B141" s="24" t="inlineStr">
        <is>
          <t>Squeeze bottle 500 ml, PP, single tip</t>
        </is>
      </c>
      <c r="C141" s="24" t="inlineStr">
        <is>
          <t>Czech</t>
        </is>
      </c>
      <c r="D141" s="24" t="inlineStr">
        <is>
          <t>Gastromania</t>
        </is>
      </c>
      <c r="E141" s="24" t="inlineStr">
        <is>
          <t>Láhev na omáčky, 0,475 ml | NEUMARKER, FIFO</t>
        </is>
      </c>
      <c r="F141" s="98" t="n">
        <v>352</v>
      </c>
      <c r="G141" s="24" t="inlineStr">
        <is>
          <t>CZK</t>
        </is>
      </c>
      <c r="H141" s="98">
        <f>IF(AND(AE141="yes",ISNUMBER(AD141)),AD141,"")</f>
        <v/>
      </c>
      <c r="I141" s="99">
        <f>IF(AND(AE141="yes",ISNUMBER(AD141),ISNUMBER(INDEX('Sources'!$G$7:$G$10,MATCH(AB141,'Sources'!$B$7:$B$10,0)))),AD141/INDEX('Sources'!$G$7:$G$10,MATCH(AB141,'Sources'!$B$7:$B$10,0)),"")</f>
        <v/>
      </c>
      <c r="J141" s="24" t="inlineStr">
        <is>
          <t>CLOSE</t>
        </is>
      </c>
      <c r="K141" s="24" t="inlineStr">
        <is>
          <t>2026-09-30</t>
        </is>
      </c>
      <c r="L141" s="71" t="n"/>
      <c r="M141" s="24" t="inlineStr">
        <is>
          <t>475 ml FIFO squeeze bottle (refilled from the bottom); material NOT stated (flagged). 425 CZK incl.; discounted from 370 excl.; availability 40 days. Standard PE bottles only in 350/400/700 ml (e.g. Tomgast 400 ml PE 48 excl.).</t>
        </is>
      </c>
      <c r="N141" s="25" t="inlineStr">
        <is>
          <t>https://www.gastromania.cz/davkovace-omacek/lahev-na-omacky-0-475-ml-neumarker-fifo</t>
        </is>
      </c>
      <c r="O141" s="24" t="inlineStr">
        <is>
          <t>Neumarker</t>
        </is>
      </c>
      <c r="P141" s="24" t="inlineStr">
        <is>
          <t>excl.</t>
        </is>
      </c>
      <c r="Q141" s="100" t="n">
        <v>0.21</v>
      </c>
      <c r="R141" s="24" t="n">
        <v>1</v>
      </c>
      <c r="S141" s="24" t="inlineStr">
        <is>
          <t>per piece</t>
        </is>
      </c>
      <c r="T141" s="24" t="inlineStr">
        <is>
          <t>CLOSE</t>
        </is>
      </c>
      <c r="U141" s="24" t="inlineStr">
        <is>
          <t>Existing benchmark assignment and match quality retained.</t>
        </is>
      </c>
      <c r="V141" s="98" t="n"/>
      <c r="W141" s="98" t="n"/>
      <c r="X141" s="24" t="inlineStr">
        <is>
          <t>YES Gastro Czech Market Research.xlsx</t>
        </is>
      </c>
      <c r="Y141" s="24" t="n"/>
      <c r="Z141" s="24" t="n"/>
      <c r="AA141" s="24" t="n"/>
      <c r="AB141" s="24" t="inlineStr">
        <is>
          <t>CZK</t>
        </is>
      </c>
      <c r="AC141" s="24" t="inlineStr">
        <is>
          <t>yes</t>
        </is>
      </c>
      <c r="AD141" s="24">
        <f>IF(OR(F141="",Q141="",R141=""),"",ROUND(IF(P141="incl.",F141/(1+Q141),F141)/IF(S141="per pack",R141,1),2))</f>
        <v/>
      </c>
      <c r="AE141" s="24">
        <f>IF(AND(AC141="yes",ISNUMBER(F141),IF('Compare'!$H$5="All mapped",TRUE,IF('Compare'!$H$5="EXACT only",J141="EXACT",OR(J141="EXACT",J141="CLOSE")))),"yes","no")</f>
        <v/>
      </c>
      <c r="AF141" s="24">
        <f>IF(ISNUMBER(H141),COUNTIFS($B$7:$B$608,B141,$C$7:$C$608,C141,$H$7:$H$608,"&lt;"&amp;H141,$AH$7:$AH$608,"yes")+COUNTIFS($B$7:B141,B141,$C$7:C141,C141,$H$7:H141,H141,$AH$7:AH141,"yes"),"")</f>
        <v/>
      </c>
      <c r="AG141" s="24">
        <f>IF(ISNUMBER(I141),COUNTIFS($B$7:$B$608,B141,$C$7:$C$608,C141,$I$7:$I$608,"&lt;"&amp;I141,$AI$7:$AI$608,"yes")+COUNTIFS($B$7:B141,B141,$C$7:C141,C141,$I$7:I141,I141,$AI$7:AI141,"yes"),"")</f>
        <v/>
      </c>
      <c r="AH141" s="24">
        <f>IF(ISNUMBER(H141),"yes","no")</f>
        <v/>
      </c>
      <c r="AI141" s="24">
        <f>IF(ISNUMBER(I141),"yes","no")</f>
        <v/>
      </c>
      <c r="AJ141" s="101" t="n">
        <v>46295</v>
      </c>
      <c r="AK141" s="24" t="n"/>
    </row>
    <row r="142" ht="42" customHeight="1">
      <c r="A142" s="2" t="n"/>
      <c r="B142" s="27" t="inlineStr">
        <is>
          <t>Squeeze bottle 500 ml, PP, single tip</t>
        </is>
      </c>
      <c r="C142" s="27" t="inlineStr">
        <is>
          <t>Czech</t>
        </is>
      </c>
      <c r="D142" s="27" t="inlineStr">
        <is>
          <t>Gastrozone</t>
        </is>
      </c>
      <c r="E142" s="27" t="inlineStr">
        <is>
          <t>Dávkovací mačkací láhev Schneider 500 ml</t>
        </is>
      </c>
      <c r="F142" s="102" t="n">
        <v>313</v>
      </c>
      <c r="G142" s="27" t="inlineStr">
        <is>
          <t>CZK</t>
        </is>
      </c>
      <c r="H142" s="102">
        <f>IF(AND(AE142="yes",ISNUMBER(AD142)),AD142,"")</f>
        <v/>
      </c>
      <c r="I142" s="103">
        <f>IF(AND(AE142="yes",ISNUMBER(AD142),ISNUMBER(INDEX('Sources'!$G$7:$G$10,MATCH(AB142,'Sources'!$B$7:$B$10,0)))),AD142/INDEX('Sources'!$G$7:$G$10,MATCH(AB142,'Sources'!$B$7:$B$10,0)),"")</f>
        <v/>
      </c>
      <c r="J142" s="27" t="inlineStr">
        <is>
          <t>CLOSE</t>
        </is>
      </c>
      <c r="K142" s="27" t="inlineStr">
        <is>
          <t>2026-09-30</t>
        </is>
      </c>
      <c r="L142" s="71" t="n"/>
      <c r="M142" s="27" t="inlineStr">
        <is>
          <t>500 ml, single nozzle with closure; material polyethylene (not PP). 259 CZK bez DPH. Cheaper non-500 ml options exist (Hendi 0.35/0.7 l from 67 CZK).</t>
        </is>
      </c>
      <c r="N142" s="28" t="inlineStr">
        <is>
          <t>https://www.gastrozone.cz/lahev-mackaci-s-uzaviranim-0-5-l-odolna-od-40c-do-95c-transparentni-pro-styk-s-potravinama-schneider-10134.html</t>
        </is>
      </c>
      <c r="O142" s="27" t="inlineStr">
        <is>
          <t>Schneider</t>
        </is>
      </c>
      <c r="P142" s="27" t="inlineStr">
        <is>
          <t>incl.</t>
        </is>
      </c>
      <c r="Q142" s="104" t="n">
        <v>0.21</v>
      </c>
      <c r="R142" s="27" t="n">
        <v>1</v>
      </c>
      <c r="S142" s="27" t="inlineStr">
        <is>
          <t>per piece</t>
        </is>
      </c>
      <c r="T142" s="27" t="inlineStr">
        <is>
          <t>CLOSE</t>
        </is>
      </c>
      <c r="U142" s="27" t="inlineStr">
        <is>
          <t>Existing benchmark assignment and match quality retained.</t>
        </is>
      </c>
      <c r="V142" s="102" t="n"/>
      <c r="W142" s="102" t="n"/>
      <c r="X142" s="27" t="inlineStr">
        <is>
          <t>YES Gastro Czech Market Research.xlsx</t>
        </is>
      </c>
      <c r="Y142" s="27" t="n"/>
      <c r="Z142" s="27" t="n"/>
      <c r="AA142" s="27" t="n"/>
      <c r="AB142" s="27" t="inlineStr">
        <is>
          <t>CZK</t>
        </is>
      </c>
      <c r="AC142" s="27" t="inlineStr">
        <is>
          <t>yes</t>
        </is>
      </c>
      <c r="AD142" s="27">
        <f>IF(OR(F142="",Q142="",R142=""),"",ROUND(IF(P142="incl.",F142/(1+Q142),F142)/IF(S142="per pack",R142,1),2))</f>
        <v/>
      </c>
      <c r="AE142" s="27">
        <f>IF(AND(AC142="yes",ISNUMBER(F142),IF('Compare'!$H$5="All mapped",TRUE,IF('Compare'!$H$5="EXACT only",J142="EXACT",OR(J142="EXACT",J142="CLOSE")))),"yes","no")</f>
        <v/>
      </c>
      <c r="AF142" s="27">
        <f>IF(ISNUMBER(H142),COUNTIFS($B$7:$B$608,B142,$C$7:$C$608,C142,$H$7:$H$608,"&lt;"&amp;H142,$AH$7:$AH$608,"yes")+COUNTIFS($B$7:B142,B142,$C$7:C142,C142,$H$7:H142,H142,$AH$7:AH142,"yes"),"")</f>
        <v/>
      </c>
      <c r="AG142" s="27">
        <f>IF(ISNUMBER(I142),COUNTIFS($B$7:$B$608,B142,$C$7:$C$608,C142,$I$7:$I$608,"&lt;"&amp;I142,$AI$7:$AI$608,"yes")+COUNTIFS($B$7:B142,B142,$C$7:C142,C142,$I$7:I142,I142,$AI$7:AI142,"yes"),"")</f>
        <v/>
      </c>
      <c r="AH142" s="27">
        <f>IF(ISNUMBER(H142),"yes","no")</f>
        <v/>
      </c>
      <c r="AI142" s="27">
        <f>IF(ISNUMBER(I142),"yes","no")</f>
        <v/>
      </c>
      <c r="AJ142" s="105" t="n">
        <v>46295</v>
      </c>
      <c r="AK142" s="27" t="n"/>
    </row>
    <row r="143" ht="42" customHeight="1">
      <c r="A143" s="2" t="n"/>
      <c r="B143" s="24" t="inlineStr">
        <is>
          <t>Squeeze bottle 500 ml, PP, single tip</t>
        </is>
      </c>
      <c r="C143" s="24" t="inlineStr">
        <is>
          <t>Czech</t>
        </is>
      </c>
      <c r="D143" s="24" t="inlineStr">
        <is>
          <t>TOMGAST</t>
        </is>
      </c>
      <c r="E143" s="24" t="inlineStr">
        <is>
          <t>Dávkovač na omáčky 400 ml</t>
        </is>
      </c>
      <c r="F143" s="98" t="n">
        <v>58</v>
      </c>
      <c r="G143" s="24" t="inlineStr">
        <is>
          <t>CZK</t>
        </is>
      </c>
      <c r="H143" s="98">
        <f>IF(AND(AE143="yes",ISNUMBER(AD143)),AD143,"")</f>
        <v/>
      </c>
      <c r="I143" s="99">
        <f>IF(AND(AE143="yes",ISNUMBER(AD143),ISNUMBER(INDEX('Sources'!$G$7:$G$10,MATCH(AB143,'Sources'!$B$7:$B$10,0)))),AD143/INDEX('Sources'!$G$7:$G$10,MATCH(AB143,'Sources'!$B$7:$B$10,0)),"")</f>
        <v/>
      </c>
      <c r="J143" s="24" t="inlineStr">
        <is>
          <t>APPROX</t>
        </is>
      </c>
      <c r="K143" s="24" t="inlineStr">
        <is>
          <t>2026-09-30</t>
        </is>
      </c>
      <c r="L143" s="71" t="n"/>
      <c r="M143" s="24" t="inlineStr">
        <is>
          <t>400 ml instead of 500 ml AND polyethylene instead of PP. 48 CZK bez DPH. No 500 ml bottle listed (sizes 250/360/400/700/720/1025 ml).</t>
        </is>
      </c>
      <c r="N143" s="25" t="inlineStr">
        <is>
          <t>https://www.tomgast.cz/davkovac-na-omacky-400-ml/</t>
        </is>
      </c>
      <c r="O143" s="24" t="inlineStr">
        <is>
          <t>Laco</t>
        </is>
      </c>
      <c r="P143" s="24" t="inlineStr">
        <is>
          <t>incl.</t>
        </is>
      </c>
      <c r="Q143" s="100" t="n">
        <v>0.21</v>
      </c>
      <c r="R143" s="24" t="n">
        <v>1</v>
      </c>
      <c r="S143" s="24" t="inlineStr">
        <is>
          <t>per piece</t>
        </is>
      </c>
      <c r="T143" s="24" t="inlineStr">
        <is>
          <t>APPROX</t>
        </is>
      </c>
      <c r="U143" s="24" t="inlineStr">
        <is>
          <t>Existing benchmark assignment and match quality retained.</t>
        </is>
      </c>
      <c r="V143" s="98" t="n"/>
      <c r="W143" s="98" t="n"/>
      <c r="X143" s="24" t="inlineStr">
        <is>
          <t>YES Gastro Czech Market Research.xlsx</t>
        </is>
      </c>
      <c r="Y143" s="24" t="n"/>
      <c r="Z143" s="24" t="n"/>
      <c r="AA143" s="24" t="n"/>
      <c r="AB143" s="24" t="inlineStr">
        <is>
          <t>CZK</t>
        </is>
      </c>
      <c r="AC143" s="24" t="inlineStr">
        <is>
          <t>yes</t>
        </is>
      </c>
      <c r="AD143" s="24">
        <f>IF(OR(F143="",Q143="",R143=""),"",ROUND(IF(P143="incl.",F143/(1+Q143),F143)/IF(S143="per pack",R143,1),2))</f>
        <v/>
      </c>
      <c r="AE143" s="24">
        <f>IF(AND(AC143="yes",ISNUMBER(F143),IF('Compare'!$H$5="All mapped",TRUE,IF('Compare'!$H$5="EXACT only",J143="EXACT",OR(J143="EXACT",J143="CLOSE")))),"yes","no")</f>
        <v/>
      </c>
      <c r="AF143" s="24">
        <f>IF(ISNUMBER(H143),COUNTIFS($B$7:$B$608,B143,$C$7:$C$608,C143,$H$7:$H$608,"&lt;"&amp;H143,$AH$7:$AH$608,"yes")+COUNTIFS($B$7:B143,B143,$C$7:C143,C143,$H$7:H143,H143,$AH$7:AH143,"yes"),"")</f>
        <v/>
      </c>
      <c r="AG143" s="24">
        <f>IF(ISNUMBER(I143),COUNTIFS($B$7:$B$608,B143,$C$7:$C$608,C143,$I$7:$I$608,"&lt;"&amp;I143,$AI$7:$AI$608,"yes")+COUNTIFS($B$7:B143,B143,$C$7:C143,C143,$I$7:I143,I143,$AI$7:AI143,"yes"),"")</f>
        <v/>
      </c>
      <c r="AH143" s="24">
        <f>IF(ISNUMBER(H143),"yes","no")</f>
        <v/>
      </c>
      <c r="AI143" s="24">
        <f>IF(ISNUMBER(I143),"yes","no")</f>
        <v/>
      </c>
      <c r="AJ143" s="101" t="n">
        <v>46295</v>
      </c>
      <c r="AK143" s="24" t="n"/>
    </row>
    <row r="144" ht="66" customHeight="1">
      <c r="A144" s="2" t="n"/>
      <c r="B144" s="27" t="inlineStr">
        <is>
          <t>Squeeze bottle 500 ml, PP, single tip</t>
        </is>
      </c>
      <c r="C144" s="27" t="inlineStr">
        <is>
          <t>Slovakia</t>
        </is>
      </c>
      <c r="D144" s="27" t="inlineStr">
        <is>
          <t>Gastromania.sk (GASTROMANIA CZ s.r.o., CZ)</t>
        </is>
      </c>
      <c r="E144" s="27" t="inlineStr">
        <is>
          <t>Fľaša na omáčky, 0,475 ml | NEUMARKER, FIFO</t>
        </is>
      </c>
      <c r="F144" s="102" t="n">
        <v>13.68</v>
      </c>
      <c r="G144" s="27" t="inlineStr">
        <is>
          <t>EUR</t>
        </is>
      </c>
      <c r="H144" s="102">
        <f>IF(AND(AE144="yes",ISNUMBER(AD144)),AD144,"")</f>
        <v/>
      </c>
      <c r="I144" s="103">
        <f>IF(AND(AE144="yes",ISNUMBER(AD144),ISNUMBER(INDEX('Sources'!$G$7:$G$10,MATCH(AB144,'Sources'!$B$7:$B$10,0)))),AD144/INDEX('Sources'!$G$7:$G$10,MATCH(AB144,'Sources'!$B$7:$B$10,0)),"")</f>
        <v/>
      </c>
      <c r="J144" s="27" t="inlineStr">
        <is>
          <t>APPROX</t>
        </is>
      </c>
      <c r="K144" s="27" t="inlineStr">
        <is>
          <t>2026-09-30</t>
        </is>
      </c>
      <c r="L144" s="71" t="n"/>
      <c r="M144" s="27" t="inlineStr">
        <is>
          <t>Listed 'Cena bez DPH' 13.68 EUR / 'Cena s DPH' 16.83 EUR. 475 ml FIFO squeeze bottle (refilled from the bottom); MATERIAL AND TIP TYPE NOT STATED. No 500 ml PP single-tip bottle found (HENDI/Stalgast bottles are 0,35/0,7 l). Promo; base 14,40 / 17,71. Availability 40 days.</t>
        </is>
      </c>
      <c r="N144" s="28" t="inlineStr">
        <is>
          <t>https://gastromania.sk/davkovace-omacok/flasa-na-omacky-0-475-ml-neumarker-fifo</t>
        </is>
      </c>
      <c r="O144" s="27" t="inlineStr">
        <is>
          <t>Neumarker</t>
        </is>
      </c>
      <c r="P144" s="27" t="inlineStr">
        <is>
          <t>excl.</t>
        </is>
      </c>
      <c r="Q144" s="104" t="inlineStr">
        <is>
          <t>n/a</t>
        </is>
      </c>
      <c r="R144" s="27" t="n">
        <v>1</v>
      </c>
      <c r="S144" s="27" t="inlineStr">
        <is>
          <t>per piece</t>
        </is>
      </c>
      <c r="T144" s="27" t="inlineStr">
        <is>
          <t>APPROX</t>
        </is>
      </c>
      <c r="U144" s="27" t="inlineStr">
        <is>
          <t>Existing benchmark assignment and match quality retained.</t>
        </is>
      </c>
      <c r="V144" s="102" t="n">
        <v>13.68</v>
      </c>
      <c r="W144" s="102" t="n"/>
      <c r="X144" s="27" t="inlineStr">
        <is>
          <t>YES Gastro Slovakia Market Research.xlsx</t>
        </is>
      </c>
      <c r="Y144" s="27" t="n"/>
      <c r="Z144" s="27" t="n"/>
      <c r="AA144" s="27" t="n"/>
      <c r="AB144" s="27" t="inlineStr">
        <is>
          <t>EUR</t>
        </is>
      </c>
      <c r="AC144" s="27" t="inlineStr">
        <is>
          <t>yes</t>
        </is>
      </c>
      <c r="AD144" s="27">
        <f>IF(ISNUMBER(V144),V144,"")</f>
        <v/>
      </c>
      <c r="AE144" s="27">
        <f>IF(AND(AC144="yes",ISNUMBER(F144),IF('Compare'!$H$5="All mapped",TRUE,IF('Compare'!$H$5="EXACT only",J144="EXACT",OR(J144="EXACT",J144="CLOSE")))),"yes","no")</f>
        <v/>
      </c>
      <c r="AF144" s="27">
        <f>IF(ISNUMBER(H144),COUNTIFS($B$7:$B$608,B144,$C$7:$C$608,C144,$H$7:$H$608,"&lt;"&amp;H144,$AH$7:$AH$608,"yes")+COUNTIFS($B$7:B144,B144,$C$7:C144,C144,$H$7:H144,H144,$AH$7:AH144,"yes"),"")</f>
        <v/>
      </c>
      <c r="AG144" s="27">
        <f>IF(ISNUMBER(I144),COUNTIFS($B$7:$B$608,B144,$C$7:$C$608,C144,$I$7:$I$608,"&lt;"&amp;I144,$AI$7:$AI$608,"yes")+COUNTIFS($B$7:B144,B144,$C$7:C144,C144,$I$7:I144,I144,$AI$7:AI144,"yes"),"")</f>
        <v/>
      </c>
      <c r="AH144" s="27">
        <f>IF(ISNUMBER(H144),"yes","no")</f>
        <v/>
      </c>
      <c r="AI144" s="27">
        <f>IF(ISNUMBER(I144),"yes","no")</f>
        <v/>
      </c>
      <c r="AJ144" s="105" t="n">
        <v>46295</v>
      </c>
      <c r="AK144" s="27" t="n"/>
    </row>
    <row r="145" ht="42" customHeight="1">
      <c r="A145" s="2" t="n"/>
      <c r="B145" s="24" t="inlineStr">
        <is>
          <t>Squeeze bottle 500 ml, PP, single tip</t>
        </is>
      </c>
      <c r="C145" s="24" t="inlineStr">
        <is>
          <t>Slovakia</t>
        </is>
      </c>
      <c r="D145" s="24" t="inlineStr">
        <is>
          <t>Gastrozone.sk (GASTROZONE, spol. s r.o., CZ)</t>
        </is>
      </c>
      <c r="E145" s="24" t="inlineStr">
        <is>
          <t>Dávkovacia mačkacia fľaša Schneider 500 ml</t>
        </is>
      </c>
      <c r="F145" s="98" t="n">
        <v>13.16</v>
      </c>
      <c r="G145" s="24" t="inlineStr">
        <is>
          <t>EUR</t>
        </is>
      </c>
      <c r="H145" s="98">
        <f>IF(AND(AE145="yes",ISNUMBER(AD145)),AD145,"")</f>
        <v/>
      </c>
      <c r="I145" s="99">
        <f>IF(AND(AE145="yes",ISNUMBER(AD145),ISNUMBER(INDEX('Sources'!$G$7:$G$10,MATCH(AB145,'Sources'!$B$7:$B$10,0)))),AD145/INDEX('Sources'!$G$7:$G$10,MATCH(AB145,'Sources'!$B$7:$B$10,0)),"")</f>
        <v/>
      </c>
      <c r="J145" s="24" t="inlineStr">
        <is>
          <t>APPROX</t>
        </is>
      </c>
      <c r="K145" s="24" t="inlineStr">
        <is>
          <t>2026-09-30</t>
        </is>
      </c>
      <c r="L145" s="71" t="n"/>
      <c r="M145" s="24" t="inlineStr">
        <is>
          <t>Material polyethylene (not PP); single nozzle with cap. No PP 500 ml squeeze bottle found. Page shows 13,16 / 10,70 bez DPH.</t>
        </is>
      </c>
      <c r="N145" s="25" t="inlineStr">
        <is>
          <t>https://www.gastrozone.sk/fasa-mackacie-s-uzatvaranim-0-5-l-odolna-od-40c-do-95c-transparentne-pre-styk-s-potravinama-schneider-10313.html</t>
        </is>
      </c>
      <c r="O145" s="24" t="inlineStr">
        <is>
          <t>Schneider</t>
        </is>
      </c>
      <c r="P145" s="24" t="inlineStr">
        <is>
          <t>incl.</t>
        </is>
      </c>
      <c r="Q145" s="100" t="n">
        <v>0.23</v>
      </c>
      <c r="R145" s="24" t="n">
        <v>1</v>
      </c>
      <c r="S145" s="24" t="inlineStr">
        <is>
          <t>per piece</t>
        </is>
      </c>
      <c r="T145" s="24" t="inlineStr">
        <is>
          <t>APPROX</t>
        </is>
      </c>
      <c r="U145" s="24" t="inlineStr">
        <is>
          <t>Existing benchmark assignment and match quality retained.</t>
        </is>
      </c>
      <c r="V145" s="98" t="n">
        <v>10.6991869918699</v>
      </c>
      <c r="W145" s="98" t="n"/>
      <c r="X145" s="24" t="inlineStr">
        <is>
          <t>YES Gastro Slovakia Market Research.xlsx</t>
        </is>
      </c>
      <c r="Y145" s="24" t="n"/>
      <c r="Z145" s="24" t="n"/>
      <c r="AA145" s="24" t="n"/>
      <c r="AB145" s="24" t="inlineStr">
        <is>
          <t>EUR</t>
        </is>
      </c>
      <c r="AC145" s="24" t="inlineStr">
        <is>
          <t>yes</t>
        </is>
      </c>
      <c r="AD145" s="24">
        <f>IF(ISNUMBER(V145),V145,"")</f>
        <v/>
      </c>
      <c r="AE145" s="24">
        <f>IF(AND(AC145="yes",ISNUMBER(F145),IF('Compare'!$H$5="All mapped",TRUE,IF('Compare'!$H$5="EXACT only",J145="EXACT",OR(J145="EXACT",J145="CLOSE")))),"yes","no")</f>
        <v/>
      </c>
      <c r="AF145" s="24">
        <f>IF(ISNUMBER(H145),COUNTIFS($B$7:$B$608,B145,$C$7:$C$608,C145,$H$7:$H$608,"&lt;"&amp;H145,$AH$7:$AH$608,"yes")+COUNTIFS($B$7:B145,B145,$C$7:C145,C145,$H$7:H145,H145,$AH$7:AH145,"yes"),"")</f>
        <v/>
      </c>
      <c r="AG145" s="24">
        <f>IF(ISNUMBER(I145),COUNTIFS($B$7:$B$608,B145,$C$7:$C$608,C145,$I$7:$I$608,"&lt;"&amp;I145,$AI$7:$AI$608,"yes")+COUNTIFS($B$7:B145,B145,$C$7:C145,C145,$I$7:I145,I145,$AI$7:AI145,"yes"),"")</f>
        <v/>
      </c>
      <c r="AH145" s="24">
        <f>IF(ISNUMBER(H145),"yes","no")</f>
        <v/>
      </c>
      <c r="AI145" s="24">
        <f>IF(ISNUMBER(I145),"yes","no")</f>
        <v/>
      </c>
      <c r="AJ145" s="101" t="n">
        <v>46295</v>
      </c>
      <c r="AK145" s="24" t="n"/>
    </row>
    <row r="146" ht="42" customHeight="1">
      <c r="A146" s="2" t="n"/>
      <c r="B146" s="27" t="inlineStr">
        <is>
          <t>Squeeze bottle 1,000 ml, PP, single tip</t>
        </is>
      </c>
      <c r="C146" s="27" t="inlineStr">
        <is>
          <t>Austria</t>
        </is>
      </c>
      <c r="D146" s="27" t="inlineStr">
        <is>
          <t>GastroHero Österreich</t>
        </is>
      </c>
      <c r="E146" s="27" t="inlineStr">
        <is>
          <t>APS Quetschflasche, transparent, 1,025 L</t>
        </is>
      </c>
      <c r="F146" s="102" t="n">
        <v>2.09</v>
      </c>
      <c r="G146" s="27" t="inlineStr">
        <is>
          <t>EUR</t>
        </is>
      </c>
      <c r="H146" s="102">
        <f>IF(AND(AE146="yes",ISNUMBER(AD146)),AD146,"")</f>
        <v/>
      </c>
      <c r="I146" s="103">
        <f>IF(AND(AE146="yes",ISNUMBER(AD146),ISNUMBER(INDEX('Sources'!$G$7:$G$10,MATCH(AB146,'Sources'!$B$7:$B$10,0)))),AD146/INDEX('Sources'!$G$7:$G$10,MATCH(AB146,'Sources'!$B$7:$B$10,0)),"")</f>
        <v/>
      </c>
      <c r="J146" s="27" t="inlineStr">
        <is>
          <t>CLOSE</t>
        </is>
      </c>
      <c r="K146" s="27" t="inlineStr">
        <is>
          <t>2026-09-30</t>
        </is>
      </c>
      <c r="L146" s="71" t="n"/>
      <c r="M146" s="27" t="inlineStr">
        <is>
          <t>1025 ml, polyethylene (not PP); min. qty 2</t>
        </is>
      </c>
      <c r="N146" s="28" t="inlineStr">
        <is>
          <t>https://www.gastro-hero.at/products/aps-quetschflasche-transparent-1025-l-aps93259</t>
        </is>
      </c>
      <c r="O146" s="27" t="inlineStr">
        <is>
          <t>APS</t>
        </is>
      </c>
      <c r="P146" s="27" t="inlineStr">
        <is>
          <t>excl.</t>
        </is>
      </c>
      <c r="Q146" s="104" t="n"/>
      <c r="R146" s="27" t="n">
        <v>1</v>
      </c>
      <c r="S146" s="27" t="n"/>
      <c r="T146" s="27" t="inlineStr">
        <is>
          <t>CLOSE</t>
        </is>
      </c>
      <c r="U146" s="27" t="inlineStr">
        <is>
          <t>Existing benchmark assignment and match quality retained.</t>
        </is>
      </c>
      <c r="V146" s="102" t="n">
        <v>2.09</v>
      </c>
      <c r="W146" s="102" t="n"/>
      <c r="X146" s="27" t="inlineStr">
        <is>
          <t>YES Gastro Austria Market Research.xlsx</t>
        </is>
      </c>
      <c r="Y146" s="27" t="n"/>
      <c r="Z146" s="27" t="n"/>
      <c r="AA146" s="27" t="n"/>
      <c r="AB146" s="27" t="inlineStr">
        <is>
          <t>EUR</t>
        </is>
      </c>
      <c r="AC146" s="27" t="inlineStr">
        <is>
          <t>yes</t>
        </is>
      </c>
      <c r="AD146" s="27">
        <f>IF(ISNUMBER(V146),V146,"")</f>
        <v/>
      </c>
      <c r="AE146" s="27">
        <f>IF(AND(AC146="yes",ISNUMBER(F146),IF('Compare'!$H$5="All mapped",TRUE,IF('Compare'!$H$5="EXACT only",J146="EXACT",OR(J146="EXACT",J146="CLOSE")))),"yes","no")</f>
        <v/>
      </c>
      <c r="AF146" s="27">
        <f>IF(ISNUMBER(H146),COUNTIFS($B$7:$B$608,B146,$C$7:$C$608,C146,$H$7:$H$608,"&lt;"&amp;H146,$AH$7:$AH$608,"yes")+COUNTIFS($B$7:B146,B146,$C$7:C146,C146,$H$7:H146,H146,$AH$7:AH146,"yes"),"")</f>
        <v/>
      </c>
      <c r="AG146" s="27">
        <f>IF(ISNUMBER(I146),COUNTIFS($B$7:$B$608,B146,$C$7:$C$608,C146,$I$7:$I$608,"&lt;"&amp;I146,$AI$7:$AI$608,"yes")+COUNTIFS($B$7:B146,B146,$C$7:C146,C146,$I$7:I146,I146,$AI$7:AI146,"yes"),"")</f>
        <v/>
      </c>
      <c r="AH146" s="27">
        <f>IF(ISNUMBER(H146),"yes","no")</f>
        <v/>
      </c>
      <c r="AI146" s="27">
        <f>IF(ISNUMBER(I146),"yes","no")</f>
        <v/>
      </c>
      <c r="AJ146" s="105" t="n">
        <v>46295</v>
      </c>
      <c r="AK146" s="27" t="n"/>
    </row>
    <row r="147" ht="42" customHeight="1">
      <c r="A147" s="2" t="n"/>
      <c r="B147" s="24" t="inlineStr">
        <is>
          <t>Squeeze bottle 1,000 ml, PP, single tip</t>
        </is>
      </c>
      <c r="C147" s="24" t="inlineStr">
        <is>
          <t>Austria</t>
        </is>
      </c>
      <c r="D147" s="24" t="inlineStr">
        <is>
          <t>Gastrodax</t>
        </is>
      </c>
      <c r="E147" s="24" t="inlineStr">
        <is>
          <t>Contacto Quetschflasche 0,95 l</t>
        </is>
      </c>
      <c r="F147" s="98" t="n">
        <v>2.76</v>
      </c>
      <c r="G147" s="24" t="inlineStr">
        <is>
          <t>EUR</t>
        </is>
      </c>
      <c r="H147" s="98">
        <f>IF(AND(AE147="yes",ISNUMBER(AD147)),AD147,"")</f>
        <v/>
      </c>
      <c r="I147" s="99">
        <f>IF(AND(AE147="yes",ISNUMBER(AD147),ISNUMBER(INDEX('Sources'!$G$7:$G$10,MATCH(AB147,'Sources'!$B$7:$B$10,0)))),AD147/INDEX('Sources'!$G$7:$G$10,MATCH(AB147,'Sources'!$B$7:$B$10,0)),"")</f>
        <v/>
      </c>
      <c r="J147" s="24" t="inlineStr">
        <is>
          <t>CLOSE</t>
        </is>
      </c>
      <c r="K147" s="24" t="inlineStr">
        <is>
          <t>2026-09-30</t>
        </is>
      </c>
      <c r="L147" s="71" t="n"/>
      <c r="M147" s="24" t="inlineStr">
        <is>
          <t>950 ml, polyethylene, FIFO bottom-fill; sale price, normal 3.45</t>
        </is>
      </c>
      <c r="N147" s="25" t="inlineStr">
        <is>
          <t>https://www.gastrodax.de/contacto-quetschflasche-0-95-l</t>
        </is>
      </c>
      <c r="O147" s="24" t="inlineStr">
        <is>
          <t>Contacto</t>
        </is>
      </c>
      <c r="P147" s="24" t="inlineStr">
        <is>
          <t>excl.</t>
        </is>
      </c>
      <c r="Q147" s="100" t="n"/>
      <c r="R147" s="24" t="n">
        <v>1</v>
      </c>
      <c r="S147" s="24" t="n"/>
      <c r="T147" s="24" t="inlineStr">
        <is>
          <t>CLOSE</t>
        </is>
      </c>
      <c r="U147" s="24" t="inlineStr">
        <is>
          <t>Existing benchmark assignment and match quality retained.</t>
        </is>
      </c>
      <c r="V147" s="98" t="n">
        <v>2.76</v>
      </c>
      <c r="W147" s="98" t="n"/>
      <c r="X147" s="24" t="inlineStr">
        <is>
          <t>YES Gastro Austria Market Research.xlsx</t>
        </is>
      </c>
      <c r="Y147" s="24" t="n"/>
      <c r="Z147" s="24" t="n"/>
      <c r="AA147" s="24" t="n"/>
      <c r="AB147" s="24" t="inlineStr">
        <is>
          <t>EUR</t>
        </is>
      </c>
      <c r="AC147" s="24" t="inlineStr">
        <is>
          <t>yes</t>
        </is>
      </c>
      <c r="AD147" s="24">
        <f>IF(ISNUMBER(V147),V147,"")</f>
        <v/>
      </c>
      <c r="AE147" s="24">
        <f>IF(AND(AC147="yes",ISNUMBER(F147),IF('Compare'!$H$5="All mapped",TRUE,IF('Compare'!$H$5="EXACT only",J147="EXACT",OR(J147="EXACT",J147="CLOSE")))),"yes","no")</f>
        <v/>
      </c>
      <c r="AF147" s="24">
        <f>IF(ISNUMBER(H147),COUNTIFS($B$7:$B$608,B147,$C$7:$C$608,C147,$H$7:$H$608,"&lt;"&amp;H147,$AH$7:$AH$608,"yes")+COUNTIFS($B$7:B147,B147,$C$7:C147,C147,$H$7:H147,H147,$AH$7:AH147,"yes"),"")</f>
        <v/>
      </c>
      <c r="AG147" s="24">
        <f>IF(ISNUMBER(I147),COUNTIFS($B$7:$B$608,B147,$C$7:$C$608,C147,$I$7:$I$608,"&lt;"&amp;I147,$AI$7:$AI$608,"yes")+COUNTIFS($B$7:B147,B147,$C$7:C147,C147,$I$7:I147,I147,$AI$7:AI147,"yes"),"")</f>
        <v/>
      </c>
      <c r="AH147" s="24">
        <f>IF(ISNUMBER(H147),"yes","no")</f>
        <v/>
      </c>
      <c r="AI147" s="24">
        <f>IF(ISNUMBER(I147),"yes","no")</f>
        <v/>
      </c>
      <c r="AJ147" s="101" t="n">
        <v>46295</v>
      </c>
      <c r="AK147" s="24" t="n"/>
    </row>
    <row r="148" ht="42" customHeight="1">
      <c r="A148" s="2" t="n"/>
      <c r="B148" s="27" t="inlineStr">
        <is>
          <t>Squeeze bottle 1,000 ml, PP, single tip</t>
        </is>
      </c>
      <c r="C148" s="27" t="inlineStr">
        <is>
          <t>Austria</t>
        </is>
      </c>
      <c r="D148" s="27" t="inlineStr">
        <is>
          <t>Gastroladen.at (Harotec GmbH)</t>
        </is>
      </c>
      <c r="E148" s="27" t="inlineStr">
        <is>
          <t>Vogue Quetschflasche klar 990ml</t>
        </is>
      </c>
      <c r="F148" s="102" t="n">
        <v>3.79</v>
      </c>
      <c r="G148" s="27" t="inlineStr">
        <is>
          <t>EUR</t>
        </is>
      </c>
      <c r="H148" s="102">
        <f>IF(AND(AE148="yes",ISNUMBER(AD148)),AD148,"")</f>
        <v/>
      </c>
      <c r="I148" s="103">
        <f>IF(AND(AE148="yes",ISNUMBER(AD148),ISNUMBER(INDEX('Sources'!$G$7:$G$10,MATCH(AB148,'Sources'!$B$7:$B$10,0)))),AD148/INDEX('Sources'!$G$7:$G$10,MATCH(AB148,'Sources'!$B$7:$B$10,0)),"")</f>
        <v/>
      </c>
      <c r="J148" s="27" t="inlineStr">
        <is>
          <t>CLOSE</t>
        </is>
      </c>
      <c r="K148" s="27" t="inlineStr">
        <is>
          <t>2026-09-30</t>
        </is>
      </c>
      <c r="L148" s="71" t="n"/>
      <c r="M148" s="27" t="inlineStr">
        <is>
          <t>990 ml, polyethylene (not PP)</t>
        </is>
      </c>
      <c r="N148" s="28" t="inlineStr">
        <is>
          <t>https://www.gastroladen.at/G16771B@GN-W832/Vogue-Quetschflasche-klar-990ml.htm</t>
        </is>
      </c>
      <c r="O148" s="27" t="inlineStr">
        <is>
          <t>Vogue</t>
        </is>
      </c>
      <c r="P148" s="27" t="inlineStr">
        <is>
          <t>incl.</t>
        </is>
      </c>
      <c r="Q148" s="104" t="n"/>
      <c r="R148" s="27" t="n">
        <v>1</v>
      </c>
      <c r="S148" s="27" t="n"/>
      <c r="T148" s="27" t="inlineStr">
        <is>
          <t>CLOSE</t>
        </is>
      </c>
      <c r="U148" s="27" t="inlineStr">
        <is>
          <t>Existing benchmark assignment and match quality retained.</t>
        </is>
      </c>
      <c r="V148" s="102" t="n">
        <v>3.16</v>
      </c>
      <c r="W148" s="102" t="n"/>
      <c r="X148" s="27" t="inlineStr">
        <is>
          <t>YES Gastro Austria Market Research.xlsx</t>
        </is>
      </c>
      <c r="Y148" s="27" t="n"/>
      <c r="Z148" s="27" t="n"/>
      <c r="AA148" s="27" t="n"/>
      <c r="AB148" s="27" t="inlineStr">
        <is>
          <t>EUR</t>
        </is>
      </c>
      <c r="AC148" s="27" t="inlineStr">
        <is>
          <t>yes</t>
        </is>
      </c>
      <c r="AD148" s="27">
        <f>IF(ISNUMBER(V148),V148,"")</f>
        <v/>
      </c>
      <c r="AE148" s="27">
        <f>IF(AND(AC148="yes",ISNUMBER(F148),IF('Compare'!$H$5="All mapped",TRUE,IF('Compare'!$H$5="EXACT only",J148="EXACT",OR(J148="EXACT",J148="CLOSE")))),"yes","no")</f>
        <v/>
      </c>
      <c r="AF148" s="27">
        <f>IF(ISNUMBER(H148),COUNTIFS($B$7:$B$608,B148,$C$7:$C$608,C148,$H$7:$H$608,"&lt;"&amp;H148,$AH$7:$AH$608,"yes")+COUNTIFS($B$7:B148,B148,$C$7:C148,C148,$H$7:H148,H148,$AH$7:AH148,"yes"),"")</f>
        <v/>
      </c>
      <c r="AG148" s="27">
        <f>IF(ISNUMBER(I148),COUNTIFS($B$7:$B$608,B148,$C$7:$C$608,C148,$I$7:$I$608,"&lt;"&amp;I148,$AI$7:$AI$608,"yes")+COUNTIFS($B$7:B148,B148,$C$7:C148,C148,$I$7:I148,I148,$AI$7:AI148,"yes"),"")</f>
        <v/>
      </c>
      <c r="AH148" s="27">
        <f>IF(ISNUMBER(H148),"yes","no")</f>
        <v/>
      </c>
      <c r="AI148" s="27">
        <f>IF(ISNUMBER(I148),"yes","no")</f>
        <v/>
      </c>
      <c r="AJ148" s="105" t="n">
        <v>46295</v>
      </c>
      <c r="AK148" s="27" t="n"/>
    </row>
    <row r="149" ht="42" customHeight="1">
      <c r="A149" s="2" t="n"/>
      <c r="B149" s="24" t="inlineStr">
        <is>
          <t>Squeeze bottle 1,000 ml, PP, single tip</t>
        </is>
      </c>
      <c r="C149" s="24" t="inlineStr">
        <is>
          <t>Austria</t>
        </is>
      </c>
      <c r="D149" s="24" t="inlineStr">
        <is>
          <t>Intergastro (AT shop)</t>
        </is>
      </c>
      <c r="E149" s="24" t="inlineStr">
        <is>
          <t>Quetschflasche 1025 ml transparent Ø 80 mm H 265 mm</t>
        </is>
      </c>
      <c r="F149" s="98" t="n">
        <v>1.95</v>
      </c>
      <c r="G149" s="24" t="inlineStr">
        <is>
          <t>EUR</t>
        </is>
      </c>
      <c r="H149" s="98">
        <f>IF(AND(AE149="yes",ISNUMBER(AD149)),AD149,"")</f>
        <v/>
      </c>
      <c r="I149" s="99">
        <f>IF(AND(AE149="yes",ISNUMBER(AD149),ISNUMBER(INDEX('Sources'!$G$7:$G$10,MATCH(AB149,'Sources'!$B$7:$B$10,0)))),AD149/INDEX('Sources'!$G$7:$G$10,MATCH(AB149,'Sources'!$B$7:$B$10,0)),"")</f>
        <v/>
      </c>
      <c r="J149" s="24" t="inlineStr">
        <is>
          <t>CLOSE</t>
        </is>
      </c>
      <c r="K149" s="24" t="inlineStr">
        <is>
          <t>2026-09-30</t>
        </is>
      </c>
      <c r="L149" s="71" t="n"/>
      <c r="M149" s="24" t="inlineStr">
        <is>
          <t>1025 ml; material polyethylene (not PP); gross 2.34</t>
        </is>
      </c>
      <c r="N149" s="25" t="inlineStr">
        <is>
          <t>https://www.intergastro.at/quetschflasche-1025-ml-transparent-80-mm-h-265-mm-985068</t>
        </is>
      </c>
      <c r="O149" s="24" t="inlineStr">
        <is>
          <t>APS</t>
        </is>
      </c>
      <c r="P149" s="24" t="inlineStr">
        <is>
          <t>excl.</t>
        </is>
      </c>
      <c r="Q149" s="100" t="n"/>
      <c r="R149" s="24" t="n">
        <v>1</v>
      </c>
      <c r="S149" s="24" t="n"/>
      <c r="T149" s="24" t="inlineStr">
        <is>
          <t>CLOSE</t>
        </is>
      </c>
      <c r="U149" s="24" t="inlineStr">
        <is>
          <t>Existing benchmark assignment and match quality retained.</t>
        </is>
      </c>
      <c r="V149" s="98" t="n">
        <v>1.95</v>
      </c>
      <c r="W149" s="98" t="n"/>
      <c r="X149" s="24" t="inlineStr">
        <is>
          <t>YES Gastro Austria Market Research.xlsx</t>
        </is>
      </c>
      <c r="Y149" s="24" t="n"/>
      <c r="Z149" s="24" t="n"/>
      <c r="AA149" s="24" t="n"/>
      <c r="AB149" s="24" t="inlineStr">
        <is>
          <t>EUR</t>
        </is>
      </c>
      <c r="AC149" s="24" t="inlineStr">
        <is>
          <t>yes</t>
        </is>
      </c>
      <c r="AD149" s="24">
        <f>IF(ISNUMBER(V149),V149,"")</f>
        <v/>
      </c>
      <c r="AE149" s="24">
        <f>IF(AND(AC149="yes",ISNUMBER(F149),IF('Compare'!$H$5="All mapped",TRUE,IF('Compare'!$H$5="EXACT only",J149="EXACT",OR(J149="EXACT",J149="CLOSE")))),"yes","no")</f>
        <v/>
      </c>
      <c r="AF149" s="24">
        <f>IF(ISNUMBER(H149),COUNTIFS($B$7:$B$608,B149,$C$7:$C$608,C149,$H$7:$H$608,"&lt;"&amp;H149,$AH$7:$AH$608,"yes")+COUNTIFS($B$7:B149,B149,$C$7:C149,C149,$H$7:H149,H149,$AH$7:AH149,"yes"),"")</f>
        <v/>
      </c>
      <c r="AG149" s="24">
        <f>IF(ISNUMBER(I149),COUNTIFS($B$7:$B$608,B149,$C$7:$C$608,C149,$I$7:$I$608,"&lt;"&amp;I149,$AI$7:$AI$608,"yes")+COUNTIFS($B$7:B149,B149,$C$7:C149,C149,$I$7:I149,I149,$AI$7:AI149,"yes"),"")</f>
        <v/>
      </c>
      <c r="AH149" s="24">
        <f>IF(ISNUMBER(H149),"yes","no")</f>
        <v/>
      </c>
      <c r="AI149" s="24">
        <f>IF(ISNUMBER(I149),"yes","no")</f>
        <v/>
      </c>
      <c r="AJ149" s="101" t="n">
        <v>46295</v>
      </c>
      <c r="AK149" s="24" t="n"/>
    </row>
    <row r="150" ht="42" customHeight="1">
      <c r="A150" s="2" t="n"/>
      <c r="B150" s="27" t="inlineStr">
        <is>
          <t>Squeeze bottle 1,000 ml, PP, single tip</t>
        </is>
      </c>
      <c r="C150" s="27" t="inlineStr">
        <is>
          <t>Germany</t>
        </is>
      </c>
      <c r="D150" s="27" t="inlineStr">
        <is>
          <t>GGM Gastro</t>
        </is>
      </c>
      <c r="E150" s="27" t="inlineStr">
        <is>
          <t>(6 Stück) Quetschflasche mit mittlerer Membran - 946ml</t>
        </is>
      </c>
      <c r="F150" s="102" t="n">
        <v>31.99</v>
      </c>
      <c r="G150" s="27" t="inlineStr">
        <is>
          <t>EUR</t>
        </is>
      </c>
      <c r="H150" s="102">
        <f>IF(AND(AE150="yes",ISNUMBER(AD150)),AD150,"")</f>
        <v/>
      </c>
      <c r="I150" s="103">
        <f>IF(AND(AE150="yes",ISNUMBER(AD150),ISNUMBER(INDEX('Sources'!$G$7:$G$10,MATCH(AB150,'Sources'!$B$7:$B$10,0)))),AD150/INDEX('Sources'!$G$7:$G$10,MATCH(AB150,'Sources'!$B$7:$B$10,0)),"")</f>
        <v/>
      </c>
      <c r="J150" s="27" t="inlineStr">
        <is>
          <t>CLOSE</t>
        </is>
      </c>
      <c r="K150" s="27" t="inlineStr">
        <is>
          <t>2026-09-30</t>
        </is>
      </c>
      <c r="L150" s="71" t="n"/>
      <c r="M150" s="27" t="inlineStr">
        <is>
          <t>946 ml, FIFO type; material not stated</t>
        </is>
      </c>
      <c r="N150" s="28" t="inlineStr">
        <is>
          <t>https://www.ggmgastro.com/de-de-eur/6-stueck-quetschflasche-mit-mittlerer-membran-946ml-ffo-005</t>
        </is>
      </c>
      <c r="O150" s="27" t="inlineStr">
        <is>
          <t>GGM</t>
        </is>
      </c>
      <c r="P150" s="27" t="inlineStr">
        <is>
          <t>excl.</t>
        </is>
      </c>
      <c r="Q150" s="104" t="n"/>
      <c r="R150" s="27" t="n">
        <v>6</v>
      </c>
      <c r="S150" s="27" t="inlineStr">
        <is>
          <t>set of 6</t>
        </is>
      </c>
      <c r="T150" s="27" t="inlineStr">
        <is>
          <t>CLOSE</t>
        </is>
      </c>
      <c r="U150" s="27" t="inlineStr">
        <is>
          <t>Existing benchmark assignment and match quality retained.</t>
        </is>
      </c>
      <c r="V150" s="102" t="n">
        <v>5.33</v>
      </c>
      <c r="W150" s="102" t="n"/>
      <c r="X150" s="27" t="inlineStr">
        <is>
          <t>YES Gastro Germany Market Research.xlsx</t>
        </is>
      </c>
      <c r="Y150" s="27" t="n"/>
      <c r="Z150" s="27" t="n"/>
      <c r="AA150" s="27" t="n"/>
      <c r="AB150" s="27" t="inlineStr">
        <is>
          <t>EUR</t>
        </is>
      </c>
      <c r="AC150" s="27" t="inlineStr">
        <is>
          <t>yes</t>
        </is>
      </c>
      <c r="AD150" s="27">
        <f>IF(ISNUMBER(V150),V150,"")</f>
        <v/>
      </c>
      <c r="AE150" s="27">
        <f>IF(AND(AC150="yes",ISNUMBER(F150),IF('Compare'!$H$5="All mapped",TRUE,IF('Compare'!$H$5="EXACT only",J150="EXACT",OR(J150="EXACT",J150="CLOSE")))),"yes","no")</f>
        <v/>
      </c>
      <c r="AF150" s="27">
        <f>IF(ISNUMBER(H150),COUNTIFS($B$7:$B$608,B150,$C$7:$C$608,C150,$H$7:$H$608,"&lt;"&amp;H150,$AH$7:$AH$608,"yes")+COUNTIFS($B$7:B150,B150,$C$7:C150,C150,$H$7:H150,H150,$AH$7:AH150,"yes"),"")</f>
        <v/>
      </c>
      <c r="AG150" s="27">
        <f>IF(ISNUMBER(I150),COUNTIFS($B$7:$B$608,B150,$C$7:$C$608,C150,$I$7:$I$608,"&lt;"&amp;I150,$AI$7:$AI$608,"yes")+COUNTIFS($B$7:B150,B150,$C$7:C150,C150,$I$7:I150,I150,$AI$7:AI150,"yes"),"")</f>
        <v/>
      </c>
      <c r="AH150" s="27">
        <f>IF(ISNUMBER(H150),"yes","no")</f>
        <v/>
      </c>
      <c r="AI150" s="27">
        <f>IF(ISNUMBER(I150),"yes","no")</f>
        <v/>
      </c>
      <c r="AJ150" s="105" t="n">
        <v>46295</v>
      </c>
      <c r="AK150" s="27" t="n"/>
    </row>
    <row r="151" ht="42" customHeight="1">
      <c r="A151" s="2" t="n"/>
      <c r="B151" s="24" t="inlineStr">
        <is>
          <t>Squeeze bottle 1,000 ml, PP, single tip</t>
        </is>
      </c>
      <c r="C151" s="24" t="inlineStr">
        <is>
          <t>Germany</t>
        </is>
      </c>
      <c r="D151" s="24" t="inlineStr">
        <is>
          <t>GastroHero</t>
        </is>
      </c>
      <c r="E151" s="24" t="inlineStr">
        <is>
          <t>APS Quetschflasche, transparent, 1,025 L</t>
        </is>
      </c>
      <c r="F151" s="98" t="n">
        <v>1.95</v>
      </c>
      <c r="G151" s="24" t="inlineStr">
        <is>
          <t>EUR</t>
        </is>
      </c>
      <c r="H151" s="98">
        <f>IF(AND(AE151="yes",ISNUMBER(AD151)),AD151,"")</f>
        <v/>
      </c>
      <c r="I151" s="99">
        <f>IF(AND(AE151="yes",ISNUMBER(AD151),ISNUMBER(INDEX('Sources'!$G$7:$G$10,MATCH(AB151,'Sources'!$B$7:$B$10,0)))),AD151/INDEX('Sources'!$G$7:$G$10,MATCH(AB151,'Sources'!$B$7:$B$10,0)),"")</f>
        <v/>
      </c>
      <c r="J151" s="24" t="inlineStr">
        <is>
          <t>CLOSE</t>
        </is>
      </c>
      <c r="K151" s="24" t="inlineStr">
        <is>
          <t>2026-09-30</t>
        </is>
      </c>
      <c r="L151" s="71" t="n"/>
      <c r="M151" s="24" t="inlineStr">
        <is>
          <t>1025 ml, polyethylene (not PP); min. qty 2</t>
        </is>
      </c>
      <c r="N151" s="25" t="inlineStr">
        <is>
          <t>https://www.gastro-hero.de/products/aps-quetschflasche-transparent-1025-l-aps93259</t>
        </is>
      </c>
      <c r="O151" s="24" t="inlineStr">
        <is>
          <t>APS</t>
        </is>
      </c>
      <c r="P151" s="24" t="inlineStr">
        <is>
          <t>excl.</t>
        </is>
      </c>
      <c r="Q151" s="100" t="n"/>
      <c r="R151" s="24" t="n">
        <v>1</v>
      </c>
      <c r="S151" s="24" t="n"/>
      <c r="T151" s="24" t="inlineStr">
        <is>
          <t>CLOSE</t>
        </is>
      </c>
      <c r="U151" s="24" t="inlineStr">
        <is>
          <t>Existing benchmark assignment and match quality retained.</t>
        </is>
      </c>
      <c r="V151" s="98" t="n">
        <v>1.95</v>
      </c>
      <c r="W151" s="98" t="n"/>
      <c r="X151" s="24" t="inlineStr">
        <is>
          <t>YES Gastro Germany Market Research.xlsx</t>
        </is>
      </c>
      <c r="Y151" s="24" t="n"/>
      <c r="Z151" s="24" t="n"/>
      <c r="AA151" s="24" t="n"/>
      <c r="AB151" s="24" t="inlineStr">
        <is>
          <t>EUR</t>
        </is>
      </c>
      <c r="AC151" s="24" t="inlineStr">
        <is>
          <t>yes</t>
        </is>
      </c>
      <c r="AD151" s="24">
        <f>IF(ISNUMBER(V151),V151,"")</f>
        <v/>
      </c>
      <c r="AE151" s="24">
        <f>IF(AND(AC151="yes",ISNUMBER(F151),IF('Compare'!$H$5="All mapped",TRUE,IF('Compare'!$H$5="EXACT only",J151="EXACT",OR(J151="EXACT",J151="CLOSE")))),"yes","no")</f>
        <v/>
      </c>
      <c r="AF151" s="24">
        <f>IF(ISNUMBER(H151),COUNTIFS($B$7:$B$608,B151,$C$7:$C$608,C151,$H$7:$H$608,"&lt;"&amp;H151,$AH$7:$AH$608,"yes")+COUNTIFS($B$7:B151,B151,$C$7:C151,C151,$H$7:H151,H151,$AH$7:AH151,"yes"),"")</f>
        <v/>
      </c>
      <c r="AG151" s="24">
        <f>IF(ISNUMBER(I151),COUNTIFS($B$7:$B$608,B151,$C$7:$C$608,C151,$I$7:$I$608,"&lt;"&amp;I151,$AI$7:$AI$608,"yes")+COUNTIFS($B$7:B151,B151,$C$7:C151,C151,$I$7:I151,I151,$AI$7:AI151,"yes"),"")</f>
        <v/>
      </c>
      <c r="AH151" s="24">
        <f>IF(ISNUMBER(H151),"yes","no")</f>
        <v/>
      </c>
      <c r="AI151" s="24">
        <f>IF(ISNUMBER(I151),"yes","no")</f>
        <v/>
      </c>
      <c r="AJ151" s="101" t="n">
        <v>46295</v>
      </c>
      <c r="AK151" s="24" t="n"/>
    </row>
    <row r="152" ht="42" customHeight="1">
      <c r="A152" s="2" t="n"/>
      <c r="B152" s="27" t="inlineStr">
        <is>
          <t>Squeeze bottle 1,000 ml, PP, single tip</t>
        </is>
      </c>
      <c r="C152" s="27" t="inlineStr">
        <is>
          <t>Germany</t>
        </is>
      </c>
      <c r="D152" s="27" t="inlineStr">
        <is>
          <t>Gastrodax [substitute]</t>
        </is>
      </c>
      <c r="E152" s="27" t="inlineStr">
        <is>
          <t>Contacto Quetschflasche 0,95 l</t>
        </is>
      </c>
      <c r="F152" s="102" t="n">
        <v>2.76</v>
      </c>
      <c r="G152" s="27" t="inlineStr">
        <is>
          <t>EUR</t>
        </is>
      </c>
      <c r="H152" s="102">
        <f>IF(AND(AE152="yes",ISNUMBER(AD152)),AD152,"")</f>
        <v/>
      </c>
      <c r="I152" s="103">
        <f>IF(AND(AE152="yes",ISNUMBER(AD152),ISNUMBER(INDEX('Sources'!$G$7:$G$10,MATCH(AB152,'Sources'!$B$7:$B$10,0)))),AD152/INDEX('Sources'!$G$7:$G$10,MATCH(AB152,'Sources'!$B$7:$B$10,0)),"")</f>
        <v/>
      </c>
      <c r="J152" s="27" t="inlineStr">
        <is>
          <t>CLOSE</t>
        </is>
      </c>
      <c r="K152" s="27" t="inlineStr">
        <is>
          <t>2026-09-30</t>
        </is>
      </c>
      <c r="L152" s="71" t="n"/>
      <c r="M152" s="27" t="inlineStr">
        <is>
          <t>950 ml, polyethylene, FIFO bottom-fill; sale price, normal 3.45</t>
        </is>
      </c>
      <c r="N152" s="28" t="inlineStr">
        <is>
          <t>https://www.gastrodax.de/contacto-quetschflasche-0-95-l</t>
        </is>
      </c>
      <c r="O152" s="27" t="inlineStr">
        <is>
          <t>Contacto</t>
        </is>
      </c>
      <c r="P152" s="27" t="inlineStr">
        <is>
          <t>excl.</t>
        </is>
      </c>
      <c r="Q152" s="104" t="n"/>
      <c r="R152" s="27" t="n">
        <v>1</v>
      </c>
      <c r="S152" s="27" t="n"/>
      <c r="T152" s="27" t="inlineStr">
        <is>
          <t>CLOSE</t>
        </is>
      </c>
      <c r="U152" s="27" t="inlineStr">
        <is>
          <t>Existing benchmark assignment and match quality retained.</t>
        </is>
      </c>
      <c r="V152" s="102" t="n">
        <v>2.76</v>
      </c>
      <c r="W152" s="102" t="n"/>
      <c r="X152" s="27" t="inlineStr">
        <is>
          <t>YES Gastro Germany Market Research.xlsx</t>
        </is>
      </c>
      <c r="Y152" s="27" t="n"/>
      <c r="Z152" s="27" t="n"/>
      <c r="AA152" s="27" t="n"/>
      <c r="AB152" s="27" t="inlineStr">
        <is>
          <t>EUR</t>
        </is>
      </c>
      <c r="AC152" s="27" t="inlineStr">
        <is>
          <t>yes</t>
        </is>
      </c>
      <c r="AD152" s="27">
        <f>IF(ISNUMBER(V152),V152,"")</f>
        <v/>
      </c>
      <c r="AE152" s="27">
        <f>IF(AND(AC152="yes",ISNUMBER(F152),IF('Compare'!$H$5="All mapped",TRUE,IF('Compare'!$H$5="EXACT only",J152="EXACT",OR(J152="EXACT",J152="CLOSE")))),"yes","no")</f>
        <v/>
      </c>
      <c r="AF152" s="27">
        <f>IF(ISNUMBER(H152),COUNTIFS($B$7:$B$608,B152,$C$7:$C$608,C152,$H$7:$H$608,"&lt;"&amp;H152,$AH$7:$AH$608,"yes")+COUNTIFS($B$7:B152,B152,$C$7:C152,C152,$H$7:H152,H152,$AH$7:AH152,"yes"),"")</f>
        <v/>
      </c>
      <c r="AG152" s="27">
        <f>IF(ISNUMBER(I152),COUNTIFS($B$7:$B$608,B152,$C$7:$C$608,C152,$I$7:$I$608,"&lt;"&amp;I152,$AI$7:$AI$608,"yes")+COUNTIFS($B$7:B152,B152,$C$7:C152,C152,$I$7:I152,I152,$AI$7:AI152,"yes"),"")</f>
        <v/>
      </c>
      <c r="AH152" s="27">
        <f>IF(ISNUMBER(H152),"yes","no")</f>
        <v/>
      </c>
      <c r="AI152" s="27">
        <f>IF(ISNUMBER(I152),"yes","no")</f>
        <v/>
      </c>
      <c r="AJ152" s="105" t="n">
        <v>46295</v>
      </c>
      <c r="AK152" s="27" t="n"/>
    </row>
    <row r="153" ht="42" customHeight="1">
      <c r="A153" s="2" t="n"/>
      <c r="B153" s="24" t="inlineStr">
        <is>
          <t>Squeeze bottle 1,000 ml, PP, single tip</t>
        </is>
      </c>
      <c r="C153" s="24" t="inlineStr">
        <is>
          <t>Germany</t>
        </is>
      </c>
      <c r="D153" s="24" t="inlineStr">
        <is>
          <t>Gastroladen.de (Harotec GmbH) [substitute]</t>
        </is>
      </c>
      <c r="E153" s="24" t="inlineStr">
        <is>
          <t>Vogue Quetschflasche klar 990ml</t>
        </is>
      </c>
      <c r="F153" s="98" t="n">
        <v>3.79</v>
      </c>
      <c r="G153" s="24" t="inlineStr">
        <is>
          <t>EUR</t>
        </is>
      </c>
      <c r="H153" s="98">
        <f>IF(AND(AE153="yes",ISNUMBER(AD153)),AD153,"")</f>
        <v/>
      </c>
      <c r="I153" s="99">
        <f>IF(AND(AE153="yes",ISNUMBER(AD153),ISNUMBER(INDEX('Sources'!$G$7:$G$10,MATCH(AB153,'Sources'!$B$7:$B$10,0)))),AD153/INDEX('Sources'!$G$7:$G$10,MATCH(AB153,'Sources'!$B$7:$B$10,0)),"")</f>
        <v/>
      </c>
      <c r="J153" s="24" t="inlineStr">
        <is>
          <t>CLOSE</t>
        </is>
      </c>
      <c r="K153" s="24" t="inlineStr">
        <is>
          <t>2026-09-30</t>
        </is>
      </c>
      <c r="L153" s="71" t="n"/>
      <c r="M153" s="24" t="inlineStr">
        <is>
          <t>990 ml, polyethylene (not PP)</t>
        </is>
      </c>
      <c r="N153" s="25" t="inlineStr">
        <is>
          <t>https://www.gastroladen.de/G16771B@GN-W832/Vogue-Quetschflasche-klar-990ml.htm</t>
        </is>
      </c>
      <c r="O153" s="24" t="inlineStr">
        <is>
          <t>Vogue</t>
        </is>
      </c>
      <c r="P153" s="24" t="inlineStr">
        <is>
          <t>incl.</t>
        </is>
      </c>
      <c r="Q153" s="100" t="n"/>
      <c r="R153" s="24" t="n">
        <v>1</v>
      </c>
      <c r="S153" s="24" t="n"/>
      <c r="T153" s="24" t="inlineStr">
        <is>
          <t>CLOSE</t>
        </is>
      </c>
      <c r="U153" s="24" t="inlineStr">
        <is>
          <t>Existing benchmark assignment and match quality retained.</t>
        </is>
      </c>
      <c r="V153" s="98" t="n">
        <v>3.18</v>
      </c>
      <c r="W153" s="98" t="n"/>
      <c r="X153" s="24" t="inlineStr">
        <is>
          <t>YES Gastro Germany Market Research.xlsx</t>
        </is>
      </c>
      <c r="Y153" s="24" t="n"/>
      <c r="Z153" s="24" t="n"/>
      <c r="AA153" s="24" t="n"/>
      <c r="AB153" s="24" t="inlineStr">
        <is>
          <t>EUR</t>
        </is>
      </c>
      <c r="AC153" s="24" t="inlineStr">
        <is>
          <t>yes</t>
        </is>
      </c>
      <c r="AD153" s="24">
        <f>IF(ISNUMBER(V153),V153,"")</f>
        <v/>
      </c>
      <c r="AE153" s="24">
        <f>IF(AND(AC153="yes",ISNUMBER(F153),IF('Compare'!$H$5="All mapped",TRUE,IF('Compare'!$H$5="EXACT only",J153="EXACT",OR(J153="EXACT",J153="CLOSE")))),"yes","no")</f>
        <v/>
      </c>
      <c r="AF153" s="24">
        <f>IF(ISNUMBER(H153),COUNTIFS($B$7:$B$608,B153,$C$7:$C$608,C153,$H$7:$H$608,"&lt;"&amp;H153,$AH$7:$AH$608,"yes")+COUNTIFS($B$7:B153,B153,$C$7:C153,C153,$H$7:H153,H153,$AH$7:AH153,"yes"),"")</f>
        <v/>
      </c>
      <c r="AG153" s="24">
        <f>IF(ISNUMBER(I153),COUNTIFS($B$7:$B$608,B153,$C$7:$C$608,C153,$I$7:$I$608,"&lt;"&amp;I153,$AI$7:$AI$608,"yes")+COUNTIFS($B$7:B153,B153,$C$7:C153,C153,$I$7:I153,I153,$AI$7:AI153,"yes"),"")</f>
        <v/>
      </c>
      <c r="AH153" s="24">
        <f>IF(ISNUMBER(H153),"yes","no")</f>
        <v/>
      </c>
      <c r="AI153" s="24">
        <f>IF(ISNUMBER(I153),"yes","no")</f>
        <v/>
      </c>
      <c r="AJ153" s="101" t="n">
        <v>46295</v>
      </c>
      <c r="AK153" s="24" t="n"/>
    </row>
    <row r="154" ht="42" customHeight="1">
      <c r="A154" s="2" t="n"/>
      <c r="B154" s="27" t="inlineStr">
        <is>
          <t>Squeeze bottle 1,000 ml, PP, single tip</t>
        </is>
      </c>
      <c r="C154" s="27" t="inlineStr">
        <is>
          <t>Germany</t>
        </is>
      </c>
      <c r="D154" s="27" t="inlineStr">
        <is>
          <t>Intergastro</t>
        </is>
      </c>
      <c r="E154" s="27" t="inlineStr">
        <is>
          <t>Quetschflasche 1025 ml transparent Ø 80 mm H 265 mm</t>
        </is>
      </c>
      <c r="F154" s="102" t="n">
        <v>1.95</v>
      </c>
      <c r="G154" s="27" t="inlineStr">
        <is>
          <t>EUR</t>
        </is>
      </c>
      <c r="H154" s="102">
        <f>IF(AND(AE154="yes",ISNUMBER(AD154)),AD154,"")</f>
        <v/>
      </c>
      <c r="I154" s="103">
        <f>IF(AND(AE154="yes",ISNUMBER(AD154),ISNUMBER(INDEX('Sources'!$G$7:$G$10,MATCH(AB154,'Sources'!$B$7:$B$10,0)))),AD154/INDEX('Sources'!$G$7:$G$10,MATCH(AB154,'Sources'!$B$7:$B$10,0)),"")</f>
        <v/>
      </c>
      <c r="J154" s="27" t="inlineStr">
        <is>
          <t>CLOSE</t>
        </is>
      </c>
      <c r="K154" s="27" t="inlineStr">
        <is>
          <t>2026-09-30</t>
        </is>
      </c>
      <c r="L154" s="71" t="n"/>
      <c r="M154" s="27" t="inlineStr">
        <is>
          <t>1025 ml; material polyethylene (not PP)</t>
        </is>
      </c>
      <c r="N154" s="28" t="inlineStr">
        <is>
          <t>https://www.intergastro.de/quetschflasche-1025-ml-transparent-80-mm-h-265-mm-985068</t>
        </is>
      </c>
      <c r="O154" s="27" t="inlineStr">
        <is>
          <t>APS</t>
        </is>
      </c>
      <c r="P154" s="27" t="inlineStr">
        <is>
          <t>excl.</t>
        </is>
      </c>
      <c r="Q154" s="104" t="n"/>
      <c r="R154" s="27" t="n">
        <v>1</v>
      </c>
      <c r="S154" s="27" t="n"/>
      <c r="T154" s="27" t="inlineStr">
        <is>
          <t>CLOSE</t>
        </is>
      </c>
      <c r="U154" s="27" t="inlineStr">
        <is>
          <t>Existing benchmark assignment and match quality retained.</t>
        </is>
      </c>
      <c r="V154" s="102" t="n">
        <v>1.95</v>
      </c>
      <c r="W154" s="102" t="n"/>
      <c r="X154" s="27" t="inlineStr">
        <is>
          <t>YES Gastro Germany Market Research.xlsx</t>
        </is>
      </c>
      <c r="Y154" s="27" t="n"/>
      <c r="Z154" s="27" t="n"/>
      <c r="AA154" s="27" t="n"/>
      <c r="AB154" s="27" t="inlineStr">
        <is>
          <t>EUR</t>
        </is>
      </c>
      <c r="AC154" s="27" t="inlineStr">
        <is>
          <t>yes</t>
        </is>
      </c>
      <c r="AD154" s="27">
        <f>IF(ISNUMBER(V154),V154,"")</f>
        <v/>
      </c>
      <c r="AE154" s="27">
        <f>IF(AND(AC154="yes",ISNUMBER(F154),IF('Compare'!$H$5="All mapped",TRUE,IF('Compare'!$H$5="EXACT only",J154="EXACT",OR(J154="EXACT",J154="CLOSE")))),"yes","no")</f>
        <v/>
      </c>
      <c r="AF154" s="27">
        <f>IF(ISNUMBER(H154),COUNTIFS($B$7:$B$608,B154,$C$7:$C$608,C154,$H$7:$H$608,"&lt;"&amp;H154,$AH$7:$AH$608,"yes")+COUNTIFS($B$7:B154,B154,$C$7:C154,C154,$H$7:H154,H154,$AH$7:AH154,"yes"),"")</f>
        <v/>
      </c>
      <c r="AG154" s="27">
        <f>IF(ISNUMBER(I154),COUNTIFS($B$7:$B$608,B154,$C$7:$C$608,C154,$I$7:$I$608,"&lt;"&amp;I154,$AI$7:$AI$608,"yes")+COUNTIFS($B$7:B154,B154,$C$7:C154,C154,$I$7:I154,I154,$AI$7:AI154,"yes"),"")</f>
        <v/>
      </c>
      <c r="AH154" s="27">
        <f>IF(ISNUMBER(H154),"yes","no")</f>
        <v/>
      </c>
      <c r="AI154" s="27">
        <f>IF(ISNUMBER(I154),"yes","no")</f>
        <v/>
      </c>
      <c r="AJ154" s="105" t="n">
        <v>46295</v>
      </c>
      <c r="AK154" s="27" t="n"/>
    </row>
    <row r="155" ht="42" customHeight="1">
      <c r="A155" s="2" t="n"/>
      <c r="B155" s="24" t="inlineStr">
        <is>
          <t>Squeeze bottle 1,000 ml, PP, single tip</t>
        </is>
      </c>
      <c r="C155" s="24" t="inlineStr">
        <is>
          <t>Germany</t>
        </is>
      </c>
      <c r="D155" s="24" t="inlineStr">
        <is>
          <t>Nisbets</t>
        </is>
      </c>
      <c r="E155" s="24" t="inlineStr">
        <is>
          <t>Vogue Quetschflasche für Saucen und Dressings transparent 994ml</t>
        </is>
      </c>
      <c r="F155" s="98" t="n">
        <v>1.79</v>
      </c>
      <c r="G155" s="24" t="inlineStr">
        <is>
          <t>EUR</t>
        </is>
      </c>
      <c r="H155" s="98">
        <f>IF(AND(AE155="yes",ISNUMBER(AD155)),AD155,"")</f>
        <v/>
      </c>
      <c r="I155" s="99">
        <f>IF(AND(AE155="yes",ISNUMBER(AD155),ISNUMBER(INDEX('Sources'!$G$7:$G$10,MATCH(AB155,'Sources'!$B$7:$B$10,0)))),AD155/INDEX('Sources'!$G$7:$G$10,MATCH(AB155,'Sources'!$B$7:$B$10,0)),"")</f>
        <v/>
      </c>
      <c r="J155" s="24" t="inlineStr">
        <is>
          <t>CLOSE</t>
        </is>
      </c>
      <c r="K155" s="24" t="inlineStr">
        <is>
          <t>2026-09-30</t>
        </is>
      </c>
      <c r="L155" s="71" t="n"/>
      <c r="M155" s="24" t="inlineStr">
        <is>
          <t>994 ml, polyethylene (not PP); 1.49 each from 10 pcs</t>
        </is>
      </c>
      <c r="N155" s="25" t="inlineStr">
        <is>
          <t>https://www.nisbets.de/vogue-quetschflasche-klar-990ml/w832</t>
        </is>
      </c>
      <c r="O155" s="24" t="inlineStr">
        <is>
          <t>Vogue</t>
        </is>
      </c>
      <c r="P155" s="24" t="inlineStr">
        <is>
          <t>excl.</t>
        </is>
      </c>
      <c r="Q155" s="100" t="n"/>
      <c r="R155" s="24" t="n">
        <v>1</v>
      </c>
      <c r="S155" s="24" t="n"/>
      <c r="T155" s="24" t="inlineStr">
        <is>
          <t>CLOSE</t>
        </is>
      </c>
      <c r="U155" s="24" t="inlineStr">
        <is>
          <t>Existing benchmark assignment and match quality retained.</t>
        </is>
      </c>
      <c r="V155" s="98" t="n">
        <v>1.79</v>
      </c>
      <c r="W155" s="98" t="n"/>
      <c r="X155" s="24" t="inlineStr">
        <is>
          <t>YES Gastro Germany Market Research.xlsx</t>
        </is>
      </c>
      <c r="Y155" s="24" t="n"/>
      <c r="Z155" s="24" t="n"/>
      <c r="AA155" s="24" t="n"/>
      <c r="AB155" s="24" t="inlineStr">
        <is>
          <t>EUR</t>
        </is>
      </c>
      <c r="AC155" s="24" t="inlineStr">
        <is>
          <t>yes</t>
        </is>
      </c>
      <c r="AD155" s="24">
        <f>IF(ISNUMBER(V155),V155,"")</f>
        <v/>
      </c>
      <c r="AE155" s="24">
        <f>IF(AND(AC155="yes",ISNUMBER(F155),IF('Compare'!$H$5="All mapped",TRUE,IF('Compare'!$H$5="EXACT only",J155="EXACT",OR(J155="EXACT",J155="CLOSE")))),"yes","no")</f>
        <v/>
      </c>
      <c r="AF155" s="24">
        <f>IF(ISNUMBER(H155),COUNTIFS($B$7:$B$608,B155,$C$7:$C$608,C155,$H$7:$H$608,"&lt;"&amp;H155,$AH$7:$AH$608,"yes")+COUNTIFS($B$7:B155,B155,$C$7:C155,C155,$H$7:H155,H155,$AH$7:AH155,"yes"),"")</f>
        <v/>
      </c>
      <c r="AG155" s="24">
        <f>IF(ISNUMBER(I155),COUNTIFS($B$7:$B$608,B155,$C$7:$C$608,C155,$I$7:$I$608,"&lt;"&amp;I155,$AI$7:$AI$608,"yes")+COUNTIFS($B$7:B155,B155,$C$7:C155,C155,$I$7:I155,I155,$AI$7:AI155,"yes"),"")</f>
        <v/>
      </c>
      <c r="AH155" s="24">
        <f>IF(ISNUMBER(H155),"yes","no")</f>
        <v/>
      </c>
      <c r="AI155" s="24">
        <f>IF(ISNUMBER(I155),"yes","no")</f>
        <v/>
      </c>
      <c r="AJ155" s="101" t="n">
        <v>46295</v>
      </c>
      <c r="AK155" s="24" t="n"/>
    </row>
    <row r="156" ht="66" customHeight="1">
      <c r="A156" s="2" t="n"/>
      <c r="B156" s="27" t="inlineStr">
        <is>
          <t>Squeeze bottle 1,000 ml, PP, single tip</t>
        </is>
      </c>
      <c r="C156" s="27" t="inlineStr">
        <is>
          <t>Czech</t>
        </is>
      </c>
      <c r="D156" s="27" t="inlineStr">
        <is>
          <t>GGM Gastro (CZ storefront)</t>
        </is>
      </c>
      <c r="E156" s="27" t="inlineStr">
        <is>
          <t>(6 ks) Stlačovací lahev na omáčky se středovou membránou - 946 ml - se šroubovacím uzávěrem a uzavírací čepičkou</t>
        </is>
      </c>
      <c r="F156" s="102" t="n">
        <v>851.62</v>
      </c>
      <c r="G156" s="27" t="inlineStr">
        <is>
          <t>CZK</t>
        </is>
      </c>
      <c r="H156" s="102">
        <f>IF(AND(AE156="yes",ISNUMBER(AD156)),AD156,"")</f>
        <v/>
      </c>
      <c r="I156" s="103">
        <f>IF(AND(AE156="yes",ISNUMBER(AD156),ISNUMBER(INDEX('Sources'!$G$7:$G$10,MATCH(AB156,'Sources'!$B$7:$B$10,0)))),AD156/INDEX('Sources'!$G$7:$G$10,MATCH(AB156,'Sources'!$B$7:$B$10,0)),"")</f>
        <v/>
      </c>
      <c r="J156" s="27" t="inlineStr">
        <is>
          <t>CLOSE</t>
        </is>
      </c>
      <c r="K156" s="27" t="inlineStr">
        <is>
          <t>2026-09-30</t>
        </is>
      </c>
      <c r="L156" s="71" t="n"/>
      <c r="M156" s="27" t="inlineStr">
        <is>
          <t>Net CZK price as displayed; page footnote: "* čistá cena | hrubá cena vč. 19% DPH" (German VAT 19% used on the CZ storefront). SKU FFO-005, 946 ml, pack of 6; material NOT stated (flagged). Gross 1,013.43 CZK. (APS 1,020 ml PE 6-pack 93259#6 shown as not available for the selected delivery country.)</t>
        </is>
      </c>
      <c r="N156" s="28" t="inlineStr">
        <is>
          <t>https://www.ggmgastro.com/cs-cz-czk/6-ks-stlacovaci-lahev-na-omacky-se-stredovou-membranou-946-ml-se-sroubovacim-uzaverem-a-uzaviraci-cepickou-ffo-005</t>
        </is>
      </c>
      <c r="O156" s="27" t="inlineStr">
        <is>
          <t>GGM</t>
        </is>
      </c>
      <c r="P156" s="27" t="inlineStr">
        <is>
          <t>excl.</t>
        </is>
      </c>
      <c r="Q156" s="104" t="n">
        <v>0.19</v>
      </c>
      <c r="R156" s="27" t="n">
        <v>6</v>
      </c>
      <c r="S156" s="27" t="inlineStr">
        <is>
          <t>per pack</t>
        </is>
      </c>
      <c r="T156" s="27" t="inlineStr">
        <is>
          <t>CLOSE</t>
        </is>
      </c>
      <c r="U156" s="27" t="inlineStr">
        <is>
          <t>Existing benchmark assignment and match quality retained.</t>
        </is>
      </c>
      <c r="V156" s="102" t="n"/>
      <c r="W156" s="102" t="n"/>
      <c r="X156" s="27" t="inlineStr">
        <is>
          <t>YES Gastro Czech Market Research.xlsx</t>
        </is>
      </c>
      <c r="Y156" s="27" t="n"/>
      <c r="Z156" s="27" t="n"/>
      <c r="AA156" s="27" t="n"/>
      <c r="AB156" s="27" t="inlineStr">
        <is>
          <t>CZK</t>
        </is>
      </c>
      <c r="AC156" s="27" t="inlineStr">
        <is>
          <t>yes</t>
        </is>
      </c>
      <c r="AD156" s="27">
        <f>IF(OR(F156="",Q156="",R156=""),"",ROUND(IF(P156="incl.",F156/(1+Q156),F156)/IF(S156="per pack",R156,1),2))</f>
        <v/>
      </c>
      <c r="AE156" s="27">
        <f>IF(AND(AC156="yes",ISNUMBER(F156),IF('Compare'!$H$5="All mapped",TRUE,IF('Compare'!$H$5="EXACT only",J156="EXACT",OR(J156="EXACT",J156="CLOSE")))),"yes","no")</f>
        <v/>
      </c>
      <c r="AF156" s="27">
        <f>IF(ISNUMBER(H156),COUNTIFS($B$7:$B$608,B156,$C$7:$C$608,C156,$H$7:$H$608,"&lt;"&amp;H156,$AH$7:$AH$608,"yes")+COUNTIFS($B$7:B156,B156,$C$7:C156,C156,$H$7:H156,H156,$AH$7:AH156,"yes"),"")</f>
        <v/>
      </c>
      <c r="AG156" s="27">
        <f>IF(ISNUMBER(I156),COUNTIFS($B$7:$B$608,B156,$C$7:$C$608,C156,$I$7:$I$608,"&lt;"&amp;I156,$AI$7:$AI$608,"yes")+COUNTIFS($B$7:B156,B156,$C$7:C156,C156,$I$7:I156,I156,$AI$7:AI156,"yes"),"")</f>
        <v/>
      </c>
      <c r="AH156" s="27">
        <f>IF(ISNUMBER(H156),"yes","no")</f>
        <v/>
      </c>
      <c r="AI156" s="27">
        <f>IF(ISNUMBER(I156),"yes","no")</f>
        <v/>
      </c>
      <c r="AJ156" s="105" t="n">
        <v>46295</v>
      </c>
      <c r="AK156" s="27" t="n"/>
    </row>
    <row r="157" ht="42" customHeight="1">
      <c r="A157" s="2" t="n"/>
      <c r="B157" s="24" t="inlineStr">
        <is>
          <t>Squeeze bottle 1,000 ml, PP, single tip</t>
        </is>
      </c>
      <c r="C157" s="24" t="inlineStr">
        <is>
          <t>Czech</t>
        </is>
      </c>
      <c r="D157" s="24" t="inlineStr">
        <is>
          <t>Gastromania</t>
        </is>
      </c>
      <c r="E157" s="24" t="inlineStr">
        <is>
          <t>Zásobník na omáčku 1,025 l, bílý | APS, 93259</t>
        </is>
      </c>
      <c r="F157" s="98" t="n">
        <v>73</v>
      </c>
      <c r="G157" s="24" t="inlineStr">
        <is>
          <t>CZK</t>
        </is>
      </c>
      <c r="H157" s="98">
        <f>IF(AND(AE157="yes",ISNUMBER(AD157)),AD157,"")</f>
        <v/>
      </c>
      <c r="I157" s="99">
        <f>IF(AND(AE157="yes",ISNUMBER(AD157),ISNUMBER(INDEX('Sources'!$G$7:$G$10,MATCH(AB157,'Sources'!$B$7:$B$10,0)))),AD157/INDEX('Sources'!$G$7:$G$10,MATCH(AB157,'Sources'!$B$7:$B$10,0)),"")</f>
        <v/>
      </c>
      <c r="J157" s="24" t="inlineStr">
        <is>
          <t>CLOSE</t>
        </is>
      </c>
      <c r="K157" s="24" t="inlineStr">
        <is>
          <t>2026-09-30</t>
        </is>
      </c>
      <c r="L157" s="71" t="n"/>
      <c r="M157" s="24" t="inlineStr">
        <is>
          <t>1.025 l squeeze bottle with screw cap; polyethylene, not PP. 88 CZK incl.; discounted from 77 excl.; in stock.</t>
        </is>
      </c>
      <c r="N157" s="25" t="inlineStr">
        <is>
          <t>https://www.gastromania.cz/davkovace-omacek/zasobnik-na-omacku-1-025-l-bily-aps-93259</t>
        </is>
      </c>
      <c r="O157" s="24" t="inlineStr">
        <is>
          <t>APS</t>
        </is>
      </c>
      <c r="P157" s="24" t="inlineStr">
        <is>
          <t>excl.</t>
        </is>
      </c>
      <c r="Q157" s="100" t="n">
        <v>0.21</v>
      </c>
      <c r="R157" s="24" t="n">
        <v>1</v>
      </c>
      <c r="S157" s="24" t="inlineStr">
        <is>
          <t>per piece</t>
        </is>
      </c>
      <c r="T157" s="24" t="inlineStr">
        <is>
          <t>CLOSE</t>
        </is>
      </c>
      <c r="U157" s="24" t="inlineStr">
        <is>
          <t>Existing benchmark assignment and match quality retained.</t>
        </is>
      </c>
      <c r="V157" s="98" t="n"/>
      <c r="W157" s="98" t="n"/>
      <c r="X157" s="24" t="inlineStr">
        <is>
          <t>YES Gastro Czech Market Research.xlsx</t>
        </is>
      </c>
      <c r="Y157" s="24" t="n"/>
      <c r="Z157" s="24" t="n"/>
      <c r="AA157" s="24" t="n"/>
      <c r="AB157" s="24" t="inlineStr">
        <is>
          <t>CZK</t>
        </is>
      </c>
      <c r="AC157" s="24" t="inlineStr">
        <is>
          <t>yes</t>
        </is>
      </c>
      <c r="AD157" s="24">
        <f>IF(OR(F157="",Q157="",R157=""),"",ROUND(IF(P157="incl.",F157/(1+Q157),F157)/IF(S157="per pack",R157,1),2))</f>
        <v/>
      </c>
      <c r="AE157" s="24">
        <f>IF(AND(AC157="yes",ISNUMBER(F157),IF('Compare'!$H$5="All mapped",TRUE,IF('Compare'!$H$5="EXACT only",J157="EXACT",OR(J157="EXACT",J157="CLOSE")))),"yes","no")</f>
        <v/>
      </c>
      <c r="AF157" s="24">
        <f>IF(ISNUMBER(H157),COUNTIFS($B$7:$B$608,B157,$C$7:$C$608,C157,$H$7:$H$608,"&lt;"&amp;H157,$AH$7:$AH$608,"yes")+COUNTIFS($B$7:B157,B157,$C$7:C157,C157,$H$7:H157,H157,$AH$7:AH157,"yes"),"")</f>
        <v/>
      </c>
      <c r="AG157" s="24">
        <f>IF(ISNUMBER(I157),COUNTIFS($B$7:$B$608,B157,$C$7:$C$608,C157,$I$7:$I$608,"&lt;"&amp;I157,$AI$7:$AI$608,"yes")+COUNTIFS($B$7:B157,B157,$C$7:C157,C157,$I$7:I157,I157,$AI$7:AI157,"yes"),"")</f>
        <v/>
      </c>
      <c r="AH157" s="24">
        <f>IF(ISNUMBER(H157),"yes","no")</f>
        <v/>
      </c>
      <c r="AI157" s="24">
        <f>IF(ISNUMBER(I157),"yes","no")</f>
        <v/>
      </c>
      <c r="AJ157" s="101" t="n">
        <v>46295</v>
      </c>
      <c r="AK157" s="24" t="n"/>
    </row>
    <row r="158" ht="42" customHeight="1">
      <c r="A158" s="2" t="n"/>
      <c r="B158" s="27" t="inlineStr">
        <is>
          <t>Squeeze bottle 1,000 ml, PP, single tip</t>
        </is>
      </c>
      <c r="C158" s="27" t="inlineStr">
        <is>
          <t>Czech</t>
        </is>
      </c>
      <c r="D158" s="27" t="inlineStr">
        <is>
          <t>Gastrozone</t>
        </is>
      </c>
      <c r="E158" s="27" t="inlineStr">
        <is>
          <t>Dávkovací mačkací láhev Schneider 1000 ml, transparentní</t>
        </is>
      </c>
      <c r="F158" s="102" t="n">
        <v>446</v>
      </c>
      <c r="G158" s="27" t="inlineStr">
        <is>
          <t>CZK</t>
        </is>
      </c>
      <c r="H158" s="102">
        <f>IF(AND(AE158="yes",ISNUMBER(AD158)),AD158,"")</f>
        <v/>
      </c>
      <c r="I158" s="103">
        <f>IF(AND(AE158="yes",ISNUMBER(AD158),ISNUMBER(INDEX('Sources'!$G$7:$G$10,MATCH(AB158,'Sources'!$B$7:$B$10,0)))),AD158/INDEX('Sources'!$G$7:$G$10,MATCH(AB158,'Sources'!$B$7:$B$10,0)),"")</f>
        <v/>
      </c>
      <c r="J158" s="27" t="inlineStr">
        <is>
          <t>CLOSE</t>
        </is>
      </c>
      <c r="K158" s="27" t="inlineStr">
        <is>
          <t>2026-09-30</t>
        </is>
      </c>
      <c r="L158" s="71" t="n"/>
      <c r="M158" s="27" t="inlineStr">
        <is>
          <t>1000 ml; material polyethylene (not PP). 369 CZK bez DPH.</t>
        </is>
      </c>
      <c r="N158" s="28" t="inlineStr">
        <is>
          <t>https://www.gastrozone.cz/schneider-davkovaci-mackaci-lahev-1000-ml-transparentni.html</t>
        </is>
      </c>
      <c r="O158" s="27" t="inlineStr">
        <is>
          <t>Schneider</t>
        </is>
      </c>
      <c r="P158" s="27" t="inlineStr">
        <is>
          <t>incl.</t>
        </is>
      </c>
      <c r="Q158" s="104" t="n">
        <v>0.21</v>
      </c>
      <c r="R158" s="27" t="n">
        <v>1</v>
      </c>
      <c r="S158" s="27" t="inlineStr">
        <is>
          <t>per piece</t>
        </is>
      </c>
      <c r="T158" s="27" t="inlineStr">
        <is>
          <t>CLOSE</t>
        </is>
      </c>
      <c r="U158" s="27" t="inlineStr">
        <is>
          <t>Existing benchmark assignment and match quality retained.</t>
        </is>
      </c>
      <c r="V158" s="102" t="n"/>
      <c r="W158" s="102" t="n"/>
      <c r="X158" s="27" t="inlineStr">
        <is>
          <t>YES Gastro Czech Market Research.xlsx</t>
        </is>
      </c>
      <c r="Y158" s="27" t="n"/>
      <c r="Z158" s="27" t="n"/>
      <c r="AA158" s="27" t="n"/>
      <c r="AB158" s="27" t="inlineStr">
        <is>
          <t>CZK</t>
        </is>
      </c>
      <c r="AC158" s="27" t="inlineStr">
        <is>
          <t>yes</t>
        </is>
      </c>
      <c r="AD158" s="27">
        <f>IF(OR(F158="",Q158="",R158=""),"",ROUND(IF(P158="incl.",F158/(1+Q158),F158)/IF(S158="per pack",R158,1),2))</f>
        <v/>
      </c>
      <c r="AE158" s="27">
        <f>IF(AND(AC158="yes",ISNUMBER(F158),IF('Compare'!$H$5="All mapped",TRUE,IF('Compare'!$H$5="EXACT only",J158="EXACT",OR(J158="EXACT",J158="CLOSE")))),"yes","no")</f>
        <v/>
      </c>
      <c r="AF158" s="27">
        <f>IF(ISNUMBER(H158),COUNTIFS($B$7:$B$608,B158,$C$7:$C$608,C158,$H$7:$H$608,"&lt;"&amp;H158,$AH$7:$AH$608,"yes")+COUNTIFS($B$7:B158,B158,$C$7:C158,C158,$H$7:H158,H158,$AH$7:AH158,"yes"),"")</f>
        <v/>
      </c>
      <c r="AG158" s="27">
        <f>IF(ISNUMBER(I158),COUNTIFS($B$7:$B$608,B158,$C$7:$C$608,C158,$I$7:$I$608,"&lt;"&amp;I158,$AI$7:$AI$608,"yes")+COUNTIFS($B$7:B158,B158,$C$7:C158,C158,$I$7:I158,I158,$AI$7:AI158,"yes"),"")</f>
        <v/>
      </c>
      <c r="AH158" s="27">
        <f>IF(ISNUMBER(H158),"yes","no")</f>
        <v/>
      </c>
      <c r="AI158" s="27">
        <f>IF(ISNUMBER(I158),"yes","no")</f>
        <v/>
      </c>
      <c r="AJ158" s="105" t="n">
        <v>46295</v>
      </c>
      <c r="AK158" s="27" t="n"/>
    </row>
    <row r="159" ht="42" customHeight="1">
      <c r="A159" s="2" t="n"/>
      <c r="B159" s="24" t="inlineStr">
        <is>
          <t>Squeeze bottle 1,000 ml, PP, single tip</t>
        </is>
      </c>
      <c r="C159" s="24" t="inlineStr">
        <is>
          <t>Czech</t>
        </is>
      </c>
      <c r="D159" s="24" t="inlineStr">
        <is>
          <t>TOMGAST</t>
        </is>
      </c>
      <c r="E159" s="24" t="inlineStr">
        <is>
          <t>Dávkovač na omáčky 1025 ml, žlutý</t>
        </is>
      </c>
      <c r="F159" s="98" t="n">
        <v>48</v>
      </c>
      <c r="G159" s="24" t="inlineStr">
        <is>
          <t>CZK</t>
        </is>
      </c>
      <c r="H159" s="98">
        <f>IF(AND(AE159="yes",ISNUMBER(AD159)),AD159,"")</f>
        <v/>
      </c>
      <c r="I159" s="99">
        <f>IF(AND(AE159="yes",ISNUMBER(AD159),ISNUMBER(INDEX('Sources'!$G$7:$G$10,MATCH(AB159,'Sources'!$B$7:$B$10,0)))),AD159/INDEX('Sources'!$G$7:$G$10,MATCH(AB159,'Sources'!$B$7:$B$10,0)),"")</f>
        <v/>
      </c>
      <c r="J159" s="24" t="inlineStr">
        <is>
          <t>CLOSE</t>
        </is>
      </c>
      <c r="K159" s="24" t="inlineStr">
        <is>
          <t>2026-09-30</t>
        </is>
      </c>
      <c r="L159" s="71" t="n"/>
      <c r="M159" s="24" t="inlineStr">
        <is>
          <t>1025 ml; material only "plast" (plastic type not stated - flagged); single thin nozzle. 40 CZK bez DPH. Transparent/red variants same price but awaiting stock.</t>
        </is>
      </c>
      <c r="N159" s="25" t="inlineStr">
        <is>
          <t>https://www.tomgast.cz/davkovac-na-omacky-1025-ml--zluty/</t>
        </is>
      </c>
      <c r="O159" s="24" t="inlineStr">
        <is>
          <t>TOMGAST</t>
        </is>
      </c>
      <c r="P159" s="24" t="inlineStr">
        <is>
          <t>incl.</t>
        </is>
      </c>
      <c r="Q159" s="100" t="n">
        <v>0.21</v>
      </c>
      <c r="R159" s="24" t="n">
        <v>1</v>
      </c>
      <c r="S159" s="24" t="inlineStr">
        <is>
          <t>per piece</t>
        </is>
      </c>
      <c r="T159" s="24" t="inlineStr">
        <is>
          <t>CLOSE</t>
        </is>
      </c>
      <c r="U159" s="24" t="inlineStr">
        <is>
          <t>Existing benchmark assignment and match quality retained.</t>
        </is>
      </c>
      <c r="V159" s="98" t="n"/>
      <c r="W159" s="98" t="n"/>
      <c r="X159" s="24" t="inlineStr">
        <is>
          <t>YES Gastro Czech Market Research.xlsx</t>
        </is>
      </c>
      <c r="Y159" s="24" t="n"/>
      <c r="Z159" s="24" t="n"/>
      <c r="AA159" s="24" t="n"/>
      <c r="AB159" s="24" t="inlineStr">
        <is>
          <t>CZK</t>
        </is>
      </c>
      <c r="AC159" s="24" t="inlineStr">
        <is>
          <t>yes</t>
        </is>
      </c>
      <c r="AD159" s="24">
        <f>IF(OR(F159="",Q159="",R159=""),"",ROUND(IF(P159="incl.",F159/(1+Q159),F159)/IF(S159="per pack",R159,1),2))</f>
        <v/>
      </c>
      <c r="AE159" s="24">
        <f>IF(AND(AC159="yes",ISNUMBER(F159),IF('Compare'!$H$5="All mapped",TRUE,IF('Compare'!$H$5="EXACT only",J159="EXACT",OR(J159="EXACT",J159="CLOSE")))),"yes","no")</f>
        <v/>
      </c>
      <c r="AF159" s="24">
        <f>IF(ISNUMBER(H159),COUNTIFS($B$7:$B$608,B159,$C$7:$C$608,C159,$H$7:$H$608,"&lt;"&amp;H159,$AH$7:$AH$608,"yes")+COUNTIFS($B$7:B159,B159,$C$7:C159,C159,$H$7:H159,H159,$AH$7:AH159,"yes"),"")</f>
        <v/>
      </c>
      <c r="AG159" s="24">
        <f>IF(ISNUMBER(I159),COUNTIFS($B$7:$B$608,B159,$C$7:$C$608,C159,$I$7:$I$608,"&lt;"&amp;I159,$AI$7:$AI$608,"yes")+COUNTIFS($B$7:B159,B159,$C$7:C159,C159,$I$7:I159,I159,$AI$7:AI159,"yes"),"")</f>
        <v/>
      </c>
      <c r="AH159" s="24">
        <f>IF(ISNUMBER(H159),"yes","no")</f>
        <v/>
      </c>
      <c r="AI159" s="24">
        <f>IF(ISNUMBER(I159),"yes","no")</f>
        <v/>
      </c>
      <c r="AJ159" s="101" t="n">
        <v>46295</v>
      </c>
      <c r="AK159" s="24" t="n"/>
    </row>
    <row r="160" ht="52" customHeight="1">
      <c r="A160" s="2" t="n"/>
      <c r="B160" s="27" t="inlineStr">
        <is>
          <t>Squeeze bottle 1,000 ml, PP, single tip</t>
        </is>
      </c>
      <c r="C160" s="27" t="inlineStr">
        <is>
          <t>Slovakia</t>
        </is>
      </c>
      <c r="D160" s="27" t="inlineStr">
        <is>
          <t>Gastromania.sk (GASTROMANIA CZ s.r.o., CZ)</t>
        </is>
      </c>
      <c r="E160" s="27" t="inlineStr">
        <is>
          <t>Dávkovač omáčok 1025 ml, žltý | TOM-GAST, MA-957</t>
        </is>
      </c>
      <c r="F160" s="102" t="n">
        <v>1.28</v>
      </c>
      <c r="G160" s="27" t="inlineStr">
        <is>
          <t>EUR</t>
        </is>
      </c>
      <c r="H160" s="102">
        <f>IF(AND(AE160="yes",ISNUMBER(AD160)),AD160,"")</f>
        <v/>
      </c>
      <c r="I160" s="103">
        <f>IF(AND(AE160="yes",ISNUMBER(AD160),ISNUMBER(INDEX('Sources'!$G$7:$G$10,MATCH(AB160,'Sources'!$B$7:$B$10,0)))),AD160/INDEX('Sources'!$G$7:$G$10,MATCH(AB160,'Sources'!$B$7:$B$10,0)),"")</f>
        <v/>
      </c>
      <c r="J160" s="27" t="inlineStr">
        <is>
          <t>CLOSE</t>
        </is>
      </c>
      <c r="K160" s="27" t="inlineStr">
        <is>
          <t>2026-09-30</t>
        </is>
      </c>
      <c r="L160" s="71" t="n"/>
      <c r="M160" s="27" t="inlineStr">
        <is>
          <t>Listed 'Cena bez DPH' 1.28 EUR / 'Cena s DPH' 1.57 EUR. Squeeze bottle 1025 ml, 275 x ø80 mm; MATERIAL NOT STATED (only 'plast'). Alternative: Contacto 1465/104 PE bottle 1 l (price not checked). In stock 25-99 pcs.</t>
        </is>
      </c>
      <c r="N160" s="28" t="inlineStr">
        <is>
          <t>https://gastromania.sk/davkovace-omacok/davkovac-omacok-1025-ml-zlty-tom-gast-ma-957</t>
        </is>
      </c>
      <c r="O160" s="27" t="inlineStr">
        <is>
          <t>Tom-Gast</t>
        </is>
      </c>
      <c r="P160" s="27" t="inlineStr">
        <is>
          <t>excl.</t>
        </is>
      </c>
      <c r="Q160" s="104" t="inlineStr">
        <is>
          <t>n/a</t>
        </is>
      </c>
      <c r="R160" s="27" t="n">
        <v>1</v>
      </c>
      <c r="S160" s="27" t="inlineStr">
        <is>
          <t>per piece</t>
        </is>
      </c>
      <c r="T160" s="27" t="inlineStr">
        <is>
          <t>CLOSE</t>
        </is>
      </c>
      <c r="U160" s="27" t="inlineStr">
        <is>
          <t>Existing benchmark assignment and match quality retained.</t>
        </is>
      </c>
      <c r="V160" s="102" t="n">
        <v>1.28</v>
      </c>
      <c r="W160" s="102" t="n"/>
      <c r="X160" s="27" t="inlineStr">
        <is>
          <t>YES Gastro Slovakia Market Research.xlsx</t>
        </is>
      </c>
      <c r="Y160" s="27" t="n"/>
      <c r="Z160" s="27" t="n"/>
      <c r="AA160" s="27" t="n"/>
      <c r="AB160" s="27" t="inlineStr">
        <is>
          <t>EUR</t>
        </is>
      </c>
      <c r="AC160" s="27" t="inlineStr">
        <is>
          <t>yes</t>
        </is>
      </c>
      <c r="AD160" s="27">
        <f>IF(ISNUMBER(V160),V160,"")</f>
        <v/>
      </c>
      <c r="AE160" s="27">
        <f>IF(AND(AC160="yes",ISNUMBER(F160),IF('Compare'!$H$5="All mapped",TRUE,IF('Compare'!$H$5="EXACT only",J160="EXACT",OR(J160="EXACT",J160="CLOSE")))),"yes","no")</f>
        <v/>
      </c>
      <c r="AF160" s="27">
        <f>IF(ISNUMBER(H160),COUNTIFS($B$7:$B$608,B160,$C$7:$C$608,C160,$H$7:$H$608,"&lt;"&amp;H160,$AH$7:$AH$608,"yes")+COUNTIFS($B$7:B160,B160,$C$7:C160,C160,$H$7:H160,H160,$AH$7:AH160,"yes"),"")</f>
        <v/>
      </c>
      <c r="AG160" s="27">
        <f>IF(ISNUMBER(I160),COUNTIFS($B$7:$B$608,B160,$C$7:$C$608,C160,$I$7:$I$608,"&lt;"&amp;I160,$AI$7:$AI$608,"yes")+COUNTIFS($B$7:B160,B160,$C$7:C160,C160,$I$7:I160,I160,$AI$7:AI160,"yes"),"")</f>
        <v/>
      </c>
      <c r="AH160" s="27">
        <f>IF(ISNUMBER(H160),"yes","no")</f>
        <v/>
      </c>
      <c r="AI160" s="27">
        <f>IF(ISNUMBER(I160),"yes","no")</f>
        <v/>
      </c>
      <c r="AJ160" s="105" t="n">
        <v>46295</v>
      </c>
      <c r="AK160" s="27" t="n"/>
    </row>
    <row r="161" ht="42" customHeight="1">
      <c r="A161" s="2" t="n"/>
      <c r="B161" s="24" t="inlineStr">
        <is>
          <t>Squeeze bottle 1,000 ml, PP, single tip</t>
        </is>
      </c>
      <c r="C161" s="24" t="inlineStr">
        <is>
          <t>Slovakia</t>
        </is>
      </c>
      <c r="D161" s="24" t="inlineStr">
        <is>
          <t>Gastrozone.sk (GASTROZONE, spol. s r.o., CZ)</t>
        </is>
      </c>
      <c r="E161" s="24" t="inlineStr">
        <is>
          <t>Dávkovacia mačkacia fľaša Schneider 1000 ml, transparentná</t>
        </is>
      </c>
      <c r="F161" s="98" t="n">
        <v>18.72</v>
      </c>
      <c r="G161" s="24" t="inlineStr">
        <is>
          <t>EUR</t>
        </is>
      </c>
      <c r="H161" s="98">
        <f>IF(AND(AE161="yes",ISNUMBER(AD161)),AD161,"")</f>
        <v/>
      </c>
      <c r="I161" s="99">
        <f>IF(AND(AE161="yes",ISNUMBER(AD161),ISNUMBER(INDEX('Sources'!$G$7:$G$10,MATCH(AB161,'Sources'!$B$7:$B$10,0)))),AD161/INDEX('Sources'!$G$7:$G$10,MATCH(AB161,'Sources'!$B$7:$B$10,0)),"")</f>
        <v/>
      </c>
      <c r="J161" s="24" t="inlineStr">
        <is>
          <t>APPROX</t>
        </is>
      </c>
      <c r="K161" s="24" t="inlineStr">
        <is>
          <t>2026-09-30</t>
        </is>
      </c>
      <c r="L161" s="71" t="n"/>
      <c r="M161" s="24" t="inlineStr">
        <is>
          <t>Material polyethylene (not PP). Cheaper alternative: APS 1,025 l squeeze bottle 4,50 EUR (material not stated, to order). Page shows 18,72 / 15,22 bez DPH.</t>
        </is>
      </c>
      <c r="N161" s="25" t="inlineStr">
        <is>
          <t>https://www.gastrozone.sk/schneider-davkovaci-mackaci-lahev-1000-ml-transparentni.html</t>
        </is>
      </c>
      <c r="O161" s="24" t="inlineStr">
        <is>
          <t>Schneider</t>
        </is>
      </c>
      <c r="P161" s="24" t="inlineStr">
        <is>
          <t>incl.</t>
        </is>
      </c>
      <c r="Q161" s="100" t="n">
        <v>0.23</v>
      </c>
      <c r="R161" s="24" t="n">
        <v>1</v>
      </c>
      <c r="S161" s="24" t="inlineStr">
        <is>
          <t>per piece</t>
        </is>
      </c>
      <c r="T161" s="24" t="inlineStr">
        <is>
          <t>APPROX</t>
        </is>
      </c>
      <c r="U161" s="24" t="inlineStr">
        <is>
          <t>Existing benchmark assignment and match quality retained.</t>
        </is>
      </c>
      <c r="V161" s="98" t="n">
        <v>15.219512195122</v>
      </c>
      <c r="W161" s="98" t="n"/>
      <c r="X161" s="24" t="inlineStr">
        <is>
          <t>YES Gastro Slovakia Market Research.xlsx</t>
        </is>
      </c>
      <c r="Y161" s="24" t="n"/>
      <c r="Z161" s="24" t="n"/>
      <c r="AA161" s="24" t="n"/>
      <c r="AB161" s="24" t="inlineStr">
        <is>
          <t>EUR</t>
        </is>
      </c>
      <c r="AC161" s="24" t="inlineStr">
        <is>
          <t>yes</t>
        </is>
      </c>
      <c r="AD161" s="24">
        <f>IF(ISNUMBER(V161),V161,"")</f>
        <v/>
      </c>
      <c r="AE161" s="24">
        <f>IF(AND(AC161="yes",ISNUMBER(F161),IF('Compare'!$H$5="All mapped",TRUE,IF('Compare'!$H$5="EXACT only",J161="EXACT",OR(J161="EXACT",J161="CLOSE")))),"yes","no")</f>
        <v/>
      </c>
      <c r="AF161" s="24">
        <f>IF(ISNUMBER(H161),COUNTIFS($B$7:$B$608,B161,$C$7:$C$608,C161,$H$7:$H$608,"&lt;"&amp;H161,$AH$7:$AH$608,"yes")+COUNTIFS($B$7:B161,B161,$C$7:C161,C161,$H$7:H161,H161,$AH$7:AH161,"yes"),"")</f>
        <v/>
      </c>
      <c r="AG161" s="24">
        <f>IF(ISNUMBER(I161),COUNTIFS($B$7:$B$608,B161,$C$7:$C$608,C161,$I$7:$I$608,"&lt;"&amp;I161,$AI$7:$AI$608,"yes")+COUNTIFS($B$7:B161,B161,$C$7:C161,C161,$I$7:I161,I161,$AI$7:AI161,"yes"),"")</f>
        <v/>
      </c>
      <c r="AH161" s="24">
        <f>IF(ISNUMBER(H161),"yes","no")</f>
        <v/>
      </c>
      <c r="AI161" s="24">
        <f>IF(ISNUMBER(I161),"yes","no")</f>
        <v/>
      </c>
      <c r="AJ161" s="101" t="n">
        <v>46295</v>
      </c>
      <c r="AK161" s="24" t="n"/>
    </row>
    <row r="162" ht="42" customHeight="1">
      <c r="A162" s="2" t="n"/>
      <c r="B162" s="27" t="inlineStr">
        <is>
          <t>Squeeze bottle 500 ml, triple tip</t>
        </is>
      </c>
      <c r="C162" s="27" t="inlineStr">
        <is>
          <t>Austria</t>
        </is>
      </c>
      <c r="D162" s="27" t="inlineStr">
        <is>
          <t>GastroHero Österreich</t>
        </is>
      </c>
      <c r="E162" s="27" t="inlineStr">
        <is>
          <t>Schneider Quetschflasche 950 ml, 3 Öffnungen</t>
        </is>
      </c>
      <c r="F162" s="102" t="n">
        <v>6.89</v>
      </c>
      <c r="G162" s="27" t="inlineStr">
        <is>
          <t>EUR</t>
        </is>
      </c>
      <c r="H162" s="102">
        <f>IF(AND(AE162="yes",ISNUMBER(AD162)),AD162,"")</f>
        <v/>
      </c>
      <c r="I162" s="103">
        <f>IF(AND(AE162="yes",ISNUMBER(AD162),ISNUMBER(INDEX('Sources'!$G$7:$G$10,MATCH(AB162,'Sources'!$B$7:$B$10,0)))),AD162/INDEX('Sources'!$G$7:$G$10,MATCH(AB162,'Sources'!$B$7:$B$10,0)),"")</f>
        <v/>
      </c>
      <c r="J162" s="27" t="inlineStr">
        <is>
          <t>APPROX</t>
        </is>
      </c>
      <c r="K162" s="27" t="inlineStr">
        <is>
          <t>2026-09-30</t>
        </is>
      </c>
      <c r="L162" s="71" t="n"/>
      <c r="M162" s="27" t="inlineStr">
        <is>
          <t>Triple tip PP but 950 ml instead of 500 ml; sale price (normal 7.09); min. qty 8</t>
        </is>
      </c>
      <c r="N162" s="28" t="inlineStr">
        <is>
          <t>https://www.gastro-hero.at/products/schneider-quetschflasche-950-ml-3-oeffnungen-150621</t>
        </is>
      </c>
      <c r="O162" s="27" t="inlineStr">
        <is>
          <t>Schneider</t>
        </is>
      </c>
      <c r="P162" s="27" t="inlineStr">
        <is>
          <t>excl.</t>
        </is>
      </c>
      <c r="Q162" s="104" t="n"/>
      <c r="R162" s="27" t="n">
        <v>1</v>
      </c>
      <c r="S162" s="27" t="n"/>
      <c r="T162" s="27" t="inlineStr">
        <is>
          <t>APPROX</t>
        </is>
      </c>
      <c r="U162" s="27" t="inlineStr">
        <is>
          <t>Existing benchmark assignment and match quality retained.</t>
        </is>
      </c>
      <c r="V162" s="102" t="n">
        <v>6.89</v>
      </c>
      <c r="W162" s="102" t="n"/>
      <c r="X162" s="27" t="inlineStr">
        <is>
          <t>YES Gastro Austria Market Research.xlsx</t>
        </is>
      </c>
      <c r="Y162" s="27" t="n"/>
      <c r="Z162" s="27" t="n"/>
      <c r="AA162" s="27" t="n"/>
      <c r="AB162" s="27" t="inlineStr">
        <is>
          <t>EUR</t>
        </is>
      </c>
      <c r="AC162" s="27" t="inlineStr">
        <is>
          <t>yes</t>
        </is>
      </c>
      <c r="AD162" s="27">
        <f>IF(ISNUMBER(V162),V162,"")</f>
        <v/>
      </c>
      <c r="AE162" s="27">
        <f>IF(AND(AC162="yes",ISNUMBER(F162),IF('Compare'!$H$5="All mapped",TRUE,IF('Compare'!$H$5="EXACT only",J162="EXACT",OR(J162="EXACT",J162="CLOSE")))),"yes","no")</f>
        <v/>
      </c>
      <c r="AF162" s="27">
        <f>IF(ISNUMBER(H162),COUNTIFS($B$7:$B$608,B162,$C$7:$C$608,C162,$H$7:$H$608,"&lt;"&amp;H162,$AH$7:$AH$608,"yes")+COUNTIFS($B$7:B162,B162,$C$7:C162,C162,$H$7:H162,H162,$AH$7:AH162,"yes"),"")</f>
        <v/>
      </c>
      <c r="AG162" s="27">
        <f>IF(ISNUMBER(I162),COUNTIFS($B$7:$B$608,B162,$C$7:$C$608,C162,$I$7:$I$608,"&lt;"&amp;I162,$AI$7:$AI$608,"yes")+COUNTIFS($B$7:B162,B162,$C$7:C162,C162,$I$7:I162,I162,$AI$7:AI162,"yes"),"")</f>
        <v/>
      </c>
      <c r="AH162" s="27">
        <f>IF(ISNUMBER(H162),"yes","no")</f>
        <v/>
      </c>
      <c r="AI162" s="27">
        <f>IF(ISNUMBER(I162),"yes","no")</f>
        <v/>
      </c>
      <c r="AJ162" s="105" t="n">
        <v>46295</v>
      </c>
      <c r="AK162" s="27" t="n"/>
    </row>
    <row r="163" ht="42" customHeight="1">
      <c r="A163" s="2" t="n"/>
      <c r="B163" s="24" t="inlineStr">
        <is>
          <t>Squeeze bottle 500 ml, triple tip</t>
        </is>
      </c>
      <c r="C163" s="24" t="inlineStr">
        <is>
          <t>Austria</t>
        </is>
      </c>
      <c r="D163" s="24" t="inlineStr">
        <is>
          <t>Gastroladen.at (Harotec GmbH)</t>
        </is>
      </c>
      <c r="E163" s="24" t="inlineStr">
        <is>
          <t>Vogue transparente Quetschflasche mit 3 Spritzdüsen 68cl</t>
        </is>
      </c>
      <c r="F163" s="98" t="n">
        <v>3.98</v>
      </c>
      <c r="G163" s="24" t="inlineStr">
        <is>
          <t>EUR</t>
        </is>
      </c>
      <c r="H163" s="98">
        <f>IF(AND(AE163="yes",ISNUMBER(AD163)),AD163,"")</f>
        <v/>
      </c>
      <c r="I163" s="99">
        <f>IF(AND(AE163="yes",ISNUMBER(AD163),ISNUMBER(INDEX('Sources'!$G$7:$G$10,MATCH(AB163,'Sources'!$B$7:$B$10,0)))),AD163/INDEX('Sources'!$G$7:$G$10,MATCH(AB163,'Sources'!$B$7:$B$10,0)),"")</f>
        <v/>
      </c>
      <c r="J163" s="24" t="inlineStr">
        <is>
          <t>APPROX</t>
        </is>
      </c>
      <c r="K163" s="24" t="inlineStr">
        <is>
          <t>2026-09-30</t>
        </is>
      </c>
      <c r="L163" s="71" t="n"/>
      <c r="M163" s="24" t="inlineStr">
        <is>
          <t>Triple tip but 680 ml instead of 500 ml; smallest triple-tip offered</t>
        </is>
      </c>
      <c r="N163" s="25" t="inlineStr">
        <is>
          <t>https://www.gastroladen.at/G16771B@GN-CW725/Vogue-transparente-Quetschflasche-mit-3-Spritzd%C3%BCsen-68cl.htm</t>
        </is>
      </c>
      <c r="O163" s="24" t="inlineStr">
        <is>
          <t>Vogue</t>
        </is>
      </c>
      <c r="P163" s="24" t="inlineStr">
        <is>
          <t>incl.</t>
        </is>
      </c>
      <c r="Q163" s="100" t="n"/>
      <c r="R163" s="24" t="n">
        <v>1</v>
      </c>
      <c r="S163" s="24" t="n"/>
      <c r="T163" s="24" t="inlineStr">
        <is>
          <t>APPROX</t>
        </is>
      </c>
      <c r="U163" s="24" t="inlineStr">
        <is>
          <t>Existing benchmark assignment and match quality retained.</t>
        </is>
      </c>
      <c r="V163" s="98" t="n">
        <v>3.32</v>
      </c>
      <c r="W163" s="98" t="n"/>
      <c r="X163" s="24" t="inlineStr">
        <is>
          <t>YES Gastro Austria Market Research.xlsx</t>
        </is>
      </c>
      <c r="Y163" s="24" t="n"/>
      <c r="Z163" s="24" t="n"/>
      <c r="AA163" s="24" t="n"/>
      <c r="AB163" s="24" t="inlineStr">
        <is>
          <t>EUR</t>
        </is>
      </c>
      <c r="AC163" s="24" t="inlineStr">
        <is>
          <t>yes</t>
        </is>
      </c>
      <c r="AD163" s="24">
        <f>IF(ISNUMBER(V163),V163,"")</f>
        <v/>
      </c>
      <c r="AE163" s="24">
        <f>IF(AND(AC163="yes",ISNUMBER(F163),IF('Compare'!$H$5="All mapped",TRUE,IF('Compare'!$H$5="EXACT only",J163="EXACT",OR(J163="EXACT",J163="CLOSE")))),"yes","no")</f>
        <v/>
      </c>
      <c r="AF163" s="24">
        <f>IF(ISNUMBER(H163),COUNTIFS($B$7:$B$608,B163,$C$7:$C$608,C163,$H$7:$H$608,"&lt;"&amp;H163,$AH$7:$AH$608,"yes")+COUNTIFS($B$7:B163,B163,$C$7:C163,C163,$H$7:H163,H163,$AH$7:AH163,"yes"),"")</f>
        <v/>
      </c>
      <c r="AG163" s="24">
        <f>IF(ISNUMBER(I163),COUNTIFS($B$7:$B$608,B163,$C$7:$C$608,C163,$I$7:$I$608,"&lt;"&amp;I163,$AI$7:$AI$608,"yes")+COUNTIFS($B$7:B163,B163,$C$7:C163,C163,$I$7:I163,I163,$AI$7:AI163,"yes"),"")</f>
        <v/>
      </c>
      <c r="AH163" s="24">
        <f>IF(ISNUMBER(H163),"yes","no")</f>
        <v/>
      </c>
      <c r="AI163" s="24">
        <f>IF(ISNUMBER(I163),"yes","no")</f>
        <v/>
      </c>
      <c r="AJ163" s="101" t="n">
        <v>46295</v>
      </c>
      <c r="AK163" s="24" t="n"/>
    </row>
    <row r="164" ht="42" customHeight="1">
      <c r="A164" s="2" t="n"/>
      <c r="B164" s="27" t="inlineStr">
        <is>
          <t>Squeeze bottle 500 ml, triple tip</t>
        </is>
      </c>
      <c r="C164" s="27" t="inlineStr">
        <is>
          <t>Austria</t>
        </is>
      </c>
      <c r="D164" s="27" t="inlineStr">
        <is>
          <t>Intergastro (AT shop)</t>
        </is>
      </c>
      <c r="E164" s="27" t="inlineStr">
        <is>
          <t>Quetschflasche Kunststoff 950 ml 3 Öffnungen transparent</t>
        </is>
      </c>
      <c r="F164" s="102" t="n">
        <v>4.44</v>
      </c>
      <c r="G164" s="27" t="inlineStr">
        <is>
          <t>EUR</t>
        </is>
      </c>
      <c r="H164" s="102">
        <f>IF(AND(AE164="yes",ISNUMBER(AD164)),AD164,"")</f>
        <v/>
      </c>
      <c r="I164" s="103">
        <f>IF(AND(AE164="yes",ISNUMBER(AD164),ISNUMBER(INDEX('Sources'!$G$7:$G$10,MATCH(AB164,'Sources'!$B$7:$B$10,0)))),AD164/INDEX('Sources'!$G$7:$G$10,MATCH(AB164,'Sources'!$B$7:$B$10,0)),"")</f>
        <v/>
      </c>
      <c r="J164" s="27" t="inlineStr">
        <is>
          <t>APPROX</t>
        </is>
      </c>
      <c r="K164" s="27" t="inlineStr">
        <is>
          <t>2026-09-30</t>
        </is>
      </c>
      <c r="L164" s="71" t="n"/>
      <c r="M164" s="27" t="inlineStr">
        <is>
          <t>Triple tip PP bottle but 950 ml instead of 500 ml; no 500 ml triple-tip found</t>
        </is>
      </c>
      <c r="N164" s="28" t="inlineStr">
        <is>
          <t>https://www.intergastro.at/quetschflasche-kunststoff-950-ml-3-oeffnungen-transparent-80-mm-h-291-mm-960754</t>
        </is>
      </c>
      <c r="O164" s="27" t="inlineStr">
        <is>
          <t>Schneider</t>
        </is>
      </c>
      <c r="P164" s="27" t="inlineStr">
        <is>
          <t>excl.</t>
        </is>
      </c>
      <c r="Q164" s="104" t="n"/>
      <c r="R164" s="27" t="n">
        <v>1</v>
      </c>
      <c r="S164" s="27" t="n"/>
      <c r="T164" s="27" t="inlineStr">
        <is>
          <t>APPROX</t>
        </is>
      </c>
      <c r="U164" s="27" t="inlineStr">
        <is>
          <t>Existing benchmark assignment and match quality retained.</t>
        </is>
      </c>
      <c r="V164" s="102" t="n">
        <v>4.44</v>
      </c>
      <c r="W164" s="102" t="n"/>
      <c r="X164" s="27" t="inlineStr">
        <is>
          <t>YES Gastro Austria Market Research.xlsx</t>
        </is>
      </c>
      <c r="Y164" s="27" t="n"/>
      <c r="Z164" s="27" t="n"/>
      <c r="AA164" s="27" t="n"/>
      <c r="AB164" s="27" t="inlineStr">
        <is>
          <t>EUR</t>
        </is>
      </c>
      <c r="AC164" s="27" t="inlineStr">
        <is>
          <t>yes</t>
        </is>
      </c>
      <c r="AD164" s="27">
        <f>IF(ISNUMBER(V164),V164,"")</f>
        <v/>
      </c>
      <c r="AE164" s="27">
        <f>IF(AND(AC164="yes",ISNUMBER(F164),IF('Compare'!$H$5="All mapped",TRUE,IF('Compare'!$H$5="EXACT only",J164="EXACT",OR(J164="EXACT",J164="CLOSE")))),"yes","no")</f>
        <v/>
      </c>
      <c r="AF164" s="27">
        <f>IF(ISNUMBER(H164),COUNTIFS($B$7:$B$608,B164,$C$7:$C$608,C164,$H$7:$H$608,"&lt;"&amp;H164,$AH$7:$AH$608,"yes")+COUNTIFS($B$7:B164,B164,$C$7:C164,C164,$H$7:H164,H164,$AH$7:AH164,"yes"),"")</f>
        <v/>
      </c>
      <c r="AG164" s="27">
        <f>IF(ISNUMBER(I164),COUNTIFS($B$7:$B$608,B164,$C$7:$C$608,C164,$I$7:$I$608,"&lt;"&amp;I164,$AI$7:$AI$608,"yes")+COUNTIFS($B$7:B164,B164,$C$7:C164,C164,$I$7:I164,I164,$AI$7:AI164,"yes"),"")</f>
        <v/>
      </c>
      <c r="AH164" s="27">
        <f>IF(ISNUMBER(H164),"yes","no")</f>
        <v/>
      </c>
      <c r="AI164" s="27">
        <f>IF(ISNUMBER(I164),"yes","no")</f>
        <v/>
      </c>
      <c r="AJ164" s="105" t="n">
        <v>46295</v>
      </c>
      <c r="AK164" s="27" t="n"/>
    </row>
    <row r="165" ht="42" customHeight="1">
      <c r="A165" s="2" t="n"/>
      <c r="B165" s="24" t="inlineStr">
        <is>
          <t>Squeeze bottle 500 ml, triple tip</t>
        </is>
      </c>
      <c r="C165" s="24" t="inlineStr">
        <is>
          <t>Germany</t>
        </is>
      </c>
      <c r="D165" s="24" t="inlineStr">
        <is>
          <t>GastroHero</t>
        </is>
      </c>
      <c r="E165" s="24" t="inlineStr">
        <is>
          <t>Schneider Quetschflasche 950 ml, 3 Öffnungen</t>
        </is>
      </c>
      <c r="F165" s="98" t="n">
        <v>3.89</v>
      </c>
      <c r="G165" s="24" t="inlineStr">
        <is>
          <t>EUR</t>
        </is>
      </c>
      <c r="H165" s="98">
        <f>IF(AND(AE165="yes",ISNUMBER(AD165)),AD165,"")</f>
        <v/>
      </c>
      <c r="I165" s="99">
        <f>IF(AND(AE165="yes",ISNUMBER(AD165),ISNUMBER(INDEX('Sources'!$G$7:$G$10,MATCH(AB165,'Sources'!$B$7:$B$10,0)))),AD165/INDEX('Sources'!$G$7:$G$10,MATCH(AB165,'Sources'!$B$7:$B$10,0)),"")</f>
        <v/>
      </c>
      <c r="J165" s="24" t="inlineStr">
        <is>
          <t>APPROX</t>
        </is>
      </c>
      <c r="K165" s="24" t="inlineStr">
        <is>
          <t>2026-09-30</t>
        </is>
      </c>
      <c r="L165" s="71" t="n"/>
      <c r="M165" s="24" t="inlineStr">
        <is>
          <t>Triple tip PP but 950 ml instead of 500 ml; min. qty 8</t>
        </is>
      </c>
      <c r="N165" s="25" t="inlineStr">
        <is>
          <t>https://www.gastro-hero.de/products/schneider-quetschflasche-950-ml-3-oeffnungen-150621</t>
        </is>
      </c>
      <c r="O165" s="24" t="inlineStr">
        <is>
          <t>Schneider</t>
        </is>
      </c>
      <c r="P165" s="24" t="inlineStr">
        <is>
          <t>excl.</t>
        </is>
      </c>
      <c r="Q165" s="100" t="n"/>
      <c r="R165" s="24" t="n">
        <v>1</v>
      </c>
      <c r="S165" s="24" t="n"/>
      <c r="T165" s="24" t="inlineStr">
        <is>
          <t>APPROX</t>
        </is>
      </c>
      <c r="U165" s="24" t="inlineStr">
        <is>
          <t>Existing benchmark assignment and match quality retained.</t>
        </is>
      </c>
      <c r="V165" s="98" t="n">
        <v>3.89</v>
      </c>
      <c r="W165" s="98" t="n"/>
      <c r="X165" s="24" t="inlineStr">
        <is>
          <t>YES Gastro Germany Market Research.xlsx</t>
        </is>
      </c>
      <c r="Y165" s="24" t="n"/>
      <c r="Z165" s="24" t="n"/>
      <c r="AA165" s="24" t="n"/>
      <c r="AB165" s="24" t="inlineStr">
        <is>
          <t>EUR</t>
        </is>
      </c>
      <c r="AC165" s="24" t="inlineStr">
        <is>
          <t>yes</t>
        </is>
      </c>
      <c r="AD165" s="24">
        <f>IF(ISNUMBER(V165),V165,"")</f>
        <v/>
      </c>
      <c r="AE165" s="24">
        <f>IF(AND(AC165="yes",ISNUMBER(F165),IF('Compare'!$H$5="All mapped",TRUE,IF('Compare'!$H$5="EXACT only",J165="EXACT",OR(J165="EXACT",J165="CLOSE")))),"yes","no")</f>
        <v/>
      </c>
      <c r="AF165" s="24">
        <f>IF(ISNUMBER(H165),COUNTIFS($B$7:$B$608,B165,$C$7:$C$608,C165,$H$7:$H$608,"&lt;"&amp;H165,$AH$7:$AH$608,"yes")+COUNTIFS($B$7:B165,B165,$C$7:C165,C165,$H$7:H165,H165,$AH$7:AH165,"yes"),"")</f>
        <v/>
      </c>
      <c r="AG165" s="24">
        <f>IF(ISNUMBER(I165),COUNTIFS($B$7:$B$608,B165,$C$7:$C$608,C165,$I$7:$I$608,"&lt;"&amp;I165,$AI$7:$AI$608,"yes")+COUNTIFS($B$7:B165,B165,$C$7:C165,C165,$I$7:I165,I165,$AI$7:AI165,"yes"),"")</f>
        <v/>
      </c>
      <c r="AH165" s="24">
        <f>IF(ISNUMBER(H165),"yes","no")</f>
        <v/>
      </c>
      <c r="AI165" s="24">
        <f>IF(ISNUMBER(I165),"yes","no")</f>
        <v/>
      </c>
      <c r="AJ165" s="101" t="n">
        <v>46295</v>
      </c>
      <c r="AK165" s="24" t="n"/>
    </row>
    <row r="166" ht="42" customHeight="1">
      <c r="A166" s="2" t="n"/>
      <c r="B166" s="27" t="inlineStr">
        <is>
          <t>Squeeze bottle 500 ml, triple tip</t>
        </is>
      </c>
      <c r="C166" s="27" t="inlineStr">
        <is>
          <t>Germany</t>
        </is>
      </c>
      <c r="D166" s="27" t="inlineStr">
        <is>
          <t>Gastroladen.de (Harotec GmbH) [substitute]</t>
        </is>
      </c>
      <c r="E166" s="27" t="inlineStr">
        <is>
          <t>Vogue transparente Quetschflasche mit 3 Spritzdüsen 68cl</t>
        </is>
      </c>
      <c r="F166" s="102" t="n">
        <v>3.89</v>
      </c>
      <c r="G166" s="27" t="inlineStr">
        <is>
          <t>EUR</t>
        </is>
      </c>
      <c r="H166" s="102">
        <f>IF(AND(AE166="yes",ISNUMBER(AD166)),AD166,"")</f>
        <v/>
      </c>
      <c r="I166" s="103">
        <f>IF(AND(AE166="yes",ISNUMBER(AD166),ISNUMBER(INDEX('Sources'!$G$7:$G$10,MATCH(AB166,'Sources'!$B$7:$B$10,0)))),AD166/INDEX('Sources'!$G$7:$G$10,MATCH(AB166,'Sources'!$B$7:$B$10,0)),"")</f>
        <v/>
      </c>
      <c r="J166" s="27" t="inlineStr">
        <is>
          <t>APPROX</t>
        </is>
      </c>
      <c r="K166" s="27" t="inlineStr">
        <is>
          <t>2026-09-30</t>
        </is>
      </c>
      <c r="L166" s="71" t="n"/>
      <c r="M166" s="27" t="inlineStr">
        <is>
          <t>Triple tip but 680 ml instead of 500 ml; smallest triple-tip offered</t>
        </is>
      </c>
      <c r="N166" s="28" t="inlineStr">
        <is>
          <t>https://www.gastroladen.de/G16771B@GN-CW725/Vogue-transparente-Quetschflasche-mit-3-Spritzd%C3%BCsen-68cl.htm</t>
        </is>
      </c>
      <c r="O166" s="27" t="inlineStr">
        <is>
          <t>Vogue</t>
        </is>
      </c>
      <c r="P166" s="27" t="inlineStr">
        <is>
          <t>incl.</t>
        </is>
      </c>
      <c r="Q166" s="104" t="n"/>
      <c r="R166" s="27" t="n">
        <v>1</v>
      </c>
      <c r="S166" s="27" t="n"/>
      <c r="T166" s="27" t="inlineStr">
        <is>
          <t>APPROX</t>
        </is>
      </c>
      <c r="U166" s="27" t="inlineStr">
        <is>
          <t>Existing benchmark assignment and match quality retained.</t>
        </is>
      </c>
      <c r="V166" s="102" t="n">
        <v>3.27</v>
      </c>
      <c r="W166" s="102" t="n"/>
      <c r="X166" s="27" t="inlineStr">
        <is>
          <t>YES Gastro Germany Market Research.xlsx</t>
        </is>
      </c>
      <c r="Y166" s="27" t="n"/>
      <c r="Z166" s="27" t="n"/>
      <c r="AA166" s="27" t="n"/>
      <c r="AB166" s="27" t="inlineStr">
        <is>
          <t>EUR</t>
        </is>
      </c>
      <c r="AC166" s="27" t="inlineStr">
        <is>
          <t>yes</t>
        </is>
      </c>
      <c r="AD166" s="27">
        <f>IF(ISNUMBER(V166),V166,"")</f>
        <v/>
      </c>
      <c r="AE166" s="27">
        <f>IF(AND(AC166="yes",ISNUMBER(F166),IF('Compare'!$H$5="All mapped",TRUE,IF('Compare'!$H$5="EXACT only",J166="EXACT",OR(J166="EXACT",J166="CLOSE")))),"yes","no")</f>
        <v/>
      </c>
      <c r="AF166" s="27">
        <f>IF(ISNUMBER(H166),COUNTIFS($B$7:$B$608,B166,$C$7:$C$608,C166,$H$7:$H$608,"&lt;"&amp;H166,$AH$7:$AH$608,"yes")+COUNTIFS($B$7:B166,B166,$C$7:C166,C166,$H$7:H166,H166,$AH$7:AH166,"yes"),"")</f>
        <v/>
      </c>
      <c r="AG166" s="27">
        <f>IF(ISNUMBER(I166),COUNTIFS($B$7:$B$608,B166,$C$7:$C$608,C166,$I$7:$I$608,"&lt;"&amp;I166,$AI$7:$AI$608,"yes")+COUNTIFS($B$7:B166,B166,$C$7:C166,C166,$I$7:I166,I166,$AI$7:AI166,"yes"),"")</f>
        <v/>
      </c>
      <c r="AH166" s="27">
        <f>IF(ISNUMBER(H166),"yes","no")</f>
        <v/>
      </c>
      <c r="AI166" s="27">
        <f>IF(ISNUMBER(I166),"yes","no")</f>
        <v/>
      </c>
      <c r="AJ166" s="105" t="n">
        <v>46295</v>
      </c>
      <c r="AK166" s="27" t="n"/>
    </row>
    <row r="167" ht="42" customHeight="1">
      <c r="A167" s="2" t="n"/>
      <c r="B167" s="24" t="inlineStr">
        <is>
          <t>Squeeze bottle 500 ml, triple tip</t>
        </is>
      </c>
      <c r="C167" s="24" t="inlineStr">
        <is>
          <t>Germany</t>
        </is>
      </c>
      <c r="D167" s="24" t="inlineStr">
        <is>
          <t>Intergastro</t>
        </is>
      </c>
      <c r="E167" s="24" t="inlineStr">
        <is>
          <t>Quetschflasche Kunststoff 950 ml 3 Öffnungen transparent</t>
        </is>
      </c>
      <c r="F167" s="98" t="n">
        <v>4.44</v>
      </c>
      <c r="G167" s="24" t="inlineStr">
        <is>
          <t>EUR</t>
        </is>
      </c>
      <c r="H167" s="98">
        <f>IF(AND(AE167="yes",ISNUMBER(AD167)),AD167,"")</f>
        <v/>
      </c>
      <c r="I167" s="99">
        <f>IF(AND(AE167="yes",ISNUMBER(AD167),ISNUMBER(INDEX('Sources'!$G$7:$G$10,MATCH(AB167,'Sources'!$B$7:$B$10,0)))),AD167/INDEX('Sources'!$G$7:$G$10,MATCH(AB167,'Sources'!$B$7:$B$10,0)),"")</f>
        <v/>
      </c>
      <c r="J167" s="24" t="inlineStr">
        <is>
          <t>APPROX</t>
        </is>
      </c>
      <c r="K167" s="24" t="inlineStr">
        <is>
          <t>2026-09-30</t>
        </is>
      </c>
      <c r="L167" s="71" t="n"/>
      <c r="M167" s="24" t="inlineStr">
        <is>
          <t>Triple tip PP bottle but 950 ml instead of 500 ml; no 500 ml triple-tip found</t>
        </is>
      </c>
      <c r="N167" s="25" t="inlineStr">
        <is>
          <t>https://www.intergastro.de/quetschflasche-kunststoff-950-ml-3-oeffnungen-transparent-80-mm-h-291-mm-960754</t>
        </is>
      </c>
      <c r="O167" s="24" t="inlineStr">
        <is>
          <t>Schneider</t>
        </is>
      </c>
      <c r="P167" s="24" t="inlineStr">
        <is>
          <t>excl.</t>
        </is>
      </c>
      <c r="Q167" s="100" t="n"/>
      <c r="R167" s="24" t="n">
        <v>1</v>
      </c>
      <c r="S167" s="24" t="n"/>
      <c r="T167" s="24" t="inlineStr">
        <is>
          <t>APPROX</t>
        </is>
      </c>
      <c r="U167" s="24" t="inlineStr">
        <is>
          <t>Existing benchmark assignment and match quality retained.</t>
        </is>
      </c>
      <c r="V167" s="98" t="n">
        <v>4.44</v>
      </c>
      <c r="W167" s="98" t="n"/>
      <c r="X167" s="24" t="inlineStr">
        <is>
          <t>YES Gastro Germany Market Research.xlsx</t>
        </is>
      </c>
      <c r="Y167" s="24" t="n"/>
      <c r="Z167" s="24" t="n"/>
      <c r="AA167" s="24" t="n"/>
      <c r="AB167" s="24" t="inlineStr">
        <is>
          <t>EUR</t>
        </is>
      </c>
      <c r="AC167" s="24" t="inlineStr">
        <is>
          <t>yes</t>
        </is>
      </c>
      <c r="AD167" s="24">
        <f>IF(ISNUMBER(V167),V167,"")</f>
        <v/>
      </c>
      <c r="AE167" s="24">
        <f>IF(AND(AC167="yes",ISNUMBER(F167),IF('Compare'!$H$5="All mapped",TRUE,IF('Compare'!$H$5="EXACT only",J167="EXACT",OR(J167="EXACT",J167="CLOSE")))),"yes","no")</f>
        <v/>
      </c>
      <c r="AF167" s="24">
        <f>IF(ISNUMBER(H167),COUNTIFS($B$7:$B$608,B167,$C$7:$C$608,C167,$H$7:$H$608,"&lt;"&amp;H167,$AH$7:$AH$608,"yes")+COUNTIFS($B$7:B167,B167,$C$7:C167,C167,$H$7:H167,H167,$AH$7:AH167,"yes"),"")</f>
        <v/>
      </c>
      <c r="AG167" s="24">
        <f>IF(ISNUMBER(I167),COUNTIFS($B$7:$B$608,B167,$C$7:$C$608,C167,$I$7:$I$608,"&lt;"&amp;I167,$AI$7:$AI$608,"yes")+COUNTIFS($B$7:B167,B167,$C$7:C167,C167,$I$7:I167,I167,$AI$7:AI167,"yes"),"")</f>
        <v/>
      </c>
      <c r="AH167" s="24">
        <f>IF(ISNUMBER(H167),"yes","no")</f>
        <v/>
      </c>
      <c r="AI167" s="24">
        <f>IF(ISNUMBER(I167),"yes","no")</f>
        <v/>
      </c>
      <c r="AJ167" s="101" t="n">
        <v>46295</v>
      </c>
      <c r="AK167" s="24" t="n"/>
    </row>
    <row r="168" ht="42" customHeight="1">
      <c r="A168" s="2" t="n"/>
      <c r="B168" s="27" t="inlineStr">
        <is>
          <t>Squeeze bottle 500 ml, triple tip</t>
        </is>
      </c>
      <c r="C168" s="27" t="inlineStr">
        <is>
          <t>Germany</t>
        </is>
      </c>
      <c r="D168" s="27" t="inlineStr">
        <is>
          <t>Nisbets</t>
        </is>
      </c>
      <c r="E168" s="27" t="inlineStr">
        <is>
          <t>Vogue klare Quetschflasche mit 3 Düsen 681ml</t>
        </is>
      </c>
      <c r="F168" s="102" t="n">
        <v>2.29</v>
      </c>
      <c r="G168" s="27" t="inlineStr">
        <is>
          <t>EUR</t>
        </is>
      </c>
      <c r="H168" s="102">
        <f>IF(AND(AE168="yes",ISNUMBER(AD168)),AD168,"")</f>
        <v/>
      </c>
      <c r="I168" s="103">
        <f>IF(AND(AE168="yes",ISNUMBER(AD168),ISNUMBER(INDEX('Sources'!$G$7:$G$10,MATCH(AB168,'Sources'!$B$7:$B$10,0)))),AD168/INDEX('Sources'!$G$7:$G$10,MATCH(AB168,'Sources'!$B$7:$B$10,0)),"")</f>
        <v/>
      </c>
      <c r="J168" s="27" t="inlineStr">
        <is>
          <t>APPROX</t>
        </is>
      </c>
      <c r="K168" s="27" t="inlineStr">
        <is>
          <t>2026-09-30</t>
        </is>
      </c>
      <c r="L168" s="71" t="n"/>
      <c r="M168" s="27" t="inlineStr">
        <is>
          <t>Triple tip but 681 ml instead of 500 ml</t>
        </is>
      </c>
      <c r="N168" s="28" t="inlineStr">
        <is>
          <t>https://www.nisbets.de/vogue-klare-quetschflasche-mit-3-dsen-24oz/cw725</t>
        </is>
      </c>
      <c r="O168" s="27" t="inlineStr">
        <is>
          <t>Vogue</t>
        </is>
      </c>
      <c r="P168" s="27" t="inlineStr">
        <is>
          <t>excl.</t>
        </is>
      </c>
      <c r="Q168" s="104" t="n"/>
      <c r="R168" s="27" t="n">
        <v>1</v>
      </c>
      <c r="S168" s="27" t="n"/>
      <c r="T168" s="27" t="inlineStr">
        <is>
          <t>APPROX</t>
        </is>
      </c>
      <c r="U168" s="27" t="inlineStr">
        <is>
          <t>Existing benchmark assignment and match quality retained.</t>
        </is>
      </c>
      <c r="V168" s="102" t="n">
        <v>2.29</v>
      </c>
      <c r="W168" s="102" t="n"/>
      <c r="X168" s="27" t="inlineStr">
        <is>
          <t>YES Gastro Germany Market Research.xlsx</t>
        </is>
      </c>
      <c r="Y168" s="27" t="n"/>
      <c r="Z168" s="27" t="n"/>
      <c r="AA168" s="27" t="n"/>
      <c r="AB168" s="27" t="inlineStr">
        <is>
          <t>EUR</t>
        </is>
      </c>
      <c r="AC168" s="27" t="inlineStr">
        <is>
          <t>yes</t>
        </is>
      </c>
      <c r="AD168" s="27">
        <f>IF(ISNUMBER(V168),V168,"")</f>
        <v/>
      </c>
      <c r="AE168" s="27">
        <f>IF(AND(AC168="yes",ISNUMBER(F168),IF('Compare'!$H$5="All mapped",TRUE,IF('Compare'!$H$5="EXACT only",J168="EXACT",OR(J168="EXACT",J168="CLOSE")))),"yes","no")</f>
        <v/>
      </c>
      <c r="AF168" s="27">
        <f>IF(ISNUMBER(H168),COUNTIFS($B$7:$B$608,B168,$C$7:$C$608,C168,$H$7:$H$608,"&lt;"&amp;H168,$AH$7:$AH$608,"yes")+COUNTIFS($B$7:B168,B168,$C$7:C168,C168,$H$7:H168,H168,$AH$7:AH168,"yes"),"")</f>
        <v/>
      </c>
      <c r="AG168" s="27">
        <f>IF(ISNUMBER(I168),COUNTIFS($B$7:$B$608,B168,$C$7:$C$608,C168,$I$7:$I$608,"&lt;"&amp;I168,$AI$7:$AI$608,"yes")+COUNTIFS($B$7:B168,B168,$C$7:C168,C168,$I$7:I168,I168,$AI$7:AI168,"yes"),"")</f>
        <v/>
      </c>
      <c r="AH168" s="27">
        <f>IF(ISNUMBER(H168),"yes","no")</f>
        <v/>
      </c>
      <c r="AI168" s="27">
        <f>IF(ISNUMBER(I168),"yes","no")</f>
        <v/>
      </c>
      <c r="AJ168" s="105" t="n">
        <v>46295</v>
      </c>
      <c r="AK168" s="27" t="n"/>
    </row>
    <row r="169" ht="42" customHeight="1">
      <c r="A169" s="2" t="n"/>
      <c r="B169" s="24" t="inlineStr">
        <is>
          <t>Squeeze bottle 500 ml, triple tip</t>
        </is>
      </c>
      <c r="C169" s="24" t="inlineStr">
        <is>
          <t>Czech</t>
        </is>
      </c>
      <c r="D169" s="24" t="inlineStr">
        <is>
          <t>Gastrozone</t>
        </is>
      </c>
      <c r="E169" s="24" t="inlineStr">
        <is>
          <t>ARAVEN Mačkací láhev, LDPE, průměr: 80 mm, výška: 253 mm, objem: 0,75 L, 3 trysky</t>
        </is>
      </c>
      <c r="F169" s="98" t="n">
        <v>156</v>
      </c>
      <c r="G169" s="24" t="inlineStr">
        <is>
          <t>CZK</t>
        </is>
      </c>
      <c r="H169" s="98">
        <f>IF(AND(AE169="yes",ISNUMBER(AD169)),AD169,"")</f>
        <v/>
      </c>
      <c r="I169" s="99">
        <f>IF(AND(AE169="yes",ISNUMBER(AD169),ISNUMBER(INDEX('Sources'!$G$7:$G$10,MATCH(AB169,'Sources'!$B$7:$B$10,0)))),AD169/INDEX('Sources'!$G$7:$G$10,MATCH(AB169,'Sources'!$B$7:$B$10,0)),"")</f>
        <v/>
      </c>
      <c r="J169" s="24" t="inlineStr">
        <is>
          <t>APPROX</t>
        </is>
      </c>
      <c r="K169" s="24" t="inlineStr">
        <is>
          <t>2026-09-30</t>
        </is>
      </c>
      <c r="L169" s="71" t="n"/>
      <c r="M169" s="24" t="inlineStr">
        <is>
          <t>Triple-tip squeeze bottle but 750 ml (not 500 ml); LDPE. 129 CZK bez DPH.</t>
        </is>
      </c>
      <c r="N169" s="25" t="inlineStr">
        <is>
          <t>https://www.gastrozone.cz/araven-lahvicka-na-stlaceni-ldpe-o-80-mm-vyska-253-mm-objem-0-75-l-3-trysky.html</t>
        </is>
      </c>
      <c r="O169" s="24" t="inlineStr">
        <is>
          <t>Araven</t>
        </is>
      </c>
      <c r="P169" s="24" t="inlineStr">
        <is>
          <t>incl.</t>
        </is>
      </c>
      <c r="Q169" s="100" t="n">
        <v>0.21</v>
      </c>
      <c r="R169" s="24" t="n">
        <v>1</v>
      </c>
      <c r="S169" s="24" t="inlineStr">
        <is>
          <t>per piece</t>
        </is>
      </c>
      <c r="T169" s="24" t="inlineStr">
        <is>
          <t>APPROX</t>
        </is>
      </c>
      <c r="U169" s="24" t="inlineStr">
        <is>
          <t>Existing benchmark assignment and match quality retained.</t>
        </is>
      </c>
      <c r="V169" s="98" t="n"/>
      <c r="W169" s="98" t="n"/>
      <c r="X169" s="24" t="inlineStr">
        <is>
          <t>YES Gastro Czech Market Research.xlsx</t>
        </is>
      </c>
      <c r="Y169" s="24" t="n"/>
      <c r="Z169" s="24" t="n"/>
      <c r="AA169" s="24" t="n"/>
      <c r="AB169" s="24" t="inlineStr">
        <is>
          <t>CZK</t>
        </is>
      </c>
      <c r="AC169" s="24" t="inlineStr">
        <is>
          <t>yes</t>
        </is>
      </c>
      <c r="AD169" s="24">
        <f>IF(OR(F169="",Q169="",R169=""),"",ROUND(IF(P169="incl.",F169/(1+Q169),F169)/IF(S169="per pack",R169,1),2))</f>
        <v/>
      </c>
      <c r="AE169" s="24">
        <f>IF(AND(AC169="yes",ISNUMBER(F169),IF('Compare'!$H$5="All mapped",TRUE,IF('Compare'!$H$5="EXACT only",J169="EXACT",OR(J169="EXACT",J169="CLOSE")))),"yes","no")</f>
        <v/>
      </c>
      <c r="AF169" s="24">
        <f>IF(ISNUMBER(H169),COUNTIFS($B$7:$B$608,B169,$C$7:$C$608,C169,$H$7:$H$608,"&lt;"&amp;H169,$AH$7:$AH$608,"yes")+COUNTIFS($B$7:B169,B169,$C$7:C169,C169,$H$7:H169,H169,$AH$7:AH169,"yes"),"")</f>
        <v/>
      </c>
      <c r="AG169" s="24">
        <f>IF(ISNUMBER(I169),COUNTIFS($B$7:$B$608,B169,$C$7:$C$608,C169,$I$7:$I$608,"&lt;"&amp;I169,$AI$7:$AI$608,"yes")+COUNTIFS($B$7:B169,B169,$C$7:C169,C169,$I$7:I169,I169,$AI$7:AI169,"yes"),"")</f>
        <v/>
      </c>
      <c r="AH169" s="24">
        <f>IF(ISNUMBER(H169),"yes","no")</f>
        <v/>
      </c>
      <c r="AI169" s="24">
        <f>IF(ISNUMBER(I169),"yes","no")</f>
        <v/>
      </c>
      <c r="AJ169" s="101" t="n">
        <v>46295</v>
      </c>
      <c r="AK169" s="24" t="n"/>
    </row>
    <row r="170" ht="42" customHeight="1">
      <c r="A170" s="2" t="n"/>
      <c r="B170" s="27" t="inlineStr">
        <is>
          <t>Squeeze bottle 500 ml, triple tip</t>
        </is>
      </c>
      <c r="C170" s="27" t="inlineStr">
        <is>
          <t>Slovakia</t>
        </is>
      </c>
      <c r="D170" s="27" t="inlineStr">
        <is>
          <t>Gastromania.sk (GASTROMANIA CZ s.r.o., CZ)</t>
        </is>
      </c>
      <c r="E170" s="27" t="inlineStr">
        <is>
          <t>Not found</t>
        </is>
      </c>
      <c r="F170" s="102" t="n"/>
      <c r="G170" s="27" t="n"/>
      <c r="H170" s="102">
        <f>IF(AND(AE170="yes",ISNUMBER(AD170)),AD170,"")</f>
        <v/>
      </c>
      <c r="I170" s="103">
        <f>IF(AND(AE170="yes",ISNUMBER(AD170),ISNUMBER(INDEX('Sources'!$G$7:$G$10,MATCH(AB170,'Sources'!$B$7:$B$10,0)))),AD170/INDEX('Sources'!$G$7:$G$10,MATCH(AB170,'Sources'!$B$7:$B$10,0)),"")</f>
        <v/>
      </c>
      <c r="J170" s="27" t="n"/>
      <c r="K170" s="27" t="inlineStr">
        <is>
          <t>2026-09-30</t>
        </is>
      </c>
      <c r="L170" s="71" t="n"/>
      <c r="M170" s="27" t="inlineStr">
        <is>
          <t>No triple-tip squeeze bottle found (searches 'dávkovač omáčok 3 trysky', '3 otvory' returned no products).</t>
        </is>
      </c>
      <c r="N170" s="28" t="inlineStr">
        <is>
          <t>https://gastromania.sk/products/search/language:slo?q=d%C3%A1vkova%C4%8D+om%C3%A1%C4%8Dok+3+otvory</t>
        </is>
      </c>
      <c r="O170" s="27" t="n"/>
      <c r="P170" s="27" t="n"/>
      <c r="Q170" s="104" t="n"/>
      <c r="R170" s="27" t="n"/>
      <c r="S170" s="27" t="n"/>
      <c r="T170" s="27" t="n"/>
      <c r="U170" s="27" t="inlineStr">
        <is>
          <t>Existing benchmark assignment and match quality retained.</t>
        </is>
      </c>
      <c r="V170" s="102" t="n"/>
      <c r="W170" s="102" t="n"/>
      <c r="X170" s="27" t="inlineStr">
        <is>
          <t>YES Gastro Slovakia Market Research.xlsx</t>
        </is>
      </c>
      <c r="Y170" s="27" t="n"/>
      <c r="Z170" s="27" t="n"/>
      <c r="AA170" s="27" t="n"/>
      <c r="AB170" s="27" t="inlineStr">
        <is>
          <t>EUR</t>
        </is>
      </c>
      <c r="AC170" s="27" t="inlineStr">
        <is>
          <t>yes</t>
        </is>
      </c>
      <c r="AD170" s="27">
        <f>IF(ISNUMBER(V170),V170,"")</f>
        <v/>
      </c>
      <c r="AE170" s="27">
        <f>IF(AND(AC170="yes",ISNUMBER(F170),IF('Compare'!$H$5="All mapped",TRUE,IF('Compare'!$H$5="EXACT only",J170="EXACT",OR(J170="EXACT",J170="CLOSE")))),"yes","no")</f>
        <v/>
      </c>
      <c r="AF170" s="27">
        <f>IF(ISNUMBER(H170),COUNTIFS($B$7:$B$608,B170,$C$7:$C$608,C170,$H$7:$H$608,"&lt;"&amp;H170,$AH$7:$AH$608,"yes")+COUNTIFS($B$7:B170,B170,$C$7:C170,C170,$H$7:H170,H170,$AH$7:AH170,"yes"),"")</f>
        <v/>
      </c>
      <c r="AG170" s="27">
        <f>IF(ISNUMBER(I170),COUNTIFS($B$7:$B$608,B170,$C$7:$C$608,C170,$I$7:$I$608,"&lt;"&amp;I170,$AI$7:$AI$608,"yes")+COUNTIFS($B$7:B170,B170,$C$7:C170,C170,$I$7:I170,I170,$AI$7:AI170,"yes"),"")</f>
        <v/>
      </c>
      <c r="AH170" s="27">
        <f>IF(ISNUMBER(H170),"yes","no")</f>
        <v/>
      </c>
      <c r="AI170" s="27">
        <f>IF(ISNUMBER(I170),"yes","no")</f>
        <v/>
      </c>
      <c r="AJ170" s="105" t="n">
        <v>46295</v>
      </c>
      <c r="AK170" s="27" t="n"/>
    </row>
    <row r="171" ht="42" customHeight="1">
      <c r="A171" s="2" t="n"/>
      <c r="B171" s="24" t="inlineStr">
        <is>
          <t>Squeeze bottle 500 ml, triple tip</t>
        </is>
      </c>
      <c r="C171" s="24" t="inlineStr">
        <is>
          <t>Slovakia</t>
        </is>
      </c>
      <c r="D171" s="24" t="inlineStr">
        <is>
          <t>Gastrozone.sk (GASTROZONE, spol. s r.o., CZ)</t>
        </is>
      </c>
      <c r="E171" s="24" t="inlineStr">
        <is>
          <t>ARAVEN Stláčacia fľaša, LDPE, ø 80 mm, výška 253 mm, objem 0,75 L, 3 trysky</t>
        </is>
      </c>
      <c r="F171" s="98" t="n">
        <v>6.54</v>
      </c>
      <c r="G171" s="24" t="inlineStr">
        <is>
          <t>EUR</t>
        </is>
      </c>
      <c r="H171" s="98">
        <f>IF(AND(AE171="yes",ISNUMBER(AD171)),AD171,"")</f>
        <v/>
      </c>
      <c r="I171" s="99">
        <f>IF(AND(AE171="yes",ISNUMBER(AD171),ISNUMBER(INDEX('Sources'!$G$7:$G$10,MATCH(AB171,'Sources'!$B$7:$B$10,0)))),AD171/INDEX('Sources'!$G$7:$G$10,MATCH(AB171,'Sources'!$B$7:$B$10,0)),"")</f>
        <v/>
      </c>
      <c r="J171" s="24" t="inlineStr">
        <is>
          <t>APPROX</t>
        </is>
      </c>
      <c r="K171" s="24" t="inlineStr">
        <is>
          <t>2026-09-30</t>
        </is>
      </c>
      <c r="L171" s="71" t="n"/>
      <c r="M171" s="24" t="inlineStr">
        <is>
          <t>Triple tip, but 750 ml instead of 500 ml; LDPE. No 500 ml triple-tip bottle found. Page shows 6,54 / 5,32 bez DPH.</t>
        </is>
      </c>
      <c r="N171" s="25" t="inlineStr">
        <is>
          <t>https://www.gastrozone.sk/araven-lahvicka-na-stlaceni-ldpe-o-80-mm-vyska-253-mm-objem-0-75-l-3-trysky.html</t>
        </is>
      </c>
      <c r="O171" s="24" t="inlineStr">
        <is>
          <t>Araven</t>
        </is>
      </c>
      <c r="P171" s="24" t="inlineStr">
        <is>
          <t>incl.</t>
        </is>
      </c>
      <c r="Q171" s="100" t="n">
        <v>0.23</v>
      </c>
      <c r="R171" s="24" t="n">
        <v>1</v>
      </c>
      <c r="S171" s="24" t="inlineStr">
        <is>
          <t>per piece</t>
        </is>
      </c>
      <c r="T171" s="24" t="inlineStr">
        <is>
          <t>APPROX</t>
        </is>
      </c>
      <c r="U171" s="24" t="inlineStr">
        <is>
          <t>Existing benchmark assignment and match quality retained.</t>
        </is>
      </c>
      <c r="V171" s="98" t="n">
        <v>5.31707317073171</v>
      </c>
      <c r="W171" s="98" t="n"/>
      <c r="X171" s="24" t="inlineStr">
        <is>
          <t>YES Gastro Slovakia Market Research.xlsx</t>
        </is>
      </c>
      <c r="Y171" s="24" t="n"/>
      <c r="Z171" s="24" t="n"/>
      <c r="AA171" s="24" t="n"/>
      <c r="AB171" s="24" t="inlineStr">
        <is>
          <t>EUR</t>
        </is>
      </c>
      <c r="AC171" s="24" t="inlineStr">
        <is>
          <t>yes</t>
        </is>
      </c>
      <c r="AD171" s="24">
        <f>IF(ISNUMBER(V171),V171,"")</f>
        <v/>
      </c>
      <c r="AE171" s="24">
        <f>IF(AND(AC171="yes",ISNUMBER(F171),IF('Compare'!$H$5="All mapped",TRUE,IF('Compare'!$H$5="EXACT only",J171="EXACT",OR(J171="EXACT",J171="CLOSE")))),"yes","no")</f>
        <v/>
      </c>
      <c r="AF171" s="24">
        <f>IF(ISNUMBER(H171),COUNTIFS($B$7:$B$608,B171,$C$7:$C$608,C171,$H$7:$H$608,"&lt;"&amp;H171,$AH$7:$AH$608,"yes")+COUNTIFS($B$7:B171,B171,$C$7:C171,C171,$H$7:H171,H171,$AH$7:AH171,"yes"),"")</f>
        <v/>
      </c>
      <c r="AG171" s="24">
        <f>IF(ISNUMBER(I171),COUNTIFS($B$7:$B$608,B171,$C$7:$C$608,C171,$I$7:$I$608,"&lt;"&amp;I171,$AI$7:$AI$608,"yes")+COUNTIFS($B$7:B171,B171,$C$7:C171,C171,$I$7:I171,I171,$AI$7:AI171,"yes"),"")</f>
        <v/>
      </c>
      <c r="AH171" s="24">
        <f>IF(ISNUMBER(H171),"yes","no")</f>
        <v/>
      </c>
      <c r="AI171" s="24">
        <f>IF(ISNUMBER(I171),"yes","no")</f>
        <v/>
      </c>
      <c r="AJ171" s="101" t="n">
        <v>46295</v>
      </c>
      <c r="AK171" s="24" t="n"/>
    </row>
    <row r="172" ht="42" customHeight="1">
      <c r="A172" s="2" t="n"/>
      <c r="B172" s="27" t="inlineStr">
        <is>
          <t>Sauce pump dispenser with stand</t>
        </is>
      </c>
      <c r="C172" s="27" t="inlineStr">
        <is>
          <t>Romania</t>
        </is>
      </c>
      <c r="D172" s="27" t="inlineStr">
        <is>
          <t>Hendi</t>
        </is>
      </c>
      <c r="E172" s="27" t="inlineStr">
        <is>
          <t>Dispenser with Stand 2.5 L</t>
        </is>
      </c>
      <c r="F172" s="102" t="n">
        <v>105.9</v>
      </c>
      <c r="G172" s="27" t="inlineStr">
        <is>
          <t>RON</t>
        </is>
      </c>
      <c r="H172" s="102">
        <f>IF(AND(AE172="yes",ISNUMBER(AD172)),AD172,"")</f>
        <v/>
      </c>
      <c r="I172" s="103">
        <f>IF(AND(AE172="yes",ISNUMBER(AD172),ISNUMBER(INDEX('Sources'!$G$7:$G$10,MATCH(AB172,'Sources'!$B$7:$B$10,0)))),AD172/INDEX('Sources'!$G$7:$G$10,MATCH(AB172,'Sources'!$B$7:$B$10,0)),"")</f>
        <v/>
      </c>
      <c r="J172" s="27" t="inlineStr">
        <is>
          <t>INCOMPLETE</t>
        </is>
      </c>
      <c r="K172" s="27" t="inlineStr">
        <is>
          <t>4.07.2026</t>
        </is>
      </c>
      <c r="L172" s="71" t="n"/>
      <c r="M172" s="27" t="n"/>
      <c r="N172" s="28" t="inlineStr">
        <is>
          <t>https://www.hendi.ro/cofetarie-patiserie-si-cafenea/preparare-decorare</t>
        </is>
      </c>
      <c r="O172" s="27" t="n"/>
      <c r="P172" s="27" t="n"/>
      <c r="Q172" s="104" t="n"/>
      <c r="R172" s="27" t="n"/>
      <c r="S172" s="27" t="n"/>
      <c r="T172" s="27" t="n"/>
      <c r="U172" s="27" t="inlineStr">
        <is>
          <t>Sauce-dispenser type and stand agree. Pump mechanism is not explicit in the source row.</t>
        </is>
      </c>
      <c r="V172" s="102" t="n"/>
      <c r="W172" s="102" t="n">
        <v>21.18</v>
      </c>
      <c r="X172" s="27" t="inlineStr">
        <is>
          <t>YES Gastro Romania Market Research.xlsx</t>
        </is>
      </c>
      <c r="Y172" s="27" t="inlineStr">
        <is>
          <t>Gabi</t>
        </is>
      </c>
      <c r="Z172" s="27" t="n"/>
      <c r="AA172" s="27" t="n"/>
      <c r="AB172" s="27" t="inlineStr">
        <is>
          <t>RON</t>
        </is>
      </c>
      <c r="AC172" s="27" t="inlineStr">
        <is>
          <t>yes</t>
        </is>
      </c>
      <c r="AD172" s="27">
        <f>IF(ISNUMBER(F172),IF(G172=AB172,F172,IF(AND(ISNUMBER(INDEX('Sources'!$G$7:$G$10,MATCH(G172,'Sources'!$B$7:$B$10,0))),ISNUMBER(INDEX('Sources'!$G$7:$G$10,MATCH(AB172,'Sources'!$B$7:$B$10,0)))),F172/INDEX('Sources'!$G$7:$G$10,MATCH(G172,'Sources'!$B$7:$B$10,0))*INDEX('Sources'!$G$7:$G$10,MATCH(AB172,'Sources'!$B$7:$B$10,0)),"")),"")</f>
        <v/>
      </c>
      <c r="AE172" s="27">
        <f>IF(AND(AC172="yes",ISNUMBER(F172),IF('Compare'!$H$5="All mapped",TRUE,IF('Compare'!$H$5="EXACT only",J172="EXACT",OR(J172="EXACT",J172="CLOSE")))),"yes","no")</f>
        <v/>
      </c>
      <c r="AF172" s="27">
        <f>IF(ISNUMBER(H172),COUNTIFS($B$7:$B$608,B172,$C$7:$C$608,C172,$H$7:$H$608,"&lt;"&amp;H172,$AH$7:$AH$608,"yes")+COUNTIFS($B$7:B172,B172,$C$7:C172,C172,$H$7:H172,H172,$AH$7:AH172,"yes"),"")</f>
        <v/>
      </c>
      <c r="AG172" s="27">
        <f>IF(ISNUMBER(I172),COUNTIFS($B$7:$B$608,B172,$C$7:$C$608,C172,$I$7:$I$608,"&lt;"&amp;I172,$AI$7:$AI$608,"yes")+COUNTIFS($B$7:B172,B172,$C$7:C172,C172,$I$7:I172,I172,$AI$7:AI172,"yes"),"")</f>
        <v/>
      </c>
      <c r="AH172" s="27">
        <f>IF(ISNUMBER(H172),"yes","no")</f>
        <v/>
      </c>
      <c r="AI172" s="27">
        <f>IF(ISNUMBER(I172),"yes","no")</f>
        <v/>
      </c>
      <c r="AJ172" s="105" t="n">
        <v>46207</v>
      </c>
      <c r="AK172" s="27" t="n"/>
    </row>
    <row r="173" ht="42" customHeight="1">
      <c r="A173" s="2" t="n"/>
      <c r="B173" s="24" t="inlineStr">
        <is>
          <t>Sauce pump dispenser with stand</t>
        </is>
      </c>
      <c r="C173" s="24" t="inlineStr">
        <is>
          <t>Romania</t>
        </is>
      </c>
      <c r="D173" s="24" t="inlineStr">
        <is>
          <t>gastroprofesional</t>
        </is>
      </c>
      <c r="E173" s="24" t="inlineStr">
        <is>
          <t>Dispenser with Stand 350mm</t>
        </is>
      </c>
      <c r="F173" s="98" t="n">
        <v>222.32</v>
      </c>
      <c r="G173" s="24" t="inlineStr">
        <is>
          <t>RON</t>
        </is>
      </c>
      <c r="H173" s="98">
        <f>IF(AND(AE173="yes",ISNUMBER(AD173)),AD173,"")</f>
        <v/>
      </c>
      <c r="I173" s="99">
        <f>IF(AND(AE173="yes",ISNUMBER(AD173),ISNUMBER(INDEX('Sources'!$G$7:$G$10,MATCH(AB173,'Sources'!$B$7:$B$10,0)))),AD173/INDEX('Sources'!$G$7:$G$10,MATCH(AB173,'Sources'!$B$7:$B$10,0)),"")</f>
        <v/>
      </c>
      <c r="J173" s="24" t="inlineStr">
        <is>
          <t>INCOMPLETE</t>
        </is>
      </c>
      <c r="K173" s="24" t="inlineStr">
        <is>
          <t>4.07.2026</t>
        </is>
      </c>
      <c r="L173" s="71" t="n"/>
      <c r="M173" s="24" t="inlineStr">
        <is>
          <t>PP</t>
        </is>
      </c>
      <c r="N173" s="25" t="inlineStr">
        <is>
          <t>https://gastroprofesional.ro/accesorii-horeca/servire/dispensere-sosuri?resultsPerPage=60&amp;q=Pret-lei-6.00-1024.90</t>
        </is>
      </c>
      <c r="O173" s="24" t="n"/>
      <c r="P173" s="24" t="n"/>
      <c r="Q173" s="100" t="n"/>
      <c r="R173" s="24" t="n"/>
      <c r="S173" s="24" t="n"/>
      <c r="T173" s="24" t="n"/>
      <c r="U173" s="24" t="inlineStr">
        <is>
          <t>Sauce-dispenser type and stand agree. Pump mechanism is not explicit in the source row.</t>
        </is>
      </c>
      <c r="V173" s="98" t="n"/>
      <c r="W173" s="98" t="n">
        <v>44.464</v>
      </c>
      <c r="X173" s="24" t="inlineStr">
        <is>
          <t>YES Gastro Romania Market Research.xlsx</t>
        </is>
      </c>
      <c r="Y173" s="24" t="inlineStr">
        <is>
          <t>Gabi</t>
        </is>
      </c>
      <c r="Z173" s="24" t="n"/>
      <c r="AA173" s="24" t="n"/>
      <c r="AB173" s="24" t="inlineStr">
        <is>
          <t>RON</t>
        </is>
      </c>
      <c r="AC173" s="24" t="inlineStr">
        <is>
          <t>yes</t>
        </is>
      </c>
      <c r="AD173" s="24">
        <f>IF(ISNUMBER(F173),IF(G173=AB173,F173,IF(AND(ISNUMBER(INDEX('Sources'!$G$7:$G$10,MATCH(G173,'Sources'!$B$7:$B$10,0))),ISNUMBER(INDEX('Sources'!$G$7:$G$10,MATCH(AB173,'Sources'!$B$7:$B$10,0)))),F173/INDEX('Sources'!$G$7:$G$10,MATCH(G173,'Sources'!$B$7:$B$10,0))*INDEX('Sources'!$G$7:$G$10,MATCH(AB173,'Sources'!$B$7:$B$10,0)),"")),"")</f>
        <v/>
      </c>
      <c r="AE173" s="24">
        <f>IF(AND(AC173="yes",ISNUMBER(F173),IF('Compare'!$H$5="All mapped",TRUE,IF('Compare'!$H$5="EXACT only",J173="EXACT",OR(J173="EXACT",J173="CLOSE")))),"yes","no")</f>
        <v/>
      </c>
      <c r="AF173" s="24">
        <f>IF(ISNUMBER(H173),COUNTIFS($B$7:$B$608,B173,$C$7:$C$608,C173,$H$7:$H$608,"&lt;"&amp;H173,$AH$7:$AH$608,"yes")+COUNTIFS($B$7:B173,B173,$C$7:C173,C173,$H$7:H173,H173,$AH$7:AH173,"yes"),"")</f>
        <v/>
      </c>
      <c r="AG173" s="24">
        <f>IF(ISNUMBER(I173),COUNTIFS($B$7:$B$608,B173,$C$7:$C$608,C173,$I$7:$I$608,"&lt;"&amp;I173,$AI$7:$AI$608,"yes")+COUNTIFS($B$7:B173,B173,$C$7:C173,C173,$I$7:I173,I173,$AI$7:AI173,"yes"),"")</f>
        <v/>
      </c>
      <c r="AH173" s="24">
        <f>IF(ISNUMBER(H173),"yes","no")</f>
        <v/>
      </c>
      <c r="AI173" s="24">
        <f>IF(ISNUMBER(I173),"yes","no")</f>
        <v/>
      </c>
      <c r="AJ173" s="101" t="n">
        <v>46207</v>
      </c>
      <c r="AK173" s="24" t="n"/>
    </row>
    <row r="174" ht="42" customHeight="1">
      <c r="A174" s="2" t="n"/>
      <c r="B174" s="27" t="inlineStr">
        <is>
          <t>Sauce pump dispenser with stand</t>
        </is>
      </c>
      <c r="C174" s="27" t="inlineStr">
        <is>
          <t>Romania</t>
        </is>
      </c>
      <c r="D174" s="27" t="inlineStr">
        <is>
          <t>mmgastro</t>
        </is>
      </c>
      <c r="E174" s="27" t="inlineStr">
        <is>
          <t>Dispenser with Stand 2.5 L</t>
        </is>
      </c>
      <c r="F174" s="102" t="n">
        <v>96.98</v>
      </c>
      <c r="G174" s="27" t="inlineStr">
        <is>
          <t>RON</t>
        </is>
      </c>
      <c r="H174" s="102">
        <f>IF(AND(AE174="yes",ISNUMBER(AD174)),AD174,"")</f>
        <v/>
      </c>
      <c r="I174" s="103">
        <f>IF(AND(AE174="yes",ISNUMBER(AD174),ISNUMBER(INDEX('Sources'!$G$7:$G$10,MATCH(AB174,'Sources'!$B$7:$B$10,0)))),AD174/INDEX('Sources'!$G$7:$G$10,MATCH(AB174,'Sources'!$B$7:$B$10,0)),"")</f>
        <v/>
      </c>
      <c r="J174" s="27" t="inlineStr">
        <is>
          <t>INCOMPLETE</t>
        </is>
      </c>
      <c r="K174" s="27" t="inlineStr">
        <is>
          <t>4.07.2026</t>
        </is>
      </c>
      <c r="L174" s="71" t="n"/>
      <c r="M174" s="27" t="n"/>
      <c r="N174" s="28" t="inlineStr">
        <is>
          <t>https://mmgastro.ro/ro/menu/categorii/vase-gastronomice/dozatoare-si-recipiente-pentru-sosuri-reci-11719</t>
        </is>
      </c>
      <c r="O174" s="27" t="inlineStr">
        <is>
          <t>Hendi</t>
        </is>
      </c>
      <c r="P174" s="27" t="n"/>
      <c r="Q174" s="104" t="n"/>
      <c r="R174" s="27" t="n"/>
      <c r="S174" s="27" t="n"/>
      <c r="T174" s="27" t="n"/>
      <c r="U174" s="27" t="inlineStr">
        <is>
          <t>Sauce-dispenser type and stand agree. Pump mechanism is not explicit in the source row.</t>
        </is>
      </c>
      <c r="V174" s="102" t="n"/>
      <c r="W174" s="102" t="n">
        <v>19.396</v>
      </c>
      <c r="X174" s="27" t="inlineStr">
        <is>
          <t>YES Gastro Romania Market Research.xlsx</t>
        </is>
      </c>
      <c r="Y174" s="27" t="inlineStr">
        <is>
          <t>Gabi</t>
        </is>
      </c>
      <c r="Z174" s="27" t="n"/>
      <c r="AA174" s="27" t="n"/>
      <c r="AB174" s="27" t="inlineStr">
        <is>
          <t>RON</t>
        </is>
      </c>
      <c r="AC174" s="27" t="inlineStr">
        <is>
          <t>yes</t>
        </is>
      </c>
      <c r="AD174" s="27">
        <f>IF(ISNUMBER(F174),IF(G174=AB174,F174,IF(AND(ISNUMBER(INDEX('Sources'!$G$7:$G$10,MATCH(G174,'Sources'!$B$7:$B$10,0))),ISNUMBER(INDEX('Sources'!$G$7:$G$10,MATCH(AB174,'Sources'!$B$7:$B$10,0)))),F174/INDEX('Sources'!$G$7:$G$10,MATCH(G174,'Sources'!$B$7:$B$10,0))*INDEX('Sources'!$G$7:$G$10,MATCH(AB174,'Sources'!$B$7:$B$10,0)),"")),"")</f>
        <v/>
      </c>
      <c r="AE174" s="27">
        <f>IF(AND(AC174="yes",ISNUMBER(F174),IF('Compare'!$H$5="All mapped",TRUE,IF('Compare'!$H$5="EXACT only",J174="EXACT",OR(J174="EXACT",J174="CLOSE")))),"yes","no")</f>
        <v/>
      </c>
      <c r="AF174" s="27">
        <f>IF(ISNUMBER(H174),COUNTIFS($B$7:$B$608,B174,$C$7:$C$608,C174,$H$7:$H$608,"&lt;"&amp;H174,$AH$7:$AH$608,"yes")+COUNTIFS($B$7:B174,B174,$C$7:C174,C174,$H$7:H174,H174,$AH$7:AH174,"yes"),"")</f>
        <v/>
      </c>
      <c r="AG174" s="27">
        <f>IF(ISNUMBER(I174),COUNTIFS($B$7:$B$608,B174,$C$7:$C$608,C174,$I$7:$I$608,"&lt;"&amp;I174,$AI$7:$AI$608,"yes")+COUNTIFS($B$7:B174,B174,$C$7:C174,C174,$I$7:I174,I174,$AI$7:AI174,"yes"),"")</f>
        <v/>
      </c>
      <c r="AH174" s="27">
        <f>IF(ISNUMBER(H174),"yes","no")</f>
        <v/>
      </c>
      <c r="AI174" s="27">
        <f>IF(ISNUMBER(I174),"yes","no")</f>
        <v/>
      </c>
      <c r="AJ174" s="105" t="n">
        <v>46207</v>
      </c>
      <c r="AK174" s="27" t="n"/>
    </row>
    <row r="175" ht="42" customHeight="1">
      <c r="A175" s="2" t="n"/>
      <c r="B175" s="24" t="inlineStr">
        <is>
          <t>Sauce pump dispenser with stand</t>
        </is>
      </c>
      <c r="C175" s="24" t="inlineStr">
        <is>
          <t>Romania</t>
        </is>
      </c>
      <c r="D175" s="24" t="inlineStr">
        <is>
          <t>pentrubar.ro</t>
        </is>
      </c>
      <c r="E175" s="24" t="inlineStr">
        <is>
          <t>Dispenser with Stand 2.5 L</t>
        </is>
      </c>
      <c r="F175" s="98" t="n">
        <v>106.27</v>
      </c>
      <c r="G175" s="24" t="inlineStr">
        <is>
          <t>RON</t>
        </is>
      </c>
      <c r="H175" s="98">
        <f>IF(AND(AE175="yes",ISNUMBER(AD175)),AD175,"")</f>
        <v/>
      </c>
      <c r="I175" s="99">
        <f>IF(AND(AE175="yes",ISNUMBER(AD175),ISNUMBER(INDEX('Sources'!$G$7:$G$10,MATCH(AB175,'Sources'!$B$7:$B$10,0)))),AD175/INDEX('Sources'!$G$7:$G$10,MATCH(AB175,'Sources'!$B$7:$B$10,0)),"")</f>
        <v/>
      </c>
      <c r="J175" s="24" t="inlineStr">
        <is>
          <t>INCOMPLETE</t>
        </is>
      </c>
      <c r="K175" s="24" t="inlineStr">
        <is>
          <t>4.07.2026</t>
        </is>
      </c>
      <c r="L175" s="71" t="n"/>
      <c r="M175" s="24" t="n"/>
      <c r="N175" s="25" t="inlineStr">
        <is>
          <t>https://pentrubar.ro/ro/150-fast-food</t>
        </is>
      </c>
      <c r="O175" s="24" t="n"/>
      <c r="P175" s="24" t="n"/>
      <c r="Q175" s="100" t="n"/>
      <c r="R175" s="24" t="n"/>
      <c r="S175" s="24" t="n"/>
      <c r="T175" s="24" t="n"/>
      <c r="U175" s="24" t="inlineStr">
        <is>
          <t>Sauce-dispenser type and stand agree. Pump mechanism is not explicit in the source row.</t>
        </is>
      </c>
      <c r="V175" s="98" t="n"/>
      <c r="W175" s="98" t="n">
        <v>21.254</v>
      </c>
      <c r="X175" s="24" t="inlineStr">
        <is>
          <t>YES Gastro Romania Market Research.xlsx</t>
        </is>
      </c>
      <c r="Y175" s="24" t="inlineStr">
        <is>
          <t>Gabi</t>
        </is>
      </c>
      <c r="Z175" s="24" t="n"/>
      <c r="AA175" s="24" t="n"/>
      <c r="AB175" s="24" t="inlineStr">
        <is>
          <t>RON</t>
        </is>
      </c>
      <c r="AC175" s="24" t="inlineStr">
        <is>
          <t>yes</t>
        </is>
      </c>
      <c r="AD175" s="24">
        <f>IF(ISNUMBER(F175),IF(G175=AB175,F175,IF(AND(ISNUMBER(INDEX('Sources'!$G$7:$G$10,MATCH(G175,'Sources'!$B$7:$B$10,0))),ISNUMBER(INDEX('Sources'!$G$7:$G$10,MATCH(AB175,'Sources'!$B$7:$B$10,0)))),F175/INDEX('Sources'!$G$7:$G$10,MATCH(G175,'Sources'!$B$7:$B$10,0))*INDEX('Sources'!$G$7:$G$10,MATCH(AB175,'Sources'!$B$7:$B$10,0)),"")),"")</f>
        <v/>
      </c>
      <c r="AE175" s="24">
        <f>IF(AND(AC175="yes",ISNUMBER(F175),IF('Compare'!$H$5="All mapped",TRUE,IF('Compare'!$H$5="EXACT only",J175="EXACT",OR(J175="EXACT",J175="CLOSE")))),"yes","no")</f>
        <v/>
      </c>
      <c r="AF175" s="24">
        <f>IF(ISNUMBER(H175),COUNTIFS($B$7:$B$608,B175,$C$7:$C$608,C175,$H$7:$H$608,"&lt;"&amp;H175,$AH$7:$AH$608,"yes")+COUNTIFS($B$7:B175,B175,$C$7:C175,C175,$H$7:H175,H175,$AH$7:AH175,"yes"),"")</f>
        <v/>
      </c>
      <c r="AG175" s="24">
        <f>IF(ISNUMBER(I175),COUNTIFS($B$7:$B$608,B175,$C$7:$C$608,C175,$I$7:$I$608,"&lt;"&amp;I175,$AI$7:$AI$608,"yes")+COUNTIFS($B$7:B175,B175,$C$7:C175,C175,$I$7:I175,I175,$AI$7:AI175,"yes"),"")</f>
        <v/>
      </c>
      <c r="AH175" s="24">
        <f>IF(ISNUMBER(H175),"yes","no")</f>
        <v/>
      </c>
      <c r="AI175" s="24">
        <f>IF(ISNUMBER(I175),"yes","no")</f>
        <v/>
      </c>
      <c r="AJ175" s="101" t="n">
        <v>46207</v>
      </c>
      <c r="AK175" s="24" t="n"/>
    </row>
    <row r="176" ht="42" customHeight="1">
      <c r="A176" s="2" t="n"/>
      <c r="B176" s="27" t="inlineStr">
        <is>
          <t>Sauce pump dispenser with stand</t>
        </is>
      </c>
      <c r="C176" s="27" t="inlineStr">
        <is>
          <t>Austria</t>
        </is>
      </c>
      <c r="D176" s="27" t="inlineStr">
        <is>
          <t>ALLPAX Österreich</t>
        </is>
      </c>
      <c r="E176" s="27" t="inlineStr">
        <is>
          <t>Saucenspender (für Senf, Ketchup, Mayonnaise), 2 l</t>
        </is>
      </c>
      <c r="F176" s="102" t="n">
        <v>36.1</v>
      </c>
      <c r="G176" s="27" t="inlineStr">
        <is>
          <t>EUR</t>
        </is>
      </c>
      <c r="H176" s="102">
        <f>IF(AND(AE176="yes",ISNUMBER(AD176)),AD176,"")</f>
        <v/>
      </c>
      <c r="I176" s="103">
        <f>IF(AND(AE176="yes",ISNUMBER(AD176),ISNUMBER(INDEX('Sources'!$G$7:$G$10,MATCH(AB176,'Sources'!$B$7:$B$10,0)))),AD176/INDEX('Sources'!$G$7:$G$10,MATCH(AB176,'Sources'!$B$7:$B$10,0)),"")</f>
        <v/>
      </c>
      <c r="J176" s="27" t="inlineStr">
        <is>
          <t>CLOSE</t>
        </is>
      </c>
      <c r="K176" s="27" t="inlineStr">
        <is>
          <t>2026-09-30</t>
        </is>
      </c>
      <c r="L176" s="71" t="n"/>
      <c r="M176" s="27" t="inlineStr">
        <is>
          <t>Sauce pump dispenser 2 l (17x14x15.5 cm); price shown for default 2 l size; stand not mentioned</t>
        </is>
      </c>
      <c r="N176" s="28" t="inlineStr">
        <is>
          <t>https://www.allpax.at/product_info.php/info/p12858_Saucenspender.html</t>
        </is>
      </c>
      <c r="O176" s="27" t="n"/>
      <c r="P176" s="27" t="inlineStr">
        <is>
          <t>excl.</t>
        </is>
      </c>
      <c r="Q176" s="104" t="n"/>
      <c r="R176" s="27" t="n">
        <v>1</v>
      </c>
      <c r="S176" s="27" t="n"/>
      <c r="T176" s="27" t="inlineStr">
        <is>
          <t>CLOSE</t>
        </is>
      </c>
      <c r="U176" s="27" t="inlineStr">
        <is>
          <t>Existing benchmark assignment and match quality retained.</t>
        </is>
      </c>
      <c r="V176" s="102" t="n">
        <v>36.1</v>
      </c>
      <c r="W176" s="102" t="n"/>
      <c r="X176" s="27" t="inlineStr">
        <is>
          <t>YES Gastro Austria Market Research.xlsx</t>
        </is>
      </c>
      <c r="Y176" s="27" t="n"/>
      <c r="Z176" s="27" t="n"/>
      <c r="AA176" s="27" t="n"/>
      <c r="AB176" s="27" t="inlineStr">
        <is>
          <t>EUR</t>
        </is>
      </c>
      <c r="AC176" s="27" t="inlineStr">
        <is>
          <t>yes</t>
        </is>
      </c>
      <c r="AD176" s="27">
        <f>IF(ISNUMBER(V176),V176,"")</f>
        <v/>
      </c>
      <c r="AE176" s="27">
        <f>IF(AND(AC176="yes",ISNUMBER(F176),IF('Compare'!$H$5="All mapped",TRUE,IF('Compare'!$H$5="EXACT only",J176="EXACT",OR(J176="EXACT",J176="CLOSE")))),"yes","no")</f>
        <v/>
      </c>
      <c r="AF176" s="27">
        <f>IF(ISNUMBER(H176),COUNTIFS($B$7:$B$608,B176,$C$7:$C$608,C176,$H$7:$H$608,"&lt;"&amp;H176,$AH$7:$AH$608,"yes")+COUNTIFS($B$7:B176,B176,$C$7:C176,C176,$H$7:H176,H176,$AH$7:AH176,"yes"),"")</f>
        <v/>
      </c>
      <c r="AG176" s="27">
        <f>IF(ISNUMBER(I176),COUNTIFS($B$7:$B$608,B176,$C$7:$C$608,C176,$I$7:$I$608,"&lt;"&amp;I176,$AI$7:$AI$608,"yes")+COUNTIFS($B$7:B176,B176,$C$7:C176,C176,$I$7:I176,I176,$AI$7:AI176,"yes"),"")</f>
        <v/>
      </c>
      <c r="AH176" s="27">
        <f>IF(ISNUMBER(H176),"yes","no")</f>
        <v/>
      </c>
      <c r="AI176" s="27">
        <f>IF(ISNUMBER(I176),"yes","no")</f>
        <v/>
      </c>
      <c r="AJ176" s="105" t="n">
        <v>46295</v>
      </c>
      <c r="AK176" s="27" t="n"/>
    </row>
    <row r="177" ht="42" customHeight="1">
      <c r="A177" s="2" t="n"/>
      <c r="B177" s="24" t="inlineStr">
        <is>
          <t>Sauce pump dispenser with stand</t>
        </is>
      </c>
      <c r="C177" s="24" t="inlineStr">
        <is>
          <t>Austria</t>
        </is>
      </c>
      <c r="D177" s="24" t="inlineStr">
        <is>
          <t>GastroHero Österreich</t>
        </is>
      </c>
      <c r="E177" s="24" t="inlineStr">
        <is>
          <t>Hendi Pump-Saucenspender, 2,5L, Weiß</t>
        </is>
      </c>
      <c r="F177" s="98" t="n">
        <v>26.89</v>
      </c>
      <c r="G177" s="24" t="inlineStr">
        <is>
          <t>EUR</t>
        </is>
      </c>
      <c r="H177" s="98">
        <f>IF(AND(AE177="yes",ISNUMBER(AD177)),AD177,"")</f>
        <v/>
      </c>
      <c r="I177" s="99">
        <f>IF(AND(AE177="yes",ISNUMBER(AD177),ISNUMBER(INDEX('Sources'!$G$7:$G$10,MATCH(AB177,'Sources'!$B$7:$B$10,0)))),AD177/INDEX('Sources'!$G$7:$G$10,MATCH(AB177,'Sources'!$B$7:$B$10,0)),"")</f>
        <v/>
      </c>
      <c r="J177" s="24" t="inlineStr">
        <is>
          <t>EXACT</t>
        </is>
      </c>
      <c r="K177" s="24" t="inlineStr">
        <is>
          <t>2026-09-30</t>
        </is>
      </c>
      <c r="L177" s="71" t="n"/>
      <c r="M177" s="24" t="inlineStr">
        <is>
          <t>ABS housing/stand with pump</t>
        </is>
      </c>
      <c r="N177" s="25" t="inlineStr">
        <is>
          <t>https://www.gastro-hero.at/products/hendi-pump-saucenspender-2-5l-wei-c3-9f-230x210x-h-250mm</t>
        </is>
      </c>
      <c r="O177" s="24" t="inlineStr">
        <is>
          <t>Hendi</t>
        </is>
      </c>
      <c r="P177" s="24" t="inlineStr">
        <is>
          <t>excl.</t>
        </is>
      </c>
      <c r="Q177" s="100" t="n"/>
      <c r="R177" s="24" t="n">
        <v>1</v>
      </c>
      <c r="S177" s="24" t="n"/>
      <c r="T177" s="24" t="inlineStr">
        <is>
          <t>EXACT</t>
        </is>
      </c>
      <c r="U177" s="24" t="inlineStr">
        <is>
          <t>Existing benchmark assignment and match quality retained.</t>
        </is>
      </c>
      <c r="V177" s="98" t="n">
        <v>26.89</v>
      </c>
      <c r="W177" s="98" t="n"/>
      <c r="X177" s="24" t="inlineStr">
        <is>
          <t>YES Gastro Austria Market Research.xlsx</t>
        </is>
      </c>
      <c r="Y177" s="24" t="n"/>
      <c r="Z177" s="24" t="n"/>
      <c r="AA177" s="24" t="n"/>
      <c r="AB177" s="24" t="inlineStr">
        <is>
          <t>EUR</t>
        </is>
      </c>
      <c r="AC177" s="24" t="inlineStr">
        <is>
          <t>yes</t>
        </is>
      </c>
      <c r="AD177" s="24">
        <f>IF(ISNUMBER(V177),V177,"")</f>
        <v/>
      </c>
      <c r="AE177" s="24">
        <f>IF(AND(AC177="yes",ISNUMBER(F177),IF('Compare'!$H$5="All mapped",TRUE,IF('Compare'!$H$5="EXACT only",J177="EXACT",OR(J177="EXACT",J177="CLOSE")))),"yes","no")</f>
        <v/>
      </c>
      <c r="AF177" s="24">
        <f>IF(ISNUMBER(H177),COUNTIFS($B$7:$B$608,B177,$C$7:$C$608,C177,$H$7:$H$608,"&lt;"&amp;H177,$AH$7:$AH$608,"yes")+COUNTIFS($B$7:B177,B177,$C$7:C177,C177,$H$7:H177,H177,$AH$7:AH177,"yes"),"")</f>
        <v/>
      </c>
      <c r="AG177" s="24">
        <f>IF(ISNUMBER(I177),COUNTIFS($B$7:$B$608,B177,$C$7:$C$608,C177,$I$7:$I$608,"&lt;"&amp;I177,$AI$7:$AI$608,"yes")+COUNTIFS($B$7:B177,B177,$C$7:C177,C177,$I$7:I177,I177,$AI$7:AI177,"yes"),"")</f>
        <v/>
      </c>
      <c r="AH177" s="24">
        <f>IF(ISNUMBER(H177),"yes","no")</f>
        <v/>
      </c>
      <c r="AI177" s="24">
        <f>IF(ISNUMBER(I177),"yes","no")</f>
        <v/>
      </c>
      <c r="AJ177" s="101" t="n">
        <v>46295</v>
      </c>
      <c r="AK177" s="24" t="n"/>
    </row>
    <row r="178" ht="42" customHeight="1">
      <c r="A178" s="2" t="n"/>
      <c r="B178" s="27" t="inlineStr">
        <is>
          <t>Sauce pump dispenser with stand</t>
        </is>
      </c>
      <c r="C178" s="27" t="inlineStr">
        <is>
          <t>Austria</t>
        </is>
      </c>
      <c r="D178" s="27" t="inlineStr">
        <is>
          <t>Gastrodax</t>
        </is>
      </c>
      <c r="E178" s="27" t="inlineStr">
        <is>
          <t>Hendi Pump-Saucenspender, 2,5L, Weiß, 230x210x(H)327mm</t>
        </is>
      </c>
      <c r="F178" s="102" t="n">
        <v>19.76</v>
      </c>
      <c r="G178" s="27" t="inlineStr">
        <is>
          <t>EUR</t>
        </is>
      </c>
      <c r="H178" s="102">
        <f>IF(AND(AE178="yes",ISNUMBER(AD178)),AD178,"")</f>
        <v/>
      </c>
      <c r="I178" s="103">
        <f>IF(AND(AE178="yes",ISNUMBER(AD178),ISNUMBER(INDEX('Sources'!$G$7:$G$10,MATCH(AB178,'Sources'!$B$7:$B$10,0)))),AD178/INDEX('Sources'!$G$7:$G$10,MATCH(AB178,'Sources'!$B$7:$B$10,0)),"")</f>
        <v/>
      </c>
      <c r="J178" s="27" t="inlineStr">
        <is>
          <t>EXACT</t>
        </is>
      </c>
      <c r="K178" s="27" t="inlineStr">
        <is>
          <t>2026-09-30</t>
        </is>
      </c>
      <c r="L178" s="71" t="n"/>
      <c r="M178" s="27" t="inlineStr">
        <is>
          <t>ABS housing/stand with PP sauce container, lid and pump</t>
        </is>
      </c>
      <c r="N178" s="28" t="inlineStr">
        <is>
          <t>https://www.gastrodax.de/hendi-pump-sossenspender-weiss</t>
        </is>
      </c>
      <c r="O178" s="27" t="inlineStr">
        <is>
          <t>Hendi</t>
        </is>
      </c>
      <c r="P178" s="27" t="inlineStr">
        <is>
          <t>excl.</t>
        </is>
      </c>
      <c r="Q178" s="104" t="n"/>
      <c r="R178" s="27" t="n">
        <v>1</v>
      </c>
      <c r="S178" s="27" t="n"/>
      <c r="T178" s="27" t="inlineStr">
        <is>
          <t>EXACT</t>
        </is>
      </c>
      <c r="U178" s="27" t="inlineStr">
        <is>
          <t>Existing benchmark assignment and match quality retained.</t>
        </is>
      </c>
      <c r="V178" s="102" t="n">
        <v>19.76</v>
      </c>
      <c r="W178" s="102" t="n"/>
      <c r="X178" s="27" t="inlineStr">
        <is>
          <t>YES Gastro Austria Market Research.xlsx</t>
        </is>
      </c>
      <c r="Y178" s="27" t="n"/>
      <c r="Z178" s="27" t="n"/>
      <c r="AA178" s="27" t="n"/>
      <c r="AB178" s="27" t="inlineStr">
        <is>
          <t>EUR</t>
        </is>
      </c>
      <c r="AC178" s="27" t="inlineStr">
        <is>
          <t>yes</t>
        </is>
      </c>
      <c r="AD178" s="27">
        <f>IF(ISNUMBER(V178),V178,"")</f>
        <v/>
      </c>
      <c r="AE178" s="27">
        <f>IF(AND(AC178="yes",ISNUMBER(F178),IF('Compare'!$H$5="All mapped",TRUE,IF('Compare'!$H$5="EXACT only",J178="EXACT",OR(J178="EXACT",J178="CLOSE")))),"yes","no")</f>
        <v/>
      </c>
      <c r="AF178" s="27">
        <f>IF(ISNUMBER(H178),COUNTIFS($B$7:$B$608,B178,$C$7:$C$608,C178,$H$7:$H$608,"&lt;"&amp;H178,$AH$7:$AH$608,"yes")+COUNTIFS($B$7:B178,B178,$C$7:C178,C178,$H$7:H178,H178,$AH$7:AH178,"yes"),"")</f>
        <v/>
      </c>
      <c r="AG178" s="27">
        <f>IF(ISNUMBER(I178),COUNTIFS($B$7:$B$608,B178,$C$7:$C$608,C178,$I$7:$I$608,"&lt;"&amp;I178,$AI$7:$AI$608,"yes")+COUNTIFS($B$7:B178,B178,$C$7:C178,C178,$I$7:I178,I178,$AI$7:AI178,"yes"),"")</f>
        <v/>
      </c>
      <c r="AH178" s="27">
        <f>IF(ISNUMBER(H178),"yes","no")</f>
        <v/>
      </c>
      <c r="AI178" s="27">
        <f>IF(ISNUMBER(I178),"yes","no")</f>
        <v/>
      </c>
      <c r="AJ178" s="105" t="n">
        <v>46295</v>
      </c>
      <c r="AK178" s="27" t="n"/>
    </row>
    <row r="179" ht="42" customHeight="1">
      <c r="A179" s="2" t="n"/>
      <c r="B179" s="24" t="inlineStr">
        <is>
          <t>Sauce pump dispenser with stand</t>
        </is>
      </c>
      <c r="C179" s="24" t="inlineStr">
        <is>
          <t>Austria</t>
        </is>
      </c>
      <c r="D179" s="24" t="inlineStr">
        <is>
          <t>Gastroladen.at (Harotec GmbH)</t>
        </is>
      </c>
      <c r="E179" s="24" t="inlineStr">
        <is>
          <t>Araven Soßenspender GN 1/9 Transparent 1,5L</t>
        </is>
      </c>
      <c r="F179" s="98" t="n">
        <v>36.9</v>
      </c>
      <c r="G179" s="24" t="inlineStr">
        <is>
          <t>EUR</t>
        </is>
      </c>
      <c r="H179" s="98">
        <f>IF(AND(AE179="yes",ISNUMBER(AD179)),AD179,"")</f>
        <v/>
      </c>
      <c r="I179" s="99">
        <f>IF(AND(AE179="yes",ISNUMBER(AD179),ISNUMBER(INDEX('Sources'!$G$7:$G$10,MATCH(AB179,'Sources'!$B$7:$B$10,0)))),AD179/INDEX('Sources'!$G$7:$G$10,MATCH(AB179,'Sources'!$B$7:$B$10,0)),"")</f>
        <v/>
      </c>
      <c r="J179" s="24" t="inlineStr">
        <is>
          <t>CLOSE</t>
        </is>
      </c>
      <c r="K179" s="24" t="inlineStr">
        <is>
          <t>2026-09-30</t>
        </is>
      </c>
      <c r="L179" s="71" t="n"/>
      <c r="M179" s="24" t="inlineStr">
        <is>
          <t>PP pump dispenser 1.5 l; stand only included in 2-/3-piece sets (3-set with acrylic stand 157.90)</t>
        </is>
      </c>
      <c r="N179" s="25" t="inlineStr">
        <is>
          <t>https://www.gastroladen.at/3300@GN-CR821/Araven-So%C3%9Fenspender-GN-1-9-Transparent-1-5L.htm</t>
        </is>
      </c>
      <c r="O179" s="24" t="inlineStr">
        <is>
          <t>Araven</t>
        </is>
      </c>
      <c r="P179" s="24" t="inlineStr">
        <is>
          <t>incl.</t>
        </is>
      </c>
      <c r="Q179" s="100" t="n"/>
      <c r="R179" s="24" t="n">
        <v>1</v>
      </c>
      <c r="S179" s="24" t="n"/>
      <c r="T179" s="24" t="inlineStr">
        <is>
          <t>CLOSE</t>
        </is>
      </c>
      <c r="U179" s="24" t="inlineStr">
        <is>
          <t>Existing benchmark assignment and match quality retained.</t>
        </is>
      </c>
      <c r="V179" s="98" t="n">
        <v>30.75</v>
      </c>
      <c r="W179" s="98" t="n"/>
      <c r="X179" s="24" t="inlineStr">
        <is>
          <t>YES Gastro Austria Market Research.xlsx</t>
        </is>
      </c>
      <c r="Y179" s="24" t="n"/>
      <c r="Z179" s="24" t="n"/>
      <c r="AA179" s="24" t="n"/>
      <c r="AB179" s="24" t="inlineStr">
        <is>
          <t>EUR</t>
        </is>
      </c>
      <c r="AC179" s="24" t="inlineStr">
        <is>
          <t>yes</t>
        </is>
      </c>
      <c r="AD179" s="24">
        <f>IF(ISNUMBER(V179),V179,"")</f>
        <v/>
      </c>
      <c r="AE179" s="24">
        <f>IF(AND(AC179="yes",ISNUMBER(F179),IF('Compare'!$H$5="All mapped",TRUE,IF('Compare'!$H$5="EXACT only",J179="EXACT",OR(J179="EXACT",J179="CLOSE")))),"yes","no")</f>
        <v/>
      </c>
      <c r="AF179" s="24">
        <f>IF(ISNUMBER(H179),COUNTIFS($B$7:$B$608,B179,$C$7:$C$608,C179,$H$7:$H$608,"&lt;"&amp;H179,$AH$7:$AH$608,"yes")+COUNTIFS($B$7:B179,B179,$C$7:C179,C179,$H$7:H179,H179,$AH$7:AH179,"yes"),"")</f>
        <v/>
      </c>
      <c r="AG179" s="24">
        <f>IF(ISNUMBER(I179),COUNTIFS($B$7:$B$608,B179,$C$7:$C$608,C179,$I$7:$I$608,"&lt;"&amp;I179,$AI$7:$AI$608,"yes")+COUNTIFS($B$7:B179,B179,$C$7:C179,C179,$I$7:I179,I179,$AI$7:AI179,"yes"),"")</f>
        <v/>
      </c>
      <c r="AH179" s="24">
        <f>IF(ISNUMBER(H179),"yes","no")</f>
        <v/>
      </c>
      <c r="AI179" s="24">
        <f>IF(ISNUMBER(I179),"yes","no")</f>
        <v/>
      </c>
      <c r="AJ179" s="101" t="n">
        <v>46295</v>
      </c>
      <c r="AK179" s="24" t="n"/>
    </row>
    <row r="180" ht="42" customHeight="1">
      <c r="A180" s="2" t="n"/>
      <c r="B180" s="27" t="inlineStr">
        <is>
          <t>Sauce pump dispenser with stand</t>
        </is>
      </c>
      <c r="C180" s="27" t="inlineStr">
        <is>
          <t>Austria</t>
        </is>
      </c>
      <c r="D180" s="27" t="inlineStr">
        <is>
          <t>Intergastro (AT shop)</t>
        </is>
      </c>
      <c r="E180" s="27" t="inlineStr">
        <is>
          <t>Druckknopf-Dosierspender rot 2 ltr Ø 98 mm H 440 mm</t>
        </is>
      </c>
      <c r="F180" s="102" t="n">
        <v>93.66</v>
      </c>
      <c r="G180" s="27" t="inlineStr">
        <is>
          <t>EUR</t>
        </is>
      </c>
      <c r="H180" s="102">
        <f>IF(AND(AE180="yes",ISNUMBER(AD180)),AD180,"")</f>
        <v/>
      </c>
      <c r="I180" s="103">
        <f>IF(AND(AE180="yes",ISNUMBER(AD180),ISNUMBER(INDEX('Sources'!$G$7:$G$10,MATCH(AB180,'Sources'!$B$7:$B$10,0)))),AD180/INDEX('Sources'!$G$7:$G$10,MATCH(AB180,'Sources'!$B$7:$B$10,0)),"")</f>
        <v/>
      </c>
      <c r="J180" s="27" t="inlineStr">
        <is>
          <t>CLOSE</t>
        </is>
      </c>
      <c r="K180" s="27" t="inlineStr">
        <is>
          <t>2026-09-30</t>
        </is>
      </c>
      <c r="L180" s="71" t="n"/>
      <c r="M180" s="27" t="inlineStr">
        <is>
          <t>Free-standing glass/stainless push-button sauce pump dispenser, 2 l; gross 112.39</t>
        </is>
      </c>
      <c r="N180" s="28" t="inlineStr">
        <is>
          <t>https://www.intergastro.at/druckknopf-dosierspender-rot-2-ltr-98-mm-h-440-mm-100247</t>
        </is>
      </c>
      <c r="O180" s="27" t="inlineStr">
        <is>
          <t>Schneider</t>
        </is>
      </c>
      <c r="P180" s="27" t="inlineStr">
        <is>
          <t>excl.</t>
        </is>
      </c>
      <c r="Q180" s="104" t="n"/>
      <c r="R180" s="27" t="n">
        <v>1</v>
      </c>
      <c r="S180" s="27" t="n"/>
      <c r="T180" s="27" t="inlineStr">
        <is>
          <t>CLOSE</t>
        </is>
      </c>
      <c r="U180" s="27" t="inlineStr">
        <is>
          <t>Existing benchmark assignment and match quality retained.</t>
        </is>
      </c>
      <c r="V180" s="102" t="n">
        <v>93.66</v>
      </c>
      <c r="W180" s="102" t="n"/>
      <c r="X180" s="27" t="inlineStr">
        <is>
          <t>YES Gastro Austria Market Research.xlsx</t>
        </is>
      </c>
      <c r="Y180" s="27" t="n"/>
      <c r="Z180" s="27" t="n"/>
      <c r="AA180" s="27" t="n"/>
      <c r="AB180" s="27" t="inlineStr">
        <is>
          <t>EUR</t>
        </is>
      </c>
      <c r="AC180" s="27" t="inlineStr">
        <is>
          <t>yes</t>
        </is>
      </c>
      <c r="AD180" s="27">
        <f>IF(ISNUMBER(V180),V180,"")</f>
        <v/>
      </c>
      <c r="AE180" s="27">
        <f>IF(AND(AC180="yes",ISNUMBER(F180),IF('Compare'!$H$5="All mapped",TRUE,IF('Compare'!$H$5="EXACT only",J180="EXACT",OR(J180="EXACT",J180="CLOSE")))),"yes","no")</f>
        <v/>
      </c>
      <c r="AF180" s="27">
        <f>IF(ISNUMBER(H180),COUNTIFS($B$7:$B$608,B180,$C$7:$C$608,C180,$H$7:$H$608,"&lt;"&amp;H180,$AH$7:$AH$608,"yes")+COUNTIFS($B$7:B180,B180,$C$7:C180,C180,$H$7:H180,H180,$AH$7:AH180,"yes"),"")</f>
        <v/>
      </c>
      <c r="AG180" s="27">
        <f>IF(ISNUMBER(I180),COUNTIFS($B$7:$B$608,B180,$C$7:$C$608,C180,$I$7:$I$608,"&lt;"&amp;I180,$AI$7:$AI$608,"yes")+COUNTIFS($B$7:B180,B180,$C$7:C180,C180,$I$7:I180,I180,$AI$7:AI180,"yes"),"")</f>
        <v/>
      </c>
      <c r="AH180" s="27">
        <f>IF(ISNUMBER(H180),"yes","no")</f>
        <v/>
      </c>
      <c r="AI180" s="27">
        <f>IF(ISNUMBER(I180),"yes","no")</f>
        <v/>
      </c>
      <c r="AJ180" s="105" t="n">
        <v>46295</v>
      </c>
      <c r="AK180" s="27" t="n"/>
    </row>
    <row r="181" ht="42" customHeight="1">
      <c r="A181" s="2" t="n"/>
      <c r="B181" s="24" t="inlineStr">
        <is>
          <t>Sauce pump dispenser with stand</t>
        </is>
      </c>
      <c r="C181" s="24" t="inlineStr">
        <is>
          <t>Austria</t>
        </is>
      </c>
      <c r="D181" s="24" t="inlineStr">
        <is>
          <t>shopbuero.com</t>
        </is>
      </c>
      <c r="E181" s="24" t="inlineStr">
        <is>
          <t>Dosierspender - mit Druckknopf - 18,0 x 14,5 x 29,0 cm - Inhalt 2,0 l - Polyethylen</t>
        </is>
      </c>
      <c r="F181" s="98" t="n">
        <v>30.5</v>
      </c>
      <c r="G181" s="24" t="inlineStr">
        <is>
          <t>EUR</t>
        </is>
      </c>
      <c r="H181" s="98">
        <f>IF(AND(AE181="yes",ISNUMBER(AD181)),AD181,"")</f>
        <v/>
      </c>
      <c r="I181" s="99">
        <f>IF(AND(AE181="yes",ISNUMBER(AD181),ISNUMBER(INDEX('Sources'!$G$7:$G$10,MATCH(AB181,'Sources'!$B$7:$B$10,0)))),AD181/INDEX('Sources'!$G$7:$G$10,MATCH(AB181,'Sources'!$B$7:$B$10,0)),"")</f>
        <v/>
      </c>
      <c r="J181" s="24" t="inlineStr">
        <is>
          <t>CLOSE</t>
        </is>
      </c>
      <c r="K181" s="24" t="inlineStr">
        <is>
          <t>2026-09-30</t>
        </is>
      </c>
      <c r="L181" s="71" t="n"/>
      <c r="M181" s="24" t="inlineStr">
        <is>
          <t>Push-button sauce pump dispenser 2 l, free-standing; regular price 49.20</t>
        </is>
      </c>
      <c r="N181" s="25" t="inlineStr">
        <is>
          <t>https://shopbuero.com/dosierspender-mit-druckknopf-18-0-x-14-5-x-29-0-cm-inhalt-2-0-l-polyethylen/154710-C</t>
        </is>
      </c>
      <c r="O181" s="24" t="inlineStr">
        <is>
          <t>Schneider</t>
        </is>
      </c>
      <c r="P181" s="24" t="inlineStr">
        <is>
          <t>excl.</t>
        </is>
      </c>
      <c r="Q181" s="100" t="n"/>
      <c r="R181" s="24" t="n">
        <v>1</v>
      </c>
      <c r="S181" s="24" t="n"/>
      <c r="T181" s="24" t="inlineStr">
        <is>
          <t>CLOSE</t>
        </is>
      </c>
      <c r="U181" s="24" t="inlineStr">
        <is>
          <t>Existing benchmark assignment and match quality retained.</t>
        </is>
      </c>
      <c r="V181" s="98" t="n">
        <v>30.5</v>
      </c>
      <c r="W181" s="98" t="n"/>
      <c r="X181" s="24" t="inlineStr">
        <is>
          <t>YES Gastro Austria Market Research.xlsx</t>
        </is>
      </c>
      <c r="Y181" s="24" t="n"/>
      <c r="Z181" s="24" t="n"/>
      <c r="AA181" s="24" t="n"/>
      <c r="AB181" s="24" t="inlineStr">
        <is>
          <t>EUR</t>
        </is>
      </c>
      <c r="AC181" s="24" t="inlineStr">
        <is>
          <t>yes</t>
        </is>
      </c>
      <c r="AD181" s="24">
        <f>IF(ISNUMBER(V181),V181,"")</f>
        <v/>
      </c>
      <c r="AE181" s="24">
        <f>IF(AND(AC181="yes",ISNUMBER(F181),IF('Compare'!$H$5="All mapped",TRUE,IF('Compare'!$H$5="EXACT only",J181="EXACT",OR(J181="EXACT",J181="CLOSE")))),"yes","no")</f>
        <v/>
      </c>
      <c r="AF181" s="24">
        <f>IF(ISNUMBER(H181),COUNTIFS($B$7:$B$608,B181,$C$7:$C$608,C181,$H$7:$H$608,"&lt;"&amp;H181,$AH$7:$AH$608,"yes")+COUNTIFS($B$7:B181,B181,$C$7:C181,C181,$H$7:H181,H181,$AH$7:AH181,"yes"),"")</f>
        <v/>
      </c>
      <c r="AG181" s="24">
        <f>IF(ISNUMBER(I181),COUNTIFS($B$7:$B$608,B181,$C$7:$C$608,C181,$I$7:$I$608,"&lt;"&amp;I181,$AI$7:$AI$608,"yes")+COUNTIFS($B$7:B181,B181,$C$7:C181,C181,$I$7:I181,I181,$AI$7:AI181,"yes"),"")</f>
        <v/>
      </c>
      <c r="AH181" s="24">
        <f>IF(ISNUMBER(H181),"yes","no")</f>
        <v/>
      </c>
      <c r="AI181" s="24">
        <f>IF(ISNUMBER(I181),"yes","no")</f>
        <v/>
      </c>
      <c r="AJ181" s="101" t="n">
        <v>46295</v>
      </c>
      <c r="AK181" s="24" t="n"/>
    </row>
    <row r="182" ht="42" customHeight="1">
      <c r="A182" s="2" t="n"/>
      <c r="B182" s="27" t="inlineStr">
        <is>
          <t>Sauce pump dispenser with stand</t>
        </is>
      </c>
      <c r="C182" s="27" t="inlineStr">
        <is>
          <t>Germany</t>
        </is>
      </c>
      <c r="D182" s="27" t="inlineStr">
        <is>
          <t>ALLPAX</t>
        </is>
      </c>
      <c r="E182" s="27" t="inlineStr">
        <is>
          <t>Saucenspender (für Senf, Ketchup, Mayonnaise), 2 l</t>
        </is>
      </c>
      <c r="F182" s="102" t="n">
        <v>36.1</v>
      </c>
      <c r="G182" s="27" t="inlineStr">
        <is>
          <t>EUR</t>
        </is>
      </c>
      <c r="H182" s="102">
        <f>IF(AND(AE182="yes",ISNUMBER(AD182)),AD182,"")</f>
        <v/>
      </c>
      <c r="I182" s="103">
        <f>IF(AND(AE182="yes",ISNUMBER(AD182),ISNUMBER(INDEX('Sources'!$G$7:$G$10,MATCH(AB182,'Sources'!$B$7:$B$10,0)))),AD182/INDEX('Sources'!$G$7:$G$10,MATCH(AB182,'Sources'!$B$7:$B$10,0)),"")</f>
        <v/>
      </c>
      <c r="J182" s="27" t="inlineStr">
        <is>
          <t>CLOSE</t>
        </is>
      </c>
      <c r="K182" s="27" t="inlineStr">
        <is>
          <t>2026-09-30</t>
        </is>
      </c>
      <c r="L182" s="71" t="n"/>
      <c r="M182" s="27" t="inlineStr">
        <is>
          <t>Sauce pump dispenser 2 l (17x14x15.5 cm); price shown for default 2 l size; stand not mentioned</t>
        </is>
      </c>
      <c r="N182" s="28" t="inlineStr">
        <is>
          <t>https://www.allpax.de/product_info.php/info/p12858_Saucenspender.html</t>
        </is>
      </c>
      <c r="O182" s="27" t="n"/>
      <c r="P182" s="27" t="inlineStr">
        <is>
          <t>excl.</t>
        </is>
      </c>
      <c r="Q182" s="104" t="n"/>
      <c r="R182" s="27" t="n">
        <v>1</v>
      </c>
      <c r="S182" s="27" t="n"/>
      <c r="T182" s="27" t="inlineStr">
        <is>
          <t>CLOSE</t>
        </is>
      </c>
      <c r="U182" s="27" t="inlineStr">
        <is>
          <t>Existing benchmark assignment and match quality retained.</t>
        </is>
      </c>
      <c r="V182" s="102" t="n">
        <v>36.1</v>
      </c>
      <c r="W182" s="102" t="n"/>
      <c r="X182" s="27" t="inlineStr">
        <is>
          <t>YES Gastro Germany Market Research.xlsx</t>
        </is>
      </c>
      <c r="Y182" s="27" t="n"/>
      <c r="Z182" s="27" t="n"/>
      <c r="AA182" s="27" t="n"/>
      <c r="AB182" s="27" t="inlineStr">
        <is>
          <t>EUR</t>
        </is>
      </c>
      <c r="AC182" s="27" t="inlineStr">
        <is>
          <t>yes</t>
        </is>
      </c>
      <c r="AD182" s="27">
        <f>IF(ISNUMBER(V182),V182,"")</f>
        <v/>
      </c>
      <c r="AE182" s="27">
        <f>IF(AND(AC182="yes",ISNUMBER(F182),IF('Compare'!$H$5="All mapped",TRUE,IF('Compare'!$H$5="EXACT only",J182="EXACT",OR(J182="EXACT",J182="CLOSE")))),"yes","no")</f>
        <v/>
      </c>
      <c r="AF182" s="27">
        <f>IF(ISNUMBER(H182),COUNTIFS($B$7:$B$608,B182,$C$7:$C$608,C182,$H$7:$H$608,"&lt;"&amp;H182,$AH$7:$AH$608,"yes")+COUNTIFS($B$7:B182,B182,$C$7:C182,C182,$H$7:H182,H182,$AH$7:AH182,"yes"),"")</f>
        <v/>
      </c>
      <c r="AG182" s="27">
        <f>IF(ISNUMBER(I182),COUNTIFS($B$7:$B$608,B182,$C$7:$C$608,C182,$I$7:$I$608,"&lt;"&amp;I182,$AI$7:$AI$608,"yes")+COUNTIFS($B$7:B182,B182,$C$7:C182,C182,$I$7:I182,I182,$AI$7:AI182,"yes"),"")</f>
        <v/>
      </c>
      <c r="AH182" s="27">
        <f>IF(ISNUMBER(H182),"yes","no")</f>
        <v/>
      </c>
      <c r="AI182" s="27">
        <f>IF(ISNUMBER(I182),"yes","no")</f>
        <v/>
      </c>
      <c r="AJ182" s="105" t="n">
        <v>46295</v>
      </c>
      <c r="AK182" s="27" t="n"/>
    </row>
    <row r="183" ht="42" customHeight="1">
      <c r="A183" s="2" t="n"/>
      <c r="B183" s="24" t="inlineStr">
        <is>
          <t>Sauce pump dispenser with stand</t>
        </is>
      </c>
      <c r="C183" s="24" t="inlineStr">
        <is>
          <t>Germany</t>
        </is>
      </c>
      <c r="D183" s="24" t="inlineStr">
        <is>
          <t>GGM Gastro</t>
        </is>
      </c>
      <c r="E183" s="24" t="inlineStr">
        <is>
          <t>Ketchup / Saucenspender - 2 Liter - Polypropylen - mit Pumpe</t>
        </is>
      </c>
      <c r="F183" s="98" t="n">
        <v>24.99</v>
      </c>
      <c r="G183" s="24" t="inlineStr">
        <is>
          <t>EUR</t>
        </is>
      </c>
      <c r="H183" s="98">
        <f>IF(AND(AE183="yes",ISNUMBER(AD183)),AD183,"")</f>
        <v/>
      </c>
      <c r="I183" s="99">
        <f>IF(AND(AE183="yes",ISNUMBER(AD183),ISNUMBER(INDEX('Sources'!$G$7:$G$10,MATCH(AB183,'Sources'!$B$7:$B$10,0)))),AD183/INDEX('Sources'!$G$7:$G$10,MATCH(AB183,'Sources'!$B$7:$B$10,0)),"")</f>
        <v/>
      </c>
      <c r="J183" s="24" t="inlineStr">
        <is>
          <t>EXACT</t>
        </is>
      </c>
      <c r="K183" s="24" t="inlineStr">
        <is>
          <t>2026-09-30</t>
        </is>
      </c>
      <c r="L183" s="71" t="n"/>
      <c r="M183" s="24" t="inlineStr">
        <is>
          <t>210x220x210 mm, PP with pump</t>
        </is>
      </c>
      <c r="N183" s="25" t="inlineStr">
        <is>
          <t>https://www.ggmgastro.com/de-de-eur/ketchup-saucenspender-2-liter-polypropylen-mit-pumpe-ksp2</t>
        </is>
      </c>
      <c r="O183" s="24" t="inlineStr">
        <is>
          <t>GGM</t>
        </is>
      </c>
      <c r="P183" s="24" t="inlineStr">
        <is>
          <t>excl.</t>
        </is>
      </c>
      <c r="Q183" s="100" t="n"/>
      <c r="R183" s="24" t="n">
        <v>1</v>
      </c>
      <c r="S183" s="24" t="n"/>
      <c r="T183" s="24" t="inlineStr">
        <is>
          <t>EXACT</t>
        </is>
      </c>
      <c r="U183" s="24" t="inlineStr">
        <is>
          <t>Existing benchmark assignment and match quality retained.</t>
        </is>
      </c>
      <c r="V183" s="98" t="n">
        <v>24.99</v>
      </c>
      <c r="W183" s="98" t="n"/>
      <c r="X183" s="24" t="inlineStr">
        <is>
          <t>YES Gastro Germany Market Research.xlsx</t>
        </is>
      </c>
      <c r="Y183" s="24" t="n"/>
      <c r="Z183" s="24" t="n"/>
      <c r="AA183" s="24" t="n"/>
      <c r="AB183" s="24" t="inlineStr">
        <is>
          <t>EUR</t>
        </is>
      </c>
      <c r="AC183" s="24" t="inlineStr">
        <is>
          <t>yes</t>
        </is>
      </c>
      <c r="AD183" s="24">
        <f>IF(ISNUMBER(V183),V183,"")</f>
        <v/>
      </c>
      <c r="AE183" s="24">
        <f>IF(AND(AC183="yes",ISNUMBER(F183),IF('Compare'!$H$5="All mapped",TRUE,IF('Compare'!$H$5="EXACT only",J183="EXACT",OR(J183="EXACT",J183="CLOSE")))),"yes","no")</f>
        <v/>
      </c>
      <c r="AF183" s="24">
        <f>IF(ISNUMBER(H183),COUNTIFS($B$7:$B$608,B183,$C$7:$C$608,C183,$H$7:$H$608,"&lt;"&amp;H183,$AH$7:$AH$608,"yes")+COUNTIFS($B$7:B183,B183,$C$7:C183,C183,$H$7:H183,H183,$AH$7:AH183,"yes"),"")</f>
        <v/>
      </c>
      <c r="AG183" s="24">
        <f>IF(ISNUMBER(I183),COUNTIFS($B$7:$B$608,B183,$C$7:$C$608,C183,$I$7:$I$608,"&lt;"&amp;I183,$AI$7:$AI$608,"yes")+COUNTIFS($B$7:B183,B183,$C$7:C183,C183,$I$7:I183,I183,$AI$7:AI183,"yes"),"")</f>
        <v/>
      </c>
      <c r="AH183" s="24">
        <f>IF(ISNUMBER(H183),"yes","no")</f>
        <v/>
      </c>
      <c r="AI183" s="24">
        <f>IF(ISNUMBER(I183),"yes","no")</f>
        <v/>
      </c>
      <c r="AJ183" s="101" t="n">
        <v>46295</v>
      </c>
      <c r="AK183" s="24" t="n"/>
    </row>
    <row r="184" ht="42" customHeight="1">
      <c r="A184" s="2" t="n"/>
      <c r="B184" s="27" t="inlineStr">
        <is>
          <t>Sauce pump dispenser with stand</t>
        </is>
      </c>
      <c r="C184" s="27" t="inlineStr">
        <is>
          <t>Germany</t>
        </is>
      </c>
      <c r="D184" s="27" t="inlineStr">
        <is>
          <t>GastroHero</t>
        </is>
      </c>
      <c r="E184" s="27" t="inlineStr">
        <is>
          <t>Hendi Pump-Saucenspender, 2,5L, Weiß</t>
        </is>
      </c>
      <c r="F184" s="102" t="n">
        <v>18.09</v>
      </c>
      <c r="G184" s="27" t="inlineStr">
        <is>
          <t>EUR</t>
        </is>
      </c>
      <c r="H184" s="102">
        <f>IF(AND(AE184="yes",ISNUMBER(AD184)),AD184,"")</f>
        <v/>
      </c>
      <c r="I184" s="103">
        <f>IF(AND(AE184="yes",ISNUMBER(AD184),ISNUMBER(INDEX('Sources'!$G$7:$G$10,MATCH(AB184,'Sources'!$B$7:$B$10,0)))),AD184/INDEX('Sources'!$G$7:$G$10,MATCH(AB184,'Sources'!$B$7:$B$10,0)),"")</f>
        <v/>
      </c>
      <c r="J184" s="27" t="inlineStr">
        <is>
          <t>EXACT</t>
        </is>
      </c>
      <c r="K184" s="27" t="inlineStr">
        <is>
          <t>2026-09-30</t>
        </is>
      </c>
      <c r="L184" s="71" t="n"/>
      <c r="M184" s="27" t="inlineStr">
        <is>
          <t>ABS housing/stand with pump</t>
        </is>
      </c>
      <c r="N184" s="28" t="inlineStr">
        <is>
          <t>https://www.gastro-hero.de/products/hendi-pump-saucenspender-2-5l-wei-c3-9f-230x210x-h-250mm</t>
        </is>
      </c>
      <c r="O184" s="27" t="inlineStr">
        <is>
          <t>Hendi</t>
        </is>
      </c>
      <c r="P184" s="27" t="inlineStr">
        <is>
          <t>excl.</t>
        </is>
      </c>
      <c r="Q184" s="104" t="n"/>
      <c r="R184" s="27" t="n">
        <v>1</v>
      </c>
      <c r="S184" s="27" t="n"/>
      <c r="T184" s="27" t="inlineStr">
        <is>
          <t>EXACT</t>
        </is>
      </c>
      <c r="U184" s="27" t="inlineStr">
        <is>
          <t>Existing benchmark assignment and match quality retained.</t>
        </is>
      </c>
      <c r="V184" s="102" t="n">
        <v>18.09</v>
      </c>
      <c r="W184" s="102" t="n"/>
      <c r="X184" s="27" t="inlineStr">
        <is>
          <t>YES Gastro Germany Market Research.xlsx</t>
        </is>
      </c>
      <c r="Y184" s="27" t="n"/>
      <c r="Z184" s="27" t="n"/>
      <c r="AA184" s="27" t="n"/>
      <c r="AB184" s="27" t="inlineStr">
        <is>
          <t>EUR</t>
        </is>
      </c>
      <c r="AC184" s="27" t="inlineStr">
        <is>
          <t>yes</t>
        </is>
      </c>
      <c r="AD184" s="27">
        <f>IF(ISNUMBER(V184),V184,"")</f>
        <v/>
      </c>
      <c r="AE184" s="27">
        <f>IF(AND(AC184="yes",ISNUMBER(F184),IF('Compare'!$H$5="All mapped",TRUE,IF('Compare'!$H$5="EXACT only",J184="EXACT",OR(J184="EXACT",J184="CLOSE")))),"yes","no")</f>
        <v/>
      </c>
      <c r="AF184" s="27">
        <f>IF(ISNUMBER(H184),COUNTIFS($B$7:$B$608,B184,$C$7:$C$608,C184,$H$7:$H$608,"&lt;"&amp;H184,$AH$7:$AH$608,"yes")+COUNTIFS($B$7:B184,B184,$C$7:C184,C184,$H$7:H184,H184,$AH$7:AH184,"yes"),"")</f>
        <v/>
      </c>
      <c r="AG184" s="27">
        <f>IF(ISNUMBER(I184),COUNTIFS($B$7:$B$608,B184,$C$7:$C$608,C184,$I$7:$I$608,"&lt;"&amp;I184,$AI$7:$AI$608,"yes")+COUNTIFS($B$7:B184,B184,$C$7:C184,C184,$I$7:I184,I184,$AI$7:AI184,"yes"),"")</f>
        <v/>
      </c>
      <c r="AH184" s="27">
        <f>IF(ISNUMBER(H184),"yes","no")</f>
        <v/>
      </c>
      <c r="AI184" s="27">
        <f>IF(ISNUMBER(I184),"yes","no")</f>
        <v/>
      </c>
      <c r="AJ184" s="105" t="n">
        <v>46295</v>
      </c>
      <c r="AK184" s="27" t="n"/>
    </row>
    <row r="185" ht="42" customHeight="1">
      <c r="A185" s="2" t="n"/>
      <c r="B185" s="24" t="inlineStr">
        <is>
          <t>Sauce pump dispenser with stand</t>
        </is>
      </c>
      <c r="C185" s="24" t="inlineStr">
        <is>
          <t>Germany</t>
        </is>
      </c>
      <c r="D185" s="24" t="inlineStr">
        <is>
          <t>Gastrodax [substitute]</t>
        </is>
      </c>
      <c r="E185" s="24" t="inlineStr">
        <is>
          <t>Hendi Pump-Saucenspender, 2,5L, Weiß, 230x210x(H)327mm</t>
        </is>
      </c>
      <c r="F185" s="98" t="n">
        <v>19.76</v>
      </c>
      <c r="G185" s="24" t="inlineStr">
        <is>
          <t>EUR</t>
        </is>
      </c>
      <c r="H185" s="98">
        <f>IF(AND(AE185="yes",ISNUMBER(AD185)),AD185,"")</f>
        <v/>
      </c>
      <c r="I185" s="99">
        <f>IF(AND(AE185="yes",ISNUMBER(AD185),ISNUMBER(INDEX('Sources'!$G$7:$G$10,MATCH(AB185,'Sources'!$B$7:$B$10,0)))),AD185/INDEX('Sources'!$G$7:$G$10,MATCH(AB185,'Sources'!$B$7:$B$10,0)),"")</f>
        <v/>
      </c>
      <c r="J185" s="24" t="inlineStr">
        <is>
          <t>EXACT</t>
        </is>
      </c>
      <c r="K185" s="24" t="inlineStr">
        <is>
          <t>2026-09-30</t>
        </is>
      </c>
      <c r="L185" s="71" t="n"/>
      <c r="M185" s="24" t="inlineStr">
        <is>
          <t>ABS housing/stand with PP sauce container, lid and pump</t>
        </is>
      </c>
      <c r="N185" s="25" t="inlineStr">
        <is>
          <t>https://www.gastrodax.de/hendi-pump-sossenspender-weiss</t>
        </is>
      </c>
      <c r="O185" s="24" t="inlineStr">
        <is>
          <t>Hendi</t>
        </is>
      </c>
      <c r="P185" s="24" t="inlineStr">
        <is>
          <t>excl.</t>
        </is>
      </c>
      <c r="Q185" s="100" t="n"/>
      <c r="R185" s="24" t="n">
        <v>1</v>
      </c>
      <c r="S185" s="24" t="n"/>
      <c r="T185" s="24" t="inlineStr">
        <is>
          <t>EXACT</t>
        </is>
      </c>
      <c r="U185" s="24" t="inlineStr">
        <is>
          <t>Existing benchmark assignment and match quality retained.</t>
        </is>
      </c>
      <c r="V185" s="98" t="n">
        <v>19.76</v>
      </c>
      <c r="W185" s="98" t="n"/>
      <c r="X185" s="24" t="inlineStr">
        <is>
          <t>YES Gastro Germany Market Research.xlsx</t>
        </is>
      </c>
      <c r="Y185" s="24" t="n"/>
      <c r="Z185" s="24" t="n"/>
      <c r="AA185" s="24" t="n"/>
      <c r="AB185" s="24" t="inlineStr">
        <is>
          <t>EUR</t>
        </is>
      </c>
      <c r="AC185" s="24" t="inlineStr">
        <is>
          <t>yes</t>
        </is>
      </c>
      <c r="AD185" s="24">
        <f>IF(ISNUMBER(V185),V185,"")</f>
        <v/>
      </c>
      <c r="AE185" s="24">
        <f>IF(AND(AC185="yes",ISNUMBER(F185),IF('Compare'!$H$5="All mapped",TRUE,IF('Compare'!$H$5="EXACT only",J185="EXACT",OR(J185="EXACT",J185="CLOSE")))),"yes","no")</f>
        <v/>
      </c>
      <c r="AF185" s="24">
        <f>IF(ISNUMBER(H185),COUNTIFS($B$7:$B$608,B185,$C$7:$C$608,C185,$H$7:$H$608,"&lt;"&amp;H185,$AH$7:$AH$608,"yes")+COUNTIFS($B$7:B185,B185,$C$7:C185,C185,$H$7:H185,H185,$AH$7:AH185,"yes"),"")</f>
        <v/>
      </c>
      <c r="AG185" s="24">
        <f>IF(ISNUMBER(I185),COUNTIFS($B$7:$B$608,B185,$C$7:$C$608,C185,$I$7:$I$608,"&lt;"&amp;I185,$AI$7:$AI$608,"yes")+COUNTIFS($B$7:B185,B185,$C$7:C185,C185,$I$7:I185,I185,$AI$7:AI185,"yes"),"")</f>
        <v/>
      </c>
      <c r="AH185" s="24">
        <f>IF(ISNUMBER(H185),"yes","no")</f>
        <v/>
      </c>
      <c r="AI185" s="24">
        <f>IF(ISNUMBER(I185),"yes","no")</f>
        <v/>
      </c>
      <c r="AJ185" s="101" t="n">
        <v>46295</v>
      </c>
      <c r="AK185" s="24" t="n"/>
    </row>
    <row r="186" ht="42" customHeight="1">
      <c r="A186" s="2" t="n"/>
      <c r="B186" s="27" t="inlineStr">
        <is>
          <t>Sauce pump dispenser with stand</t>
        </is>
      </c>
      <c r="C186" s="27" t="inlineStr">
        <is>
          <t>Germany</t>
        </is>
      </c>
      <c r="D186" s="27" t="inlineStr">
        <is>
          <t>Gastroladen.de (Harotec GmbH) [substitute]</t>
        </is>
      </c>
      <c r="E186" s="27" t="inlineStr">
        <is>
          <t>Araven Soßenspender GN 1/9 Transparent 1,5L</t>
        </is>
      </c>
      <c r="F186" s="102" t="n">
        <v>35.9</v>
      </c>
      <c r="G186" s="27" t="inlineStr">
        <is>
          <t>EUR</t>
        </is>
      </c>
      <c r="H186" s="102">
        <f>IF(AND(AE186="yes",ISNUMBER(AD186)),AD186,"")</f>
        <v/>
      </c>
      <c r="I186" s="103">
        <f>IF(AND(AE186="yes",ISNUMBER(AD186),ISNUMBER(INDEX('Sources'!$G$7:$G$10,MATCH(AB186,'Sources'!$B$7:$B$10,0)))),AD186/INDEX('Sources'!$G$7:$G$10,MATCH(AB186,'Sources'!$B$7:$B$10,0)),"")</f>
        <v/>
      </c>
      <c r="J186" s="27" t="inlineStr">
        <is>
          <t>CLOSE</t>
        </is>
      </c>
      <c r="K186" s="27" t="inlineStr">
        <is>
          <t>2026-09-30</t>
        </is>
      </c>
      <c r="L186" s="71" t="n"/>
      <c r="M186" s="27" t="inlineStr">
        <is>
          <t>PP pump dispenser 1.5 l; stand only included in 2-/3-piece sets (3-set with acrylic stand also offered)</t>
        </is>
      </c>
      <c r="N186" s="28" t="inlineStr">
        <is>
          <t>https://www.gastroladen.de/3300@GN-CR821/Araven-So%C3%9Fenspender-GN-1-9-Transparent-1-5L.htm</t>
        </is>
      </c>
      <c r="O186" s="27" t="inlineStr">
        <is>
          <t>Araven</t>
        </is>
      </c>
      <c r="P186" s="27" t="inlineStr">
        <is>
          <t>incl.</t>
        </is>
      </c>
      <c r="Q186" s="104" t="n"/>
      <c r="R186" s="27" t="n">
        <v>1</v>
      </c>
      <c r="S186" s="27" t="n"/>
      <c r="T186" s="27" t="inlineStr">
        <is>
          <t>CLOSE</t>
        </is>
      </c>
      <c r="U186" s="27" t="inlineStr">
        <is>
          <t>Existing benchmark assignment and match quality retained.</t>
        </is>
      </c>
      <c r="V186" s="102" t="n">
        <v>30.17</v>
      </c>
      <c r="W186" s="102" t="n"/>
      <c r="X186" s="27" t="inlineStr">
        <is>
          <t>YES Gastro Germany Market Research.xlsx</t>
        </is>
      </c>
      <c r="Y186" s="27" t="n"/>
      <c r="Z186" s="27" t="n"/>
      <c r="AA186" s="27" t="n"/>
      <c r="AB186" s="27" t="inlineStr">
        <is>
          <t>EUR</t>
        </is>
      </c>
      <c r="AC186" s="27" t="inlineStr">
        <is>
          <t>yes</t>
        </is>
      </c>
      <c r="AD186" s="27">
        <f>IF(ISNUMBER(V186),V186,"")</f>
        <v/>
      </c>
      <c r="AE186" s="27">
        <f>IF(AND(AC186="yes",ISNUMBER(F186),IF('Compare'!$H$5="All mapped",TRUE,IF('Compare'!$H$5="EXACT only",J186="EXACT",OR(J186="EXACT",J186="CLOSE")))),"yes","no")</f>
        <v/>
      </c>
      <c r="AF186" s="27">
        <f>IF(ISNUMBER(H186),COUNTIFS($B$7:$B$608,B186,$C$7:$C$608,C186,$H$7:$H$608,"&lt;"&amp;H186,$AH$7:$AH$608,"yes")+COUNTIFS($B$7:B186,B186,$C$7:C186,C186,$H$7:H186,H186,$AH$7:AH186,"yes"),"")</f>
        <v/>
      </c>
      <c r="AG186" s="27">
        <f>IF(ISNUMBER(I186),COUNTIFS($B$7:$B$608,B186,$C$7:$C$608,C186,$I$7:$I$608,"&lt;"&amp;I186,$AI$7:$AI$608,"yes")+COUNTIFS($B$7:B186,B186,$C$7:C186,C186,$I$7:I186,I186,$AI$7:AI186,"yes"),"")</f>
        <v/>
      </c>
      <c r="AH186" s="27">
        <f>IF(ISNUMBER(H186),"yes","no")</f>
        <v/>
      </c>
      <c r="AI186" s="27">
        <f>IF(ISNUMBER(I186),"yes","no")</f>
        <v/>
      </c>
      <c r="AJ186" s="105" t="n">
        <v>46295</v>
      </c>
      <c r="AK186" s="27" t="n"/>
    </row>
    <row r="187" ht="42" customHeight="1">
      <c r="A187" s="2" t="n"/>
      <c r="B187" s="24" t="inlineStr">
        <is>
          <t>Sauce pump dispenser with stand</t>
        </is>
      </c>
      <c r="C187" s="24" t="inlineStr">
        <is>
          <t>Germany</t>
        </is>
      </c>
      <c r="D187" s="24" t="inlineStr">
        <is>
          <t>Intergastro</t>
        </is>
      </c>
      <c r="E187" s="24" t="inlineStr">
        <is>
          <t>Druckknopf-Dosierspender rot 2 ltr Ø 98 mm H 440 mm</t>
        </is>
      </c>
      <c r="F187" s="98" t="n">
        <v>93.66</v>
      </c>
      <c r="G187" s="24" t="inlineStr">
        <is>
          <t>EUR</t>
        </is>
      </c>
      <c r="H187" s="98">
        <f>IF(AND(AE187="yes",ISNUMBER(AD187)),AD187,"")</f>
        <v/>
      </c>
      <c r="I187" s="99">
        <f>IF(AND(AE187="yes",ISNUMBER(AD187),ISNUMBER(INDEX('Sources'!$G$7:$G$10,MATCH(AB187,'Sources'!$B$7:$B$10,0)))),AD187/INDEX('Sources'!$G$7:$G$10,MATCH(AB187,'Sources'!$B$7:$B$10,0)),"")</f>
        <v/>
      </c>
      <c r="J187" s="24" t="inlineStr">
        <is>
          <t>CLOSE</t>
        </is>
      </c>
      <c r="K187" s="24" t="inlineStr">
        <is>
          <t>2026-09-30</t>
        </is>
      </c>
      <c r="L187" s="71" t="n"/>
      <c r="M187" s="24" t="inlineStr">
        <is>
          <t>Free-standing glass/stainless push-button sauce pump dispenser, 2 l</t>
        </is>
      </c>
      <c r="N187" s="25" t="inlineStr">
        <is>
          <t>https://www.intergastro.de/druckknopf-dosierspender-rot-2-ltr-98-mm-h-440-mm-100247</t>
        </is>
      </c>
      <c r="O187" s="24" t="inlineStr">
        <is>
          <t>Schneider</t>
        </is>
      </c>
      <c r="P187" s="24" t="inlineStr">
        <is>
          <t>excl.</t>
        </is>
      </c>
      <c r="Q187" s="100" t="n"/>
      <c r="R187" s="24" t="n">
        <v>1</v>
      </c>
      <c r="S187" s="24" t="n"/>
      <c r="T187" s="24" t="inlineStr">
        <is>
          <t>CLOSE</t>
        </is>
      </c>
      <c r="U187" s="24" t="inlineStr">
        <is>
          <t>Existing benchmark assignment and match quality retained.</t>
        </is>
      </c>
      <c r="V187" s="98" t="n">
        <v>93.66</v>
      </c>
      <c r="W187" s="98" t="n"/>
      <c r="X187" s="24" t="inlineStr">
        <is>
          <t>YES Gastro Germany Market Research.xlsx</t>
        </is>
      </c>
      <c r="Y187" s="24" t="n"/>
      <c r="Z187" s="24" t="n"/>
      <c r="AA187" s="24" t="n"/>
      <c r="AB187" s="24" t="inlineStr">
        <is>
          <t>EUR</t>
        </is>
      </c>
      <c r="AC187" s="24" t="inlineStr">
        <is>
          <t>yes</t>
        </is>
      </c>
      <c r="AD187" s="24">
        <f>IF(ISNUMBER(V187),V187,"")</f>
        <v/>
      </c>
      <c r="AE187" s="24">
        <f>IF(AND(AC187="yes",ISNUMBER(F187),IF('Compare'!$H$5="All mapped",TRUE,IF('Compare'!$H$5="EXACT only",J187="EXACT",OR(J187="EXACT",J187="CLOSE")))),"yes","no")</f>
        <v/>
      </c>
      <c r="AF187" s="24">
        <f>IF(ISNUMBER(H187),COUNTIFS($B$7:$B$608,B187,$C$7:$C$608,C187,$H$7:$H$608,"&lt;"&amp;H187,$AH$7:$AH$608,"yes")+COUNTIFS($B$7:B187,B187,$C$7:C187,C187,$H$7:H187,H187,$AH$7:AH187,"yes"),"")</f>
        <v/>
      </c>
      <c r="AG187" s="24">
        <f>IF(ISNUMBER(I187),COUNTIFS($B$7:$B$608,B187,$C$7:$C$608,C187,$I$7:$I$608,"&lt;"&amp;I187,$AI$7:$AI$608,"yes")+COUNTIFS($B$7:B187,B187,$C$7:C187,C187,$I$7:I187,I187,$AI$7:AI187,"yes"),"")</f>
        <v/>
      </c>
      <c r="AH187" s="24">
        <f>IF(ISNUMBER(H187),"yes","no")</f>
        <v/>
      </c>
      <c r="AI187" s="24">
        <f>IF(ISNUMBER(I187),"yes","no")</f>
        <v/>
      </c>
      <c r="AJ187" s="101" t="n">
        <v>46295</v>
      </c>
      <c r="AK187" s="24" t="n"/>
    </row>
    <row r="188" ht="42" customHeight="1">
      <c r="A188" s="2" t="n"/>
      <c r="B188" s="27" t="inlineStr">
        <is>
          <t>Sauce pump dispenser with stand</t>
        </is>
      </c>
      <c r="C188" s="27" t="inlineStr">
        <is>
          <t>Germany</t>
        </is>
      </c>
      <c r="D188" s="27" t="inlineStr">
        <is>
          <t>Nisbets</t>
        </is>
      </c>
      <c r="E188" s="27" t="inlineStr">
        <is>
          <t>Araven Soßenspender GN 1/9 Transparent 1,5Ltr</t>
        </is>
      </c>
      <c r="F188" s="102" t="n">
        <v>27.49</v>
      </c>
      <c r="G188" s="27" t="inlineStr">
        <is>
          <t>EUR</t>
        </is>
      </c>
      <c r="H188" s="102">
        <f>IF(AND(AE188="yes",ISNUMBER(AD188)),AD188,"")</f>
        <v/>
      </c>
      <c r="I188" s="103">
        <f>IF(AND(AE188="yes",ISNUMBER(AD188),ISNUMBER(INDEX('Sources'!$G$7:$G$10,MATCH(AB188,'Sources'!$B$7:$B$10,0)))),AD188/INDEX('Sources'!$G$7:$G$10,MATCH(AB188,'Sources'!$B$7:$B$10,0)),"")</f>
        <v/>
      </c>
      <c r="J188" s="27" t="inlineStr">
        <is>
          <t>CLOSE</t>
        </is>
      </c>
      <c r="K188" s="27" t="inlineStr">
        <is>
          <t>2026-09-30</t>
        </is>
      </c>
      <c r="L188" s="71" t="n"/>
      <c r="M188" s="27" t="inlineStr">
        <is>
          <t>PP pump dispenser 1.5 l, no stand; 3-piece set with stand (CR823) 111.99</t>
        </is>
      </c>
      <c r="N188" s="28" t="inlineStr">
        <is>
          <t>https://www.nisbets.de/araven-soenspender-gn-19-transparent-15l/cr821</t>
        </is>
      </c>
      <c r="O188" s="27" t="inlineStr">
        <is>
          <t>Araven</t>
        </is>
      </c>
      <c r="P188" s="27" t="inlineStr">
        <is>
          <t>excl.</t>
        </is>
      </c>
      <c r="Q188" s="104" t="n"/>
      <c r="R188" s="27" t="n">
        <v>1</v>
      </c>
      <c r="S188" s="27" t="n"/>
      <c r="T188" s="27" t="inlineStr">
        <is>
          <t>CLOSE</t>
        </is>
      </c>
      <c r="U188" s="27" t="inlineStr">
        <is>
          <t>Existing benchmark assignment and match quality retained.</t>
        </is>
      </c>
      <c r="V188" s="102" t="n">
        <v>27.49</v>
      </c>
      <c r="W188" s="102" t="n"/>
      <c r="X188" s="27" t="inlineStr">
        <is>
          <t>YES Gastro Germany Market Research.xlsx</t>
        </is>
      </c>
      <c r="Y188" s="27" t="n"/>
      <c r="Z188" s="27" t="n"/>
      <c r="AA188" s="27" t="n"/>
      <c r="AB188" s="27" t="inlineStr">
        <is>
          <t>EUR</t>
        </is>
      </c>
      <c r="AC188" s="27" t="inlineStr">
        <is>
          <t>yes</t>
        </is>
      </c>
      <c r="AD188" s="27">
        <f>IF(ISNUMBER(V188),V188,"")</f>
        <v/>
      </c>
      <c r="AE188" s="27">
        <f>IF(AND(AC188="yes",ISNUMBER(F188),IF('Compare'!$H$5="All mapped",TRUE,IF('Compare'!$H$5="EXACT only",J188="EXACT",OR(J188="EXACT",J188="CLOSE")))),"yes","no")</f>
        <v/>
      </c>
      <c r="AF188" s="27">
        <f>IF(ISNUMBER(H188),COUNTIFS($B$7:$B$608,B188,$C$7:$C$608,C188,$H$7:$H$608,"&lt;"&amp;H188,$AH$7:$AH$608,"yes")+COUNTIFS($B$7:B188,B188,$C$7:C188,C188,$H$7:H188,H188,$AH$7:AH188,"yes"),"")</f>
        <v/>
      </c>
      <c r="AG188" s="27">
        <f>IF(ISNUMBER(I188),COUNTIFS($B$7:$B$608,B188,$C$7:$C$608,C188,$I$7:$I$608,"&lt;"&amp;I188,$AI$7:$AI$608,"yes")+COUNTIFS($B$7:B188,B188,$C$7:C188,C188,$I$7:I188,I188,$AI$7:AI188,"yes"),"")</f>
        <v/>
      </c>
      <c r="AH188" s="27">
        <f>IF(ISNUMBER(H188),"yes","no")</f>
        <v/>
      </c>
      <c r="AI188" s="27">
        <f>IF(ISNUMBER(I188),"yes","no")</f>
        <v/>
      </c>
      <c r="AJ188" s="105" t="n">
        <v>46295</v>
      </c>
      <c r="AK188" s="27" t="n"/>
    </row>
    <row r="189" ht="66" customHeight="1">
      <c r="A189" s="2" t="n"/>
      <c r="B189" s="24" t="inlineStr">
        <is>
          <t>Sauce pump dispenser with stand</t>
        </is>
      </c>
      <c r="C189" s="24" t="inlineStr">
        <is>
          <t>Czech</t>
        </is>
      </c>
      <c r="D189" s="24" t="inlineStr">
        <is>
          <t>GGM Gastro (CZ storefront)</t>
        </is>
      </c>
      <c r="E189" s="24" t="inlineStr">
        <is>
          <t>Dávkovač omáčky - 2 L - Vč. nerezového podstavce</t>
        </is>
      </c>
      <c r="F189" s="98" t="n">
        <v>997.66</v>
      </c>
      <c r="G189" s="24" t="inlineStr">
        <is>
          <t>CZK</t>
        </is>
      </c>
      <c r="H189" s="98">
        <f>IF(AND(AE189="yes",ISNUMBER(AD189)),AD189,"")</f>
        <v/>
      </c>
      <c r="I189" s="99">
        <f>IF(AND(AE189="yes",ISNUMBER(AD189),ISNUMBER(INDEX('Sources'!$G$7:$G$10,MATCH(AB189,'Sources'!$B$7:$B$10,0)))),AD189/INDEX('Sources'!$G$7:$G$10,MATCH(AB189,'Sources'!$B$7:$B$10,0)),"")</f>
        <v/>
      </c>
      <c r="J189" s="24" t="inlineStr">
        <is>
          <t>EXACT</t>
        </is>
      </c>
      <c r="K189" s="24" t="inlineStr">
        <is>
          <t>2026-09-30</t>
        </is>
      </c>
      <c r="L189" s="71" t="n"/>
      <c r="M189" s="24" t="inlineStr">
        <is>
          <t>Net CZK price as displayed; page footnote: "* čistá cena | hrubá cena vč. 19% DPH" (German VAT 19% used on the CZ storefront). SKU SSH12: PP container with portion pump (30 ml adjustable) on stainless-steel stand. Gross 1,187.22 CZK. Stand-less pump dispenser KSP2 2 l: 681.25 CZK.</t>
        </is>
      </c>
      <c r="N189" s="25" t="inlineStr">
        <is>
          <t>https://www.ggmgastro.com/cs-cz-czk/davkovac-omacky-2-l-vc-nerezoveho-podstavce-ssh12</t>
        </is>
      </c>
      <c r="O189" s="24" t="inlineStr">
        <is>
          <t>GGM</t>
        </is>
      </c>
      <c r="P189" s="24" t="inlineStr">
        <is>
          <t>excl.</t>
        </is>
      </c>
      <c r="Q189" s="100" t="n">
        <v>0.19</v>
      </c>
      <c r="R189" s="24" t="n">
        <v>1</v>
      </c>
      <c r="S189" s="24" t="inlineStr">
        <is>
          <t>per piece</t>
        </is>
      </c>
      <c r="T189" s="24" t="inlineStr">
        <is>
          <t>EXACT</t>
        </is>
      </c>
      <c r="U189" s="24" t="inlineStr">
        <is>
          <t>Existing benchmark assignment and match quality retained.</t>
        </is>
      </c>
      <c r="V189" s="98" t="n"/>
      <c r="W189" s="98" t="n"/>
      <c r="X189" s="24" t="inlineStr">
        <is>
          <t>YES Gastro Czech Market Research.xlsx</t>
        </is>
      </c>
      <c r="Y189" s="24" t="n"/>
      <c r="Z189" s="24" t="n"/>
      <c r="AA189" s="24" t="n"/>
      <c r="AB189" s="24" t="inlineStr">
        <is>
          <t>CZK</t>
        </is>
      </c>
      <c r="AC189" s="24" t="inlineStr">
        <is>
          <t>yes</t>
        </is>
      </c>
      <c r="AD189" s="24">
        <f>IF(OR(F189="",Q189="",R189=""),"",ROUND(IF(P189="incl.",F189/(1+Q189),F189)/IF(S189="per pack",R189,1),2))</f>
        <v/>
      </c>
      <c r="AE189" s="24">
        <f>IF(AND(AC189="yes",ISNUMBER(F189),IF('Compare'!$H$5="All mapped",TRUE,IF('Compare'!$H$5="EXACT only",J189="EXACT",OR(J189="EXACT",J189="CLOSE")))),"yes","no")</f>
        <v/>
      </c>
      <c r="AF189" s="24">
        <f>IF(ISNUMBER(H189),COUNTIFS($B$7:$B$608,B189,$C$7:$C$608,C189,$H$7:$H$608,"&lt;"&amp;H189,$AH$7:$AH$608,"yes")+COUNTIFS($B$7:B189,B189,$C$7:C189,C189,$H$7:H189,H189,$AH$7:AH189,"yes"),"")</f>
        <v/>
      </c>
      <c r="AG189" s="24">
        <f>IF(ISNUMBER(I189),COUNTIFS($B$7:$B$608,B189,$C$7:$C$608,C189,$I$7:$I$608,"&lt;"&amp;I189,$AI$7:$AI$608,"yes")+COUNTIFS($B$7:B189,B189,$C$7:C189,C189,$I$7:I189,I189,$AI$7:AI189,"yes"),"")</f>
        <v/>
      </c>
      <c r="AH189" s="24">
        <f>IF(ISNUMBER(H189),"yes","no")</f>
        <v/>
      </c>
      <c r="AI189" s="24">
        <f>IF(ISNUMBER(I189),"yes","no")</f>
        <v/>
      </c>
      <c r="AJ189" s="101" t="n">
        <v>46295</v>
      </c>
      <c r="AK189" s="24" t="n"/>
    </row>
    <row r="190" ht="42" customHeight="1">
      <c r="A190" s="2" t="n"/>
      <c r="B190" s="27" t="inlineStr">
        <is>
          <t>Sauce pump dispenser with stand</t>
        </is>
      </c>
      <c r="C190" s="27" t="inlineStr">
        <is>
          <t>Czech</t>
        </is>
      </c>
      <c r="D190" s="27" t="inlineStr">
        <is>
          <t>Gastromania</t>
        </is>
      </c>
      <c r="E190" s="27" t="inlineStr">
        <is>
          <t>Dávkovač na omáčky s pumpičkou 2,5 l, červený | HENDI, 203521</t>
        </is>
      </c>
      <c r="F190" s="102" t="n">
        <v>636</v>
      </c>
      <c r="G190" s="27" t="inlineStr">
        <is>
          <t>CZK</t>
        </is>
      </c>
      <c r="H190" s="102">
        <f>IF(AND(AE190="yes",ISNUMBER(AD190)),AD190,"")</f>
        <v/>
      </c>
      <c r="I190" s="103">
        <f>IF(AND(AE190="yes",ISNUMBER(AD190),ISNUMBER(INDEX('Sources'!$G$7:$G$10,MATCH(AB190,'Sources'!$B$7:$B$10,0)))),AD190/INDEX('Sources'!$G$7:$G$10,MATCH(AB190,'Sources'!$B$7:$B$10,0)),"")</f>
        <v/>
      </c>
      <c r="J190" s="27" t="inlineStr">
        <is>
          <t>CLOSE</t>
        </is>
      </c>
      <c r="K190" s="27" t="inlineStr">
        <is>
          <t>2026-09-30</t>
        </is>
      </c>
      <c r="L190" s="71" t="n"/>
      <c r="M190" s="27" t="inlineStr">
        <is>
          <t>Free-standing pump dispenser: ABS housing, PP inner container and removable pump, 2.5 l, 20 ml dose; separate stand not mentioned. 770 CZK incl.; in stock.</t>
        </is>
      </c>
      <c r="N190" s="28" t="inlineStr">
        <is>
          <t>https://www.gastromania.cz/davkovace-omacek/davkovac-na-omacky-s-pumpickou-2-5-l-cerveny-hendi-203521</t>
        </is>
      </c>
      <c r="O190" s="27" t="inlineStr">
        <is>
          <t>Hendi</t>
        </is>
      </c>
      <c r="P190" s="27" t="inlineStr">
        <is>
          <t>excl.</t>
        </is>
      </c>
      <c r="Q190" s="104" t="n">
        <v>0.21</v>
      </c>
      <c r="R190" s="27" t="n">
        <v>1</v>
      </c>
      <c r="S190" s="27" t="inlineStr">
        <is>
          <t>per piece</t>
        </is>
      </c>
      <c r="T190" s="27" t="inlineStr">
        <is>
          <t>CLOSE</t>
        </is>
      </c>
      <c r="U190" s="27" t="inlineStr">
        <is>
          <t>Existing benchmark assignment and match quality retained.</t>
        </is>
      </c>
      <c r="V190" s="102" t="n"/>
      <c r="W190" s="102" t="n"/>
      <c r="X190" s="27" t="inlineStr">
        <is>
          <t>YES Gastro Czech Market Research.xlsx</t>
        </is>
      </c>
      <c r="Y190" s="27" t="n"/>
      <c r="Z190" s="27" t="n"/>
      <c r="AA190" s="27" t="n"/>
      <c r="AB190" s="27" t="inlineStr">
        <is>
          <t>CZK</t>
        </is>
      </c>
      <c r="AC190" s="27" t="inlineStr">
        <is>
          <t>yes</t>
        </is>
      </c>
      <c r="AD190" s="27">
        <f>IF(OR(F190="",Q190="",R190=""),"",ROUND(IF(P190="incl.",F190/(1+Q190),F190)/IF(S190="per pack",R190,1),2))</f>
        <v/>
      </c>
      <c r="AE190" s="27">
        <f>IF(AND(AC190="yes",ISNUMBER(F190),IF('Compare'!$H$5="All mapped",TRUE,IF('Compare'!$H$5="EXACT only",J190="EXACT",OR(J190="EXACT",J190="CLOSE")))),"yes","no")</f>
        <v/>
      </c>
      <c r="AF190" s="27">
        <f>IF(ISNUMBER(H190),COUNTIFS($B$7:$B$608,B190,$C$7:$C$608,C190,$H$7:$H$608,"&lt;"&amp;H190,$AH$7:$AH$608,"yes")+COUNTIFS($B$7:B190,B190,$C$7:C190,C190,$H$7:H190,H190,$AH$7:AH190,"yes"),"")</f>
        <v/>
      </c>
      <c r="AG190" s="27">
        <f>IF(ISNUMBER(I190),COUNTIFS($B$7:$B$608,B190,$C$7:$C$608,C190,$I$7:$I$608,"&lt;"&amp;I190,$AI$7:$AI$608,"yes")+COUNTIFS($B$7:B190,B190,$C$7:C190,C190,$I$7:I190,I190,$AI$7:AI190,"yes"),"")</f>
        <v/>
      </c>
      <c r="AH190" s="27">
        <f>IF(ISNUMBER(H190),"yes","no")</f>
        <v/>
      </c>
      <c r="AI190" s="27">
        <f>IF(ISNUMBER(I190),"yes","no")</f>
        <v/>
      </c>
      <c r="AJ190" s="105" t="n">
        <v>46295</v>
      </c>
      <c r="AK190" s="27" t="n"/>
    </row>
    <row r="191" ht="52" customHeight="1">
      <c r="A191" s="2" t="n"/>
      <c r="B191" s="24" t="inlineStr">
        <is>
          <t>Sauce pump dispenser with stand</t>
        </is>
      </c>
      <c r="C191" s="24" t="inlineStr">
        <is>
          <t>Czech</t>
        </is>
      </c>
      <c r="D191" s="24" t="inlineStr">
        <is>
          <t>Gastrozone</t>
        </is>
      </c>
      <c r="E191" s="24" t="inlineStr">
        <is>
          <t>Dávkovač omáčky Contacto 3 l</t>
        </is>
      </c>
      <c r="F191" s="98" t="n">
        <v>1446</v>
      </c>
      <c r="G191" s="24" t="inlineStr">
        <is>
          <t>CZK</t>
        </is>
      </c>
      <c r="H191" s="98">
        <f>IF(AND(AE191="yes",ISNUMBER(AD191)),AD191,"")</f>
        <v/>
      </c>
      <c r="I191" s="99">
        <f>IF(AND(AE191="yes",ISNUMBER(AD191),ISNUMBER(INDEX('Sources'!$G$7:$G$10,MATCH(AB191,'Sources'!$B$7:$B$10,0)))),AD191/INDEX('Sources'!$G$7:$G$10,MATCH(AB191,'Sources'!$B$7:$B$10,0)),"")</f>
        <v/>
      </c>
      <c r="J191" s="24" t="inlineStr">
        <is>
          <t>CLOSE</t>
        </is>
      </c>
      <c r="K191" s="24" t="inlineStr">
        <is>
          <t>2026-09-30</t>
        </is>
      </c>
      <c r="L191" s="71" t="n"/>
      <c r="M191" s="24" t="inlineStr">
        <is>
          <t>Countertop pump dispenser for ketchup/mustard, white PE, ~30 ml portion, sliding cover, removable pump; free-standing unit - separate stand not mentioned. 1,195 CZK bez DPH.</t>
        </is>
      </c>
      <c r="N191" s="25" t="inlineStr">
        <is>
          <t>https://www.gastrozone.cz/contacto-davkovac-omacky-3-l.html</t>
        </is>
      </c>
      <c r="O191" s="24" t="inlineStr">
        <is>
          <t>Contacto</t>
        </is>
      </c>
      <c r="P191" s="24" t="inlineStr">
        <is>
          <t>incl.</t>
        </is>
      </c>
      <c r="Q191" s="100" t="n">
        <v>0.21</v>
      </c>
      <c r="R191" s="24" t="n">
        <v>1</v>
      </c>
      <c r="S191" s="24" t="inlineStr">
        <is>
          <t>per piece</t>
        </is>
      </c>
      <c r="T191" s="24" t="inlineStr">
        <is>
          <t>CLOSE</t>
        </is>
      </c>
      <c r="U191" s="24" t="inlineStr">
        <is>
          <t>Existing benchmark assignment and match quality retained.</t>
        </is>
      </c>
      <c r="V191" s="98" t="n"/>
      <c r="W191" s="98" t="n"/>
      <c r="X191" s="24" t="inlineStr">
        <is>
          <t>YES Gastro Czech Market Research.xlsx</t>
        </is>
      </c>
      <c r="Y191" s="24" t="n"/>
      <c r="Z191" s="24" t="n"/>
      <c r="AA191" s="24" t="n"/>
      <c r="AB191" s="24" t="inlineStr">
        <is>
          <t>CZK</t>
        </is>
      </c>
      <c r="AC191" s="24" t="inlineStr">
        <is>
          <t>yes</t>
        </is>
      </c>
      <c r="AD191" s="24">
        <f>IF(OR(F191="",Q191="",R191=""),"",ROUND(IF(P191="incl.",F191/(1+Q191),F191)/IF(S191="per pack",R191,1),2))</f>
        <v/>
      </c>
      <c r="AE191" s="24">
        <f>IF(AND(AC191="yes",ISNUMBER(F191),IF('Compare'!$H$5="All mapped",TRUE,IF('Compare'!$H$5="EXACT only",J191="EXACT",OR(J191="EXACT",J191="CLOSE")))),"yes","no")</f>
        <v/>
      </c>
      <c r="AF191" s="24">
        <f>IF(ISNUMBER(H191),COUNTIFS($B$7:$B$608,B191,$C$7:$C$608,C191,$H$7:$H$608,"&lt;"&amp;H191,$AH$7:$AH$608,"yes")+COUNTIFS($B$7:B191,B191,$C$7:C191,C191,$H$7:H191,H191,$AH$7:AH191,"yes"),"")</f>
        <v/>
      </c>
      <c r="AG191" s="24">
        <f>IF(ISNUMBER(I191),COUNTIFS($B$7:$B$608,B191,$C$7:$C$608,C191,$I$7:$I$608,"&lt;"&amp;I191,$AI$7:$AI$608,"yes")+COUNTIFS($B$7:B191,B191,$C$7:C191,C191,$I$7:I191,I191,$AI$7:AI191,"yes"),"")</f>
        <v/>
      </c>
      <c r="AH191" s="24">
        <f>IF(ISNUMBER(H191),"yes","no")</f>
        <v/>
      </c>
      <c r="AI191" s="24">
        <f>IF(ISNUMBER(I191),"yes","no")</f>
        <v/>
      </c>
      <c r="AJ191" s="101" t="n">
        <v>46295</v>
      </c>
      <c r="AK191" s="24" t="n"/>
    </row>
    <row r="192" ht="42" customHeight="1">
      <c r="A192" s="2" t="n"/>
      <c r="B192" s="27" t="inlineStr">
        <is>
          <t>Sauce pump dispenser with stand</t>
        </is>
      </c>
      <c r="C192" s="27" t="inlineStr">
        <is>
          <t>Czech</t>
        </is>
      </c>
      <c r="D192" s="27" t="inlineStr">
        <is>
          <t>TOMGAST</t>
        </is>
      </c>
      <c r="E192" s="27" t="inlineStr">
        <is>
          <t>Dávkovač 1,5 l</t>
        </is>
      </c>
      <c r="F192" s="102" t="n">
        <v>877</v>
      </c>
      <c r="G192" s="27" t="inlineStr">
        <is>
          <t>CZK</t>
        </is>
      </c>
      <c r="H192" s="102">
        <f>IF(AND(AE192="yes",ISNUMBER(AD192)),AD192,"")</f>
        <v/>
      </c>
      <c r="I192" s="103">
        <f>IF(AND(AE192="yes",ISNUMBER(AD192),ISNUMBER(INDEX('Sources'!$G$7:$G$10,MATCH(AB192,'Sources'!$B$7:$B$10,0)))),AD192/INDEX('Sources'!$G$7:$G$10,MATCH(AB192,'Sources'!$B$7:$B$10,0)),"")</f>
        <v/>
      </c>
      <c r="J192" s="27" t="inlineStr">
        <is>
          <t>APPROX</t>
        </is>
      </c>
      <c r="K192" s="27" t="inlineStr">
        <is>
          <t>2026-09-30</t>
        </is>
      </c>
      <c r="L192" s="71" t="n"/>
      <c r="M192" s="27" t="inlineStr">
        <is>
          <t>Push-button portion dispenser (30 ml dose), polyethylene, 1.5 l; no stand/base mentioned - not a pump-on-stand unit. 725 CZK bez DPH.</t>
        </is>
      </c>
      <c r="N192" s="28" t="inlineStr">
        <is>
          <t>https://www.tomgast.cz/davkovac-1-5-l/</t>
        </is>
      </c>
      <c r="O192" s="27" t="inlineStr">
        <is>
          <t>TOMGAST</t>
        </is>
      </c>
      <c r="P192" s="27" t="inlineStr">
        <is>
          <t>incl.</t>
        </is>
      </c>
      <c r="Q192" s="104" t="n">
        <v>0.21</v>
      </c>
      <c r="R192" s="27" t="n">
        <v>1</v>
      </c>
      <c r="S192" s="27" t="inlineStr">
        <is>
          <t>per piece</t>
        </is>
      </c>
      <c r="T192" s="27" t="inlineStr">
        <is>
          <t>APPROX</t>
        </is>
      </c>
      <c r="U192" s="27" t="inlineStr">
        <is>
          <t>Existing benchmark assignment and match quality retained.</t>
        </is>
      </c>
      <c r="V192" s="102" t="n"/>
      <c r="W192" s="102" t="n"/>
      <c r="X192" s="27" t="inlineStr">
        <is>
          <t>YES Gastro Czech Market Research.xlsx</t>
        </is>
      </c>
      <c r="Y192" s="27" t="n"/>
      <c r="Z192" s="27" t="n"/>
      <c r="AA192" s="27" t="n"/>
      <c r="AB192" s="27" t="inlineStr">
        <is>
          <t>CZK</t>
        </is>
      </c>
      <c r="AC192" s="27" t="inlineStr">
        <is>
          <t>yes</t>
        </is>
      </c>
      <c r="AD192" s="27">
        <f>IF(OR(F192="",Q192="",R192=""),"",ROUND(IF(P192="incl.",F192/(1+Q192),F192)/IF(S192="per pack",R192,1),2))</f>
        <v/>
      </c>
      <c r="AE192" s="27">
        <f>IF(AND(AC192="yes",ISNUMBER(F192),IF('Compare'!$H$5="All mapped",TRUE,IF('Compare'!$H$5="EXACT only",J192="EXACT",OR(J192="EXACT",J192="CLOSE")))),"yes","no")</f>
        <v/>
      </c>
      <c r="AF192" s="27">
        <f>IF(ISNUMBER(H192),COUNTIFS($B$7:$B$608,B192,$C$7:$C$608,C192,$H$7:$H$608,"&lt;"&amp;H192,$AH$7:$AH$608,"yes")+COUNTIFS($B$7:B192,B192,$C$7:C192,C192,$H$7:H192,H192,$AH$7:AH192,"yes"),"")</f>
        <v/>
      </c>
      <c r="AG192" s="27">
        <f>IF(ISNUMBER(I192),COUNTIFS($B$7:$B$608,B192,$C$7:$C$608,C192,$I$7:$I$608,"&lt;"&amp;I192,$AI$7:$AI$608,"yes")+COUNTIFS($B$7:B192,B192,$C$7:C192,C192,$I$7:I192,I192,$AI$7:AI192,"yes"),"")</f>
        <v/>
      </c>
      <c r="AH192" s="27">
        <f>IF(ISNUMBER(H192),"yes","no")</f>
        <v/>
      </c>
      <c r="AI192" s="27">
        <f>IF(ISNUMBER(I192),"yes","no")</f>
        <v/>
      </c>
      <c r="AJ192" s="105" t="n">
        <v>46295</v>
      </c>
      <c r="AK192" s="27" t="n"/>
    </row>
    <row r="193" ht="52" customHeight="1">
      <c r="A193" s="2" t="n"/>
      <c r="B193" s="24" t="inlineStr">
        <is>
          <t>Sauce pump dispenser with stand</t>
        </is>
      </c>
      <c r="C193" s="24" t="inlineStr">
        <is>
          <t>Slovakia</t>
        </is>
      </c>
      <c r="D193" s="24" t="inlineStr">
        <is>
          <t>Gastromania.sk (GASTROMANIA CZ s.r.o., CZ)</t>
        </is>
      </c>
      <c r="E193" s="24" t="inlineStr">
        <is>
          <t>Polyproplylénový dávkovač omáčok, 1,5 l, 130x90x290 mm | CONTACTO, 1324/150</t>
        </is>
      </c>
      <c r="F193" s="98" t="n">
        <v>19.42</v>
      </c>
      <c r="G193" s="24" t="inlineStr">
        <is>
          <t>EUR</t>
        </is>
      </c>
      <c r="H193" s="98">
        <f>IF(AND(AE193="yes",ISNUMBER(AD193)),AD193,"")</f>
        <v/>
      </c>
      <c r="I193" s="99">
        <f>IF(AND(AE193="yes",ISNUMBER(AD193),ISNUMBER(INDEX('Sources'!$G$7:$G$10,MATCH(AB193,'Sources'!$B$7:$B$10,0)))),AD193/INDEX('Sources'!$G$7:$G$10,MATCH(AB193,'Sources'!$B$7:$B$10,0)),"")</f>
        <v/>
      </c>
      <c r="J193" s="24" t="inlineStr">
        <is>
          <t>APPROX</t>
        </is>
      </c>
      <c r="K193" s="24" t="inlineStr">
        <is>
          <t>2026-09-30</t>
        </is>
      </c>
      <c r="L193" s="71" t="n"/>
      <c r="M193" s="24" t="inlineStr">
        <is>
          <t>Listed 'Cena bez DPH' 19.42 EUR / 'Cena s DPH' 23.89 EUR. PP pump sauce dispenser 1,5 l; no stand mentioned. (HENDI 557983 'Držiak na dávkovač omáčok 3x 0,7 l' is a stand for bottles, sold separately, not priced here.) Stock 1-2 pcs.</t>
        </is>
      </c>
      <c r="N193" s="25" t="inlineStr">
        <is>
          <t>https://gastromania.sk/davkovace-omacok/polyproplylenovy-davkovac-omacok-1-5-l-130x90x290-mm-contacto-1324-150</t>
        </is>
      </c>
      <c r="O193" s="24" t="inlineStr">
        <is>
          <t>Contacto</t>
        </is>
      </c>
      <c r="P193" s="24" t="inlineStr">
        <is>
          <t>excl.</t>
        </is>
      </c>
      <c r="Q193" s="100" t="inlineStr">
        <is>
          <t>n/a</t>
        </is>
      </c>
      <c r="R193" s="24" t="n">
        <v>1</v>
      </c>
      <c r="S193" s="24" t="inlineStr">
        <is>
          <t>per piece</t>
        </is>
      </c>
      <c r="T193" s="24" t="inlineStr">
        <is>
          <t>APPROX</t>
        </is>
      </c>
      <c r="U193" s="24" t="inlineStr">
        <is>
          <t>Existing benchmark assignment and match quality retained.</t>
        </is>
      </c>
      <c r="V193" s="98" t="n">
        <v>19.42</v>
      </c>
      <c r="W193" s="98" t="n"/>
      <c r="X193" s="24" t="inlineStr">
        <is>
          <t>YES Gastro Slovakia Market Research.xlsx</t>
        </is>
      </c>
      <c r="Y193" s="24" t="n"/>
      <c r="Z193" s="24" t="n"/>
      <c r="AA193" s="24" t="n"/>
      <c r="AB193" s="24" t="inlineStr">
        <is>
          <t>EUR</t>
        </is>
      </c>
      <c r="AC193" s="24" t="inlineStr">
        <is>
          <t>yes</t>
        </is>
      </c>
      <c r="AD193" s="24">
        <f>IF(ISNUMBER(V193),V193,"")</f>
        <v/>
      </c>
      <c r="AE193" s="24">
        <f>IF(AND(AC193="yes",ISNUMBER(F193),IF('Compare'!$H$5="All mapped",TRUE,IF('Compare'!$H$5="EXACT only",J193="EXACT",OR(J193="EXACT",J193="CLOSE")))),"yes","no")</f>
        <v/>
      </c>
      <c r="AF193" s="24">
        <f>IF(ISNUMBER(H193),COUNTIFS($B$7:$B$608,B193,$C$7:$C$608,C193,$H$7:$H$608,"&lt;"&amp;H193,$AH$7:$AH$608,"yes")+COUNTIFS($B$7:B193,B193,$C$7:C193,C193,$H$7:H193,H193,$AH$7:AH193,"yes"),"")</f>
        <v/>
      </c>
      <c r="AG193" s="24">
        <f>IF(ISNUMBER(I193),COUNTIFS($B$7:$B$608,B193,$C$7:$C$608,C193,$I$7:$I$608,"&lt;"&amp;I193,$AI$7:$AI$608,"yes")+COUNTIFS($B$7:B193,B193,$C$7:C193,C193,$I$7:I193,I193,$AI$7:AI193,"yes"),"")</f>
        <v/>
      </c>
      <c r="AH193" s="24">
        <f>IF(ISNUMBER(H193),"yes","no")</f>
        <v/>
      </c>
      <c r="AI193" s="24">
        <f>IF(ISNUMBER(I193),"yes","no")</f>
        <v/>
      </c>
      <c r="AJ193" s="101" t="n">
        <v>46295</v>
      </c>
      <c r="AK193" s="24" t="n"/>
    </row>
    <row r="194" ht="52" customHeight="1">
      <c r="A194" s="2" t="n"/>
      <c r="B194" s="27" t="inlineStr">
        <is>
          <t>Sauce pump dispenser with stand</t>
        </is>
      </c>
      <c r="C194" s="27" t="inlineStr">
        <is>
          <t>Slovakia</t>
        </is>
      </c>
      <c r="D194" s="27" t="inlineStr">
        <is>
          <t>Gastrozone.sk (GASTROZONE, spol. s r.o., CZ)</t>
        </is>
      </c>
      <c r="E194" s="27" t="inlineStr">
        <is>
          <t>ARAVEN Dávkovač omáčok GN 1/6, polypropylén, objem 2,6 L</t>
        </is>
      </c>
      <c r="F194" s="102" t="n">
        <v>26.69</v>
      </c>
      <c r="G194" s="27" t="inlineStr">
        <is>
          <t>EUR</t>
        </is>
      </c>
      <c r="H194" s="102">
        <f>IF(AND(AE194="yes",ISNUMBER(AD194)),AD194,"")</f>
        <v/>
      </c>
      <c r="I194" s="103">
        <f>IF(AND(AE194="yes",ISNUMBER(AD194),ISNUMBER(INDEX('Sources'!$G$7:$G$10,MATCH(AB194,'Sources'!$B$7:$B$10,0)))),AD194/INDEX('Sources'!$G$7:$G$10,MATCH(AB194,'Sources'!$B$7:$B$10,0)),"")</f>
        <v/>
      </c>
      <c r="J194" s="27" t="inlineStr">
        <is>
          <t>APPROX</t>
        </is>
      </c>
      <c r="K194" s="27" t="inlineStr">
        <is>
          <t>2026-09-30</t>
        </is>
      </c>
      <c r="L194" s="71" t="n"/>
      <c r="M194" s="27" t="inlineStr">
        <is>
          <t>PP pump dispenser in a GN 1/6 container (2,6 l); no stand. Page shows 26,69 / 21,70 bez DPH. Alternative: Contacto 3 l free-standing PE portion dispenser for ketchup/mustard, 75,35 EUR.</t>
        </is>
      </c>
      <c r="N194" s="28" t="inlineStr">
        <is>
          <t>https://www.gastrozone.sk/araven-gn-davkovac-omacek-1-6-polypropylen-obsah-2-6-l.html</t>
        </is>
      </c>
      <c r="O194" s="27" t="inlineStr">
        <is>
          <t>Araven</t>
        </is>
      </c>
      <c r="P194" s="27" t="inlineStr">
        <is>
          <t>incl.</t>
        </is>
      </c>
      <c r="Q194" s="104" t="n">
        <v>0.23</v>
      </c>
      <c r="R194" s="27" t="n">
        <v>1</v>
      </c>
      <c r="S194" s="27" t="inlineStr">
        <is>
          <t>per piece</t>
        </is>
      </c>
      <c r="T194" s="27" t="inlineStr">
        <is>
          <t>APPROX</t>
        </is>
      </c>
      <c r="U194" s="27" t="inlineStr">
        <is>
          <t>Existing benchmark assignment and match quality retained.</t>
        </is>
      </c>
      <c r="V194" s="102" t="n">
        <v>21.6991869918699</v>
      </c>
      <c r="W194" s="102" t="n"/>
      <c r="X194" s="27" t="inlineStr">
        <is>
          <t>YES Gastro Slovakia Market Research.xlsx</t>
        </is>
      </c>
      <c r="Y194" s="27" t="n"/>
      <c r="Z194" s="27" t="n"/>
      <c r="AA194" s="27" t="n"/>
      <c r="AB194" s="27" t="inlineStr">
        <is>
          <t>EUR</t>
        </is>
      </c>
      <c r="AC194" s="27" t="inlineStr">
        <is>
          <t>yes</t>
        </is>
      </c>
      <c r="AD194" s="27">
        <f>IF(ISNUMBER(V194),V194,"")</f>
        <v/>
      </c>
      <c r="AE194" s="27">
        <f>IF(AND(AC194="yes",ISNUMBER(F194),IF('Compare'!$H$5="All mapped",TRUE,IF('Compare'!$H$5="EXACT only",J194="EXACT",OR(J194="EXACT",J194="CLOSE")))),"yes","no")</f>
        <v/>
      </c>
      <c r="AF194" s="27">
        <f>IF(ISNUMBER(H194),COUNTIFS($B$7:$B$608,B194,$C$7:$C$608,C194,$H$7:$H$608,"&lt;"&amp;H194,$AH$7:$AH$608,"yes")+COUNTIFS($B$7:B194,B194,$C$7:C194,C194,$H$7:H194,H194,$AH$7:AH194,"yes"),"")</f>
        <v/>
      </c>
      <c r="AG194" s="27">
        <f>IF(ISNUMBER(I194),COUNTIFS($B$7:$B$608,B194,$C$7:$C$608,C194,$I$7:$I$608,"&lt;"&amp;I194,$AI$7:$AI$608,"yes")+COUNTIFS($B$7:B194,B194,$C$7:C194,C194,$I$7:I194,I194,$AI$7:AI194,"yes"),"")</f>
        <v/>
      </c>
      <c r="AH194" s="27">
        <f>IF(ISNUMBER(H194),"yes","no")</f>
        <v/>
      </c>
      <c r="AI194" s="27">
        <f>IF(ISNUMBER(I194),"yes","no")</f>
        <v/>
      </c>
      <c r="AJ194" s="105" t="n">
        <v>46295</v>
      </c>
      <c r="AK194" s="27" t="n"/>
    </row>
    <row r="195" ht="42" customHeight="1">
      <c r="A195" s="2" t="n"/>
      <c r="B195" s="24" t="inlineStr">
        <is>
          <t>PE cutting board 530 × 325 × 20 mm</t>
        </is>
      </c>
      <c r="C195" s="24" t="inlineStr">
        <is>
          <t>Hungary</t>
        </is>
      </c>
      <c r="D195" s="24" t="inlineStr">
        <is>
          <t>Attase</t>
        </is>
      </c>
      <c r="E195" s="24" t="inlineStr">
        <is>
          <t>Cutting Board 530 x 325 x 20 mm</t>
        </is>
      </c>
      <c r="F195" s="98" t="n">
        <v>5772</v>
      </c>
      <c r="G195" s="24" t="inlineStr">
        <is>
          <t>HUF</t>
        </is>
      </c>
      <c r="H195" s="98">
        <f>IF(AND(AE195="yes",ISNUMBER(AD195)),AD195,"")</f>
        <v/>
      </c>
      <c r="I195" s="99">
        <f>IF(AND(AE195="yes",ISNUMBER(AD195),ISNUMBER(INDEX('Sources'!$G$7:$G$10,MATCH(AB195,'Sources'!$B$7:$B$10,0)))),AD195/INDEX('Sources'!$G$7:$G$10,MATCH(AB195,'Sources'!$B$7:$B$10,0)),"")</f>
        <v/>
      </c>
      <c r="J195" s="24" t="inlineStr">
        <is>
          <t>INCOMPLETE</t>
        </is>
      </c>
      <c r="K195" s="24" t="inlineStr">
        <is>
          <t>24.06.2026</t>
        </is>
      </c>
      <c r="L195" s="71" t="n"/>
      <c r="M195" s="24" t="inlineStr">
        <is>
          <t>Source sheet: Cutting Boards</t>
        </is>
      </c>
      <c r="N195" s="25" t="inlineStr">
        <is>
          <t>https://www.attase.hu/spd/PE-53322-GR/Vagodeszka-muanyag-53x325x2-cm-Zold</t>
        </is>
      </c>
      <c r="O195" s="24" t="n"/>
      <c r="P195" s="24" t="n"/>
      <c r="Q195" s="100" t="n"/>
      <c r="R195" s="24" t="n"/>
      <c r="S195" s="24" t="n"/>
      <c r="T195" s="24" t="n"/>
      <c r="U195" s="24" t="inlineStr">
        <is>
          <t>Dimensions agree. PE material and HACCP specification are not stated in the source row.</t>
        </is>
      </c>
      <c r="V195" s="98" t="n"/>
      <c r="W195" s="98" t="n">
        <v>5772</v>
      </c>
      <c r="X195" s="24" t="inlineStr">
        <is>
          <t>YES Gastro Hungary Market Research.xlsx</t>
        </is>
      </c>
      <c r="Y195" s="24" t="inlineStr">
        <is>
          <t>Taha</t>
        </is>
      </c>
      <c r="Z195" s="24" t="n"/>
      <c r="AA195" s="24" t="inlineStr">
        <is>
          <t>Direct</t>
        </is>
      </c>
      <c r="AB195" s="24" t="inlineStr">
        <is>
          <t>HUF</t>
        </is>
      </c>
      <c r="AC195" s="24" t="inlineStr">
        <is>
          <t>yes</t>
        </is>
      </c>
      <c r="AD195" s="24">
        <f>IF(ISNUMBER(F195),IF(G195=AB195,F195,IF(AND(ISNUMBER(INDEX('Sources'!$G$7:$G$10,MATCH(G195,'Sources'!$B$7:$B$10,0))),ISNUMBER(INDEX('Sources'!$G$7:$G$10,MATCH(AB195,'Sources'!$B$7:$B$10,0)))),F195/INDEX('Sources'!$G$7:$G$10,MATCH(G195,'Sources'!$B$7:$B$10,0))*INDEX('Sources'!$G$7:$G$10,MATCH(AB195,'Sources'!$B$7:$B$10,0)),"")),"")</f>
        <v/>
      </c>
      <c r="AE195" s="24">
        <f>IF(AND(AC195="yes",ISNUMBER(F195),IF('Compare'!$H$5="All mapped",TRUE,IF('Compare'!$H$5="EXACT only",J195="EXACT",OR(J195="EXACT",J195="CLOSE")))),"yes","no")</f>
        <v/>
      </c>
      <c r="AF195" s="24">
        <f>IF(ISNUMBER(H195),COUNTIFS($B$7:$B$608,B195,$C$7:$C$608,C195,$H$7:$H$608,"&lt;"&amp;H195,$AH$7:$AH$608,"yes")+COUNTIFS($B$7:B195,B195,$C$7:C195,C195,$H$7:H195,H195,$AH$7:AH195,"yes"),"")</f>
        <v/>
      </c>
      <c r="AG195" s="24">
        <f>IF(ISNUMBER(I195),COUNTIFS($B$7:$B$608,B195,$C$7:$C$608,C195,$I$7:$I$608,"&lt;"&amp;I195,$AI$7:$AI$608,"yes")+COUNTIFS($B$7:B195,B195,$C$7:C195,C195,$I$7:I195,I195,$AI$7:AI195,"yes"),"")</f>
        <v/>
      </c>
      <c r="AH195" s="24">
        <f>IF(ISNUMBER(H195),"yes","no")</f>
        <v/>
      </c>
      <c r="AI195" s="24">
        <f>IF(ISNUMBER(I195),"yes","no")</f>
        <v/>
      </c>
      <c r="AJ195" s="101" t="n">
        <v>46197</v>
      </c>
      <c r="AK195" s="24" t="n"/>
    </row>
    <row r="196" ht="42" customHeight="1">
      <c r="A196" s="2" t="n"/>
      <c r="B196" s="27" t="inlineStr">
        <is>
          <t>PE cutting board 530 × 325 × 20 mm</t>
        </is>
      </c>
      <c r="C196" s="27" t="inlineStr">
        <is>
          <t>Hungary</t>
        </is>
      </c>
      <c r="D196" s="27" t="inlineStr">
        <is>
          <t>Gasztronagyker</t>
        </is>
      </c>
      <c r="E196" s="27" t="inlineStr">
        <is>
          <t>Cutting Board 530 x 325 x 20 mm</t>
        </is>
      </c>
      <c r="F196" s="102" t="n">
        <v>7850</v>
      </c>
      <c r="G196" s="27" t="inlineStr">
        <is>
          <t>HUF</t>
        </is>
      </c>
      <c r="H196" s="102">
        <f>IF(AND(AE196="yes",ISNUMBER(AD196)),AD196,"")</f>
        <v/>
      </c>
      <c r="I196" s="103">
        <f>IF(AND(AE196="yes",ISNUMBER(AD196),ISNUMBER(INDEX('Sources'!$G$7:$G$10,MATCH(AB196,'Sources'!$B$7:$B$10,0)))),AD196/INDEX('Sources'!$G$7:$G$10,MATCH(AB196,'Sources'!$B$7:$B$10,0)),"")</f>
        <v/>
      </c>
      <c r="J196" s="27" t="inlineStr">
        <is>
          <t>INCOMPLETE</t>
        </is>
      </c>
      <c r="K196" s="27" t="inlineStr">
        <is>
          <t>24.06.2026</t>
        </is>
      </c>
      <c r="L196" s="71" t="n"/>
      <c r="M196" s="27" t="inlineStr">
        <is>
          <t>Source sheet: Cutting Boards</t>
        </is>
      </c>
      <c r="N196" s="28" t="inlineStr">
        <is>
          <t>https://www.gasztronagyker.hu/vagolapok</t>
        </is>
      </c>
      <c r="O196" s="27" t="n"/>
      <c r="P196" s="27" t="n"/>
      <c r="Q196" s="104" t="n"/>
      <c r="R196" s="27" t="n"/>
      <c r="S196" s="27" t="n"/>
      <c r="T196" s="27" t="n"/>
      <c r="U196" s="27" t="inlineStr">
        <is>
          <t>Dimensions agree. PE material and HACCP specification are not stated in the source row.</t>
        </is>
      </c>
      <c r="V196" s="102" t="n"/>
      <c r="W196" s="102" t="n">
        <v>7850</v>
      </c>
      <c r="X196" s="27" t="inlineStr">
        <is>
          <t>YES Gastro Hungary Market Research.xlsx</t>
        </is>
      </c>
      <c r="Y196" s="27" t="inlineStr">
        <is>
          <t>Taha</t>
        </is>
      </c>
      <c r="Z196" s="27" t="n"/>
      <c r="AA196" s="27" t="inlineStr">
        <is>
          <t>Direct</t>
        </is>
      </c>
      <c r="AB196" s="27" t="inlineStr">
        <is>
          <t>HUF</t>
        </is>
      </c>
      <c r="AC196" s="27" t="inlineStr">
        <is>
          <t>yes</t>
        </is>
      </c>
      <c r="AD196" s="27">
        <f>IF(ISNUMBER(F196),IF(G196=AB196,F196,IF(AND(ISNUMBER(INDEX('Sources'!$G$7:$G$10,MATCH(G196,'Sources'!$B$7:$B$10,0))),ISNUMBER(INDEX('Sources'!$G$7:$G$10,MATCH(AB196,'Sources'!$B$7:$B$10,0)))),F196/INDEX('Sources'!$G$7:$G$10,MATCH(G196,'Sources'!$B$7:$B$10,0))*INDEX('Sources'!$G$7:$G$10,MATCH(AB196,'Sources'!$B$7:$B$10,0)),"")),"")</f>
        <v/>
      </c>
      <c r="AE196" s="27">
        <f>IF(AND(AC196="yes",ISNUMBER(F196),IF('Compare'!$H$5="All mapped",TRUE,IF('Compare'!$H$5="EXACT only",J196="EXACT",OR(J196="EXACT",J196="CLOSE")))),"yes","no")</f>
        <v/>
      </c>
      <c r="AF196" s="27">
        <f>IF(ISNUMBER(H196),COUNTIFS($B$7:$B$608,B196,$C$7:$C$608,C196,$H$7:$H$608,"&lt;"&amp;H196,$AH$7:$AH$608,"yes")+COUNTIFS($B$7:B196,B196,$C$7:C196,C196,$H$7:H196,H196,$AH$7:AH196,"yes"),"")</f>
        <v/>
      </c>
      <c r="AG196" s="27">
        <f>IF(ISNUMBER(I196),COUNTIFS($B$7:$B$608,B196,$C$7:$C$608,C196,$I$7:$I$608,"&lt;"&amp;I196,$AI$7:$AI$608,"yes")+COUNTIFS($B$7:B196,B196,$C$7:C196,C196,$I$7:I196,I196,$AI$7:AI196,"yes"),"")</f>
        <v/>
      </c>
      <c r="AH196" s="27">
        <f>IF(ISNUMBER(H196),"yes","no")</f>
        <v/>
      </c>
      <c r="AI196" s="27">
        <f>IF(ISNUMBER(I196),"yes","no")</f>
        <v/>
      </c>
      <c r="AJ196" s="105" t="n">
        <v>46197</v>
      </c>
      <c r="AK196" s="27" t="n"/>
    </row>
    <row r="197" ht="42" customHeight="1">
      <c r="A197" s="2" t="n"/>
      <c r="B197" s="24" t="inlineStr">
        <is>
          <t>PE cutting board 530 × 325 × 20 mm</t>
        </is>
      </c>
      <c r="C197" s="24" t="inlineStr">
        <is>
          <t>Hungary</t>
        </is>
      </c>
      <c r="D197" s="24" t="inlineStr">
        <is>
          <t>Hunnia</t>
        </is>
      </c>
      <c r="E197" s="24" t="inlineStr">
        <is>
          <t>Cutting Board 530 x 325 x 20 mm</t>
        </is>
      </c>
      <c r="F197" s="98" t="n">
        <v>6881</v>
      </c>
      <c r="G197" s="24" t="inlineStr">
        <is>
          <t>HUF</t>
        </is>
      </c>
      <c r="H197" s="98">
        <f>IF(AND(AE197="yes",ISNUMBER(AD197)),AD197,"")</f>
        <v/>
      </c>
      <c r="I197" s="99">
        <f>IF(AND(AE197="yes",ISNUMBER(AD197),ISNUMBER(INDEX('Sources'!$G$7:$G$10,MATCH(AB197,'Sources'!$B$7:$B$10,0)))),AD197/INDEX('Sources'!$G$7:$G$10,MATCH(AB197,'Sources'!$B$7:$B$10,0)),"")</f>
        <v/>
      </c>
      <c r="J197" s="24" t="inlineStr">
        <is>
          <t>INCOMPLETE</t>
        </is>
      </c>
      <c r="K197" s="24" t="inlineStr">
        <is>
          <t>24.06.2026</t>
        </is>
      </c>
      <c r="L197" s="71" t="n"/>
      <c r="M197" s="24" t="inlineStr">
        <is>
          <t>Source sheet: Cutting Boards</t>
        </is>
      </c>
      <c r="N197" s="25" t="inlineStr">
        <is>
          <t>https://hunniakristaly.hu/kereses?description=0&amp;keyword=muanyag+v%C3%A1g%C3%B3deszka&amp;filters=%7B%22category_id%22%3A3817%7D&amp;sort_order=price_asc</t>
        </is>
      </c>
      <c r="O197" s="24" t="n"/>
      <c r="P197" s="24" t="n"/>
      <c r="Q197" s="100" t="n"/>
      <c r="R197" s="24" t="n"/>
      <c r="S197" s="24" t="n"/>
      <c r="T197" s="24" t="n"/>
      <c r="U197" s="24" t="inlineStr">
        <is>
          <t>Dimensions agree. PE material and HACCP specification are not stated in the source row.</t>
        </is>
      </c>
      <c r="V197" s="98" t="n"/>
      <c r="W197" s="98" t="n">
        <v>6881</v>
      </c>
      <c r="X197" s="24" t="inlineStr">
        <is>
          <t>YES Gastro Hungary Market Research.xlsx</t>
        </is>
      </c>
      <c r="Y197" s="24" t="inlineStr">
        <is>
          <t>Taha</t>
        </is>
      </c>
      <c r="Z197" s="24" t="n"/>
      <c r="AA197" s="24" t="inlineStr">
        <is>
          <t>Direct</t>
        </is>
      </c>
      <c r="AB197" s="24" t="inlineStr">
        <is>
          <t>HUF</t>
        </is>
      </c>
      <c r="AC197" s="24" t="inlineStr">
        <is>
          <t>yes</t>
        </is>
      </c>
      <c r="AD197" s="24">
        <f>IF(ISNUMBER(F197),IF(G197=AB197,F197,IF(AND(ISNUMBER(INDEX('Sources'!$G$7:$G$10,MATCH(G197,'Sources'!$B$7:$B$10,0))),ISNUMBER(INDEX('Sources'!$G$7:$G$10,MATCH(AB197,'Sources'!$B$7:$B$10,0)))),F197/INDEX('Sources'!$G$7:$G$10,MATCH(G197,'Sources'!$B$7:$B$10,0))*INDEX('Sources'!$G$7:$G$10,MATCH(AB197,'Sources'!$B$7:$B$10,0)),"")),"")</f>
        <v/>
      </c>
      <c r="AE197" s="24">
        <f>IF(AND(AC197="yes",ISNUMBER(F197),IF('Compare'!$H$5="All mapped",TRUE,IF('Compare'!$H$5="EXACT only",J197="EXACT",OR(J197="EXACT",J197="CLOSE")))),"yes","no")</f>
        <v/>
      </c>
      <c r="AF197" s="24">
        <f>IF(ISNUMBER(H197),COUNTIFS($B$7:$B$608,B197,$C$7:$C$608,C197,$H$7:$H$608,"&lt;"&amp;H197,$AH$7:$AH$608,"yes")+COUNTIFS($B$7:B197,B197,$C$7:C197,C197,$H$7:H197,H197,$AH$7:AH197,"yes"),"")</f>
        <v/>
      </c>
      <c r="AG197" s="24">
        <f>IF(ISNUMBER(I197),COUNTIFS($B$7:$B$608,B197,$C$7:$C$608,C197,$I$7:$I$608,"&lt;"&amp;I197,$AI$7:$AI$608,"yes")+COUNTIFS($B$7:B197,B197,$C$7:C197,C197,$I$7:I197,I197,$AI$7:AI197,"yes"),"")</f>
        <v/>
      </c>
      <c r="AH197" s="24">
        <f>IF(ISNUMBER(H197),"yes","no")</f>
        <v/>
      </c>
      <c r="AI197" s="24">
        <f>IF(ISNUMBER(I197),"yes","no")</f>
        <v/>
      </c>
      <c r="AJ197" s="101" t="n">
        <v>46197</v>
      </c>
      <c r="AK197" s="24" t="n"/>
    </row>
    <row r="198" ht="42" customHeight="1">
      <c r="A198" s="2" t="n"/>
      <c r="B198" s="27" t="inlineStr">
        <is>
          <t>PE cutting board 530 × 325 × 20 mm</t>
        </is>
      </c>
      <c r="C198" s="27" t="inlineStr">
        <is>
          <t>Romania</t>
        </is>
      </c>
      <c r="D198" s="27" t="inlineStr">
        <is>
          <t>Stylehoreca</t>
        </is>
      </c>
      <c r="E198" s="27" t="inlineStr">
        <is>
          <t>530 x 325 x 20 mm</t>
        </is>
      </c>
      <c r="F198" s="102" t="n">
        <v>130.58</v>
      </c>
      <c r="G198" s="27" t="inlineStr">
        <is>
          <t>RON</t>
        </is>
      </c>
      <c r="H198" s="102">
        <f>IF(AND(AE198="yes",ISNUMBER(AD198)),AD198,"")</f>
        <v/>
      </c>
      <c r="I198" s="103">
        <f>IF(AND(AE198="yes",ISNUMBER(AD198),ISNUMBER(INDEX('Sources'!$G$7:$G$10,MATCH(AB198,'Sources'!$B$7:$B$10,0)))),AD198/INDEX('Sources'!$G$7:$G$10,MATCH(AB198,'Sources'!$B$7:$B$10,0)),"")</f>
        <v/>
      </c>
      <c r="J198" s="27" t="inlineStr">
        <is>
          <t>INCOMPLETE</t>
        </is>
      </c>
      <c r="K198" s="27" t="inlineStr">
        <is>
          <t>2026-07-11 00:00:00</t>
        </is>
      </c>
      <c r="L198" s="71" t="n"/>
      <c r="M198" s="27" t="inlineStr">
        <is>
          <t>PE</t>
        </is>
      </c>
      <c r="N198" s="28" t="inlineStr">
        <is>
          <t>https://www.stylehoreca.ro/catalog/tocatoare-105</t>
        </is>
      </c>
      <c r="O198" s="27" t="inlineStr">
        <is>
          <t>Pujadas</t>
        </is>
      </c>
      <c r="P198" s="27" t="n"/>
      <c r="Q198" s="104" t="n"/>
      <c r="R198" s="27" t="n"/>
      <c r="S198" s="27" t="n"/>
      <c r="T198" s="27" t="n"/>
      <c r="U198" s="27" t="inlineStr">
        <is>
          <t>Dimensions and PE material agree. HACCP/colour coding is not stated.</t>
        </is>
      </c>
      <c r="V198" s="102" t="n"/>
      <c r="W198" s="102" t="n">
        <v>26.116</v>
      </c>
      <c r="X198" s="27" t="inlineStr">
        <is>
          <t>YES Gastro Romania Market Research.xlsx</t>
        </is>
      </c>
      <c r="Y198" s="27" t="inlineStr">
        <is>
          <t>Gabi</t>
        </is>
      </c>
      <c r="Z198" s="27" t="n"/>
      <c r="AA198" s="27" t="n"/>
      <c r="AB198" s="27" t="inlineStr">
        <is>
          <t>RON</t>
        </is>
      </c>
      <c r="AC198" s="27" t="inlineStr">
        <is>
          <t>yes</t>
        </is>
      </c>
      <c r="AD198" s="27">
        <f>IF(ISNUMBER(F198),IF(G198=AB198,F198,IF(AND(ISNUMBER(INDEX('Sources'!$G$7:$G$10,MATCH(G198,'Sources'!$B$7:$B$10,0))),ISNUMBER(INDEX('Sources'!$G$7:$G$10,MATCH(AB198,'Sources'!$B$7:$B$10,0)))),F198/INDEX('Sources'!$G$7:$G$10,MATCH(G198,'Sources'!$B$7:$B$10,0))*INDEX('Sources'!$G$7:$G$10,MATCH(AB198,'Sources'!$B$7:$B$10,0)),"")),"")</f>
        <v/>
      </c>
      <c r="AE198" s="27">
        <f>IF(AND(AC198="yes",ISNUMBER(F198),IF('Compare'!$H$5="All mapped",TRUE,IF('Compare'!$H$5="EXACT only",J198="EXACT",OR(J198="EXACT",J198="CLOSE")))),"yes","no")</f>
        <v/>
      </c>
      <c r="AF198" s="27">
        <f>IF(ISNUMBER(H198),COUNTIFS($B$7:$B$608,B198,$C$7:$C$608,C198,$H$7:$H$608,"&lt;"&amp;H198,$AH$7:$AH$608,"yes")+COUNTIFS($B$7:B198,B198,$C$7:C198,C198,$H$7:H198,H198,$AH$7:AH198,"yes"),"")</f>
        <v/>
      </c>
      <c r="AG198" s="27">
        <f>IF(ISNUMBER(I198),COUNTIFS($B$7:$B$608,B198,$C$7:$C$608,C198,$I$7:$I$608,"&lt;"&amp;I198,$AI$7:$AI$608,"yes")+COUNTIFS($B$7:B198,B198,$C$7:C198,C198,$I$7:I198,I198,$AI$7:AI198,"yes"),"")</f>
        <v/>
      </c>
      <c r="AH198" s="27">
        <f>IF(ISNUMBER(H198),"yes","no")</f>
        <v/>
      </c>
      <c r="AI198" s="27">
        <f>IF(ISNUMBER(I198),"yes","no")</f>
        <v/>
      </c>
      <c r="AJ198" s="105" t="n">
        <v>46214</v>
      </c>
      <c r="AK198" s="27" t="n"/>
    </row>
    <row r="199" ht="42" customHeight="1">
      <c r="A199" s="2" t="n"/>
      <c r="B199" s="24" t="inlineStr">
        <is>
          <t>PE cutting board 530 × 325 × 20 mm</t>
        </is>
      </c>
      <c r="C199" s="24" t="inlineStr">
        <is>
          <t>Austria</t>
        </is>
      </c>
      <c r="D199" s="24" t="inlineStr">
        <is>
          <t>ALLPAX Österreich</t>
        </is>
      </c>
      <c r="E199" s="24" t="inlineStr">
        <is>
          <t>Schneidbrett PRO 53x32 W-R</t>
        </is>
      </c>
      <c r="F199" s="98" t="n">
        <v>26.95</v>
      </c>
      <c r="G199" s="24" t="inlineStr">
        <is>
          <t>EUR</t>
        </is>
      </c>
      <c r="H199" s="98">
        <f>IF(AND(AE199="yes",ISNUMBER(AD199)),AD199,"")</f>
        <v/>
      </c>
      <c r="I199" s="99">
        <f>IF(AND(AE199="yes",ISNUMBER(AD199),ISNUMBER(INDEX('Sources'!$G$7:$G$10,MATCH(AB199,'Sources'!$B$7:$B$10,0)))),AD199/INDEX('Sources'!$G$7:$G$10,MATCH(AB199,'Sources'!$B$7:$B$10,0)),"")</f>
        <v/>
      </c>
      <c r="J199" s="24" t="inlineStr">
        <is>
          <t>EXACT</t>
        </is>
      </c>
      <c r="K199" s="24" t="inlineStr">
        <is>
          <t>2026-09-30</t>
        </is>
      </c>
      <c r="L199" s="71" t="n"/>
      <c r="M199" s="24" t="inlineStr">
        <is>
          <t>HDPE white, 20 mm plate, juice groove, 530x325x24 mm incl. feet</t>
        </is>
      </c>
      <c r="N199" s="25" t="inlineStr">
        <is>
          <t>https://www.allpax.at/product_info.php/info/Schneidbrett-PRO-53x32-W-R.html</t>
        </is>
      </c>
      <c r="O199" s="24" t="inlineStr">
        <is>
          <t>Bartscher</t>
        </is>
      </c>
      <c r="P199" s="24" t="inlineStr">
        <is>
          <t>excl.</t>
        </is>
      </c>
      <c r="Q199" s="100" t="n"/>
      <c r="R199" s="24" t="n">
        <v>1</v>
      </c>
      <c r="S199" s="24" t="n"/>
      <c r="T199" s="24" t="inlineStr">
        <is>
          <t>EXACT</t>
        </is>
      </c>
      <c r="U199" s="24" t="inlineStr">
        <is>
          <t>Existing benchmark assignment and match quality retained.</t>
        </is>
      </c>
      <c r="V199" s="98" t="n">
        <v>26.95</v>
      </c>
      <c r="W199" s="98" t="n"/>
      <c r="X199" s="24" t="inlineStr">
        <is>
          <t>YES Gastro Austria Market Research.xlsx</t>
        </is>
      </c>
      <c r="Y199" s="24" t="n"/>
      <c r="Z199" s="24" t="n"/>
      <c r="AA199" s="24" t="n"/>
      <c r="AB199" s="24" t="inlineStr">
        <is>
          <t>EUR</t>
        </is>
      </c>
      <c r="AC199" s="24" t="inlineStr">
        <is>
          <t>yes</t>
        </is>
      </c>
      <c r="AD199" s="24">
        <f>IF(ISNUMBER(V199),V199,"")</f>
        <v/>
      </c>
      <c r="AE199" s="24">
        <f>IF(AND(AC199="yes",ISNUMBER(F199),IF('Compare'!$H$5="All mapped",TRUE,IF('Compare'!$H$5="EXACT only",J199="EXACT",OR(J199="EXACT",J199="CLOSE")))),"yes","no")</f>
        <v/>
      </c>
      <c r="AF199" s="24">
        <f>IF(ISNUMBER(H199),COUNTIFS($B$7:$B$608,B199,$C$7:$C$608,C199,$H$7:$H$608,"&lt;"&amp;H199,$AH$7:$AH$608,"yes")+COUNTIFS($B$7:B199,B199,$C$7:C199,C199,$H$7:H199,H199,$AH$7:AH199,"yes"),"")</f>
        <v/>
      </c>
      <c r="AG199" s="24">
        <f>IF(ISNUMBER(I199),COUNTIFS($B$7:$B$608,B199,$C$7:$C$608,C199,$I$7:$I$608,"&lt;"&amp;I199,$AI$7:$AI$608,"yes")+COUNTIFS($B$7:B199,B199,$C$7:C199,C199,$I$7:I199,I199,$AI$7:AI199,"yes"),"")</f>
        <v/>
      </c>
      <c r="AH199" s="24">
        <f>IF(ISNUMBER(H199),"yes","no")</f>
        <v/>
      </c>
      <c r="AI199" s="24">
        <f>IF(ISNUMBER(I199),"yes","no")</f>
        <v/>
      </c>
      <c r="AJ199" s="101" t="n">
        <v>46295</v>
      </c>
      <c r="AK199" s="24" t="n"/>
    </row>
    <row r="200" ht="42" customHeight="1">
      <c r="A200" s="2" t="n"/>
      <c r="B200" s="27" t="inlineStr">
        <is>
          <t>PE cutting board 530 × 325 × 20 mm</t>
        </is>
      </c>
      <c r="C200" s="27" t="inlineStr">
        <is>
          <t>Austria</t>
        </is>
      </c>
      <c r="D200" s="27" t="inlineStr">
        <is>
          <t>GastroHero Österreich</t>
        </is>
      </c>
      <c r="E200" s="27" t="inlineStr">
        <is>
          <t>Schneidbrett GN 1/1 - 53 x 32,5 x 1,5 cm - HDPE blau</t>
        </is>
      </c>
      <c r="F200" s="102" t="n">
        <v>33.69</v>
      </c>
      <c r="G200" s="27" t="inlineStr">
        <is>
          <t>EUR</t>
        </is>
      </c>
      <c r="H200" s="102">
        <f>IF(AND(AE200="yes",ISNUMBER(AD200)),AD200,"")</f>
        <v/>
      </c>
      <c r="I200" s="103">
        <f>IF(AND(AE200="yes",ISNUMBER(AD200),ISNUMBER(INDEX('Sources'!$G$7:$G$10,MATCH(AB200,'Sources'!$B$7:$B$10,0)))),AD200/INDEX('Sources'!$G$7:$G$10,MATCH(AB200,'Sources'!$B$7:$B$10,0)),"")</f>
        <v/>
      </c>
      <c r="J200" s="27" t="inlineStr">
        <is>
          <t>CLOSE</t>
        </is>
      </c>
      <c r="K200" s="27" t="inlineStr">
        <is>
          <t>2026-09-30</t>
        </is>
      </c>
      <c r="L200" s="71" t="n"/>
      <c r="M200" s="27" t="inlineStr">
        <is>
          <t>15 mm instead of 20 mm; sale price (normal 39.29)</t>
        </is>
      </c>
      <c r="N200" s="28" t="inlineStr">
        <is>
          <t>https://www.gastro-hero.at/products/schneidbrett-gn-1-1-53-x-32-5-x-1-5-cm-hdpe-blau</t>
        </is>
      </c>
      <c r="O200" s="27" t="inlineStr">
        <is>
          <t>Hendi</t>
        </is>
      </c>
      <c r="P200" s="27" t="inlineStr">
        <is>
          <t>excl.</t>
        </is>
      </c>
      <c r="Q200" s="104" t="n"/>
      <c r="R200" s="27" t="n">
        <v>1</v>
      </c>
      <c r="S200" s="27" t="n"/>
      <c r="T200" s="27" t="inlineStr">
        <is>
          <t>CLOSE</t>
        </is>
      </c>
      <c r="U200" s="27" t="inlineStr">
        <is>
          <t>Existing benchmark assignment and match quality retained.</t>
        </is>
      </c>
      <c r="V200" s="102" t="n">
        <v>33.69</v>
      </c>
      <c r="W200" s="102" t="n"/>
      <c r="X200" s="27" t="inlineStr">
        <is>
          <t>YES Gastro Austria Market Research.xlsx</t>
        </is>
      </c>
      <c r="Y200" s="27" t="n"/>
      <c r="Z200" s="27" t="n"/>
      <c r="AA200" s="27" t="n"/>
      <c r="AB200" s="27" t="inlineStr">
        <is>
          <t>EUR</t>
        </is>
      </c>
      <c r="AC200" s="27" t="inlineStr">
        <is>
          <t>yes</t>
        </is>
      </c>
      <c r="AD200" s="27">
        <f>IF(ISNUMBER(V200),V200,"")</f>
        <v/>
      </c>
      <c r="AE200" s="27">
        <f>IF(AND(AC200="yes",ISNUMBER(F200),IF('Compare'!$H$5="All mapped",TRUE,IF('Compare'!$H$5="EXACT only",J200="EXACT",OR(J200="EXACT",J200="CLOSE")))),"yes","no")</f>
        <v/>
      </c>
      <c r="AF200" s="27">
        <f>IF(ISNUMBER(H200),COUNTIFS($B$7:$B$608,B200,$C$7:$C$608,C200,$H$7:$H$608,"&lt;"&amp;H200,$AH$7:$AH$608,"yes")+COUNTIFS($B$7:B200,B200,$C$7:C200,C200,$H$7:H200,H200,$AH$7:AH200,"yes"),"")</f>
        <v/>
      </c>
      <c r="AG200" s="27">
        <f>IF(ISNUMBER(I200),COUNTIFS($B$7:$B$608,B200,$C$7:$C$608,C200,$I$7:$I$608,"&lt;"&amp;I200,$AI$7:$AI$608,"yes")+COUNTIFS($B$7:B200,B200,$C$7:C200,C200,$I$7:I200,I200,$AI$7:AI200,"yes"),"")</f>
        <v/>
      </c>
      <c r="AH200" s="27">
        <f>IF(ISNUMBER(H200),"yes","no")</f>
        <v/>
      </c>
      <c r="AI200" s="27">
        <f>IF(ISNUMBER(I200),"yes","no")</f>
        <v/>
      </c>
      <c r="AJ200" s="105" t="n">
        <v>46295</v>
      </c>
      <c r="AK200" s="27" t="n"/>
    </row>
    <row r="201" ht="42" customHeight="1">
      <c r="A201" s="2" t="n"/>
      <c r="B201" s="24" t="inlineStr">
        <is>
          <t>PE cutting board 530 × 325 × 20 mm</t>
        </is>
      </c>
      <c r="C201" s="24" t="inlineStr">
        <is>
          <t>Austria</t>
        </is>
      </c>
      <c r="D201" s="24" t="inlineStr">
        <is>
          <t>Gastrodax</t>
        </is>
      </c>
      <c r="E201" s="24" t="inlineStr">
        <is>
          <t>Hendi Schneidbrett HACCP Gastronorm 1/1, Weiß, 530x325mm</t>
        </is>
      </c>
      <c r="F201" s="98" t="n">
        <v>20.95</v>
      </c>
      <c r="G201" s="24" t="inlineStr">
        <is>
          <t>EUR</t>
        </is>
      </c>
      <c r="H201" s="98">
        <f>IF(AND(AE201="yes",ISNUMBER(AD201)),AD201,"")</f>
        <v/>
      </c>
      <c r="I201" s="99">
        <f>IF(AND(AE201="yes",ISNUMBER(AD201),ISNUMBER(INDEX('Sources'!$G$7:$G$10,MATCH(AB201,'Sources'!$B$7:$B$10,0)))),AD201/INDEX('Sources'!$G$7:$G$10,MATCH(AB201,'Sources'!$B$7:$B$10,0)),"")</f>
        <v/>
      </c>
      <c r="J201" s="24" t="inlineStr">
        <is>
          <t>CLOSE</t>
        </is>
      </c>
      <c r="K201" s="24" t="inlineStr">
        <is>
          <t>2026-09-30</t>
        </is>
      </c>
      <c r="L201" s="71" t="n"/>
      <c r="M201" s="24" t="inlineStr">
        <is>
          <t>15 mm thick instead of 20 mm; all HACCP colours same price</t>
        </is>
      </c>
      <c r="N201" s="25" t="inlineStr">
        <is>
          <t>https://www.gastrodax.de/hendi-schneidbretter-haccp-gastronorm-1-1-gn-1-1-weiss-530-x-325-mm</t>
        </is>
      </c>
      <c r="O201" s="24" t="inlineStr">
        <is>
          <t>Hendi</t>
        </is>
      </c>
      <c r="P201" s="24" t="inlineStr">
        <is>
          <t>excl.</t>
        </is>
      </c>
      <c r="Q201" s="100" t="n"/>
      <c r="R201" s="24" t="n">
        <v>1</v>
      </c>
      <c r="S201" s="24" t="n"/>
      <c r="T201" s="24" t="inlineStr">
        <is>
          <t>CLOSE</t>
        </is>
      </c>
      <c r="U201" s="24" t="inlineStr">
        <is>
          <t>Existing benchmark assignment and match quality retained.</t>
        </is>
      </c>
      <c r="V201" s="98" t="n">
        <v>20.95</v>
      </c>
      <c r="W201" s="98" t="n"/>
      <c r="X201" s="24" t="inlineStr">
        <is>
          <t>YES Gastro Austria Market Research.xlsx</t>
        </is>
      </c>
      <c r="Y201" s="24" t="n"/>
      <c r="Z201" s="24" t="n"/>
      <c r="AA201" s="24" t="n"/>
      <c r="AB201" s="24" t="inlineStr">
        <is>
          <t>EUR</t>
        </is>
      </c>
      <c r="AC201" s="24" t="inlineStr">
        <is>
          <t>yes</t>
        </is>
      </c>
      <c r="AD201" s="24">
        <f>IF(ISNUMBER(V201),V201,"")</f>
        <v/>
      </c>
      <c r="AE201" s="24">
        <f>IF(AND(AC201="yes",ISNUMBER(F201),IF('Compare'!$H$5="All mapped",TRUE,IF('Compare'!$H$5="EXACT only",J201="EXACT",OR(J201="EXACT",J201="CLOSE")))),"yes","no")</f>
        <v/>
      </c>
      <c r="AF201" s="24">
        <f>IF(ISNUMBER(H201),COUNTIFS($B$7:$B$608,B201,$C$7:$C$608,C201,$H$7:$H$608,"&lt;"&amp;H201,$AH$7:$AH$608,"yes")+COUNTIFS($B$7:B201,B201,$C$7:C201,C201,$H$7:H201,H201,$AH$7:AH201,"yes"),"")</f>
        <v/>
      </c>
      <c r="AG201" s="24">
        <f>IF(ISNUMBER(I201),COUNTIFS($B$7:$B$608,B201,$C$7:$C$608,C201,$I$7:$I$608,"&lt;"&amp;I201,$AI$7:$AI$608,"yes")+COUNTIFS($B$7:B201,B201,$C$7:C201,C201,$I$7:I201,I201,$AI$7:AI201,"yes"),"")</f>
        <v/>
      </c>
      <c r="AH201" s="24">
        <f>IF(ISNUMBER(H201),"yes","no")</f>
        <v/>
      </c>
      <c r="AI201" s="24">
        <f>IF(ISNUMBER(I201),"yes","no")</f>
        <v/>
      </c>
      <c r="AJ201" s="101" t="n">
        <v>46295</v>
      </c>
      <c r="AK201" s="24" t="n"/>
    </row>
    <row r="202" ht="42" customHeight="1">
      <c r="A202" s="2" t="n"/>
      <c r="B202" s="27" t="inlineStr">
        <is>
          <t>PE cutting board 530 × 325 × 20 mm</t>
        </is>
      </c>
      <c r="C202" s="27" t="inlineStr">
        <is>
          <t>Austria</t>
        </is>
      </c>
      <c r="D202" s="27" t="inlineStr">
        <is>
          <t>Gastroladen.at (Harotec GmbH)</t>
        </is>
      </c>
      <c r="E202" s="27" t="inlineStr">
        <is>
          <t>Bartscher Schneidbrett PRO 53x32 W-R</t>
        </is>
      </c>
      <c r="F202" s="102" t="n">
        <v>29.49</v>
      </c>
      <c r="G202" s="27" t="inlineStr">
        <is>
          <t>EUR</t>
        </is>
      </c>
      <c r="H202" s="102">
        <f>IF(AND(AE202="yes",ISNUMBER(AD202)),AD202,"")</f>
        <v/>
      </c>
      <c r="I202" s="103">
        <f>IF(AND(AE202="yes",ISNUMBER(AD202),ISNUMBER(INDEX('Sources'!$G$7:$G$10,MATCH(AB202,'Sources'!$B$7:$B$10,0)))),AD202/INDEX('Sources'!$G$7:$G$10,MATCH(AB202,'Sources'!$B$7:$B$10,0)),"")</f>
        <v/>
      </c>
      <c r="J202" s="27" t="inlineStr">
        <is>
          <t>EXACT</t>
        </is>
      </c>
      <c r="K202" s="27" t="inlineStr">
        <is>
          <t>2026-09-30</t>
        </is>
      </c>
      <c r="L202" s="71" t="n"/>
      <c r="M202" s="27" t="inlineStr">
        <is>
          <t>PE, 20 mm plate, HACCP white, rubber feet (530x24x325 overall)</t>
        </is>
      </c>
      <c r="N202" s="28" t="inlineStr">
        <is>
          <t>https://www.gastroladen.at/2310@A120511/Bartscher-Schneidbrett-PRO-53x32-W-R.htm</t>
        </is>
      </c>
      <c r="O202" s="27" t="inlineStr">
        <is>
          <t>Bartscher</t>
        </is>
      </c>
      <c r="P202" s="27" t="inlineStr">
        <is>
          <t>incl.</t>
        </is>
      </c>
      <c r="Q202" s="104" t="n"/>
      <c r="R202" s="27" t="n">
        <v>1</v>
      </c>
      <c r="S202" s="27" t="n"/>
      <c r="T202" s="27" t="inlineStr">
        <is>
          <t>EXACT</t>
        </is>
      </c>
      <c r="U202" s="27" t="inlineStr">
        <is>
          <t>Existing benchmark assignment and match quality retained.</t>
        </is>
      </c>
      <c r="V202" s="102" t="n">
        <v>24.57</v>
      </c>
      <c r="W202" s="102" t="n"/>
      <c r="X202" s="27" t="inlineStr">
        <is>
          <t>YES Gastro Austria Market Research.xlsx</t>
        </is>
      </c>
      <c r="Y202" s="27" t="n"/>
      <c r="Z202" s="27" t="n"/>
      <c r="AA202" s="27" t="n"/>
      <c r="AB202" s="27" t="inlineStr">
        <is>
          <t>EUR</t>
        </is>
      </c>
      <c r="AC202" s="27" t="inlineStr">
        <is>
          <t>yes</t>
        </is>
      </c>
      <c r="AD202" s="27">
        <f>IF(ISNUMBER(V202),V202,"")</f>
        <v/>
      </c>
      <c r="AE202" s="27">
        <f>IF(AND(AC202="yes",ISNUMBER(F202),IF('Compare'!$H$5="All mapped",TRUE,IF('Compare'!$H$5="EXACT only",J202="EXACT",OR(J202="EXACT",J202="CLOSE")))),"yes","no")</f>
        <v/>
      </c>
      <c r="AF202" s="27">
        <f>IF(ISNUMBER(H202),COUNTIFS($B$7:$B$608,B202,$C$7:$C$608,C202,$H$7:$H$608,"&lt;"&amp;H202,$AH$7:$AH$608,"yes")+COUNTIFS($B$7:B202,B202,$C$7:C202,C202,$H$7:H202,H202,$AH$7:AH202,"yes"),"")</f>
        <v/>
      </c>
      <c r="AG202" s="27">
        <f>IF(ISNUMBER(I202),COUNTIFS($B$7:$B$608,B202,$C$7:$C$608,C202,$I$7:$I$608,"&lt;"&amp;I202,$AI$7:$AI$608,"yes")+COUNTIFS($B$7:B202,B202,$C$7:C202,C202,$I$7:I202,I202,$AI$7:AI202,"yes"),"")</f>
        <v/>
      </c>
      <c r="AH202" s="27">
        <f>IF(ISNUMBER(H202),"yes","no")</f>
        <v/>
      </c>
      <c r="AI202" s="27">
        <f>IF(ISNUMBER(I202),"yes","no")</f>
        <v/>
      </c>
      <c r="AJ202" s="105" t="n">
        <v>46295</v>
      </c>
      <c r="AK202" s="27" t="n"/>
    </row>
    <row r="203" ht="42" customHeight="1">
      <c r="A203" s="2" t="n"/>
      <c r="B203" s="24" t="inlineStr">
        <is>
          <t>PE cutting board 530 × 325 × 20 mm</t>
        </is>
      </c>
      <c r="C203" s="24" t="inlineStr">
        <is>
          <t>Austria</t>
        </is>
      </c>
      <c r="D203" s="24" t="inlineStr">
        <is>
          <t>Intergastro (AT shop)</t>
        </is>
      </c>
      <c r="E203" s="24" t="inlineStr">
        <is>
          <t>HACCP Schneidbrett Polyethylen weiß 530 x 325 mm H 20 mm</t>
        </is>
      </c>
      <c r="F203" s="98" t="n">
        <v>22.09</v>
      </c>
      <c r="G203" s="24" t="inlineStr">
        <is>
          <t>EUR</t>
        </is>
      </c>
      <c r="H203" s="98">
        <f>IF(AND(AE203="yes",ISNUMBER(AD203)),AD203,"")</f>
        <v/>
      </c>
      <c r="I203" s="99">
        <f>IF(AND(AE203="yes",ISNUMBER(AD203),ISNUMBER(INDEX('Sources'!$G$7:$G$10,MATCH(AB203,'Sources'!$B$7:$B$10,0)))),AD203/INDEX('Sources'!$G$7:$G$10,MATCH(AB203,'Sources'!$B$7:$B$10,0)),"")</f>
        <v/>
      </c>
      <c r="J203" s="24" t="inlineStr">
        <is>
          <t>EXACT</t>
        </is>
      </c>
      <c r="K203" s="24" t="inlineStr">
        <is>
          <t>2026-09-30</t>
        </is>
      </c>
      <c r="L203" s="71" t="n"/>
      <c r="M203" s="24" t="inlineStr">
        <is>
          <t>White; other HACCP colours listed separately; gross 26.51</t>
        </is>
      </c>
      <c r="N203" s="25" t="inlineStr">
        <is>
          <t>https://www.intergastro.at/haccp-schneidbrett-polyethylen-weiss-530-mm-x-325-mm-h-20-mm-159115</t>
        </is>
      </c>
      <c r="O203" s="24" t="inlineStr">
        <is>
          <t>WAS Germany</t>
        </is>
      </c>
      <c r="P203" s="24" t="inlineStr">
        <is>
          <t>excl.</t>
        </is>
      </c>
      <c r="Q203" s="100" t="n"/>
      <c r="R203" s="24" t="n">
        <v>1</v>
      </c>
      <c r="S203" s="24" t="n"/>
      <c r="T203" s="24" t="inlineStr">
        <is>
          <t>EXACT</t>
        </is>
      </c>
      <c r="U203" s="24" t="inlineStr">
        <is>
          <t>Existing benchmark assignment and match quality retained.</t>
        </is>
      </c>
      <c r="V203" s="98" t="n">
        <v>22.09</v>
      </c>
      <c r="W203" s="98" t="n"/>
      <c r="X203" s="24" t="inlineStr">
        <is>
          <t>YES Gastro Austria Market Research.xlsx</t>
        </is>
      </c>
      <c r="Y203" s="24" t="n"/>
      <c r="Z203" s="24" t="n"/>
      <c r="AA203" s="24" t="n"/>
      <c r="AB203" s="24" t="inlineStr">
        <is>
          <t>EUR</t>
        </is>
      </c>
      <c r="AC203" s="24" t="inlineStr">
        <is>
          <t>yes</t>
        </is>
      </c>
      <c r="AD203" s="24">
        <f>IF(ISNUMBER(V203),V203,"")</f>
        <v/>
      </c>
      <c r="AE203" s="24">
        <f>IF(AND(AC203="yes",ISNUMBER(F203),IF('Compare'!$H$5="All mapped",TRUE,IF('Compare'!$H$5="EXACT only",J203="EXACT",OR(J203="EXACT",J203="CLOSE")))),"yes","no")</f>
        <v/>
      </c>
      <c r="AF203" s="24">
        <f>IF(ISNUMBER(H203),COUNTIFS($B$7:$B$608,B203,$C$7:$C$608,C203,$H$7:$H$608,"&lt;"&amp;H203,$AH$7:$AH$608,"yes")+COUNTIFS($B$7:B203,B203,$C$7:C203,C203,$H$7:H203,H203,$AH$7:AH203,"yes"),"")</f>
        <v/>
      </c>
      <c r="AG203" s="24">
        <f>IF(ISNUMBER(I203),COUNTIFS($B$7:$B$608,B203,$C$7:$C$608,C203,$I$7:$I$608,"&lt;"&amp;I203,$AI$7:$AI$608,"yes")+COUNTIFS($B$7:B203,B203,$C$7:C203,C203,$I$7:I203,I203,$AI$7:AI203,"yes"),"")</f>
        <v/>
      </c>
      <c r="AH203" s="24">
        <f>IF(ISNUMBER(H203),"yes","no")</f>
        <v/>
      </c>
      <c r="AI203" s="24">
        <f>IF(ISNUMBER(I203),"yes","no")</f>
        <v/>
      </c>
      <c r="AJ203" s="101" t="n">
        <v>46295</v>
      </c>
      <c r="AK203" s="24" t="n"/>
    </row>
    <row r="204" ht="42" customHeight="1">
      <c r="A204" s="2" t="n"/>
      <c r="B204" s="27" t="inlineStr">
        <is>
          <t>PE cutting board 530 × 325 × 20 mm</t>
        </is>
      </c>
      <c r="C204" s="27" t="inlineStr">
        <is>
          <t>Austria</t>
        </is>
      </c>
      <c r="D204" s="27" t="inlineStr">
        <is>
          <t>Jungheinrich PROFISHOP Austria</t>
        </is>
      </c>
      <c r="E204" s="27" t="inlineStr">
        <is>
          <t>Stalgast Schneidbrett, HACCP, Farbe weiß, GN1/1, Stärke 15 mm</t>
        </is>
      </c>
      <c r="F204" s="102" t="n">
        <v>23.9</v>
      </c>
      <c r="G204" s="27" t="inlineStr">
        <is>
          <t>EUR</t>
        </is>
      </c>
      <c r="H204" s="102">
        <f>IF(AND(AE204="yes",ISNUMBER(AD204)),AD204,"")</f>
        <v/>
      </c>
      <c r="I204" s="103">
        <f>IF(AND(AE204="yes",ISNUMBER(AD204),ISNUMBER(INDEX('Sources'!$G$7:$G$10,MATCH(AB204,'Sources'!$B$7:$B$10,0)))),AD204/INDEX('Sources'!$G$7:$G$10,MATCH(AB204,'Sources'!$B$7:$B$10,0)),"")</f>
        <v/>
      </c>
      <c r="J204" s="27" t="inlineStr">
        <is>
          <t>CLOSE</t>
        </is>
      </c>
      <c r="K204" s="27" t="inlineStr">
        <is>
          <t>2026-09-30</t>
        </is>
      </c>
      <c r="L204" s="71" t="n"/>
      <c r="M204" s="27" t="inlineStr">
        <is>
          <t>15 mm instead of 20 mm; material polypropylene (not PE); all 6 HACCP colours same price</t>
        </is>
      </c>
      <c r="N204" s="28" t="inlineStr">
        <is>
          <t>https://www.jh-profishop.at/p/stalgast-schneidbrett-haccp-farbe-weiss-gn1-1-staerke-15-mm-927572-346785/</t>
        </is>
      </c>
      <c r="O204" s="27" t="inlineStr">
        <is>
          <t>Stalgast</t>
        </is>
      </c>
      <c r="P204" s="27" t="inlineStr">
        <is>
          <t>excl.</t>
        </is>
      </c>
      <c r="Q204" s="104" t="n"/>
      <c r="R204" s="27" t="n">
        <v>1</v>
      </c>
      <c r="S204" s="27" t="n"/>
      <c r="T204" s="27" t="inlineStr">
        <is>
          <t>CLOSE</t>
        </is>
      </c>
      <c r="U204" s="27" t="inlineStr">
        <is>
          <t>Existing benchmark assignment and match quality retained.</t>
        </is>
      </c>
      <c r="V204" s="102" t="n">
        <v>23.9</v>
      </c>
      <c r="W204" s="102" t="n"/>
      <c r="X204" s="27" t="inlineStr">
        <is>
          <t>YES Gastro Austria Market Research.xlsx</t>
        </is>
      </c>
      <c r="Y204" s="27" t="n"/>
      <c r="Z204" s="27" t="n"/>
      <c r="AA204" s="27" t="n"/>
      <c r="AB204" s="27" t="inlineStr">
        <is>
          <t>EUR</t>
        </is>
      </c>
      <c r="AC204" s="27" t="inlineStr">
        <is>
          <t>yes</t>
        </is>
      </c>
      <c r="AD204" s="27">
        <f>IF(ISNUMBER(V204),V204,"")</f>
        <v/>
      </c>
      <c r="AE204" s="27">
        <f>IF(AND(AC204="yes",ISNUMBER(F204),IF('Compare'!$H$5="All mapped",TRUE,IF('Compare'!$H$5="EXACT only",J204="EXACT",OR(J204="EXACT",J204="CLOSE")))),"yes","no")</f>
        <v/>
      </c>
      <c r="AF204" s="27">
        <f>IF(ISNUMBER(H204),COUNTIFS($B$7:$B$608,B204,$C$7:$C$608,C204,$H$7:$H$608,"&lt;"&amp;H204,$AH$7:$AH$608,"yes")+COUNTIFS($B$7:B204,B204,$C$7:C204,C204,$H$7:H204,H204,$AH$7:AH204,"yes"),"")</f>
        <v/>
      </c>
      <c r="AG204" s="27">
        <f>IF(ISNUMBER(I204),COUNTIFS($B$7:$B$608,B204,$C$7:$C$608,C204,$I$7:$I$608,"&lt;"&amp;I204,$AI$7:$AI$608,"yes")+COUNTIFS($B$7:B204,B204,$C$7:C204,C204,$I$7:I204,I204,$AI$7:AI204,"yes"),"")</f>
        <v/>
      </c>
      <c r="AH204" s="27">
        <f>IF(ISNUMBER(H204),"yes","no")</f>
        <v/>
      </c>
      <c r="AI204" s="27">
        <f>IF(ISNUMBER(I204),"yes","no")</f>
        <v/>
      </c>
      <c r="AJ204" s="105" t="n">
        <v>46295</v>
      </c>
      <c r="AK204" s="27" t="n"/>
    </row>
    <row r="205" ht="42" customHeight="1">
      <c r="A205" s="2" t="n"/>
      <c r="B205" s="24" t="inlineStr">
        <is>
          <t>PE cutting board 530 × 325 × 20 mm</t>
        </is>
      </c>
      <c r="C205" s="24" t="inlineStr">
        <is>
          <t>Austria</t>
        </is>
      </c>
      <c r="D205" s="24" t="inlineStr">
        <is>
          <t>shopbuero.com</t>
        </is>
      </c>
      <c r="E205" s="24" t="inlineStr">
        <is>
          <t>HACCP Schneidbrett - GN 1/1 - weiß - 2,0 cm - Polyethylen</t>
        </is>
      </c>
      <c r="F205" s="98" t="n">
        <v>18</v>
      </c>
      <c r="G205" s="24" t="inlineStr">
        <is>
          <t>EUR</t>
        </is>
      </c>
      <c r="H205" s="98">
        <f>IF(AND(AE205="yes",ISNUMBER(AD205)),AD205,"")</f>
        <v/>
      </c>
      <c r="I205" s="99">
        <f>IF(AND(AE205="yes",ISNUMBER(AD205),ISNUMBER(INDEX('Sources'!$G$7:$G$10,MATCH(AB205,'Sources'!$B$7:$B$10,0)))),AD205/INDEX('Sources'!$G$7:$G$10,MATCH(AB205,'Sources'!$B$7:$B$10,0)),"")</f>
        <v/>
      </c>
      <c r="J205" s="24" t="inlineStr">
        <is>
          <t>EXACT</t>
        </is>
      </c>
      <c r="K205" s="24" t="inlineStr">
        <is>
          <t>2026-09-30</t>
        </is>
      </c>
      <c r="L205" s="71" t="n"/>
      <c r="M205" s="24" t="inlineStr">
        <is>
          <t>Regular price 27.00</t>
        </is>
      </c>
      <c r="N205" s="25" t="inlineStr">
        <is>
          <t>https://shopbuero.com/haccp-schneidbrett-gn-1-1-weiss-2-0-cm-polyethylen/1830530-A</t>
        </is>
      </c>
      <c r="O205" s="24" t="inlineStr">
        <is>
          <t>WAS Germany</t>
        </is>
      </c>
      <c r="P205" s="24" t="inlineStr">
        <is>
          <t>excl.</t>
        </is>
      </c>
      <c r="Q205" s="100" t="n"/>
      <c r="R205" s="24" t="n">
        <v>1</v>
      </c>
      <c r="S205" s="24" t="n"/>
      <c r="T205" s="24" t="inlineStr">
        <is>
          <t>EXACT</t>
        </is>
      </c>
      <c r="U205" s="24" t="inlineStr">
        <is>
          <t>Existing benchmark assignment and match quality retained.</t>
        </is>
      </c>
      <c r="V205" s="98" t="n">
        <v>18</v>
      </c>
      <c r="W205" s="98" t="n"/>
      <c r="X205" s="24" t="inlineStr">
        <is>
          <t>YES Gastro Austria Market Research.xlsx</t>
        </is>
      </c>
      <c r="Y205" s="24" t="n"/>
      <c r="Z205" s="24" t="n"/>
      <c r="AA205" s="24" t="n"/>
      <c r="AB205" s="24" t="inlineStr">
        <is>
          <t>EUR</t>
        </is>
      </c>
      <c r="AC205" s="24" t="inlineStr">
        <is>
          <t>yes</t>
        </is>
      </c>
      <c r="AD205" s="24">
        <f>IF(ISNUMBER(V205),V205,"")</f>
        <v/>
      </c>
      <c r="AE205" s="24">
        <f>IF(AND(AC205="yes",ISNUMBER(F205),IF('Compare'!$H$5="All mapped",TRUE,IF('Compare'!$H$5="EXACT only",J205="EXACT",OR(J205="EXACT",J205="CLOSE")))),"yes","no")</f>
        <v/>
      </c>
      <c r="AF205" s="24">
        <f>IF(ISNUMBER(H205),COUNTIFS($B$7:$B$608,B205,$C$7:$C$608,C205,$H$7:$H$608,"&lt;"&amp;H205,$AH$7:$AH$608,"yes")+COUNTIFS($B$7:B205,B205,$C$7:C205,C205,$H$7:H205,H205,$AH$7:AH205,"yes"),"")</f>
        <v/>
      </c>
      <c r="AG205" s="24">
        <f>IF(ISNUMBER(I205),COUNTIFS($B$7:$B$608,B205,$C$7:$C$608,C205,$I$7:$I$608,"&lt;"&amp;I205,$AI$7:$AI$608,"yes")+COUNTIFS($B$7:B205,B205,$C$7:C205,C205,$I$7:I205,I205,$AI$7:AI205,"yes"),"")</f>
        <v/>
      </c>
      <c r="AH205" s="24">
        <f>IF(ISNUMBER(H205),"yes","no")</f>
        <v/>
      </c>
      <c r="AI205" s="24">
        <f>IF(ISNUMBER(I205),"yes","no")</f>
        <v/>
      </c>
      <c r="AJ205" s="101" t="n">
        <v>46295</v>
      </c>
      <c r="AK205" s="24" t="n"/>
    </row>
    <row r="206" ht="42" customHeight="1">
      <c r="A206" s="2" t="n"/>
      <c r="B206" s="27" t="inlineStr">
        <is>
          <t>PE cutting board 530 × 325 × 20 mm</t>
        </is>
      </c>
      <c r="C206" s="27" t="inlineStr">
        <is>
          <t>Germany</t>
        </is>
      </c>
      <c r="D206" s="27" t="inlineStr">
        <is>
          <t>ALLPAX</t>
        </is>
      </c>
      <c r="E206" s="27" t="inlineStr">
        <is>
          <t>Schneidbrett PRO 53x32 W-R</t>
        </is>
      </c>
      <c r="F206" s="102" t="n">
        <v>26.95</v>
      </c>
      <c r="G206" s="27" t="inlineStr">
        <is>
          <t>EUR</t>
        </is>
      </c>
      <c r="H206" s="102">
        <f>IF(AND(AE206="yes",ISNUMBER(AD206)),AD206,"")</f>
        <v/>
      </c>
      <c r="I206" s="103">
        <f>IF(AND(AE206="yes",ISNUMBER(AD206),ISNUMBER(INDEX('Sources'!$G$7:$G$10,MATCH(AB206,'Sources'!$B$7:$B$10,0)))),AD206/INDEX('Sources'!$G$7:$G$10,MATCH(AB206,'Sources'!$B$7:$B$10,0)),"")</f>
        <v/>
      </c>
      <c r="J206" s="27" t="inlineStr">
        <is>
          <t>EXACT</t>
        </is>
      </c>
      <c r="K206" s="27" t="inlineStr">
        <is>
          <t>2026-09-30</t>
        </is>
      </c>
      <c r="L206" s="71" t="n"/>
      <c r="M206" s="27" t="inlineStr">
        <is>
          <t>HDPE white, 20 mm plate, juice groove, 530x325x24 mm incl. feet</t>
        </is>
      </c>
      <c r="N206" s="28" t="inlineStr">
        <is>
          <t>https://www.allpax.de/product_info.php/info/Schneidbrett-PRO-53x32-W-R.html</t>
        </is>
      </c>
      <c r="O206" s="27" t="inlineStr">
        <is>
          <t>Bartscher</t>
        </is>
      </c>
      <c r="P206" s="27" t="inlineStr">
        <is>
          <t>excl.</t>
        </is>
      </c>
      <c r="Q206" s="104" t="n"/>
      <c r="R206" s="27" t="n">
        <v>1</v>
      </c>
      <c r="S206" s="27" t="n"/>
      <c r="T206" s="27" t="inlineStr">
        <is>
          <t>EXACT</t>
        </is>
      </c>
      <c r="U206" s="27" t="inlineStr">
        <is>
          <t>Existing benchmark assignment and match quality retained.</t>
        </is>
      </c>
      <c r="V206" s="102" t="n">
        <v>26.95</v>
      </c>
      <c r="W206" s="102" t="n"/>
      <c r="X206" s="27" t="inlineStr">
        <is>
          <t>YES Gastro Germany Market Research.xlsx</t>
        </is>
      </c>
      <c r="Y206" s="27" t="n"/>
      <c r="Z206" s="27" t="n"/>
      <c r="AA206" s="27" t="n"/>
      <c r="AB206" s="27" t="inlineStr">
        <is>
          <t>EUR</t>
        </is>
      </c>
      <c r="AC206" s="27" t="inlineStr">
        <is>
          <t>yes</t>
        </is>
      </c>
      <c r="AD206" s="27">
        <f>IF(ISNUMBER(V206),V206,"")</f>
        <v/>
      </c>
      <c r="AE206" s="27">
        <f>IF(AND(AC206="yes",ISNUMBER(F206),IF('Compare'!$H$5="All mapped",TRUE,IF('Compare'!$H$5="EXACT only",J206="EXACT",OR(J206="EXACT",J206="CLOSE")))),"yes","no")</f>
        <v/>
      </c>
      <c r="AF206" s="27">
        <f>IF(ISNUMBER(H206),COUNTIFS($B$7:$B$608,B206,$C$7:$C$608,C206,$H$7:$H$608,"&lt;"&amp;H206,$AH$7:$AH$608,"yes")+COUNTIFS($B$7:B206,B206,$C$7:C206,C206,$H$7:H206,H206,$AH$7:AH206,"yes"),"")</f>
        <v/>
      </c>
      <c r="AG206" s="27">
        <f>IF(ISNUMBER(I206),COUNTIFS($B$7:$B$608,B206,$C$7:$C$608,C206,$I$7:$I$608,"&lt;"&amp;I206,$AI$7:$AI$608,"yes")+COUNTIFS($B$7:B206,B206,$C$7:C206,C206,$I$7:I206,I206,$AI$7:AI206,"yes"),"")</f>
        <v/>
      </c>
      <c r="AH206" s="27">
        <f>IF(ISNUMBER(H206),"yes","no")</f>
        <v/>
      </c>
      <c r="AI206" s="27">
        <f>IF(ISNUMBER(I206),"yes","no")</f>
        <v/>
      </c>
      <c r="AJ206" s="105" t="n">
        <v>46295</v>
      </c>
      <c r="AK206" s="27" t="n"/>
    </row>
    <row r="207" ht="42" customHeight="1">
      <c r="A207" s="2" t="n"/>
      <c r="B207" s="24" t="inlineStr">
        <is>
          <t>PE cutting board 530 × 325 × 20 mm</t>
        </is>
      </c>
      <c r="C207" s="24" t="inlineStr">
        <is>
          <t>Germany</t>
        </is>
      </c>
      <c r="D207" s="24" t="inlineStr">
        <is>
          <t>GGM Gastro</t>
        </is>
      </c>
      <c r="E207" s="24" t="inlineStr">
        <is>
          <t>Schneidebrett - 325x530mm - HACCP-Konform - Weiß</t>
        </is>
      </c>
      <c r="F207" s="98" t="n">
        <v>23.49</v>
      </c>
      <c r="G207" s="24" t="inlineStr">
        <is>
          <t>EUR</t>
        </is>
      </c>
      <c r="H207" s="98">
        <f>IF(AND(AE207="yes",ISNUMBER(AD207)),AD207,"")</f>
        <v/>
      </c>
      <c r="I207" s="99">
        <f>IF(AND(AE207="yes",ISNUMBER(AD207),ISNUMBER(INDEX('Sources'!$G$7:$G$10,MATCH(AB207,'Sources'!$B$7:$B$10,0)))),AD207/INDEX('Sources'!$G$7:$G$10,MATCH(AB207,'Sources'!$B$7:$B$10,0)),"")</f>
        <v/>
      </c>
      <c r="J207" s="24" t="inlineStr">
        <is>
          <t>EXACT</t>
        </is>
      </c>
      <c r="K207" s="24" t="inlineStr">
        <is>
          <t>2026-09-30</t>
        </is>
      </c>
      <c r="L207" s="71" t="n"/>
      <c r="M207" s="24" t="inlineStr">
        <is>
          <t>PE, 325x530x20 mm</t>
        </is>
      </c>
      <c r="N207" s="25" t="inlineStr">
        <is>
          <t>https://www.ggmgastro.com/de-de-eur/schneidebrett-325x530mm-haccp-konform-weiss-sbp53w</t>
        </is>
      </c>
      <c r="O207" s="24" t="inlineStr">
        <is>
          <t>GGM</t>
        </is>
      </c>
      <c r="P207" s="24" t="inlineStr">
        <is>
          <t>excl.</t>
        </is>
      </c>
      <c r="Q207" s="100" t="n"/>
      <c r="R207" s="24" t="n">
        <v>1</v>
      </c>
      <c r="S207" s="24" t="n"/>
      <c r="T207" s="24" t="inlineStr">
        <is>
          <t>EXACT</t>
        </is>
      </c>
      <c r="U207" s="24" t="inlineStr">
        <is>
          <t>Existing benchmark assignment and match quality retained.</t>
        </is>
      </c>
      <c r="V207" s="98" t="n">
        <v>23.49</v>
      </c>
      <c r="W207" s="98" t="n"/>
      <c r="X207" s="24" t="inlineStr">
        <is>
          <t>YES Gastro Germany Market Research.xlsx</t>
        </is>
      </c>
      <c r="Y207" s="24" t="n"/>
      <c r="Z207" s="24" t="n"/>
      <c r="AA207" s="24" t="n"/>
      <c r="AB207" s="24" t="inlineStr">
        <is>
          <t>EUR</t>
        </is>
      </c>
      <c r="AC207" s="24" t="inlineStr">
        <is>
          <t>yes</t>
        </is>
      </c>
      <c r="AD207" s="24">
        <f>IF(ISNUMBER(V207),V207,"")</f>
        <v/>
      </c>
      <c r="AE207" s="24">
        <f>IF(AND(AC207="yes",ISNUMBER(F207),IF('Compare'!$H$5="All mapped",TRUE,IF('Compare'!$H$5="EXACT only",J207="EXACT",OR(J207="EXACT",J207="CLOSE")))),"yes","no")</f>
        <v/>
      </c>
      <c r="AF207" s="24">
        <f>IF(ISNUMBER(H207),COUNTIFS($B$7:$B$608,B207,$C$7:$C$608,C207,$H$7:$H$608,"&lt;"&amp;H207,$AH$7:$AH$608,"yes")+COUNTIFS($B$7:B207,B207,$C$7:C207,C207,$H$7:H207,H207,$AH$7:AH207,"yes"),"")</f>
        <v/>
      </c>
      <c r="AG207" s="24">
        <f>IF(ISNUMBER(I207),COUNTIFS($B$7:$B$608,B207,$C$7:$C$608,C207,$I$7:$I$608,"&lt;"&amp;I207,$AI$7:$AI$608,"yes")+COUNTIFS($B$7:B207,B207,$C$7:C207,C207,$I$7:I207,I207,$AI$7:AI207,"yes"),"")</f>
        <v/>
      </c>
      <c r="AH207" s="24">
        <f>IF(ISNUMBER(H207),"yes","no")</f>
        <v/>
      </c>
      <c r="AI207" s="24">
        <f>IF(ISNUMBER(I207),"yes","no")</f>
        <v/>
      </c>
      <c r="AJ207" s="101" t="n">
        <v>46295</v>
      </c>
      <c r="AK207" s="24" t="n"/>
    </row>
    <row r="208" ht="42" customHeight="1">
      <c r="A208" s="2" t="n"/>
      <c r="B208" s="27" t="inlineStr">
        <is>
          <t>PE cutting board 530 × 325 × 20 mm</t>
        </is>
      </c>
      <c r="C208" s="27" t="inlineStr">
        <is>
          <t>Germany</t>
        </is>
      </c>
      <c r="D208" s="27" t="inlineStr">
        <is>
          <t>GastroHero</t>
        </is>
      </c>
      <c r="E208" s="27" t="inlineStr">
        <is>
          <t>Schneidbrett GN 1/1 - 53 x 32,5 x 1,5 cm - HDPE blau</t>
        </is>
      </c>
      <c r="F208" s="102" t="n">
        <v>17.29</v>
      </c>
      <c r="G208" s="27" t="inlineStr">
        <is>
          <t>EUR</t>
        </is>
      </c>
      <c r="H208" s="102">
        <f>IF(AND(AE208="yes",ISNUMBER(AD208)),AD208,"")</f>
        <v/>
      </c>
      <c r="I208" s="103">
        <f>IF(AND(AE208="yes",ISNUMBER(AD208),ISNUMBER(INDEX('Sources'!$G$7:$G$10,MATCH(AB208,'Sources'!$B$7:$B$10,0)))),AD208/INDEX('Sources'!$G$7:$G$10,MATCH(AB208,'Sources'!$B$7:$B$10,0)),"")</f>
        <v/>
      </c>
      <c r="J208" s="27" t="inlineStr">
        <is>
          <t>CLOSE</t>
        </is>
      </c>
      <c r="K208" s="27" t="inlineStr">
        <is>
          <t>2026-09-30</t>
        </is>
      </c>
      <c r="L208" s="71" t="n"/>
      <c r="M208" s="27" t="inlineStr">
        <is>
          <t>15 mm instead of 20 mm</t>
        </is>
      </c>
      <c r="N208" s="28" t="inlineStr">
        <is>
          <t>https://www.gastro-hero.de/products/schneidbrett-gn-1-1-53-x-32-5-x-1-5-cm-hdpe-blau</t>
        </is>
      </c>
      <c r="O208" s="27" t="inlineStr">
        <is>
          <t>Hendi</t>
        </is>
      </c>
      <c r="P208" s="27" t="inlineStr">
        <is>
          <t>excl.</t>
        </is>
      </c>
      <c r="Q208" s="104" t="n"/>
      <c r="R208" s="27" t="n">
        <v>1</v>
      </c>
      <c r="S208" s="27" t="n"/>
      <c r="T208" s="27" t="inlineStr">
        <is>
          <t>CLOSE</t>
        </is>
      </c>
      <c r="U208" s="27" t="inlineStr">
        <is>
          <t>Existing benchmark assignment and match quality retained.</t>
        </is>
      </c>
      <c r="V208" s="102" t="n">
        <v>17.29</v>
      </c>
      <c r="W208" s="102" t="n"/>
      <c r="X208" s="27" t="inlineStr">
        <is>
          <t>YES Gastro Germany Market Research.xlsx</t>
        </is>
      </c>
      <c r="Y208" s="27" t="n"/>
      <c r="Z208" s="27" t="n"/>
      <c r="AA208" s="27" t="n"/>
      <c r="AB208" s="27" t="inlineStr">
        <is>
          <t>EUR</t>
        </is>
      </c>
      <c r="AC208" s="27" t="inlineStr">
        <is>
          <t>yes</t>
        </is>
      </c>
      <c r="AD208" s="27">
        <f>IF(ISNUMBER(V208),V208,"")</f>
        <v/>
      </c>
      <c r="AE208" s="27">
        <f>IF(AND(AC208="yes",ISNUMBER(F208),IF('Compare'!$H$5="All mapped",TRUE,IF('Compare'!$H$5="EXACT only",J208="EXACT",OR(J208="EXACT",J208="CLOSE")))),"yes","no")</f>
        <v/>
      </c>
      <c r="AF208" s="27">
        <f>IF(ISNUMBER(H208),COUNTIFS($B$7:$B$608,B208,$C$7:$C$608,C208,$H$7:$H$608,"&lt;"&amp;H208,$AH$7:$AH$608,"yes")+COUNTIFS($B$7:B208,B208,$C$7:C208,C208,$H$7:H208,H208,$AH$7:AH208,"yes"),"")</f>
        <v/>
      </c>
      <c r="AG208" s="27">
        <f>IF(ISNUMBER(I208),COUNTIFS($B$7:$B$608,B208,$C$7:$C$608,C208,$I$7:$I$608,"&lt;"&amp;I208,$AI$7:$AI$608,"yes")+COUNTIFS($B$7:B208,B208,$C$7:C208,C208,$I$7:I208,I208,$AI$7:AI208,"yes"),"")</f>
        <v/>
      </c>
      <c r="AH208" s="27">
        <f>IF(ISNUMBER(H208),"yes","no")</f>
        <v/>
      </c>
      <c r="AI208" s="27">
        <f>IF(ISNUMBER(I208),"yes","no")</f>
        <v/>
      </c>
      <c r="AJ208" s="105" t="n">
        <v>46295</v>
      </c>
      <c r="AK208" s="27" t="n"/>
    </row>
    <row r="209" ht="42" customHeight="1">
      <c r="A209" s="2" t="n"/>
      <c r="B209" s="24" t="inlineStr">
        <is>
          <t>PE cutting board 530 × 325 × 20 mm</t>
        </is>
      </c>
      <c r="C209" s="24" t="inlineStr">
        <is>
          <t>Germany</t>
        </is>
      </c>
      <c r="D209" s="24" t="inlineStr">
        <is>
          <t>Gastrodax [substitute]</t>
        </is>
      </c>
      <c r="E209" s="24" t="inlineStr">
        <is>
          <t>Hendi Schneidbrett HACCP Gastronorm 1/1, Weiß, 530x325mm</t>
        </is>
      </c>
      <c r="F209" s="98" t="n">
        <v>20.95</v>
      </c>
      <c r="G209" s="24" t="inlineStr">
        <is>
          <t>EUR</t>
        </is>
      </c>
      <c r="H209" s="98">
        <f>IF(AND(AE209="yes",ISNUMBER(AD209)),AD209,"")</f>
        <v/>
      </c>
      <c r="I209" s="99">
        <f>IF(AND(AE209="yes",ISNUMBER(AD209),ISNUMBER(INDEX('Sources'!$G$7:$G$10,MATCH(AB209,'Sources'!$B$7:$B$10,0)))),AD209/INDEX('Sources'!$G$7:$G$10,MATCH(AB209,'Sources'!$B$7:$B$10,0)),"")</f>
        <v/>
      </c>
      <c r="J209" s="24" t="inlineStr">
        <is>
          <t>CLOSE</t>
        </is>
      </c>
      <c r="K209" s="24" t="inlineStr">
        <is>
          <t>2026-09-30</t>
        </is>
      </c>
      <c r="L209" s="71" t="n"/>
      <c r="M209" s="24" t="inlineStr">
        <is>
          <t>15 mm thick instead of 20 mm; all HACCP colours same price</t>
        </is>
      </c>
      <c r="N209" s="25" t="inlineStr">
        <is>
          <t>https://www.gastrodax.de/hendi-schneidbretter-haccp-gastronorm-1-1-gn-1-1-weiss-530-x-325-mm</t>
        </is>
      </c>
      <c r="O209" s="24" t="inlineStr">
        <is>
          <t>Hendi</t>
        </is>
      </c>
      <c r="P209" s="24" t="inlineStr">
        <is>
          <t>excl.</t>
        </is>
      </c>
      <c r="Q209" s="100" t="n"/>
      <c r="R209" s="24" t="n">
        <v>1</v>
      </c>
      <c r="S209" s="24" t="n"/>
      <c r="T209" s="24" t="inlineStr">
        <is>
          <t>CLOSE</t>
        </is>
      </c>
      <c r="U209" s="24" t="inlineStr">
        <is>
          <t>Existing benchmark assignment and match quality retained.</t>
        </is>
      </c>
      <c r="V209" s="98" t="n">
        <v>20.95</v>
      </c>
      <c r="W209" s="98" t="n"/>
      <c r="X209" s="24" t="inlineStr">
        <is>
          <t>YES Gastro Germany Market Research.xlsx</t>
        </is>
      </c>
      <c r="Y209" s="24" t="n"/>
      <c r="Z209" s="24" t="n"/>
      <c r="AA209" s="24" t="n"/>
      <c r="AB209" s="24" t="inlineStr">
        <is>
          <t>EUR</t>
        </is>
      </c>
      <c r="AC209" s="24" t="inlineStr">
        <is>
          <t>yes</t>
        </is>
      </c>
      <c r="AD209" s="24">
        <f>IF(ISNUMBER(V209),V209,"")</f>
        <v/>
      </c>
      <c r="AE209" s="24">
        <f>IF(AND(AC209="yes",ISNUMBER(F209),IF('Compare'!$H$5="All mapped",TRUE,IF('Compare'!$H$5="EXACT only",J209="EXACT",OR(J209="EXACT",J209="CLOSE")))),"yes","no")</f>
        <v/>
      </c>
      <c r="AF209" s="24">
        <f>IF(ISNUMBER(H209),COUNTIFS($B$7:$B$608,B209,$C$7:$C$608,C209,$H$7:$H$608,"&lt;"&amp;H209,$AH$7:$AH$608,"yes")+COUNTIFS($B$7:B209,B209,$C$7:C209,C209,$H$7:H209,H209,$AH$7:AH209,"yes"),"")</f>
        <v/>
      </c>
      <c r="AG209" s="24">
        <f>IF(ISNUMBER(I209),COUNTIFS($B$7:$B$608,B209,$C$7:$C$608,C209,$I$7:$I$608,"&lt;"&amp;I209,$AI$7:$AI$608,"yes")+COUNTIFS($B$7:B209,B209,$C$7:C209,C209,$I$7:I209,I209,$AI$7:AI209,"yes"),"")</f>
        <v/>
      </c>
      <c r="AH209" s="24">
        <f>IF(ISNUMBER(H209),"yes","no")</f>
        <v/>
      </c>
      <c r="AI209" s="24">
        <f>IF(ISNUMBER(I209),"yes","no")</f>
        <v/>
      </c>
      <c r="AJ209" s="101" t="n">
        <v>46295</v>
      </c>
      <c r="AK209" s="24" t="n"/>
    </row>
    <row r="210" ht="42" customHeight="1">
      <c r="A210" s="2" t="n"/>
      <c r="B210" s="27" t="inlineStr">
        <is>
          <t>PE cutting board 530 × 325 × 20 mm</t>
        </is>
      </c>
      <c r="C210" s="27" t="inlineStr">
        <is>
          <t>Germany</t>
        </is>
      </c>
      <c r="D210" s="27" t="inlineStr">
        <is>
          <t>Gastroladen.de (Harotec GmbH) [substitute]</t>
        </is>
      </c>
      <c r="E210" s="27" t="inlineStr">
        <is>
          <t>Bartscher Schneidbrett PRO 53x32 W-R</t>
        </is>
      </c>
      <c r="F210" s="102" t="n">
        <v>29.29</v>
      </c>
      <c r="G210" s="27" t="inlineStr">
        <is>
          <t>EUR</t>
        </is>
      </c>
      <c r="H210" s="102">
        <f>IF(AND(AE210="yes",ISNUMBER(AD210)),AD210,"")</f>
        <v/>
      </c>
      <c r="I210" s="103">
        <f>IF(AND(AE210="yes",ISNUMBER(AD210),ISNUMBER(INDEX('Sources'!$G$7:$G$10,MATCH(AB210,'Sources'!$B$7:$B$10,0)))),AD210/INDEX('Sources'!$G$7:$G$10,MATCH(AB210,'Sources'!$B$7:$B$10,0)),"")</f>
        <v/>
      </c>
      <c r="J210" s="27" t="inlineStr">
        <is>
          <t>EXACT</t>
        </is>
      </c>
      <c r="K210" s="27" t="inlineStr">
        <is>
          <t>2026-09-30</t>
        </is>
      </c>
      <c r="L210" s="71" t="n"/>
      <c r="M210" s="27" t="inlineStr">
        <is>
          <t>PE, 20 mm plate, HACCP white, rubber feet (530x24x325 overall)</t>
        </is>
      </c>
      <c r="N210" s="28" t="inlineStr">
        <is>
          <t>https://www.gastroladen.de/2310@A120511/Bartscher-Schneidbrett-PRO-53x32-W-R.htm</t>
        </is>
      </c>
      <c r="O210" s="27" t="inlineStr">
        <is>
          <t>Bartscher</t>
        </is>
      </c>
      <c r="P210" s="27" t="inlineStr">
        <is>
          <t>incl.</t>
        </is>
      </c>
      <c r="Q210" s="104" t="n"/>
      <c r="R210" s="27" t="n">
        <v>1</v>
      </c>
      <c r="S210" s="27" t="n"/>
      <c r="T210" s="27" t="inlineStr">
        <is>
          <t>EXACT</t>
        </is>
      </c>
      <c r="U210" s="27" t="inlineStr">
        <is>
          <t>Existing benchmark assignment and match quality retained.</t>
        </is>
      </c>
      <c r="V210" s="102" t="n">
        <v>24.61</v>
      </c>
      <c r="W210" s="102" t="n"/>
      <c r="X210" s="27" t="inlineStr">
        <is>
          <t>YES Gastro Germany Market Research.xlsx</t>
        </is>
      </c>
      <c r="Y210" s="27" t="n"/>
      <c r="Z210" s="27" t="n"/>
      <c r="AA210" s="27" t="n"/>
      <c r="AB210" s="27" t="inlineStr">
        <is>
          <t>EUR</t>
        </is>
      </c>
      <c r="AC210" s="27" t="inlineStr">
        <is>
          <t>yes</t>
        </is>
      </c>
      <c r="AD210" s="27">
        <f>IF(ISNUMBER(V210),V210,"")</f>
        <v/>
      </c>
      <c r="AE210" s="27">
        <f>IF(AND(AC210="yes",ISNUMBER(F210),IF('Compare'!$H$5="All mapped",TRUE,IF('Compare'!$H$5="EXACT only",J210="EXACT",OR(J210="EXACT",J210="CLOSE")))),"yes","no")</f>
        <v/>
      </c>
      <c r="AF210" s="27">
        <f>IF(ISNUMBER(H210),COUNTIFS($B$7:$B$608,B210,$C$7:$C$608,C210,$H$7:$H$608,"&lt;"&amp;H210,$AH$7:$AH$608,"yes")+COUNTIFS($B$7:B210,B210,$C$7:C210,C210,$H$7:H210,H210,$AH$7:AH210,"yes"),"")</f>
        <v/>
      </c>
      <c r="AG210" s="27">
        <f>IF(ISNUMBER(I210),COUNTIFS($B$7:$B$608,B210,$C$7:$C$608,C210,$I$7:$I$608,"&lt;"&amp;I210,$AI$7:$AI$608,"yes")+COUNTIFS($B$7:B210,B210,$C$7:C210,C210,$I$7:I210,I210,$AI$7:AI210,"yes"),"")</f>
        <v/>
      </c>
      <c r="AH210" s="27">
        <f>IF(ISNUMBER(H210),"yes","no")</f>
        <v/>
      </c>
      <c r="AI210" s="27">
        <f>IF(ISNUMBER(I210),"yes","no")</f>
        <v/>
      </c>
      <c r="AJ210" s="105" t="n">
        <v>46295</v>
      </c>
      <c r="AK210" s="27" t="n"/>
    </row>
    <row r="211" ht="42" customHeight="1">
      <c r="A211" s="2" t="n"/>
      <c r="B211" s="24" t="inlineStr">
        <is>
          <t>PE cutting board 530 × 325 × 20 mm</t>
        </is>
      </c>
      <c r="C211" s="24" t="inlineStr">
        <is>
          <t>Germany</t>
        </is>
      </c>
      <c r="D211" s="24" t="inlineStr">
        <is>
          <t>Intergastro</t>
        </is>
      </c>
      <c r="E211" s="24" t="inlineStr">
        <is>
          <t>HACCP Schneidbrett Polyethylen weiß 530 x 325 mm H 20 mm</t>
        </is>
      </c>
      <c r="F211" s="98" t="n">
        <v>22.09</v>
      </c>
      <c r="G211" s="24" t="inlineStr">
        <is>
          <t>EUR</t>
        </is>
      </c>
      <c r="H211" s="98">
        <f>IF(AND(AE211="yes",ISNUMBER(AD211)),AD211,"")</f>
        <v/>
      </c>
      <c r="I211" s="99">
        <f>IF(AND(AE211="yes",ISNUMBER(AD211),ISNUMBER(INDEX('Sources'!$G$7:$G$10,MATCH(AB211,'Sources'!$B$7:$B$10,0)))),AD211/INDEX('Sources'!$G$7:$G$10,MATCH(AB211,'Sources'!$B$7:$B$10,0)),"")</f>
        <v/>
      </c>
      <c r="J211" s="24" t="inlineStr">
        <is>
          <t>EXACT</t>
        </is>
      </c>
      <c r="K211" s="24" t="inlineStr">
        <is>
          <t>2026-09-30</t>
        </is>
      </c>
      <c r="L211" s="71" t="n"/>
      <c r="M211" s="24" t="inlineStr">
        <is>
          <t>White; other HACCP colours listed separately</t>
        </is>
      </c>
      <c r="N211" s="25" t="inlineStr">
        <is>
          <t>https://www.intergastro.de/haccp-schneidbrett-polyethylen-weiss-530-mm-x-325-mm-h-20-mm-159115</t>
        </is>
      </c>
      <c r="O211" s="24" t="inlineStr">
        <is>
          <t>WAS Germany</t>
        </is>
      </c>
      <c r="P211" s="24" t="inlineStr">
        <is>
          <t>excl.</t>
        </is>
      </c>
      <c r="Q211" s="100" t="n"/>
      <c r="R211" s="24" t="n">
        <v>1</v>
      </c>
      <c r="S211" s="24" t="n"/>
      <c r="T211" s="24" t="inlineStr">
        <is>
          <t>EXACT</t>
        </is>
      </c>
      <c r="U211" s="24" t="inlineStr">
        <is>
          <t>Existing benchmark assignment and match quality retained.</t>
        </is>
      </c>
      <c r="V211" s="98" t="n">
        <v>22.09</v>
      </c>
      <c r="W211" s="98" t="n"/>
      <c r="X211" s="24" t="inlineStr">
        <is>
          <t>YES Gastro Germany Market Research.xlsx</t>
        </is>
      </c>
      <c r="Y211" s="24" t="n"/>
      <c r="Z211" s="24" t="n"/>
      <c r="AA211" s="24" t="n"/>
      <c r="AB211" s="24" t="inlineStr">
        <is>
          <t>EUR</t>
        </is>
      </c>
      <c r="AC211" s="24" t="inlineStr">
        <is>
          <t>yes</t>
        </is>
      </c>
      <c r="AD211" s="24">
        <f>IF(ISNUMBER(V211),V211,"")</f>
        <v/>
      </c>
      <c r="AE211" s="24">
        <f>IF(AND(AC211="yes",ISNUMBER(F211),IF('Compare'!$H$5="All mapped",TRUE,IF('Compare'!$H$5="EXACT only",J211="EXACT",OR(J211="EXACT",J211="CLOSE")))),"yes","no")</f>
        <v/>
      </c>
      <c r="AF211" s="24">
        <f>IF(ISNUMBER(H211),COUNTIFS($B$7:$B$608,B211,$C$7:$C$608,C211,$H$7:$H$608,"&lt;"&amp;H211,$AH$7:$AH$608,"yes")+COUNTIFS($B$7:B211,B211,$C$7:C211,C211,$H$7:H211,H211,$AH$7:AH211,"yes"),"")</f>
        <v/>
      </c>
      <c r="AG211" s="24">
        <f>IF(ISNUMBER(I211),COUNTIFS($B$7:$B$608,B211,$C$7:$C$608,C211,$I$7:$I$608,"&lt;"&amp;I211,$AI$7:$AI$608,"yes")+COUNTIFS($B$7:B211,B211,$C$7:C211,C211,$I$7:I211,I211,$AI$7:AI211,"yes"),"")</f>
        <v/>
      </c>
      <c r="AH211" s="24">
        <f>IF(ISNUMBER(H211),"yes","no")</f>
        <v/>
      </c>
      <c r="AI211" s="24">
        <f>IF(ISNUMBER(I211),"yes","no")</f>
        <v/>
      </c>
      <c r="AJ211" s="101" t="n">
        <v>46295</v>
      </c>
      <c r="AK211" s="24" t="n"/>
    </row>
    <row r="212" ht="42" customHeight="1">
      <c r="A212" s="2" t="n"/>
      <c r="B212" s="27" t="inlineStr">
        <is>
          <t>PE cutting board 530 × 325 × 20 mm</t>
        </is>
      </c>
      <c r="C212" s="27" t="inlineStr">
        <is>
          <t>Germany</t>
        </is>
      </c>
      <c r="D212" s="27" t="inlineStr">
        <is>
          <t>Nisbets</t>
        </is>
      </c>
      <c r="E212" s="27" t="inlineStr">
        <is>
          <t>Gastro M Schneidebrett GN1/1 braun</t>
        </is>
      </c>
      <c r="F212" s="102" t="n">
        <v>31.04</v>
      </c>
      <c r="G212" s="27" t="inlineStr">
        <is>
          <t>EUR</t>
        </is>
      </c>
      <c r="H212" s="102">
        <f>IF(AND(AE212="yes",ISNUMBER(AD212)),AD212,"")</f>
        <v/>
      </c>
      <c r="I212" s="103">
        <f>IF(AND(AE212="yes",ISNUMBER(AD212),ISNUMBER(INDEX('Sources'!$G$7:$G$10,MATCH(AB212,'Sources'!$B$7:$B$10,0)))),AD212/INDEX('Sources'!$G$7:$G$10,MATCH(AB212,'Sources'!$B$7:$B$10,0)),"")</f>
        <v/>
      </c>
      <c r="J212" s="27" t="inlineStr">
        <is>
          <t>CLOSE</t>
        </is>
      </c>
      <c r="K212" s="27" t="inlineStr">
        <is>
          <t>2026-09-30</t>
        </is>
      </c>
      <c r="L212" s="71" t="n"/>
      <c r="M212" s="27" t="inlineStr">
        <is>
          <t>HDPE 530x325 but 15 mm thick (not 20); out of stock; UVP 37.49</t>
        </is>
      </c>
      <c r="N212" s="28" t="inlineStr">
        <is>
          <t>https://www.nisbets.de/gastro-m-schneidebrett-braun/gn340</t>
        </is>
      </c>
      <c r="O212" s="27" t="inlineStr">
        <is>
          <t>Gastro M</t>
        </is>
      </c>
      <c r="P212" s="27" t="inlineStr">
        <is>
          <t>excl.</t>
        </is>
      </c>
      <c r="Q212" s="104" t="n"/>
      <c r="R212" s="27" t="n">
        <v>1</v>
      </c>
      <c r="S212" s="27" t="n"/>
      <c r="T212" s="27" t="inlineStr">
        <is>
          <t>CLOSE</t>
        </is>
      </c>
      <c r="U212" s="27" t="inlineStr">
        <is>
          <t>Existing benchmark assignment and match quality retained.</t>
        </is>
      </c>
      <c r="V212" s="102" t="n">
        <v>31.04</v>
      </c>
      <c r="W212" s="102" t="n"/>
      <c r="X212" s="27" t="inlineStr">
        <is>
          <t>YES Gastro Germany Market Research.xlsx</t>
        </is>
      </c>
      <c r="Y212" s="27" t="n"/>
      <c r="Z212" s="27" t="n"/>
      <c r="AA212" s="27" t="n"/>
      <c r="AB212" s="27" t="inlineStr">
        <is>
          <t>EUR</t>
        </is>
      </c>
      <c r="AC212" s="27" t="inlineStr">
        <is>
          <t>yes</t>
        </is>
      </c>
      <c r="AD212" s="27">
        <f>IF(ISNUMBER(V212),V212,"")</f>
        <v/>
      </c>
      <c r="AE212" s="27">
        <f>IF(AND(AC212="yes",ISNUMBER(F212),IF('Compare'!$H$5="All mapped",TRUE,IF('Compare'!$H$5="EXACT only",J212="EXACT",OR(J212="EXACT",J212="CLOSE")))),"yes","no")</f>
        <v/>
      </c>
      <c r="AF212" s="27">
        <f>IF(ISNUMBER(H212),COUNTIFS($B$7:$B$608,B212,$C$7:$C$608,C212,$H$7:$H$608,"&lt;"&amp;H212,$AH$7:$AH$608,"yes")+COUNTIFS($B$7:B212,B212,$C$7:C212,C212,$H$7:H212,H212,$AH$7:AH212,"yes"),"")</f>
        <v/>
      </c>
      <c r="AG212" s="27">
        <f>IF(ISNUMBER(I212),COUNTIFS($B$7:$B$608,B212,$C$7:$C$608,C212,$I$7:$I$608,"&lt;"&amp;I212,$AI$7:$AI$608,"yes")+COUNTIFS($B$7:B212,B212,$C$7:C212,C212,$I$7:I212,I212,$AI$7:AI212,"yes"),"")</f>
        <v/>
      </c>
      <c r="AH212" s="27">
        <f>IF(ISNUMBER(H212),"yes","no")</f>
        <v/>
      </c>
      <c r="AI212" s="27">
        <f>IF(ISNUMBER(I212),"yes","no")</f>
        <v/>
      </c>
      <c r="AJ212" s="105" t="n">
        <v>46295</v>
      </c>
      <c r="AK212" s="27" t="n"/>
    </row>
    <row r="213" ht="52" customHeight="1">
      <c r="A213" s="2" t="n"/>
      <c r="B213" s="24" t="inlineStr">
        <is>
          <t>PE cutting board 530 × 325 × 20 mm</t>
        </is>
      </c>
      <c r="C213" s="24" t="inlineStr">
        <is>
          <t>Czech</t>
        </is>
      </c>
      <c r="D213" s="24" t="inlineStr">
        <is>
          <t>GGM Gastro (CZ storefront)</t>
        </is>
      </c>
      <c r="E213" s="24" t="inlineStr">
        <is>
          <t>Krájecí deska - 325x530 mm - Dle HACCP - Bílá</t>
        </is>
      </c>
      <c r="F213" s="98" t="n">
        <v>632.5700000000001</v>
      </c>
      <c r="G213" s="24" t="inlineStr">
        <is>
          <t>CZK</t>
        </is>
      </c>
      <c r="H213" s="98">
        <f>IF(AND(AE213="yes",ISNUMBER(AD213)),AD213,"")</f>
        <v/>
      </c>
      <c r="I213" s="99">
        <f>IF(AND(AE213="yes",ISNUMBER(AD213),ISNUMBER(INDEX('Sources'!$G$7:$G$10,MATCH(AB213,'Sources'!$B$7:$B$10,0)))),AD213/INDEX('Sources'!$G$7:$G$10,MATCH(AB213,'Sources'!$B$7:$B$10,0)),"")</f>
        <v/>
      </c>
      <c r="J213" s="24" t="inlineStr">
        <is>
          <t>EXACT</t>
        </is>
      </c>
      <c r="K213" s="24" t="inlineStr">
        <is>
          <t>2026-09-30</t>
        </is>
      </c>
      <c r="L213" s="71" t="n"/>
      <c r="M213" s="24" t="inlineStr">
        <is>
          <t>Net CZK price as displayed; page footnote: "* čistá cena | hrubá cena vč. 19% DPH" (German VAT 19% used on the CZ storefront). SKU SBP53W, PE, 325 x 530 x 20 mm, HACCP colours (same price red etc.). Gross 752.76 CZK.</t>
        </is>
      </c>
      <c r="N213" s="25" t="inlineStr">
        <is>
          <t>https://www.ggmgastro.com/cs-cz-czk/krajeci-deska-325x530-mm-dle-haccp-bila-sbp53w</t>
        </is>
      </c>
      <c r="O213" s="24" t="inlineStr">
        <is>
          <t>GGM</t>
        </is>
      </c>
      <c r="P213" s="24" t="inlineStr">
        <is>
          <t>excl.</t>
        </is>
      </c>
      <c r="Q213" s="100" t="n">
        <v>0.19</v>
      </c>
      <c r="R213" s="24" t="n">
        <v>1</v>
      </c>
      <c r="S213" s="24" t="inlineStr">
        <is>
          <t>per piece</t>
        </is>
      </c>
      <c r="T213" s="24" t="inlineStr">
        <is>
          <t>EXACT</t>
        </is>
      </c>
      <c r="U213" s="24" t="inlineStr">
        <is>
          <t>Existing benchmark assignment and match quality retained.</t>
        </is>
      </c>
      <c r="V213" s="98" t="n"/>
      <c r="W213" s="98" t="n"/>
      <c r="X213" s="24" t="inlineStr">
        <is>
          <t>YES Gastro Czech Market Research.xlsx</t>
        </is>
      </c>
      <c r="Y213" s="24" t="n"/>
      <c r="Z213" s="24" t="n"/>
      <c r="AA213" s="24" t="n"/>
      <c r="AB213" s="24" t="inlineStr">
        <is>
          <t>CZK</t>
        </is>
      </c>
      <c r="AC213" s="24" t="inlineStr">
        <is>
          <t>yes</t>
        </is>
      </c>
      <c r="AD213" s="24">
        <f>IF(OR(F213="",Q213="",R213=""),"",ROUND(IF(P213="incl.",F213/(1+Q213),F213)/IF(S213="per pack",R213,1),2))</f>
        <v/>
      </c>
      <c r="AE213" s="24">
        <f>IF(AND(AC213="yes",ISNUMBER(F213),IF('Compare'!$H$5="All mapped",TRUE,IF('Compare'!$H$5="EXACT only",J213="EXACT",OR(J213="EXACT",J213="CLOSE")))),"yes","no")</f>
        <v/>
      </c>
      <c r="AF213" s="24">
        <f>IF(ISNUMBER(H213),COUNTIFS($B$7:$B$608,B213,$C$7:$C$608,C213,$H$7:$H$608,"&lt;"&amp;H213,$AH$7:$AH$608,"yes")+COUNTIFS($B$7:B213,B213,$C$7:C213,C213,$H$7:H213,H213,$AH$7:AH213,"yes"),"")</f>
        <v/>
      </c>
      <c r="AG213" s="24">
        <f>IF(ISNUMBER(I213),COUNTIFS($B$7:$B$608,B213,$C$7:$C$608,C213,$I$7:$I$608,"&lt;"&amp;I213,$AI$7:$AI$608,"yes")+COUNTIFS($B$7:B213,B213,$C$7:C213,C213,$I$7:I213,I213,$AI$7:AI213,"yes"),"")</f>
        <v/>
      </c>
      <c r="AH213" s="24">
        <f>IF(ISNUMBER(H213),"yes","no")</f>
        <v/>
      </c>
      <c r="AI213" s="24">
        <f>IF(ISNUMBER(I213),"yes","no")</f>
        <v/>
      </c>
      <c r="AJ213" s="101" t="n">
        <v>46295</v>
      </c>
      <c r="AK213" s="24" t="n"/>
    </row>
    <row r="214" ht="42" customHeight="1">
      <c r="A214" s="2" t="n"/>
      <c r="B214" s="27" t="inlineStr">
        <is>
          <t>PE cutting board 530 × 325 × 20 mm</t>
        </is>
      </c>
      <c r="C214" s="27" t="inlineStr">
        <is>
          <t>Czech</t>
        </is>
      </c>
      <c r="D214" s="27" t="inlineStr">
        <is>
          <t>Gastro Novotný</t>
        </is>
      </c>
      <c r="E214" s="27" t="inlineStr">
        <is>
          <t>Deska polyethylen GN 1/1 53x32,5x2cm nožičky, PE-HD červená</t>
        </is>
      </c>
      <c r="F214" s="102" t="n">
        <v>1090</v>
      </c>
      <c r="G214" s="27" t="inlineStr">
        <is>
          <t>CZK</t>
        </is>
      </c>
      <c r="H214" s="102">
        <f>IF(AND(AE214="yes",ISNUMBER(AD214)),AD214,"")</f>
        <v/>
      </c>
      <c r="I214" s="103">
        <f>IF(AND(AE214="yes",ISNUMBER(AD214),ISNUMBER(INDEX('Sources'!$G$7:$G$10,MATCH(AB214,'Sources'!$B$7:$B$10,0)))),AD214/INDEX('Sources'!$G$7:$G$10,MATCH(AB214,'Sources'!$B$7:$B$10,0)),"")</f>
        <v/>
      </c>
      <c r="J214" s="27" t="inlineStr">
        <is>
          <t>EXACT</t>
        </is>
      </c>
      <c r="K214" s="27" t="inlineStr">
        <is>
          <t>2026-09-30</t>
        </is>
      </c>
      <c r="L214" s="71" t="n"/>
      <c r="M214" s="27" t="inlineStr">
        <is>
          <t>HDPE, feet, colours white/yellow/red/blue/green/brown/black; 1,318.90 CZK incl. VAT; availability "Na dotaz" (some colours 3-6 weeks)</t>
        </is>
      </c>
      <c r="N214" s="28" t="inlineStr">
        <is>
          <t>https://eshop.gastronovotny.cz/deska-polyethylen-gn-1-1--53x32-5x2cm--nozicky-pe-hd--cervena/</t>
        </is>
      </c>
      <c r="O214" s="27" t="n"/>
      <c r="P214" s="27" t="inlineStr">
        <is>
          <t>excl.</t>
        </is>
      </c>
      <c r="Q214" s="104" t="n">
        <v>0.21</v>
      </c>
      <c r="R214" s="27" t="n">
        <v>1</v>
      </c>
      <c r="S214" s="27" t="inlineStr">
        <is>
          <t>per piece</t>
        </is>
      </c>
      <c r="T214" s="27" t="inlineStr">
        <is>
          <t>EXACT</t>
        </is>
      </c>
      <c r="U214" s="27" t="inlineStr">
        <is>
          <t>Existing benchmark assignment and match quality retained.</t>
        </is>
      </c>
      <c r="V214" s="102" t="n"/>
      <c r="W214" s="102" t="n"/>
      <c r="X214" s="27" t="inlineStr">
        <is>
          <t>YES Gastro Czech Market Research.xlsx</t>
        </is>
      </c>
      <c r="Y214" s="27" t="n"/>
      <c r="Z214" s="27" t="n"/>
      <c r="AA214" s="27" t="n"/>
      <c r="AB214" s="27" t="inlineStr">
        <is>
          <t>CZK</t>
        </is>
      </c>
      <c r="AC214" s="27" t="inlineStr">
        <is>
          <t>yes</t>
        </is>
      </c>
      <c r="AD214" s="27">
        <f>IF(OR(F214="",Q214="",R214=""),"",ROUND(IF(P214="incl.",F214/(1+Q214),F214)/IF(S214="per pack",R214,1),2))</f>
        <v/>
      </c>
      <c r="AE214" s="27">
        <f>IF(AND(AC214="yes",ISNUMBER(F214),IF('Compare'!$H$5="All mapped",TRUE,IF('Compare'!$H$5="EXACT only",J214="EXACT",OR(J214="EXACT",J214="CLOSE")))),"yes","no")</f>
        <v/>
      </c>
      <c r="AF214" s="27">
        <f>IF(ISNUMBER(H214),COUNTIFS($B$7:$B$608,B214,$C$7:$C$608,C214,$H$7:$H$608,"&lt;"&amp;H214,$AH$7:$AH$608,"yes")+COUNTIFS($B$7:B214,B214,$C$7:C214,C214,$H$7:H214,H214,$AH$7:AH214,"yes"),"")</f>
        <v/>
      </c>
      <c r="AG214" s="27">
        <f>IF(ISNUMBER(I214),COUNTIFS($B$7:$B$608,B214,$C$7:$C$608,C214,$I$7:$I$608,"&lt;"&amp;I214,$AI$7:$AI$608,"yes")+COUNTIFS($B$7:B214,B214,$C$7:C214,C214,$I$7:I214,I214,$AI$7:AI214,"yes"),"")</f>
        <v/>
      </c>
      <c r="AH214" s="27">
        <f>IF(ISNUMBER(H214),"yes","no")</f>
        <v/>
      </c>
      <c r="AI214" s="27">
        <f>IF(ISNUMBER(I214),"yes","no")</f>
        <v/>
      </c>
      <c r="AJ214" s="105" t="n">
        <v>46295</v>
      </c>
      <c r="AK214" s="27" t="n"/>
    </row>
    <row r="215" ht="52" customHeight="1">
      <c r="A215" s="2" t="n"/>
      <c r="B215" s="24" t="inlineStr">
        <is>
          <t>PE cutting board 530 × 325 × 20 mm</t>
        </is>
      </c>
      <c r="C215" s="24" t="inlineStr">
        <is>
          <t>Czech</t>
        </is>
      </c>
      <c r="D215" s="24" t="inlineStr">
        <is>
          <t>Gastromania</t>
        </is>
      </c>
      <c r="E215" s="24" t="inlineStr">
        <is>
          <t>Deska na krájení HACCP 530x325x25 mm, červená | CONTACTO, 1524/539</t>
        </is>
      </c>
      <c r="F215" s="98" t="n">
        <v>1172</v>
      </c>
      <c r="G215" s="24" t="inlineStr">
        <is>
          <t>CZK</t>
        </is>
      </c>
      <c r="H215" s="98">
        <f>IF(AND(AE215="yes",ISNUMBER(AD215)),AD215,"")</f>
        <v/>
      </c>
      <c r="I215" s="99">
        <f>IF(AND(AE215="yes",ISNUMBER(AD215),ISNUMBER(INDEX('Sources'!$G$7:$G$10,MATCH(AB215,'Sources'!$B$7:$B$10,0)))),AD215/INDEX('Sources'!$G$7:$G$10,MATCH(AB215,'Sources'!$B$7:$B$10,0)),"")</f>
        <v/>
      </c>
      <c r="J215" s="24" t="inlineStr">
        <is>
          <t>CLOSE</t>
        </is>
      </c>
      <c r="K215" s="24" t="inlineStr">
        <is>
          <t>2026-09-30</t>
        </is>
      </c>
      <c r="L215" s="71" t="n"/>
      <c r="M215" s="24" t="inlineStr">
        <is>
          <t>PE, HACCP colours, anti-slip feet; 25 mm thick (no 20 mm PE GN 1/1 board found). 1,418 CZK incl.; availability 30 days. Thinner options: Hendi 530x325x15 (PE/PP conflicting) 523 excl.; Hendi 10 mm 297 excl.</t>
        </is>
      </c>
      <c r="N215" s="25" t="inlineStr">
        <is>
          <t>https://www.gastromania.cz/plastove-krajeci-desky-haccp/deska-na-krajeni-haccp-530x325x25-mm-cervena-contacto-1524-539</t>
        </is>
      </c>
      <c r="O215" s="24" t="inlineStr">
        <is>
          <t>Contacto</t>
        </is>
      </c>
      <c r="P215" s="24" t="inlineStr">
        <is>
          <t>excl.</t>
        </is>
      </c>
      <c r="Q215" s="100" t="n">
        <v>0.21</v>
      </c>
      <c r="R215" s="24" t="n">
        <v>1</v>
      </c>
      <c r="S215" s="24" t="inlineStr">
        <is>
          <t>per piece</t>
        </is>
      </c>
      <c r="T215" s="24" t="inlineStr">
        <is>
          <t>CLOSE</t>
        </is>
      </c>
      <c r="U215" s="24" t="inlineStr">
        <is>
          <t>Existing benchmark assignment and match quality retained.</t>
        </is>
      </c>
      <c r="V215" s="98" t="n"/>
      <c r="W215" s="98" t="n"/>
      <c r="X215" s="24" t="inlineStr">
        <is>
          <t>YES Gastro Czech Market Research.xlsx</t>
        </is>
      </c>
      <c r="Y215" s="24" t="n"/>
      <c r="Z215" s="24" t="n"/>
      <c r="AA215" s="24" t="n"/>
      <c r="AB215" s="24" t="inlineStr">
        <is>
          <t>CZK</t>
        </is>
      </c>
      <c r="AC215" s="24" t="inlineStr">
        <is>
          <t>yes</t>
        </is>
      </c>
      <c r="AD215" s="24">
        <f>IF(OR(F215="",Q215="",R215=""),"",ROUND(IF(P215="incl.",F215/(1+Q215),F215)/IF(S215="per pack",R215,1),2))</f>
        <v/>
      </c>
      <c r="AE215" s="24">
        <f>IF(AND(AC215="yes",ISNUMBER(F215),IF('Compare'!$H$5="All mapped",TRUE,IF('Compare'!$H$5="EXACT only",J215="EXACT",OR(J215="EXACT",J215="CLOSE")))),"yes","no")</f>
        <v/>
      </c>
      <c r="AF215" s="24">
        <f>IF(ISNUMBER(H215),COUNTIFS($B$7:$B$608,B215,$C$7:$C$608,C215,$H$7:$H$608,"&lt;"&amp;H215,$AH$7:$AH$608,"yes")+COUNTIFS($B$7:B215,B215,$C$7:C215,C215,$H$7:H215,H215,$AH$7:AH215,"yes"),"")</f>
        <v/>
      </c>
      <c r="AG215" s="24">
        <f>IF(ISNUMBER(I215),COUNTIFS($B$7:$B$608,B215,$C$7:$C$608,C215,$I$7:$I$608,"&lt;"&amp;I215,$AI$7:$AI$608,"yes")+COUNTIFS($B$7:B215,B215,$C$7:C215,C215,$I$7:I215,I215,$AI$7:AI215,"yes"),"")</f>
        <v/>
      </c>
      <c r="AH215" s="24">
        <f>IF(ISNUMBER(H215),"yes","no")</f>
        <v/>
      </c>
      <c r="AI215" s="24">
        <f>IF(ISNUMBER(I215),"yes","no")</f>
        <v/>
      </c>
      <c r="AJ215" s="101" t="n">
        <v>46295</v>
      </c>
      <c r="AK215" s="24" t="n"/>
    </row>
    <row r="216" ht="42" customHeight="1">
      <c r="A216" s="2" t="n"/>
      <c r="B216" s="27" t="inlineStr">
        <is>
          <t>PE cutting board 530 × 325 × 20 mm</t>
        </is>
      </c>
      <c r="C216" s="27" t="inlineStr">
        <is>
          <t>Czech</t>
        </is>
      </c>
      <c r="D216" s="27" t="inlineStr">
        <is>
          <t>Gastrozone</t>
        </is>
      </c>
      <c r="E216" s="27" t="inlineStr">
        <is>
          <t>Prkénko krájecí plastové 53x32,5x2 cm GN 1/1, s drážkou, červené</t>
        </is>
      </c>
      <c r="F216" s="102" t="n">
        <v>1531</v>
      </c>
      <c r="G216" s="27" t="inlineStr">
        <is>
          <t>CZK</t>
        </is>
      </c>
      <c r="H216" s="102">
        <f>IF(AND(AE216="yes",ISNUMBER(AD216)),AD216,"")</f>
        <v/>
      </c>
      <c r="I216" s="103">
        <f>IF(AND(AE216="yes",ISNUMBER(AD216),ISNUMBER(INDEX('Sources'!$G$7:$G$10,MATCH(AB216,'Sources'!$B$7:$B$10,0)))),AD216/INDEX('Sources'!$G$7:$G$10,MATCH(AB216,'Sources'!$B$7:$B$10,0)),"")</f>
        <v/>
      </c>
      <c r="J216" s="27" t="inlineStr">
        <is>
          <t>CLOSE</t>
        </is>
      </c>
      <c r="K216" s="27" t="inlineStr">
        <is>
          <t>2026-09-30</t>
        </is>
      </c>
      <c r="L216" s="71" t="n"/>
      <c r="M216" s="27" t="inlineStr">
        <is>
          <t>530 x 325 x 20 mm, HACCP colours; material only "plast" (plastic type not stated - flagged); has juice groove and rubber feet. 1,265 CZK bez DPH.</t>
        </is>
      </c>
      <c r="N216" s="28" t="inlineStr">
        <is>
          <t>https://www.gastrozone.cz/gastro-prkenko-krajeci-plastove-53x32-5x2-cm-gn-1-1-s-drazkou-cervene.html</t>
        </is>
      </c>
      <c r="O216" s="27" t="inlineStr">
        <is>
          <t>Gastro</t>
        </is>
      </c>
      <c r="P216" s="27" t="inlineStr">
        <is>
          <t>incl.</t>
        </is>
      </c>
      <c r="Q216" s="104" t="n">
        <v>0.21</v>
      </c>
      <c r="R216" s="27" t="n">
        <v>1</v>
      </c>
      <c r="S216" s="27" t="inlineStr">
        <is>
          <t>per piece</t>
        </is>
      </c>
      <c r="T216" s="27" t="inlineStr">
        <is>
          <t>CLOSE</t>
        </is>
      </c>
      <c r="U216" s="27" t="inlineStr">
        <is>
          <t>Existing benchmark assignment and match quality retained.</t>
        </is>
      </c>
      <c r="V216" s="102" t="n"/>
      <c r="W216" s="102" t="n"/>
      <c r="X216" s="27" t="inlineStr">
        <is>
          <t>YES Gastro Czech Market Research.xlsx</t>
        </is>
      </c>
      <c r="Y216" s="27" t="n"/>
      <c r="Z216" s="27" t="n"/>
      <c r="AA216" s="27" t="n"/>
      <c r="AB216" s="27" t="inlineStr">
        <is>
          <t>CZK</t>
        </is>
      </c>
      <c r="AC216" s="27" t="inlineStr">
        <is>
          <t>yes</t>
        </is>
      </c>
      <c r="AD216" s="27">
        <f>IF(OR(F216="",Q216="",R216=""),"",ROUND(IF(P216="incl.",F216/(1+Q216),F216)/IF(S216="per pack",R216,1),2))</f>
        <v/>
      </c>
      <c r="AE216" s="27">
        <f>IF(AND(AC216="yes",ISNUMBER(F216),IF('Compare'!$H$5="All mapped",TRUE,IF('Compare'!$H$5="EXACT only",J216="EXACT",OR(J216="EXACT",J216="CLOSE")))),"yes","no")</f>
        <v/>
      </c>
      <c r="AF216" s="27">
        <f>IF(ISNUMBER(H216),COUNTIFS($B$7:$B$608,B216,$C$7:$C$608,C216,$H$7:$H$608,"&lt;"&amp;H216,$AH$7:$AH$608,"yes")+COUNTIFS($B$7:B216,B216,$C$7:C216,C216,$H$7:H216,H216,$AH$7:AH216,"yes"),"")</f>
        <v/>
      </c>
      <c r="AG216" s="27">
        <f>IF(ISNUMBER(I216),COUNTIFS($B$7:$B$608,B216,$C$7:$C$608,C216,$I$7:$I$608,"&lt;"&amp;I216,$AI$7:$AI$608,"yes")+COUNTIFS($B$7:B216,B216,$C$7:C216,C216,$I$7:I216,I216,$AI$7:AI216,"yes"),"")</f>
        <v/>
      </c>
      <c r="AH216" s="27">
        <f>IF(ISNUMBER(H216),"yes","no")</f>
        <v/>
      </c>
      <c r="AI216" s="27">
        <f>IF(ISNUMBER(I216),"yes","no")</f>
        <v/>
      </c>
      <c r="AJ216" s="105" t="n">
        <v>46295</v>
      </c>
      <c r="AK216" s="27" t="n"/>
    </row>
    <row r="217" ht="42" customHeight="1">
      <c r="A217" s="2" t="n"/>
      <c r="B217" s="24" t="inlineStr">
        <is>
          <t>PE cutting board 530 × 325 × 20 mm</t>
        </is>
      </c>
      <c r="C217" s="24" t="inlineStr">
        <is>
          <t>Czech</t>
        </is>
      </c>
      <c r="D217" s="24" t="inlineStr">
        <is>
          <t>TOMGAST</t>
        </is>
      </c>
      <c r="E217" s="24" t="inlineStr">
        <is>
          <t>Deska 500 × 325 × 20 mm, červená</t>
        </is>
      </c>
      <c r="F217" s="98" t="n">
        <v>1016</v>
      </c>
      <c r="G217" s="24" t="inlineStr">
        <is>
          <t>CZK</t>
        </is>
      </c>
      <c r="H217" s="98">
        <f>IF(AND(AE217="yes",ISNUMBER(AD217)),AD217,"")</f>
        <v/>
      </c>
      <c r="I217" s="99">
        <f>IF(AND(AE217="yes",ISNUMBER(AD217),ISNUMBER(INDEX('Sources'!$G$7:$G$10,MATCH(AB217,'Sources'!$B$7:$B$10,0)))),AD217/INDEX('Sources'!$G$7:$G$10,MATCH(AB217,'Sources'!$B$7:$B$10,0)),"")</f>
        <v/>
      </c>
      <c r="J217" s="24" t="inlineStr">
        <is>
          <t>APPROX</t>
        </is>
      </c>
      <c r="K217" s="24" t="inlineStr">
        <is>
          <t>2026-09-30</t>
        </is>
      </c>
      <c r="L217" s="71" t="n"/>
      <c r="M217" s="24" t="inlineStr">
        <is>
          <t>PE, colour range (white/red/blue/green/yellow/brown), anti-slip feet; 500 mm long, not GN 1/1 530 mm. 840 CZK bez DPH. No 530 x 325 PE board listed.</t>
        </is>
      </c>
      <c r="N217" s="25" t="inlineStr">
        <is>
          <t>https://www.tomgast.cz/deska-500--325--20-mm--cervena/</t>
        </is>
      </c>
      <c r="O217" s="24" t="inlineStr">
        <is>
          <t>TOMGAST</t>
        </is>
      </c>
      <c r="P217" s="24" t="inlineStr">
        <is>
          <t>incl.</t>
        </is>
      </c>
      <c r="Q217" s="100" t="n">
        <v>0.21</v>
      </c>
      <c r="R217" s="24" t="n">
        <v>1</v>
      </c>
      <c r="S217" s="24" t="inlineStr">
        <is>
          <t>per piece</t>
        </is>
      </c>
      <c r="T217" s="24" t="inlineStr">
        <is>
          <t>APPROX</t>
        </is>
      </c>
      <c r="U217" s="24" t="inlineStr">
        <is>
          <t>Existing benchmark assignment and match quality retained.</t>
        </is>
      </c>
      <c r="V217" s="98" t="n"/>
      <c r="W217" s="98" t="n"/>
      <c r="X217" s="24" t="inlineStr">
        <is>
          <t>YES Gastro Czech Market Research.xlsx</t>
        </is>
      </c>
      <c r="Y217" s="24" t="n"/>
      <c r="Z217" s="24" t="n"/>
      <c r="AA217" s="24" t="n"/>
      <c r="AB217" s="24" t="inlineStr">
        <is>
          <t>CZK</t>
        </is>
      </c>
      <c r="AC217" s="24" t="inlineStr">
        <is>
          <t>yes</t>
        </is>
      </c>
      <c r="AD217" s="24">
        <f>IF(OR(F217="",Q217="",R217=""),"",ROUND(IF(P217="incl.",F217/(1+Q217),F217)/IF(S217="per pack",R217,1),2))</f>
        <v/>
      </c>
      <c r="AE217" s="24">
        <f>IF(AND(AC217="yes",ISNUMBER(F217),IF('Compare'!$H$5="All mapped",TRUE,IF('Compare'!$H$5="EXACT only",J217="EXACT",OR(J217="EXACT",J217="CLOSE")))),"yes","no")</f>
        <v/>
      </c>
      <c r="AF217" s="24">
        <f>IF(ISNUMBER(H217),COUNTIFS($B$7:$B$608,B217,$C$7:$C$608,C217,$H$7:$H$608,"&lt;"&amp;H217,$AH$7:$AH$608,"yes")+COUNTIFS($B$7:B217,B217,$C$7:C217,C217,$H$7:H217,H217,$AH$7:AH217,"yes"),"")</f>
        <v/>
      </c>
      <c r="AG217" s="24">
        <f>IF(ISNUMBER(I217),COUNTIFS($B$7:$B$608,B217,$C$7:$C$608,C217,$I$7:$I$608,"&lt;"&amp;I217,$AI$7:$AI$608,"yes")+COUNTIFS($B$7:B217,B217,$C$7:C217,C217,$I$7:I217,I217,$AI$7:AI217,"yes"),"")</f>
        <v/>
      </c>
      <c r="AH217" s="24">
        <f>IF(ISNUMBER(H217),"yes","no")</f>
        <v/>
      </c>
      <c r="AI217" s="24">
        <f>IF(ISNUMBER(I217),"yes","no")</f>
        <v/>
      </c>
      <c r="AJ217" s="101" t="n">
        <v>46295</v>
      </c>
      <c r="AK217" s="24" t="n"/>
    </row>
    <row r="218" ht="66" customHeight="1">
      <c r="A218" s="2" t="n"/>
      <c r="B218" s="27" t="inlineStr">
        <is>
          <t>PE cutting board 530 × 325 × 20 mm</t>
        </is>
      </c>
      <c r="C218" s="27" t="inlineStr">
        <is>
          <t>Slovakia</t>
        </is>
      </c>
      <c r="D218" s="27" t="inlineStr">
        <is>
          <t>Gastromania.sk (GASTROMANIA CZ s.r.o., CZ)</t>
        </is>
      </c>
      <c r="E218" s="27" t="inlineStr">
        <is>
          <t>Doska na krájanie HACCP GN 1/1 fialová | HENDI, 826065</t>
        </is>
      </c>
      <c r="F218" s="102" t="n">
        <v>20.35</v>
      </c>
      <c r="G218" s="27" t="inlineStr">
        <is>
          <t>EUR</t>
        </is>
      </c>
      <c r="H218" s="102">
        <f>IF(AND(AE218="yes",ISNUMBER(AD218)),AD218,"")</f>
        <v/>
      </c>
      <c r="I218" s="103">
        <f>IF(AND(AE218="yes",ISNUMBER(AD218),ISNUMBER(INDEX('Sources'!$G$7:$G$10,MATCH(AB218,'Sources'!$B$7:$B$10,0)))),AD218/INDEX('Sources'!$G$7:$G$10,MATCH(AB218,'Sources'!$B$7:$B$10,0)),"")</f>
        <v/>
      </c>
      <c r="J218" s="27" t="inlineStr">
        <is>
          <t>CLOSE</t>
        </is>
      </c>
      <c r="K218" s="27" t="inlineStr">
        <is>
          <t>2026-09-30</t>
        </is>
      </c>
      <c r="L218" s="71" t="n"/>
      <c r="M218" s="27" t="inlineStr">
        <is>
          <t>Listed 'Cena bez DPH' 20.35 EUR / 'Cena s DPH' 25.03 EUR. HDPE 500, 530x325 mm, HACCP (purple/allergen); thickness 15 mm per parameters (18 mm per description) instead of 20 mm; not dishwasher-safe. Alternative: Contacto 1515/530 HDPE 530x325x25 mm (price not checked).</t>
        </is>
      </c>
      <c r="N218" s="28" t="inlineStr">
        <is>
          <t>https://gastromania.sk/plastove-krajacie-dosky-haccp/doska-na-krajanie-haccp-gn-1-1-fialova-hendi-826065</t>
        </is>
      </c>
      <c r="O218" s="27" t="inlineStr">
        <is>
          <t>Hendi</t>
        </is>
      </c>
      <c r="P218" s="27" t="inlineStr">
        <is>
          <t>excl.</t>
        </is>
      </c>
      <c r="Q218" s="104" t="inlineStr">
        <is>
          <t>n/a</t>
        </is>
      </c>
      <c r="R218" s="27" t="n">
        <v>1</v>
      </c>
      <c r="S218" s="27" t="inlineStr">
        <is>
          <t>per piece</t>
        </is>
      </c>
      <c r="T218" s="27" t="inlineStr">
        <is>
          <t>CLOSE</t>
        </is>
      </c>
      <c r="U218" s="27" t="inlineStr">
        <is>
          <t>Existing benchmark assignment and match quality retained.</t>
        </is>
      </c>
      <c r="V218" s="102" t="n">
        <v>20.35</v>
      </c>
      <c r="W218" s="102" t="n"/>
      <c r="X218" s="27" t="inlineStr">
        <is>
          <t>YES Gastro Slovakia Market Research.xlsx</t>
        </is>
      </c>
      <c r="Y218" s="27" t="n"/>
      <c r="Z218" s="27" t="n"/>
      <c r="AA218" s="27" t="n"/>
      <c r="AB218" s="27" t="inlineStr">
        <is>
          <t>EUR</t>
        </is>
      </c>
      <c r="AC218" s="27" t="inlineStr">
        <is>
          <t>yes</t>
        </is>
      </c>
      <c r="AD218" s="27">
        <f>IF(ISNUMBER(V218),V218,"")</f>
        <v/>
      </c>
      <c r="AE218" s="27">
        <f>IF(AND(AC218="yes",ISNUMBER(F218),IF('Compare'!$H$5="All mapped",TRUE,IF('Compare'!$H$5="EXACT only",J218="EXACT",OR(J218="EXACT",J218="CLOSE")))),"yes","no")</f>
        <v/>
      </c>
      <c r="AF218" s="27">
        <f>IF(ISNUMBER(H218),COUNTIFS($B$7:$B$608,B218,$C$7:$C$608,C218,$H$7:$H$608,"&lt;"&amp;H218,$AH$7:$AH$608,"yes")+COUNTIFS($B$7:B218,B218,$C$7:C218,C218,$H$7:H218,H218,$AH$7:AH218,"yes"),"")</f>
        <v/>
      </c>
      <c r="AG218" s="27">
        <f>IF(ISNUMBER(I218),COUNTIFS($B$7:$B$608,B218,$C$7:$C$608,C218,$I$7:$I$608,"&lt;"&amp;I218,$AI$7:$AI$608,"yes")+COUNTIFS($B$7:B218,B218,$C$7:C218,C218,$I$7:I218,I218,$AI$7:AI218,"yes"),"")</f>
        <v/>
      </c>
      <c r="AH218" s="27">
        <f>IF(ISNUMBER(H218),"yes","no")</f>
        <v/>
      </c>
      <c r="AI218" s="27">
        <f>IF(ISNUMBER(I218),"yes","no")</f>
        <v/>
      </c>
      <c r="AJ218" s="105" t="n">
        <v>46295</v>
      </c>
      <c r="AK218" s="27" t="n"/>
    </row>
    <row r="219" ht="52" customHeight="1">
      <c r="A219" s="2" t="n"/>
      <c r="B219" s="24" t="inlineStr">
        <is>
          <t>PE cutting board 530 × 325 × 20 mm</t>
        </is>
      </c>
      <c r="C219" s="24" t="inlineStr">
        <is>
          <t>Slovakia</t>
        </is>
      </c>
      <c r="D219" s="24" t="inlineStr">
        <is>
          <t>Gastrozone.sk (GASTROZONE, spol. s r.o., CZ)</t>
        </is>
      </c>
      <c r="E219" s="24" t="inlineStr">
        <is>
          <t>Doštička na krájanie plastová 53x32,5x2 cm GN 1/1, s drážkou, biela</t>
        </is>
      </c>
      <c r="F219" s="98" t="n">
        <v>63.91</v>
      </c>
      <c r="G219" s="24" t="inlineStr">
        <is>
          <t>EUR</t>
        </is>
      </c>
      <c r="H219" s="98">
        <f>IF(AND(AE219="yes",ISNUMBER(AD219)),AD219,"")</f>
        <v/>
      </c>
      <c r="I219" s="99">
        <f>IF(AND(AE219="yes",ISNUMBER(AD219),ISNUMBER(INDEX('Sources'!$G$7:$G$10,MATCH(AB219,'Sources'!$B$7:$B$10,0)))),AD219/INDEX('Sources'!$G$7:$G$10,MATCH(AB219,'Sources'!$B$7:$B$10,0)),"")</f>
        <v/>
      </c>
      <c r="J219" s="24" t="inlineStr">
        <is>
          <t>CLOSE</t>
        </is>
      </c>
      <c r="K219" s="24" t="inlineStr">
        <is>
          <t>2026-09-30</t>
        </is>
      </c>
      <c r="L219" s="71" t="n"/>
      <c r="M219" s="24" t="inlineStr">
        <is>
          <t>Size and thickness match; HACCP, sold in HACCP colours (white/yellow/red/blue/green/brown). MATERIAL NOT STATED (only 'plast') - PE not confirmed. Has juice groove and rubber feet. Board without groove/feet: 82,21 EUR.</t>
        </is>
      </c>
      <c r="N219" s="25" t="inlineStr">
        <is>
          <t>https://www.gastrozone.sk/gastro-dosticka-na-krajanie-plastova-53x32-5x2-cm-gn-1-1-s-drazkou-biela.html</t>
        </is>
      </c>
      <c r="O219" s="24" t="inlineStr">
        <is>
          <t>Gastro</t>
        </is>
      </c>
      <c r="P219" s="24" t="inlineStr">
        <is>
          <t>incl.</t>
        </is>
      </c>
      <c r="Q219" s="100" t="n">
        <v>0.23</v>
      </c>
      <c r="R219" s="24" t="n">
        <v>1</v>
      </c>
      <c r="S219" s="24" t="inlineStr">
        <is>
          <t>per piece</t>
        </is>
      </c>
      <c r="T219" s="24" t="inlineStr">
        <is>
          <t>CLOSE</t>
        </is>
      </c>
      <c r="U219" s="24" t="inlineStr">
        <is>
          <t>Existing benchmark assignment and match quality retained.</t>
        </is>
      </c>
      <c r="V219" s="98" t="n">
        <v>51.9593495934959</v>
      </c>
      <c r="W219" s="98" t="n"/>
      <c r="X219" s="24" t="inlineStr">
        <is>
          <t>YES Gastro Slovakia Market Research.xlsx</t>
        </is>
      </c>
      <c r="Y219" s="24" t="n"/>
      <c r="Z219" s="24" t="n"/>
      <c r="AA219" s="24" t="n"/>
      <c r="AB219" s="24" t="inlineStr">
        <is>
          <t>EUR</t>
        </is>
      </c>
      <c r="AC219" s="24" t="inlineStr">
        <is>
          <t>yes</t>
        </is>
      </c>
      <c r="AD219" s="24">
        <f>IF(ISNUMBER(V219),V219,"")</f>
        <v/>
      </c>
      <c r="AE219" s="24">
        <f>IF(AND(AC219="yes",ISNUMBER(F219),IF('Compare'!$H$5="All mapped",TRUE,IF('Compare'!$H$5="EXACT only",J219="EXACT",OR(J219="EXACT",J219="CLOSE")))),"yes","no")</f>
        <v/>
      </c>
      <c r="AF219" s="24">
        <f>IF(ISNUMBER(H219),COUNTIFS($B$7:$B$608,B219,$C$7:$C$608,C219,$H$7:$H$608,"&lt;"&amp;H219,$AH$7:$AH$608,"yes")+COUNTIFS($B$7:B219,B219,$C$7:C219,C219,$H$7:H219,H219,$AH$7:AH219,"yes"),"")</f>
        <v/>
      </c>
      <c r="AG219" s="24">
        <f>IF(ISNUMBER(I219),COUNTIFS($B$7:$B$608,B219,$C$7:$C$608,C219,$I$7:$I$608,"&lt;"&amp;I219,$AI$7:$AI$608,"yes")+COUNTIFS($B$7:B219,B219,$C$7:C219,C219,$I$7:I219,I219,$AI$7:AI219,"yes"),"")</f>
        <v/>
      </c>
      <c r="AH219" s="24">
        <f>IF(ISNUMBER(H219),"yes","no")</f>
        <v/>
      </c>
      <c r="AI219" s="24">
        <f>IF(ISNUMBER(I219),"yes","no")</f>
        <v/>
      </c>
      <c r="AJ219" s="101" t="n">
        <v>46295</v>
      </c>
      <c r="AK219" s="24" t="n"/>
    </row>
    <row r="220" ht="42" customHeight="1">
      <c r="A220" s="2" t="n"/>
      <c r="B220" s="27" t="inlineStr">
        <is>
          <t>PE cutting board 600 × 400 × 20 mm</t>
        </is>
      </c>
      <c r="C220" s="27" t="inlineStr">
        <is>
          <t>Hungary</t>
        </is>
      </c>
      <c r="D220" s="27" t="inlineStr">
        <is>
          <t>Gasztronagyker</t>
        </is>
      </c>
      <c r="E220" s="27" t="inlineStr">
        <is>
          <t>Cutting Board 600 x 400 x 20 mm</t>
        </is>
      </c>
      <c r="F220" s="102" t="n">
        <v>12519</v>
      </c>
      <c r="G220" s="27" t="inlineStr">
        <is>
          <t>HUF</t>
        </is>
      </c>
      <c r="H220" s="102">
        <f>IF(AND(AE220="yes",ISNUMBER(AD220)),AD220,"")</f>
        <v/>
      </c>
      <c r="I220" s="103">
        <f>IF(AND(AE220="yes",ISNUMBER(AD220),ISNUMBER(INDEX('Sources'!$G$7:$G$10,MATCH(AB220,'Sources'!$B$7:$B$10,0)))),AD220/INDEX('Sources'!$G$7:$G$10,MATCH(AB220,'Sources'!$B$7:$B$10,0)),"")</f>
        <v/>
      </c>
      <c r="J220" s="27" t="inlineStr">
        <is>
          <t>INCOMPLETE</t>
        </is>
      </c>
      <c r="K220" s="27" t="inlineStr">
        <is>
          <t>24.06.2026</t>
        </is>
      </c>
      <c r="L220" s="71" t="n"/>
      <c r="M220" s="27" t="inlineStr">
        <is>
          <t>Source sheet: Cutting Boards</t>
        </is>
      </c>
      <c r="N220" s="28" t="inlineStr">
        <is>
          <t>https://www.gasztronagyker.hu/vagolapok</t>
        </is>
      </c>
      <c r="O220" s="27" t="n"/>
      <c r="P220" s="27" t="n"/>
      <c r="Q220" s="104" t="n"/>
      <c r="R220" s="27" t="n"/>
      <c r="S220" s="27" t="n"/>
      <c r="T220" s="27" t="n"/>
      <c r="U220" s="27" t="inlineStr">
        <is>
          <t>Dimensions agree. PE material and HACCP specification are not stated in the source row.</t>
        </is>
      </c>
      <c r="V220" s="102" t="n"/>
      <c r="W220" s="102" t="n">
        <v>12519</v>
      </c>
      <c r="X220" s="27" t="inlineStr">
        <is>
          <t>YES Gastro Hungary Market Research.xlsx</t>
        </is>
      </c>
      <c r="Y220" s="27" t="inlineStr">
        <is>
          <t>Taha</t>
        </is>
      </c>
      <c r="Z220" s="27" t="n"/>
      <c r="AA220" s="27" t="inlineStr">
        <is>
          <t>Direct</t>
        </is>
      </c>
      <c r="AB220" s="27" t="inlineStr">
        <is>
          <t>HUF</t>
        </is>
      </c>
      <c r="AC220" s="27" t="inlineStr">
        <is>
          <t>yes</t>
        </is>
      </c>
      <c r="AD220" s="27">
        <f>IF(ISNUMBER(F220),IF(G220=AB220,F220,IF(AND(ISNUMBER(INDEX('Sources'!$G$7:$G$10,MATCH(G220,'Sources'!$B$7:$B$10,0))),ISNUMBER(INDEX('Sources'!$G$7:$G$10,MATCH(AB220,'Sources'!$B$7:$B$10,0)))),F220/INDEX('Sources'!$G$7:$G$10,MATCH(G220,'Sources'!$B$7:$B$10,0))*INDEX('Sources'!$G$7:$G$10,MATCH(AB220,'Sources'!$B$7:$B$10,0)),"")),"")</f>
        <v/>
      </c>
      <c r="AE220" s="27">
        <f>IF(AND(AC220="yes",ISNUMBER(F220),IF('Compare'!$H$5="All mapped",TRUE,IF('Compare'!$H$5="EXACT only",J220="EXACT",OR(J220="EXACT",J220="CLOSE")))),"yes","no")</f>
        <v/>
      </c>
      <c r="AF220" s="27">
        <f>IF(ISNUMBER(H220),COUNTIFS($B$7:$B$608,B220,$C$7:$C$608,C220,$H$7:$H$608,"&lt;"&amp;H220,$AH$7:$AH$608,"yes")+COUNTIFS($B$7:B220,B220,$C$7:C220,C220,$H$7:H220,H220,$AH$7:AH220,"yes"),"")</f>
        <v/>
      </c>
      <c r="AG220" s="27">
        <f>IF(ISNUMBER(I220),COUNTIFS($B$7:$B$608,B220,$C$7:$C$608,C220,$I$7:$I$608,"&lt;"&amp;I220,$AI$7:$AI$608,"yes")+COUNTIFS($B$7:B220,B220,$C$7:C220,C220,$I$7:I220,I220,$AI$7:AI220,"yes"),"")</f>
        <v/>
      </c>
      <c r="AH220" s="27">
        <f>IF(ISNUMBER(H220),"yes","no")</f>
        <v/>
      </c>
      <c r="AI220" s="27">
        <f>IF(ISNUMBER(I220),"yes","no")</f>
        <v/>
      </c>
      <c r="AJ220" s="105" t="n">
        <v>46197</v>
      </c>
      <c r="AK220" s="27" t="n"/>
    </row>
    <row r="221" ht="42" customHeight="1">
      <c r="A221" s="2" t="n"/>
      <c r="B221" s="24" t="inlineStr">
        <is>
          <t>PE cutting board 600 × 400 × 20 mm</t>
        </is>
      </c>
      <c r="C221" s="24" t="inlineStr">
        <is>
          <t>Hungary</t>
        </is>
      </c>
      <c r="D221" s="24" t="inlineStr">
        <is>
          <t>Hunnia</t>
        </is>
      </c>
      <c r="E221" s="24" t="inlineStr">
        <is>
          <t>Cutting Board 600 x 400 x 20 mm</t>
        </is>
      </c>
      <c r="F221" s="98" t="n">
        <v>9569</v>
      </c>
      <c r="G221" s="24" t="inlineStr">
        <is>
          <t>HUF</t>
        </is>
      </c>
      <c r="H221" s="98">
        <f>IF(AND(AE221="yes",ISNUMBER(AD221)),AD221,"")</f>
        <v/>
      </c>
      <c r="I221" s="99">
        <f>IF(AND(AE221="yes",ISNUMBER(AD221),ISNUMBER(INDEX('Sources'!$G$7:$G$10,MATCH(AB221,'Sources'!$B$7:$B$10,0)))),AD221/INDEX('Sources'!$G$7:$G$10,MATCH(AB221,'Sources'!$B$7:$B$10,0)),"")</f>
        <v/>
      </c>
      <c r="J221" s="24" t="inlineStr">
        <is>
          <t>INCOMPLETE</t>
        </is>
      </c>
      <c r="K221" s="24" t="inlineStr">
        <is>
          <t>24.06.2026</t>
        </is>
      </c>
      <c r="L221" s="71" t="n"/>
      <c r="M221" s="24" t="inlineStr">
        <is>
          <t>Source sheet: Cutting Boards</t>
        </is>
      </c>
      <c r="N221" s="25" t="inlineStr">
        <is>
          <t>https://hunniakristaly.hu/kereses?description=0&amp;keyword=muanyag+v%C3%A1g%C3%B3deszka&amp;filters=%7B%22category_id%22%3A3817%7D&amp;sort_order=price_asc</t>
        </is>
      </c>
      <c r="O221" s="24" t="n"/>
      <c r="P221" s="24" t="n"/>
      <c r="Q221" s="100" t="n"/>
      <c r="R221" s="24" t="n"/>
      <c r="S221" s="24" t="n"/>
      <c r="T221" s="24" t="n"/>
      <c r="U221" s="24" t="inlineStr">
        <is>
          <t>Dimensions agree. PE material and HACCP specification are not stated in the source row.</t>
        </is>
      </c>
      <c r="V221" s="98" t="n"/>
      <c r="W221" s="98" t="n">
        <v>9569</v>
      </c>
      <c r="X221" s="24" t="inlineStr">
        <is>
          <t>YES Gastro Hungary Market Research.xlsx</t>
        </is>
      </c>
      <c r="Y221" s="24" t="inlineStr">
        <is>
          <t>Taha</t>
        </is>
      </c>
      <c r="Z221" s="24" t="n"/>
      <c r="AA221" s="24" t="inlineStr">
        <is>
          <t>Direct</t>
        </is>
      </c>
      <c r="AB221" s="24" t="inlineStr">
        <is>
          <t>HUF</t>
        </is>
      </c>
      <c r="AC221" s="24" t="inlineStr">
        <is>
          <t>yes</t>
        </is>
      </c>
      <c r="AD221" s="24">
        <f>IF(ISNUMBER(F221),IF(G221=AB221,F221,IF(AND(ISNUMBER(INDEX('Sources'!$G$7:$G$10,MATCH(G221,'Sources'!$B$7:$B$10,0))),ISNUMBER(INDEX('Sources'!$G$7:$G$10,MATCH(AB221,'Sources'!$B$7:$B$10,0)))),F221/INDEX('Sources'!$G$7:$G$10,MATCH(G221,'Sources'!$B$7:$B$10,0))*INDEX('Sources'!$G$7:$G$10,MATCH(AB221,'Sources'!$B$7:$B$10,0)),"")),"")</f>
        <v/>
      </c>
      <c r="AE221" s="24">
        <f>IF(AND(AC221="yes",ISNUMBER(F221),IF('Compare'!$H$5="All mapped",TRUE,IF('Compare'!$H$5="EXACT only",J221="EXACT",OR(J221="EXACT",J221="CLOSE")))),"yes","no")</f>
        <v/>
      </c>
      <c r="AF221" s="24">
        <f>IF(ISNUMBER(H221),COUNTIFS($B$7:$B$608,B221,$C$7:$C$608,C221,$H$7:$H$608,"&lt;"&amp;H221,$AH$7:$AH$608,"yes")+COUNTIFS($B$7:B221,B221,$C$7:C221,C221,$H$7:H221,H221,$AH$7:AH221,"yes"),"")</f>
        <v/>
      </c>
      <c r="AG221" s="24">
        <f>IF(ISNUMBER(I221),COUNTIFS($B$7:$B$608,B221,$C$7:$C$608,C221,$I$7:$I$608,"&lt;"&amp;I221,$AI$7:$AI$608,"yes")+COUNTIFS($B$7:B221,B221,$C$7:C221,C221,$I$7:I221,I221,$AI$7:AI221,"yes"),"")</f>
        <v/>
      </c>
      <c r="AH221" s="24">
        <f>IF(ISNUMBER(H221),"yes","no")</f>
        <v/>
      </c>
      <c r="AI221" s="24">
        <f>IF(ISNUMBER(I221),"yes","no")</f>
        <v/>
      </c>
      <c r="AJ221" s="101" t="n">
        <v>46197</v>
      </c>
      <c r="AK221" s="24" t="n"/>
    </row>
    <row r="222" ht="42" customHeight="1">
      <c r="A222" s="2" t="n"/>
      <c r="B222" s="27" t="inlineStr">
        <is>
          <t>PE cutting board 600 × 400 × 20 mm</t>
        </is>
      </c>
      <c r="C222" s="27" t="inlineStr">
        <is>
          <t>Hungary</t>
        </is>
      </c>
      <c r="D222" s="27" t="inlineStr">
        <is>
          <t>Inox-Bázis</t>
        </is>
      </c>
      <c r="E222" s="27" t="inlineStr">
        <is>
          <t>Cutting Board 600 x 400 x 20 mm</t>
        </is>
      </c>
      <c r="F222" s="102" t="n">
        <v>6990</v>
      </c>
      <c r="G222" s="27" t="inlineStr">
        <is>
          <t>HUF</t>
        </is>
      </c>
      <c r="H222" s="102">
        <f>IF(AND(AE222="yes",ISNUMBER(AD222)),AD222,"")</f>
        <v/>
      </c>
      <c r="I222" s="103">
        <f>IF(AND(AE222="yes",ISNUMBER(AD222),ISNUMBER(INDEX('Sources'!$G$7:$G$10,MATCH(AB222,'Sources'!$B$7:$B$10,0)))),AD222/INDEX('Sources'!$G$7:$G$10,MATCH(AB222,'Sources'!$B$7:$B$10,0)),"")</f>
        <v/>
      </c>
      <c r="J222" s="27" t="inlineStr">
        <is>
          <t>INCOMPLETE</t>
        </is>
      </c>
      <c r="K222" s="27" t="inlineStr">
        <is>
          <t>24.06.2026</t>
        </is>
      </c>
      <c r="L222" s="71" t="n"/>
      <c r="M222" s="27" t="inlineStr">
        <is>
          <t>Source sheet: Cutting Boards</t>
        </is>
      </c>
      <c r="N222" s="28" t="inlineStr">
        <is>
          <t>https://www.inoxbazis.hu/search/?q=v%C3%A1g%C3%B3deszka</t>
        </is>
      </c>
      <c r="O222" s="27" t="n"/>
      <c r="P222" s="27" t="n"/>
      <c r="Q222" s="104" t="n"/>
      <c r="R222" s="27" t="n"/>
      <c r="S222" s="27" t="n"/>
      <c r="T222" s="27" t="n"/>
      <c r="U222" s="27" t="inlineStr">
        <is>
          <t>Dimensions agree. PE material and HACCP specification are not stated in the source row.</t>
        </is>
      </c>
      <c r="V222" s="102" t="n"/>
      <c r="W222" s="102" t="n">
        <v>6990</v>
      </c>
      <c r="X222" s="27" t="inlineStr">
        <is>
          <t>YES Gastro Hungary Market Research.xlsx</t>
        </is>
      </c>
      <c r="Y222" s="27" t="inlineStr">
        <is>
          <t>Taha</t>
        </is>
      </c>
      <c r="Z222" s="27" t="n"/>
      <c r="AA222" s="27" t="inlineStr">
        <is>
          <t>Direct</t>
        </is>
      </c>
      <c r="AB222" s="27" t="inlineStr">
        <is>
          <t>HUF</t>
        </is>
      </c>
      <c r="AC222" s="27" t="inlineStr">
        <is>
          <t>yes</t>
        </is>
      </c>
      <c r="AD222" s="27">
        <f>IF(ISNUMBER(F222),IF(G222=AB222,F222,IF(AND(ISNUMBER(INDEX('Sources'!$G$7:$G$10,MATCH(G222,'Sources'!$B$7:$B$10,0))),ISNUMBER(INDEX('Sources'!$G$7:$G$10,MATCH(AB222,'Sources'!$B$7:$B$10,0)))),F222/INDEX('Sources'!$G$7:$G$10,MATCH(G222,'Sources'!$B$7:$B$10,0))*INDEX('Sources'!$G$7:$G$10,MATCH(AB222,'Sources'!$B$7:$B$10,0)),"")),"")</f>
        <v/>
      </c>
      <c r="AE222" s="27">
        <f>IF(AND(AC222="yes",ISNUMBER(F222),IF('Compare'!$H$5="All mapped",TRUE,IF('Compare'!$H$5="EXACT only",J222="EXACT",OR(J222="EXACT",J222="CLOSE")))),"yes","no")</f>
        <v/>
      </c>
      <c r="AF222" s="27">
        <f>IF(ISNUMBER(H222),COUNTIFS($B$7:$B$608,B222,$C$7:$C$608,C222,$H$7:$H$608,"&lt;"&amp;H222,$AH$7:$AH$608,"yes")+COUNTIFS($B$7:B222,B222,$C$7:C222,C222,$H$7:H222,H222,$AH$7:AH222,"yes"),"")</f>
        <v/>
      </c>
      <c r="AG222" s="27">
        <f>IF(ISNUMBER(I222),COUNTIFS($B$7:$B$608,B222,$C$7:$C$608,C222,$I$7:$I$608,"&lt;"&amp;I222,$AI$7:$AI$608,"yes")+COUNTIFS($B$7:B222,B222,$C$7:C222,C222,$I$7:I222,I222,$AI$7:AI222,"yes"),"")</f>
        <v/>
      </c>
      <c r="AH222" s="27">
        <f>IF(ISNUMBER(H222),"yes","no")</f>
        <v/>
      </c>
      <c r="AI222" s="27">
        <f>IF(ISNUMBER(I222),"yes","no")</f>
        <v/>
      </c>
      <c r="AJ222" s="105" t="n">
        <v>46197</v>
      </c>
      <c r="AK222" s="27" t="n"/>
    </row>
    <row r="223" ht="42" customHeight="1">
      <c r="A223" s="2" t="n"/>
      <c r="B223" s="24" t="inlineStr">
        <is>
          <t>PE cutting board 600 × 400 × 20 mm</t>
        </is>
      </c>
      <c r="C223" s="24" t="inlineStr">
        <is>
          <t>Hungary</t>
        </is>
      </c>
      <c r="D223" s="24" t="inlineStr">
        <is>
          <t>Inox-Pláza</t>
        </is>
      </c>
      <c r="E223" s="24" t="inlineStr">
        <is>
          <t>Cutting Board 600 x 400 x 20 mm</t>
        </is>
      </c>
      <c r="F223" s="98" t="n">
        <v>12200</v>
      </c>
      <c r="G223" s="24" t="inlineStr">
        <is>
          <t>HUF</t>
        </is>
      </c>
      <c r="H223" s="98">
        <f>IF(AND(AE223="yes",ISNUMBER(AD223)),AD223,"")</f>
        <v/>
      </c>
      <c r="I223" s="99">
        <f>IF(AND(AE223="yes",ISNUMBER(AD223),ISNUMBER(INDEX('Sources'!$G$7:$G$10,MATCH(AB223,'Sources'!$B$7:$B$10,0)))),AD223/INDEX('Sources'!$G$7:$G$10,MATCH(AB223,'Sources'!$B$7:$B$10,0)),"")</f>
        <v/>
      </c>
      <c r="J223" s="24" t="inlineStr">
        <is>
          <t>INCOMPLETE</t>
        </is>
      </c>
      <c r="K223" s="24" t="inlineStr">
        <is>
          <t>24.06.2026</t>
        </is>
      </c>
      <c r="L223" s="71" t="n"/>
      <c r="M223" s="24" t="inlineStr">
        <is>
          <t>Source sheet: Cutting Boards</t>
        </is>
      </c>
      <c r="N223" s="25" t="inlineStr">
        <is>
          <t>https://www.inoxplaza.hu/kereses?description=0&amp;keyword=v%C3%A1g%C3%B3deszka&amp;filters=%7B%22category_id%22%3A1641%7D</t>
        </is>
      </c>
      <c r="O223" s="24" t="n"/>
      <c r="P223" s="24" t="n"/>
      <c r="Q223" s="100" t="n"/>
      <c r="R223" s="24" t="n"/>
      <c r="S223" s="24" t="n"/>
      <c r="T223" s="24" t="n"/>
      <c r="U223" s="24" t="inlineStr">
        <is>
          <t>Dimensions agree. PE material and HACCP specification are not stated in the source row.</t>
        </is>
      </c>
      <c r="V223" s="98" t="n"/>
      <c r="W223" s="98" t="n">
        <v>12200</v>
      </c>
      <c r="X223" s="24" t="inlineStr">
        <is>
          <t>YES Gastro Hungary Market Research.xlsx</t>
        </is>
      </c>
      <c r="Y223" s="24" t="inlineStr">
        <is>
          <t>Taha</t>
        </is>
      </c>
      <c r="Z223" s="24" t="n"/>
      <c r="AA223" s="24" t="inlineStr">
        <is>
          <t>Direct</t>
        </is>
      </c>
      <c r="AB223" s="24" t="inlineStr">
        <is>
          <t>HUF</t>
        </is>
      </c>
      <c r="AC223" s="24" t="inlineStr">
        <is>
          <t>yes</t>
        </is>
      </c>
      <c r="AD223" s="24">
        <f>IF(ISNUMBER(F223),IF(G223=AB223,F223,IF(AND(ISNUMBER(INDEX('Sources'!$G$7:$G$10,MATCH(G223,'Sources'!$B$7:$B$10,0))),ISNUMBER(INDEX('Sources'!$G$7:$G$10,MATCH(AB223,'Sources'!$B$7:$B$10,0)))),F223/INDEX('Sources'!$G$7:$G$10,MATCH(G223,'Sources'!$B$7:$B$10,0))*INDEX('Sources'!$G$7:$G$10,MATCH(AB223,'Sources'!$B$7:$B$10,0)),"")),"")</f>
        <v/>
      </c>
      <c r="AE223" s="24">
        <f>IF(AND(AC223="yes",ISNUMBER(F223),IF('Compare'!$H$5="All mapped",TRUE,IF('Compare'!$H$5="EXACT only",J223="EXACT",OR(J223="EXACT",J223="CLOSE")))),"yes","no")</f>
        <v/>
      </c>
      <c r="AF223" s="24">
        <f>IF(ISNUMBER(H223),COUNTIFS($B$7:$B$608,B223,$C$7:$C$608,C223,$H$7:$H$608,"&lt;"&amp;H223,$AH$7:$AH$608,"yes")+COUNTIFS($B$7:B223,B223,$C$7:C223,C223,$H$7:H223,H223,$AH$7:AH223,"yes"),"")</f>
        <v/>
      </c>
      <c r="AG223" s="24">
        <f>IF(ISNUMBER(I223),COUNTIFS($B$7:$B$608,B223,$C$7:$C$608,C223,$I$7:$I$608,"&lt;"&amp;I223,$AI$7:$AI$608,"yes")+COUNTIFS($B$7:B223,B223,$C$7:C223,C223,$I$7:I223,I223,$AI$7:AI223,"yes"),"")</f>
        <v/>
      </c>
      <c r="AH223" s="24">
        <f>IF(ISNUMBER(H223),"yes","no")</f>
        <v/>
      </c>
      <c r="AI223" s="24">
        <f>IF(ISNUMBER(I223),"yes","no")</f>
        <v/>
      </c>
      <c r="AJ223" s="101" t="n">
        <v>46197</v>
      </c>
      <c r="AK223" s="24" t="n"/>
    </row>
    <row r="224" ht="42" customHeight="1">
      <c r="A224" s="2" t="n"/>
      <c r="B224" s="27" t="inlineStr">
        <is>
          <t>PE cutting board 600 × 400 × 20 mm</t>
        </is>
      </c>
      <c r="C224" s="27" t="inlineStr">
        <is>
          <t>Romania</t>
        </is>
      </c>
      <c r="D224" s="27" t="inlineStr">
        <is>
          <t>Direca</t>
        </is>
      </c>
      <c r="E224" s="27" t="inlineStr">
        <is>
          <t>600 x 400 x 20 mm</t>
        </is>
      </c>
      <c r="F224" s="102" t="n">
        <v>170.09</v>
      </c>
      <c r="G224" s="27" t="inlineStr">
        <is>
          <t>RON</t>
        </is>
      </c>
      <c r="H224" s="102">
        <f>IF(AND(AE224="yes",ISNUMBER(AD224)),AD224,"")</f>
        <v/>
      </c>
      <c r="I224" s="103">
        <f>IF(AND(AE224="yes",ISNUMBER(AD224),ISNUMBER(INDEX('Sources'!$G$7:$G$10,MATCH(AB224,'Sources'!$B$7:$B$10,0)))),AD224/INDEX('Sources'!$G$7:$G$10,MATCH(AB224,'Sources'!$B$7:$B$10,0)),"")</f>
        <v/>
      </c>
      <c r="J224" s="27" t="inlineStr">
        <is>
          <t>INCOMPLETE</t>
        </is>
      </c>
      <c r="K224" s="27" t="inlineStr">
        <is>
          <t>2026-07-11 00:00:00</t>
        </is>
      </c>
      <c r="L224" s="71" t="n"/>
      <c r="M224" s="27" t="inlineStr">
        <is>
          <t>PE</t>
        </is>
      </c>
      <c r="N224" s="28" t="inlineStr">
        <is>
          <t>https://direca.ro/shop/tocator-universal-alb-hdpe-600x400x20-mm-anti-alunecare/?srsltid=AfmBOorH-yBTBjTCh3lkwc1rW-ej1emQm06WvwMVOHLnPb7BUe_g6egT</t>
        </is>
      </c>
      <c r="O224" s="27" t="inlineStr">
        <is>
          <t>HD</t>
        </is>
      </c>
      <c r="P224" s="27" t="n"/>
      <c r="Q224" s="104" t="n"/>
      <c r="R224" s="27" t="n"/>
      <c r="S224" s="27" t="n"/>
      <c r="T224" s="27" t="n"/>
      <c r="U224" s="27" t="inlineStr">
        <is>
          <t>Dimensions and PE material agree. HACCP/colour coding is not stated.</t>
        </is>
      </c>
      <c r="V224" s="102" t="n"/>
      <c r="W224" s="102" t="n">
        <v>34.018</v>
      </c>
      <c r="X224" s="27" t="inlineStr">
        <is>
          <t>YES Gastro Romania Market Research.xlsx</t>
        </is>
      </c>
      <c r="Y224" s="27" t="inlineStr">
        <is>
          <t>Gabi</t>
        </is>
      </c>
      <c r="Z224" s="27" t="n"/>
      <c r="AA224" s="27" t="n"/>
      <c r="AB224" s="27" t="inlineStr">
        <is>
          <t>RON</t>
        </is>
      </c>
      <c r="AC224" s="27" t="inlineStr">
        <is>
          <t>yes</t>
        </is>
      </c>
      <c r="AD224" s="27">
        <f>IF(ISNUMBER(F224),IF(G224=AB224,F224,IF(AND(ISNUMBER(INDEX('Sources'!$G$7:$G$10,MATCH(G224,'Sources'!$B$7:$B$10,0))),ISNUMBER(INDEX('Sources'!$G$7:$G$10,MATCH(AB224,'Sources'!$B$7:$B$10,0)))),F224/INDEX('Sources'!$G$7:$G$10,MATCH(G224,'Sources'!$B$7:$B$10,0))*INDEX('Sources'!$G$7:$G$10,MATCH(AB224,'Sources'!$B$7:$B$10,0)),"")),"")</f>
        <v/>
      </c>
      <c r="AE224" s="27">
        <f>IF(AND(AC224="yes",ISNUMBER(F224),IF('Compare'!$H$5="All mapped",TRUE,IF('Compare'!$H$5="EXACT only",J224="EXACT",OR(J224="EXACT",J224="CLOSE")))),"yes","no")</f>
        <v/>
      </c>
      <c r="AF224" s="27">
        <f>IF(ISNUMBER(H224),COUNTIFS($B$7:$B$608,B224,$C$7:$C$608,C224,$H$7:$H$608,"&lt;"&amp;H224,$AH$7:$AH$608,"yes")+COUNTIFS($B$7:B224,B224,$C$7:C224,C224,$H$7:H224,H224,$AH$7:AH224,"yes"),"")</f>
        <v/>
      </c>
      <c r="AG224" s="27">
        <f>IF(ISNUMBER(I224),COUNTIFS($B$7:$B$608,B224,$C$7:$C$608,C224,$I$7:$I$608,"&lt;"&amp;I224,$AI$7:$AI$608,"yes")+COUNTIFS($B$7:B224,B224,$C$7:C224,C224,$I$7:I224,I224,$AI$7:AI224,"yes"),"")</f>
        <v/>
      </c>
      <c r="AH224" s="27">
        <f>IF(ISNUMBER(H224),"yes","no")</f>
        <v/>
      </c>
      <c r="AI224" s="27">
        <f>IF(ISNUMBER(I224),"yes","no")</f>
        <v/>
      </c>
      <c r="AJ224" s="105" t="n">
        <v>46214</v>
      </c>
      <c r="AK224" s="27" t="n"/>
    </row>
    <row r="225" ht="42" customHeight="1">
      <c r="A225" s="2" t="n"/>
      <c r="B225" s="24" t="inlineStr">
        <is>
          <t>PE cutting board 600 × 400 × 20 mm</t>
        </is>
      </c>
      <c r="C225" s="24" t="inlineStr">
        <is>
          <t>Romania</t>
        </is>
      </c>
      <c r="D225" s="24" t="inlineStr">
        <is>
          <t>FiMax</t>
        </is>
      </c>
      <c r="E225" s="24" t="inlineStr">
        <is>
          <t>600 x 400 x 20 mm</t>
        </is>
      </c>
      <c r="F225" s="98" t="n">
        <v>204.6</v>
      </c>
      <c r="G225" s="24" t="inlineStr">
        <is>
          <t>RON</t>
        </is>
      </c>
      <c r="H225" s="98">
        <f>IF(AND(AE225="yes",ISNUMBER(AD225)),AD225,"")</f>
        <v/>
      </c>
      <c r="I225" s="99">
        <f>IF(AND(AE225="yes",ISNUMBER(AD225),ISNUMBER(INDEX('Sources'!$G$7:$G$10,MATCH(AB225,'Sources'!$B$7:$B$10,0)))),AD225/INDEX('Sources'!$G$7:$G$10,MATCH(AB225,'Sources'!$B$7:$B$10,0)),"")</f>
        <v/>
      </c>
      <c r="J225" s="24" t="inlineStr">
        <is>
          <t>INCOMPLETE</t>
        </is>
      </c>
      <c r="K225" s="24" t="inlineStr">
        <is>
          <t>2026-07-09 00:00:00</t>
        </is>
      </c>
      <c r="L225" s="71" t="n"/>
      <c r="M225" s="24" t="inlineStr">
        <is>
          <t>PE</t>
        </is>
      </c>
      <c r="N225" s="25" t="inlineStr">
        <is>
          <t>https://www.fimax.ro/categorie/cutite-si-tocatoare-produse-de-igiena-si-depozitare/cutite-si-tocatoare-profesionale/tocatoare-bucatarie-profesionale/page/2/</t>
        </is>
      </c>
      <c r="O225" s="24" t="inlineStr">
        <is>
          <t>Fimar</t>
        </is>
      </c>
      <c r="P225" s="24" t="n"/>
      <c r="Q225" s="100" t="n"/>
      <c r="R225" s="24" t="n"/>
      <c r="S225" s="24" t="n"/>
      <c r="T225" s="24" t="n"/>
      <c r="U225" s="24" t="inlineStr">
        <is>
          <t>Dimensions and PE material agree. HACCP/colour coding is not stated.</t>
        </is>
      </c>
      <c r="V225" s="98" t="n"/>
      <c r="W225" s="98" t="n">
        <v>40.92</v>
      </c>
      <c r="X225" s="24" t="inlineStr">
        <is>
          <t>YES Gastro Romania Market Research.xlsx</t>
        </is>
      </c>
      <c r="Y225" s="24" t="inlineStr">
        <is>
          <t>Gabi</t>
        </is>
      </c>
      <c r="Z225" s="24" t="n"/>
      <c r="AA225" s="24" t="n"/>
      <c r="AB225" s="24" t="inlineStr">
        <is>
          <t>RON</t>
        </is>
      </c>
      <c r="AC225" s="24" t="inlineStr">
        <is>
          <t>yes</t>
        </is>
      </c>
      <c r="AD225" s="24">
        <f>IF(ISNUMBER(F225),IF(G225=AB225,F225,IF(AND(ISNUMBER(INDEX('Sources'!$G$7:$G$10,MATCH(G225,'Sources'!$B$7:$B$10,0))),ISNUMBER(INDEX('Sources'!$G$7:$G$10,MATCH(AB225,'Sources'!$B$7:$B$10,0)))),F225/INDEX('Sources'!$G$7:$G$10,MATCH(G225,'Sources'!$B$7:$B$10,0))*INDEX('Sources'!$G$7:$G$10,MATCH(AB225,'Sources'!$B$7:$B$10,0)),"")),"")</f>
        <v/>
      </c>
      <c r="AE225" s="24">
        <f>IF(AND(AC225="yes",ISNUMBER(F225),IF('Compare'!$H$5="All mapped",TRUE,IF('Compare'!$H$5="EXACT only",J225="EXACT",OR(J225="EXACT",J225="CLOSE")))),"yes","no")</f>
        <v/>
      </c>
      <c r="AF225" s="24">
        <f>IF(ISNUMBER(H225),COUNTIFS($B$7:$B$608,B225,$C$7:$C$608,C225,$H$7:$H$608,"&lt;"&amp;H225,$AH$7:$AH$608,"yes")+COUNTIFS($B$7:B225,B225,$C$7:C225,C225,$H$7:H225,H225,$AH$7:AH225,"yes"),"")</f>
        <v/>
      </c>
      <c r="AG225" s="24">
        <f>IF(ISNUMBER(I225),COUNTIFS($B$7:$B$608,B225,$C$7:$C$608,C225,$I$7:$I$608,"&lt;"&amp;I225,$AI$7:$AI$608,"yes")+COUNTIFS($B$7:B225,B225,$C$7:C225,C225,$I$7:I225,I225,$AI$7:AI225,"yes"),"")</f>
        <v/>
      </c>
      <c r="AH225" s="24">
        <f>IF(ISNUMBER(H225),"yes","no")</f>
        <v/>
      </c>
      <c r="AI225" s="24">
        <f>IF(ISNUMBER(I225),"yes","no")</f>
        <v/>
      </c>
      <c r="AJ225" s="101" t="n">
        <v>46212</v>
      </c>
      <c r="AK225" s="24" t="n"/>
    </row>
    <row r="226" ht="42" customHeight="1">
      <c r="A226" s="2" t="n"/>
      <c r="B226" s="27" t="inlineStr">
        <is>
          <t>PE cutting board 600 × 400 × 20 mm</t>
        </is>
      </c>
      <c r="C226" s="27" t="inlineStr">
        <is>
          <t>Romania</t>
        </is>
      </c>
      <c r="D226" s="27" t="inlineStr">
        <is>
          <t>Magora</t>
        </is>
      </c>
      <c r="E226" s="27" t="inlineStr">
        <is>
          <t>600 x 400 x 20 mm</t>
        </is>
      </c>
      <c r="F226" s="102" t="n">
        <v>174</v>
      </c>
      <c r="G226" s="27" t="inlineStr">
        <is>
          <t>RON</t>
        </is>
      </c>
      <c r="H226" s="102">
        <f>IF(AND(AE226="yes",ISNUMBER(AD226)),AD226,"")</f>
        <v/>
      </c>
      <c r="I226" s="103">
        <f>IF(AND(AE226="yes",ISNUMBER(AD226),ISNUMBER(INDEX('Sources'!$G$7:$G$10,MATCH(AB226,'Sources'!$B$7:$B$10,0)))),AD226/INDEX('Sources'!$G$7:$G$10,MATCH(AB226,'Sources'!$B$7:$B$10,0)),"")</f>
        <v/>
      </c>
      <c r="J226" s="27" t="inlineStr">
        <is>
          <t>INCOMPLETE</t>
        </is>
      </c>
      <c r="K226" s="27" t="inlineStr">
        <is>
          <t>2026-07-11 00:00:00</t>
        </is>
      </c>
      <c r="L226" s="71" t="n"/>
      <c r="M226" s="27" t="inlineStr">
        <is>
          <t>PE</t>
        </is>
      </c>
      <c r="N226" s="28" t="inlineStr">
        <is>
          <t>https://www.magora.ro/tocatoare-bucatarie?p=1</t>
        </is>
      </c>
      <c r="O226" s="27" t="n"/>
      <c r="P226" s="27" t="n"/>
      <c r="Q226" s="104" t="n"/>
      <c r="R226" s="27" t="n"/>
      <c r="S226" s="27" t="n"/>
      <c r="T226" s="27" t="n"/>
      <c r="U226" s="27" t="inlineStr">
        <is>
          <t>Dimensions and PE material agree. HACCP/colour coding is not stated.</t>
        </is>
      </c>
      <c r="V226" s="102" t="n"/>
      <c r="W226" s="102" t="n">
        <v>34.8</v>
      </c>
      <c r="X226" s="27" t="inlineStr">
        <is>
          <t>YES Gastro Romania Market Research.xlsx</t>
        </is>
      </c>
      <c r="Y226" s="27" t="inlineStr">
        <is>
          <t>Gabi</t>
        </is>
      </c>
      <c r="Z226" s="27" t="n"/>
      <c r="AA226" s="27" t="n"/>
      <c r="AB226" s="27" t="inlineStr">
        <is>
          <t>RON</t>
        </is>
      </c>
      <c r="AC226" s="27" t="inlineStr">
        <is>
          <t>yes</t>
        </is>
      </c>
      <c r="AD226" s="27">
        <f>IF(ISNUMBER(F226),IF(G226=AB226,F226,IF(AND(ISNUMBER(INDEX('Sources'!$G$7:$G$10,MATCH(G226,'Sources'!$B$7:$B$10,0))),ISNUMBER(INDEX('Sources'!$G$7:$G$10,MATCH(AB226,'Sources'!$B$7:$B$10,0)))),F226/INDEX('Sources'!$G$7:$G$10,MATCH(G226,'Sources'!$B$7:$B$10,0))*INDEX('Sources'!$G$7:$G$10,MATCH(AB226,'Sources'!$B$7:$B$10,0)),"")),"")</f>
        <v/>
      </c>
      <c r="AE226" s="27">
        <f>IF(AND(AC226="yes",ISNUMBER(F226),IF('Compare'!$H$5="All mapped",TRUE,IF('Compare'!$H$5="EXACT only",J226="EXACT",OR(J226="EXACT",J226="CLOSE")))),"yes","no")</f>
        <v/>
      </c>
      <c r="AF226" s="27">
        <f>IF(ISNUMBER(H226),COUNTIFS($B$7:$B$608,B226,$C$7:$C$608,C226,$H$7:$H$608,"&lt;"&amp;H226,$AH$7:$AH$608,"yes")+COUNTIFS($B$7:B226,B226,$C$7:C226,C226,$H$7:H226,H226,$AH$7:AH226,"yes"),"")</f>
        <v/>
      </c>
      <c r="AG226" s="27">
        <f>IF(ISNUMBER(I226),COUNTIFS($B$7:$B$608,B226,$C$7:$C$608,C226,$I$7:$I$608,"&lt;"&amp;I226,$AI$7:$AI$608,"yes")+COUNTIFS($B$7:B226,B226,$C$7:C226,C226,$I$7:I226,I226,$AI$7:AI226,"yes"),"")</f>
        <v/>
      </c>
      <c r="AH226" s="27">
        <f>IF(ISNUMBER(H226),"yes","no")</f>
        <v/>
      </c>
      <c r="AI226" s="27">
        <f>IF(ISNUMBER(I226),"yes","no")</f>
        <v/>
      </c>
      <c r="AJ226" s="105" t="n">
        <v>46214</v>
      </c>
      <c r="AK226" s="27" t="n"/>
    </row>
    <row r="227" ht="66" customHeight="1">
      <c r="A227" s="2" t="n"/>
      <c r="B227" s="24" t="inlineStr">
        <is>
          <t>PE cutting board 600 × 400 × 20 mm</t>
        </is>
      </c>
      <c r="C227" s="24" t="inlineStr">
        <is>
          <t>Romania</t>
        </is>
      </c>
      <c r="D227" s="24" t="inlineStr">
        <is>
          <t>mmgastro</t>
        </is>
      </c>
      <c r="E227" s="24" t="inlineStr">
        <is>
          <t>600 x 400 x 20 mm</t>
        </is>
      </c>
      <c r="F227" s="98" t="n">
        <v>89.62</v>
      </c>
      <c r="G227" s="24" t="inlineStr">
        <is>
          <t>RON</t>
        </is>
      </c>
      <c r="H227" s="98">
        <f>IF(AND(AE227="yes",ISNUMBER(AD227)),AD227,"")</f>
        <v/>
      </c>
      <c r="I227" s="99">
        <f>IF(AND(AE227="yes",ISNUMBER(AD227),ISNUMBER(INDEX('Sources'!$G$7:$G$10,MATCH(AB227,'Sources'!$B$7:$B$10,0)))),AD227/INDEX('Sources'!$G$7:$G$10,MATCH(AB227,'Sources'!$B$7:$B$10,0)),"")</f>
        <v/>
      </c>
      <c r="J227" s="24" t="inlineStr">
        <is>
          <t>INCOMPLETE</t>
        </is>
      </c>
      <c r="K227" s="24" t="inlineStr">
        <is>
          <t>2026-07-11 00:00:00</t>
        </is>
      </c>
      <c r="L227" s="71" t="n"/>
      <c r="M227" s="24" t="inlineStr">
        <is>
          <t>PE</t>
        </is>
      </c>
      <c r="N227" s="25" t="inlineStr">
        <is>
          <t>https://mmgastro.ro/ro/menu/categorii/ustensile-de-bucatarie-si-aparate-mici/placi-de-taiere-11837?filter_text=&amp;filter_producer=&amp;filter_price=&amp;filter_traits[63]=&amp;filter_traits[80]=&amp;filter_traits[47260]=&amp;filter_traits[47300]=&amp;filter_traits[47034]=&amp;filter_traits[21]=&amp;filter_traits[65]=&amp;filter_traits[73752]=74615</t>
        </is>
      </c>
      <c r="O227" s="24" t="inlineStr">
        <is>
          <t>Yato-YG</t>
        </is>
      </c>
      <c r="P227" s="24" t="n"/>
      <c r="Q227" s="100" t="n"/>
      <c r="R227" s="24" t="n"/>
      <c r="S227" s="24" t="n"/>
      <c r="T227" s="24" t="n"/>
      <c r="U227" s="24" t="inlineStr">
        <is>
          <t>Dimensions and PE material agree. HACCP/colour coding is not stated.</t>
        </is>
      </c>
      <c r="V227" s="98" t="n"/>
      <c r="W227" s="98" t="n">
        <v>17.924</v>
      </c>
      <c r="X227" s="24" t="inlineStr">
        <is>
          <t>YES Gastro Romania Market Research.xlsx</t>
        </is>
      </c>
      <c r="Y227" s="24" t="inlineStr">
        <is>
          <t>Gabi</t>
        </is>
      </c>
      <c r="Z227" s="24" t="n"/>
      <c r="AA227" s="24" t="n"/>
      <c r="AB227" s="24" t="inlineStr">
        <is>
          <t>RON</t>
        </is>
      </c>
      <c r="AC227" s="24" t="inlineStr">
        <is>
          <t>yes</t>
        </is>
      </c>
      <c r="AD227" s="24">
        <f>IF(ISNUMBER(F227),IF(G227=AB227,F227,IF(AND(ISNUMBER(INDEX('Sources'!$G$7:$G$10,MATCH(G227,'Sources'!$B$7:$B$10,0))),ISNUMBER(INDEX('Sources'!$G$7:$G$10,MATCH(AB227,'Sources'!$B$7:$B$10,0)))),F227/INDEX('Sources'!$G$7:$G$10,MATCH(G227,'Sources'!$B$7:$B$10,0))*INDEX('Sources'!$G$7:$G$10,MATCH(AB227,'Sources'!$B$7:$B$10,0)),"")),"")</f>
        <v/>
      </c>
      <c r="AE227" s="24">
        <f>IF(AND(AC227="yes",ISNUMBER(F227),IF('Compare'!$H$5="All mapped",TRUE,IF('Compare'!$H$5="EXACT only",J227="EXACT",OR(J227="EXACT",J227="CLOSE")))),"yes","no")</f>
        <v/>
      </c>
      <c r="AF227" s="24">
        <f>IF(ISNUMBER(H227),COUNTIFS($B$7:$B$608,B227,$C$7:$C$608,C227,$H$7:$H$608,"&lt;"&amp;H227,$AH$7:$AH$608,"yes")+COUNTIFS($B$7:B227,B227,$C$7:C227,C227,$H$7:H227,H227,$AH$7:AH227,"yes"),"")</f>
        <v/>
      </c>
      <c r="AG227" s="24">
        <f>IF(ISNUMBER(I227),COUNTIFS($B$7:$B$608,B227,$C$7:$C$608,C227,$I$7:$I$608,"&lt;"&amp;I227,$AI$7:$AI$608,"yes")+COUNTIFS($B$7:B227,B227,$C$7:C227,C227,$I$7:I227,I227,$AI$7:AI227,"yes"),"")</f>
        <v/>
      </c>
      <c r="AH227" s="24">
        <f>IF(ISNUMBER(H227),"yes","no")</f>
        <v/>
      </c>
      <c r="AI227" s="24">
        <f>IF(ISNUMBER(I227),"yes","no")</f>
        <v/>
      </c>
      <c r="AJ227" s="101" t="n">
        <v>46214</v>
      </c>
      <c r="AK227" s="24" t="n"/>
    </row>
    <row r="228" ht="42" customHeight="1">
      <c r="A228" s="2" t="n"/>
      <c r="B228" s="27" t="inlineStr">
        <is>
          <t>PE cutting board 600 × 400 × 20 mm</t>
        </is>
      </c>
      <c r="C228" s="27" t="inlineStr">
        <is>
          <t>Austria</t>
        </is>
      </c>
      <c r="D228" s="27" t="inlineStr">
        <is>
          <t>ALLPAX Österreich</t>
        </is>
      </c>
      <c r="E228" s="27" t="inlineStr">
        <is>
          <t>Schneidbrett farbig 600 x 400 x 20 mm</t>
        </is>
      </c>
      <c r="F228" s="102" t="n">
        <v>49.39</v>
      </c>
      <c r="G228" s="27" t="inlineStr">
        <is>
          <t>EUR</t>
        </is>
      </c>
      <c r="H228" s="102">
        <f>IF(AND(AE228="yes",ISNUMBER(AD228)),AD228,"")</f>
        <v/>
      </c>
      <c r="I228" s="103">
        <f>IF(AND(AE228="yes",ISNUMBER(AD228),ISNUMBER(INDEX('Sources'!$G$7:$G$10,MATCH(AB228,'Sources'!$B$7:$B$10,0)))),AD228/INDEX('Sources'!$G$7:$G$10,MATCH(AB228,'Sources'!$B$7:$B$10,0)),"")</f>
        <v/>
      </c>
      <c r="J228" s="27" t="inlineStr">
        <is>
          <t>CLOSE</t>
        </is>
      </c>
      <c r="K228" s="27" t="inlineStr">
        <is>
          <t>2026-09-30</t>
        </is>
      </c>
      <c r="L228" s="71" t="n"/>
      <c r="M228" s="27" t="inlineStr">
        <is>
          <t>600x400x20 mm, 5 colours, rubber feet; material not stated. Bartscher 60x40 white (16 mm) 34.61</t>
        </is>
      </c>
      <c r="N228" s="28" t="inlineStr">
        <is>
          <t>https://www.allpax.at/product_info.php/info/p30393_Schneidbrett-farbig-600-x-400-x-20-mm.html</t>
        </is>
      </c>
      <c r="O228" s="27" t="n"/>
      <c r="P228" s="27" t="inlineStr">
        <is>
          <t>excl.</t>
        </is>
      </c>
      <c r="Q228" s="104" t="n"/>
      <c r="R228" s="27" t="n">
        <v>1</v>
      </c>
      <c r="S228" s="27" t="n"/>
      <c r="T228" s="27" t="inlineStr">
        <is>
          <t>CLOSE</t>
        </is>
      </c>
      <c r="U228" s="27" t="inlineStr">
        <is>
          <t>Existing benchmark assignment and match quality retained.</t>
        </is>
      </c>
      <c r="V228" s="102" t="n">
        <v>49.39</v>
      </c>
      <c r="W228" s="102" t="n"/>
      <c r="X228" s="27" t="inlineStr">
        <is>
          <t>YES Gastro Austria Market Research.xlsx</t>
        </is>
      </c>
      <c r="Y228" s="27" t="n"/>
      <c r="Z228" s="27" t="n"/>
      <c r="AA228" s="27" t="n"/>
      <c r="AB228" s="27" t="inlineStr">
        <is>
          <t>EUR</t>
        </is>
      </c>
      <c r="AC228" s="27" t="inlineStr">
        <is>
          <t>yes</t>
        </is>
      </c>
      <c r="AD228" s="27">
        <f>IF(ISNUMBER(V228),V228,"")</f>
        <v/>
      </c>
      <c r="AE228" s="27">
        <f>IF(AND(AC228="yes",ISNUMBER(F228),IF('Compare'!$H$5="All mapped",TRUE,IF('Compare'!$H$5="EXACT only",J228="EXACT",OR(J228="EXACT",J228="CLOSE")))),"yes","no")</f>
        <v/>
      </c>
      <c r="AF228" s="27">
        <f>IF(ISNUMBER(H228),COUNTIFS($B$7:$B$608,B228,$C$7:$C$608,C228,$H$7:$H$608,"&lt;"&amp;H228,$AH$7:$AH$608,"yes")+COUNTIFS($B$7:B228,B228,$C$7:C228,C228,$H$7:H228,H228,$AH$7:AH228,"yes"),"")</f>
        <v/>
      </c>
      <c r="AG228" s="27">
        <f>IF(ISNUMBER(I228),COUNTIFS($B$7:$B$608,B228,$C$7:$C$608,C228,$I$7:$I$608,"&lt;"&amp;I228,$AI$7:$AI$608,"yes")+COUNTIFS($B$7:B228,B228,$C$7:C228,C228,$I$7:I228,I228,$AI$7:AI228,"yes"),"")</f>
        <v/>
      </c>
      <c r="AH228" s="27">
        <f>IF(ISNUMBER(H228),"yes","no")</f>
        <v/>
      </c>
      <c r="AI228" s="27">
        <f>IF(ISNUMBER(I228),"yes","no")</f>
        <v/>
      </c>
      <c r="AJ228" s="105" t="n">
        <v>46295</v>
      </c>
      <c r="AK228" s="27" t="n"/>
    </row>
    <row r="229" ht="42" customHeight="1">
      <c r="A229" s="2" t="n"/>
      <c r="B229" s="24" t="inlineStr">
        <is>
          <t>PE cutting board 600 × 400 × 20 mm</t>
        </is>
      </c>
      <c r="C229" s="24" t="inlineStr">
        <is>
          <t>Austria</t>
        </is>
      </c>
      <c r="D229" s="24" t="inlineStr">
        <is>
          <t>GastroHero Österreich</t>
        </is>
      </c>
      <c r="E229" s="24" t="inlineStr">
        <is>
          <t>Schneidebrett Gastro-M 600x400 weiß</t>
        </is>
      </c>
      <c r="F229" s="98" t="n">
        <v>48.9</v>
      </c>
      <c r="G229" s="24" t="inlineStr">
        <is>
          <t>EUR</t>
        </is>
      </c>
      <c r="H229" s="98">
        <f>IF(AND(AE229="yes",ISNUMBER(AD229)),AD229,"")</f>
        <v/>
      </c>
      <c r="I229" s="99">
        <f>IF(AND(AE229="yes",ISNUMBER(AD229),ISNUMBER(INDEX('Sources'!$G$7:$G$10,MATCH(AB229,'Sources'!$B$7:$B$10,0)))),AD229/INDEX('Sources'!$G$7:$G$10,MATCH(AB229,'Sources'!$B$7:$B$10,0)),"")</f>
        <v/>
      </c>
      <c r="J229" s="24" t="inlineStr">
        <is>
          <t>CLOSE</t>
        </is>
      </c>
      <c r="K229" s="24" t="inlineStr">
        <is>
          <t>2026-09-30</t>
        </is>
      </c>
      <c r="L229" s="71" t="n"/>
      <c r="M229" s="24" t="inlineStr">
        <is>
          <t>600x400x20 mm; material not stated on page; sale price (normal 52.90)</t>
        </is>
      </c>
      <c r="N229" s="25" t="inlineStr">
        <is>
          <t>https://www.gastro-hero.at/products/schneidebrett-gastro-m-600x400-weiss-gn344</t>
        </is>
      </c>
      <c r="O229" s="24" t="inlineStr">
        <is>
          <t>Gastro-M</t>
        </is>
      </c>
      <c r="P229" s="24" t="inlineStr">
        <is>
          <t>excl.</t>
        </is>
      </c>
      <c r="Q229" s="100" t="n"/>
      <c r="R229" s="24" t="n">
        <v>1</v>
      </c>
      <c r="S229" s="24" t="n"/>
      <c r="T229" s="24" t="inlineStr">
        <is>
          <t>CLOSE</t>
        </is>
      </c>
      <c r="U229" s="24" t="inlineStr">
        <is>
          <t>Existing benchmark assignment and match quality retained.</t>
        </is>
      </c>
      <c r="V229" s="98" t="n">
        <v>48.9</v>
      </c>
      <c r="W229" s="98" t="n"/>
      <c r="X229" s="24" t="inlineStr">
        <is>
          <t>YES Gastro Austria Market Research.xlsx</t>
        </is>
      </c>
      <c r="Y229" s="24" t="n"/>
      <c r="Z229" s="24" t="n"/>
      <c r="AA229" s="24" t="n"/>
      <c r="AB229" s="24" t="inlineStr">
        <is>
          <t>EUR</t>
        </is>
      </c>
      <c r="AC229" s="24" t="inlineStr">
        <is>
          <t>yes</t>
        </is>
      </c>
      <c r="AD229" s="24">
        <f>IF(ISNUMBER(V229),V229,"")</f>
        <v/>
      </c>
      <c r="AE229" s="24">
        <f>IF(AND(AC229="yes",ISNUMBER(F229),IF('Compare'!$H$5="All mapped",TRUE,IF('Compare'!$H$5="EXACT only",J229="EXACT",OR(J229="EXACT",J229="CLOSE")))),"yes","no")</f>
        <v/>
      </c>
      <c r="AF229" s="24">
        <f>IF(ISNUMBER(H229),COUNTIFS($B$7:$B$608,B229,$C$7:$C$608,C229,$H$7:$H$608,"&lt;"&amp;H229,$AH$7:$AH$608,"yes")+COUNTIFS($B$7:B229,B229,$C$7:C229,C229,$H$7:H229,H229,$AH$7:AH229,"yes"),"")</f>
        <v/>
      </c>
      <c r="AG229" s="24">
        <f>IF(ISNUMBER(I229),COUNTIFS($B$7:$B$608,B229,$C$7:$C$608,C229,$I$7:$I$608,"&lt;"&amp;I229,$AI$7:$AI$608,"yes")+COUNTIFS($B$7:B229,B229,$C$7:C229,C229,$I$7:I229,I229,$AI$7:AI229,"yes"),"")</f>
        <v/>
      </c>
      <c r="AH229" s="24">
        <f>IF(ISNUMBER(H229),"yes","no")</f>
        <v/>
      </c>
      <c r="AI229" s="24">
        <f>IF(ISNUMBER(I229),"yes","no")</f>
        <v/>
      </c>
      <c r="AJ229" s="101" t="n">
        <v>46295</v>
      </c>
      <c r="AK229" s="24" t="n"/>
    </row>
    <row r="230" ht="42" customHeight="1">
      <c r="A230" s="2" t="n"/>
      <c r="B230" s="27" t="inlineStr">
        <is>
          <t>PE cutting board 600 × 400 × 20 mm</t>
        </is>
      </c>
      <c r="C230" s="27" t="inlineStr">
        <is>
          <t>Austria</t>
        </is>
      </c>
      <c r="D230" s="27" t="inlineStr">
        <is>
          <t>Gastrodax</t>
        </is>
      </c>
      <c r="E230" s="27" t="inlineStr">
        <is>
          <t>Hendi Schneidbretter HACCP 600x400, Weiß</t>
        </is>
      </c>
      <c r="F230" s="102" t="n">
        <v>33.5</v>
      </c>
      <c r="G230" s="27" t="inlineStr">
        <is>
          <t>EUR</t>
        </is>
      </c>
      <c r="H230" s="102">
        <f>IF(AND(AE230="yes",ISNUMBER(AD230)),AD230,"")</f>
        <v/>
      </c>
      <c r="I230" s="103">
        <f>IF(AND(AE230="yes",ISNUMBER(AD230),ISNUMBER(INDEX('Sources'!$G$7:$G$10,MATCH(AB230,'Sources'!$B$7:$B$10,0)))),AD230/INDEX('Sources'!$G$7:$G$10,MATCH(AB230,'Sources'!$B$7:$B$10,0)),"")</f>
        <v/>
      </c>
      <c r="J230" s="27" t="inlineStr">
        <is>
          <t>CLOSE</t>
        </is>
      </c>
      <c r="K230" s="27" t="inlineStr">
        <is>
          <t>2026-09-30</t>
        </is>
      </c>
      <c r="L230" s="71" t="n"/>
      <c r="M230" s="27" t="inlineStr">
        <is>
          <t>18 mm thick instead of 20 mm</t>
        </is>
      </c>
      <c r="N230" s="28" t="inlineStr">
        <is>
          <t>https://www.gastrodax.de/hendi-schneidbretter-haccp-600-x-400-mm-weiss</t>
        </is>
      </c>
      <c r="O230" s="27" t="inlineStr">
        <is>
          <t>Hendi</t>
        </is>
      </c>
      <c r="P230" s="27" t="inlineStr">
        <is>
          <t>excl.</t>
        </is>
      </c>
      <c r="Q230" s="104" t="n"/>
      <c r="R230" s="27" t="n">
        <v>1</v>
      </c>
      <c r="S230" s="27" t="n"/>
      <c r="T230" s="27" t="inlineStr">
        <is>
          <t>CLOSE</t>
        </is>
      </c>
      <c r="U230" s="27" t="inlineStr">
        <is>
          <t>Existing benchmark assignment and match quality retained.</t>
        </is>
      </c>
      <c r="V230" s="102" t="n">
        <v>33.5</v>
      </c>
      <c r="W230" s="102" t="n"/>
      <c r="X230" s="27" t="inlineStr">
        <is>
          <t>YES Gastro Austria Market Research.xlsx</t>
        </is>
      </c>
      <c r="Y230" s="27" t="n"/>
      <c r="Z230" s="27" t="n"/>
      <c r="AA230" s="27" t="n"/>
      <c r="AB230" s="27" t="inlineStr">
        <is>
          <t>EUR</t>
        </is>
      </c>
      <c r="AC230" s="27" t="inlineStr">
        <is>
          <t>yes</t>
        </is>
      </c>
      <c r="AD230" s="27">
        <f>IF(ISNUMBER(V230),V230,"")</f>
        <v/>
      </c>
      <c r="AE230" s="27">
        <f>IF(AND(AC230="yes",ISNUMBER(F230),IF('Compare'!$H$5="All mapped",TRUE,IF('Compare'!$H$5="EXACT only",J230="EXACT",OR(J230="EXACT",J230="CLOSE")))),"yes","no")</f>
        <v/>
      </c>
      <c r="AF230" s="27">
        <f>IF(ISNUMBER(H230),COUNTIFS($B$7:$B$608,B230,$C$7:$C$608,C230,$H$7:$H$608,"&lt;"&amp;H230,$AH$7:$AH$608,"yes")+COUNTIFS($B$7:B230,B230,$C$7:C230,C230,$H$7:H230,H230,$AH$7:AH230,"yes"),"")</f>
        <v/>
      </c>
      <c r="AG230" s="27">
        <f>IF(ISNUMBER(I230),COUNTIFS($B$7:$B$608,B230,$C$7:$C$608,C230,$I$7:$I$608,"&lt;"&amp;I230,$AI$7:$AI$608,"yes")+COUNTIFS($B$7:B230,B230,$C$7:C230,C230,$I$7:I230,I230,$AI$7:AI230,"yes"),"")</f>
        <v/>
      </c>
      <c r="AH230" s="27">
        <f>IF(ISNUMBER(H230),"yes","no")</f>
        <v/>
      </c>
      <c r="AI230" s="27">
        <f>IF(ISNUMBER(I230),"yes","no")</f>
        <v/>
      </c>
      <c r="AJ230" s="105" t="n">
        <v>46295</v>
      </c>
      <c r="AK230" s="27" t="n"/>
    </row>
    <row r="231" ht="42" customHeight="1">
      <c r="A231" s="2" t="n"/>
      <c r="B231" s="24" t="inlineStr">
        <is>
          <t>PE cutting board 600 × 400 × 20 mm</t>
        </is>
      </c>
      <c r="C231" s="24" t="inlineStr">
        <is>
          <t>Austria</t>
        </is>
      </c>
      <c r="D231" s="24" t="inlineStr">
        <is>
          <t>Gastroladen.at (Harotec GmbH)</t>
        </is>
      </c>
      <c r="E231" s="24" t="inlineStr">
        <is>
          <t>Bartscher Schneidbrett 60x40 W</t>
        </is>
      </c>
      <c r="F231" s="98" t="n">
        <v>34.9</v>
      </c>
      <c r="G231" s="24" t="inlineStr">
        <is>
          <t>EUR</t>
        </is>
      </c>
      <c r="H231" s="98">
        <f>IF(AND(AE231="yes",ISNUMBER(AD231)),AD231,"")</f>
        <v/>
      </c>
      <c r="I231" s="99">
        <f>IF(AND(AE231="yes",ISNUMBER(AD231),ISNUMBER(INDEX('Sources'!$G$7:$G$10,MATCH(AB231,'Sources'!$B$7:$B$10,0)))),AD231/INDEX('Sources'!$G$7:$G$10,MATCH(AB231,'Sources'!$B$7:$B$10,0)),"")</f>
        <v/>
      </c>
      <c r="J231" s="24" t="inlineStr">
        <is>
          <t>CLOSE</t>
        </is>
      </c>
      <c r="K231" s="24" t="inlineStr">
        <is>
          <t>2026-09-30</t>
        </is>
      </c>
      <c r="L231" s="71" t="n"/>
      <c r="M231" s="24" t="inlineStr">
        <is>
          <t>PE, 16 mm plate (20 mm incl. feet), HACCP white</t>
        </is>
      </c>
      <c r="N231" s="25" t="inlineStr">
        <is>
          <t>https://www.gastroladen.at/2310@A120592/Bartscher-Schneidbrett-60x40-W.htm</t>
        </is>
      </c>
      <c r="O231" s="24" t="inlineStr">
        <is>
          <t>Bartscher</t>
        </is>
      </c>
      <c r="P231" s="24" t="inlineStr">
        <is>
          <t>incl.</t>
        </is>
      </c>
      <c r="Q231" s="100" t="n"/>
      <c r="R231" s="24" t="n">
        <v>1</v>
      </c>
      <c r="S231" s="24" t="n"/>
      <c r="T231" s="24" t="inlineStr">
        <is>
          <t>CLOSE</t>
        </is>
      </c>
      <c r="U231" s="24" t="inlineStr">
        <is>
          <t>Existing benchmark assignment and match quality retained.</t>
        </is>
      </c>
      <c r="V231" s="98" t="n">
        <v>29.08</v>
      </c>
      <c r="W231" s="98" t="n"/>
      <c r="X231" s="24" t="inlineStr">
        <is>
          <t>YES Gastro Austria Market Research.xlsx</t>
        </is>
      </c>
      <c r="Y231" s="24" t="n"/>
      <c r="Z231" s="24" t="n"/>
      <c r="AA231" s="24" t="n"/>
      <c r="AB231" s="24" t="inlineStr">
        <is>
          <t>EUR</t>
        </is>
      </c>
      <c r="AC231" s="24" t="inlineStr">
        <is>
          <t>yes</t>
        </is>
      </c>
      <c r="AD231" s="24">
        <f>IF(ISNUMBER(V231),V231,"")</f>
        <v/>
      </c>
      <c r="AE231" s="24">
        <f>IF(AND(AC231="yes",ISNUMBER(F231),IF('Compare'!$H$5="All mapped",TRUE,IF('Compare'!$H$5="EXACT only",J231="EXACT",OR(J231="EXACT",J231="CLOSE")))),"yes","no")</f>
        <v/>
      </c>
      <c r="AF231" s="24">
        <f>IF(ISNUMBER(H231),COUNTIFS($B$7:$B$608,B231,$C$7:$C$608,C231,$H$7:$H$608,"&lt;"&amp;H231,$AH$7:$AH$608,"yes")+COUNTIFS($B$7:B231,B231,$C$7:C231,C231,$H$7:H231,H231,$AH$7:AH231,"yes"),"")</f>
        <v/>
      </c>
      <c r="AG231" s="24">
        <f>IF(ISNUMBER(I231),COUNTIFS($B$7:$B$608,B231,$C$7:$C$608,C231,$I$7:$I$608,"&lt;"&amp;I231,$AI$7:$AI$608,"yes")+COUNTIFS($B$7:B231,B231,$C$7:C231,C231,$I$7:I231,I231,$AI$7:AI231,"yes"),"")</f>
        <v/>
      </c>
      <c r="AH231" s="24">
        <f>IF(ISNUMBER(H231),"yes","no")</f>
        <v/>
      </c>
      <c r="AI231" s="24">
        <f>IF(ISNUMBER(I231),"yes","no")</f>
        <v/>
      </c>
      <c r="AJ231" s="101" t="n">
        <v>46295</v>
      </c>
      <c r="AK231" s="24" t="n"/>
    </row>
    <row r="232" ht="42" customHeight="1">
      <c r="A232" s="2" t="n"/>
      <c r="B232" s="27" t="inlineStr">
        <is>
          <t>PE cutting board 600 × 400 × 20 mm</t>
        </is>
      </c>
      <c r="C232" s="27" t="inlineStr">
        <is>
          <t>Austria</t>
        </is>
      </c>
      <c r="D232" s="27" t="inlineStr">
        <is>
          <t>Intergastro (AT shop)</t>
        </is>
      </c>
      <c r="E232" s="27" t="inlineStr">
        <is>
          <t>Schneidbrett Polyethylen weiß mit Saftrille 600 x 400 mm</t>
        </is>
      </c>
      <c r="F232" s="102" t="n">
        <v>35.05</v>
      </c>
      <c r="G232" s="27" t="inlineStr">
        <is>
          <t>EUR</t>
        </is>
      </c>
      <c r="H232" s="102">
        <f>IF(AND(AE232="yes",ISNUMBER(AD232)),AD232,"")</f>
        <v/>
      </c>
      <c r="I232" s="103">
        <f>IF(AND(AE232="yes",ISNUMBER(AD232),ISNUMBER(INDEX('Sources'!$G$7:$G$10,MATCH(AB232,'Sources'!$B$7:$B$10,0)))),AD232/INDEX('Sources'!$G$7:$G$10,MATCH(AB232,'Sources'!$B$7:$B$10,0)),"")</f>
        <v/>
      </c>
      <c r="J232" s="27" t="inlineStr">
        <is>
          <t>EXACT</t>
        </is>
      </c>
      <c r="K232" s="27" t="inlineStr">
        <is>
          <t>2026-09-30</t>
        </is>
      </c>
      <c r="L232" s="71" t="n"/>
      <c r="M232" s="27" t="inlineStr">
        <is>
          <t>20 mm thick, with juice groove; gross 42.06</t>
        </is>
      </c>
      <c r="N232" s="28" t="inlineStr">
        <is>
          <t>https://www.intergastro.at/schneidbrett-polyethylen-weiss-mit-saftrille-600-mm-x-400-mm-159019</t>
        </is>
      </c>
      <c r="O232" s="27" t="inlineStr">
        <is>
          <t>Contacto</t>
        </is>
      </c>
      <c r="P232" s="27" t="inlineStr">
        <is>
          <t>excl.</t>
        </is>
      </c>
      <c r="Q232" s="104" t="n"/>
      <c r="R232" s="27" t="n">
        <v>1</v>
      </c>
      <c r="S232" s="27" t="n"/>
      <c r="T232" s="27" t="inlineStr">
        <is>
          <t>EXACT</t>
        </is>
      </c>
      <c r="U232" s="27" t="inlineStr">
        <is>
          <t>Existing benchmark assignment and match quality retained.</t>
        </is>
      </c>
      <c r="V232" s="102" t="n">
        <v>35.05</v>
      </c>
      <c r="W232" s="102" t="n"/>
      <c r="X232" s="27" t="inlineStr">
        <is>
          <t>YES Gastro Austria Market Research.xlsx</t>
        </is>
      </c>
      <c r="Y232" s="27" t="n"/>
      <c r="Z232" s="27" t="n"/>
      <c r="AA232" s="27" t="n"/>
      <c r="AB232" s="27" t="inlineStr">
        <is>
          <t>EUR</t>
        </is>
      </c>
      <c r="AC232" s="27" t="inlineStr">
        <is>
          <t>yes</t>
        </is>
      </c>
      <c r="AD232" s="27">
        <f>IF(ISNUMBER(V232),V232,"")</f>
        <v/>
      </c>
      <c r="AE232" s="27">
        <f>IF(AND(AC232="yes",ISNUMBER(F232),IF('Compare'!$H$5="All mapped",TRUE,IF('Compare'!$H$5="EXACT only",J232="EXACT",OR(J232="EXACT",J232="CLOSE")))),"yes","no")</f>
        <v/>
      </c>
      <c r="AF232" s="27">
        <f>IF(ISNUMBER(H232),COUNTIFS($B$7:$B$608,B232,$C$7:$C$608,C232,$H$7:$H$608,"&lt;"&amp;H232,$AH$7:$AH$608,"yes")+COUNTIFS($B$7:B232,B232,$C$7:C232,C232,$H$7:H232,H232,$AH$7:AH232,"yes"),"")</f>
        <v/>
      </c>
      <c r="AG232" s="27">
        <f>IF(ISNUMBER(I232),COUNTIFS($B$7:$B$608,B232,$C$7:$C$608,C232,$I$7:$I$608,"&lt;"&amp;I232,$AI$7:$AI$608,"yes")+COUNTIFS($B$7:B232,B232,$C$7:C232,C232,$I$7:I232,I232,$AI$7:AI232,"yes"),"")</f>
        <v/>
      </c>
      <c r="AH232" s="27">
        <f>IF(ISNUMBER(H232),"yes","no")</f>
        <v/>
      </c>
      <c r="AI232" s="27">
        <f>IF(ISNUMBER(I232),"yes","no")</f>
        <v/>
      </c>
      <c r="AJ232" s="105" t="n">
        <v>46295</v>
      </c>
      <c r="AK232" s="27" t="n"/>
    </row>
    <row r="233" ht="42" customHeight="1">
      <c r="A233" s="2" t="n"/>
      <c r="B233" s="24" t="inlineStr">
        <is>
          <t>PE cutting board 600 × 400 × 20 mm</t>
        </is>
      </c>
      <c r="C233" s="24" t="inlineStr">
        <is>
          <t>Austria</t>
        </is>
      </c>
      <c r="D233" s="24" t="inlineStr">
        <is>
          <t>Jungheinrich PROFISHOP Austria</t>
        </is>
      </c>
      <c r="E233" s="24" t="inlineStr">
        <is>
          <t>Stalgast Schneidbrett, HACCP, Farbe weiß, 600 x 400 x 18 mm</t>
        </is>
      </c>
      <c r="F233" s="98" t="n">
        <v>27.9</v>
      </c>
      <c r="G233" s="24" t="inlineStr">
        <is>
          <t>EUR</t>
        </is>
      </c>
      <c r="H233" s="98">
        <f>IF(AND(AE233="yes",ISNUMBER(AD233)),AD233,"")</f>
        <v/>
      </c>
      <c r="I233" s="99">
        <f>IF(AND(AE233="yes",ISNUMBER(AD233),ISNUMBER(INDEX('Sources'!$G$7:$G$10,MATCH(AB233,'Sources'!$B$7:$B$10,0)))),AD233/INDEX('Sources'!$G$7:$G$10,MATCH(AB233,'Sources'!$B$7:$B$10,0)),"")</f>
        <v/>
      </c>
      <c r="J233" s="24" t="inlineStr">
        <is>
          <t>CLOSE</t>
        </is>
      </c>
      <c r="K233" s="24" t="inlineStr">
        <is>
          <t>2026-09-30</t>
        </is>
      </c>
      <c r="L233" s="71" t="n"/>
      <c r="M233" s="24" t="inlineStr">
        <is>
          <t>18 mm instead of 20 mm; material PP (not PE); blue/yellow/green/brown 28.90</t>
        </is>
      </c>
      <c r="N233" s="25" t="inlineStr">
        <is>
          <t>https://www.jh-profishop.at/p/stalgast-schneidbrett-haccp-farbe-weiss-600-x-400-x-18-mm-bxtxh-928737-348334/</t>
        </is>
      </c>
      <c r="O233" s="24" t="inlineStr">
        <is>
          <t>Stalgast</t>
        </is>
      </c>
      <c r="P233" s="24" t="inlineStr">
        <is>
          <t>excl.</t>
        </is>
      </c>
      <c r="Q233" s="100" t="n"/>
      <c r="R233" s="24" t="n">
        <v>1</v>
      </c>
      <c r="S233" s="24" t="n"/>
      <c r="T233" s="24" t="inlineStr">
        <is>
          <t>CLOSE</t>
        </is>
      </c>
      <c r="U233" s="24" t="inlineStr">
        <is>
          <t>Existing benchmark assignment and match quality retained.</t>
        </is>
      </c>
      <c r="V233" s="98" t="n">
        <v>27.9</v>
      </c>
      <c r="W233" s="98" t="n"/>
      <c r="X233" s="24" t="inlineStr">
        <is>
          <t>YES Gastro Austria Market Research.xlsx</t>
        </is>
      </c>
      <c r="Y233" s="24" t="n"/>
      <c r="Z233" s="24" t="n"/>
      <c r="AA233" s="24" t="n"/>
      <c r="AB233" s="24" t="inlineStr">
        <is>
          <t>EUR</t>
        </is>
      </c>
      <c r="AC233" s="24" t="inlineStr">
        <is>
          <t>yes</t>
        </is>
      </c>
      <c r="AD233" s="24">
        <f>IF(ISNUMBER(V233),V233,"")</f>
        <v/>
      </c>
      <c r="AE233" s="24">
        <f>IF(AND(AC233="yes",ISNUMBER(F233),IF('Compare'!$H$5="All mapped",TRUE,IF('Compare'!$H$5="EXACT only",J233="EXACT",OR(J233="EXACT",J233="CLOSE")))),"yes","no")</f>
        <v/>
      </c>
      <c r="AF233" s="24">
        <f>IF(ISNUMBER(H233),COUNTIFS($B$7:$B$608,B233,$C$7:$C$608,C233,$H$7:$H$608,"&lt;"&amp;H233,$AH$7:$AH$608,"yes")+COUNTIFS($B$7:B233,B233,$C$7:C233,C233,$H$7:H233,H233,$AH$7:AH233,"yes"),"")</f>
        <v/>
      </c>
      <c r="AG233" s="24">
        <f>IF(ISNUMBER(I233),COUNTIFS($B$7:$B$608,B233,$C$7:$C$608,C233,$I$7:$I$608,"&lt;"&amp;I233,$AI$7:$AI$608,"yes")+COUNTIFS($B$7:B233,B233,$C$7:C233,C233,$I$7:I233,I233,$AI$7:AI233,"yes"),"")</f>
        <v/>
      </c>
      <c r="AH233" s="24">
        <f>IF(ISNUMBER(H233),"yes","no")</f>
        <v/>
      </c>
      <c r="AI233" s="24">
        <f>IF(ISNUMBER(I233),"yes","no")</f>
        <v/>
      </c>
      <c r="AJ233" s="101" t="n">
        <v>46295</v>
      </c>
      <c r="AK233" s="24" t="n"/>
    </row>
    <row r="234" ht="42" customHeight="1">
      <c r="A234" s="2" t="n"/>
      <c r="B234" s="27" t="inlineStr">
        <is>
          <t>PE cutting board 600 × 400 × 20 mm</t>
        </is>
      </c>
      <c r="C234" s="27" t="inlineStr">
        <is>
          <t>Germany</t>
        </is>
      </c>
      <c r="D234" s="27" t="inlineStr">
        <is>
          <t>ALLPAX</t>
        </is>
      </c>
      <c r="E234" s="27" t="inlineStr">
        <is>
          <t>Schneidbrett farbig 600 x 400 x 20 mm</t>
        </is>
      </c>
      <c r="F234" s="102" t="n">
        <v>49.39</v>
      </c>
      <c r="G234" s="27" t="inlineStr">
        <is>
          <t>EUR</t>
        </is>
      </c>
      <c r="H234" s="102">
        <f>IF(AND(AE234="yes",ISNUMBER(AD234)),AD234,"")</f>
        <v/>
      </c>
      <c r="I234" s="103">
        <f>IF(AND(AE234="yes",ISNUMBER(AD234),ISNUMBER(INDEX('Sources'!$G$7:$G$10,MATCH(AB234,'Sources'!$B$7:$B$10,0)))),AD234/INDEX('Sources'!$G$7:$G$10,MATCH(AB234,'Sources'!$B$7:$B$10,0)),"")</f>
        <v/>
      </c>
      <c r="J234" s="27" t="inlineStr">
        <is>
          <t>CLOSE</t>
        </is>
      </c>
      <c r="K234" s="27" t="inlineStr">
        <is>
          <t>2026-09-30</t>
        </is>
      </c>
      <c r="L234" s="71" t="n"/>
      <c r="M234" s="27" t="inlineStr">
        <is>
          <t>600x400x20 mm, 5 colours, rubber feet; material not stated. Bartscher 60x40 white (16 mm) 34.61</t>
        </is>
      </c>
      <c r="N234" s="28" t="inlineStr">
        <is>
          <t>https://www.allpax.de/product_info.php/info/p30393_Schneidbrett-farbig-600-x-400-x-20-mm.html</t>
        </is>
      </c>
      <c r="O234" s="27" t="n"/>
      <c r="P234" s="27" t="inlineStr">
        <is>
          <t>excl.</t>
        </is>
      </c>
      <c r="Q234" s="104" t="n"/>
      <c r="R234" s="27" t="n">
        <v>1</v>
      </c>
      <c r="S234" s="27" t="n"/>
      <c r="T234" s="27" t="inlineStr">
        <is>
          <t>CLOSE</t>
        </is>
      </c>
      <c r="U234" s="27" t="inlineStr">
        <is>
          <t>Existing benchmark assignment and match quality retained.</t>
        </is>
      </c>
      <c r="V234" s="102" t="n">
        <v>49.39</v>
      </c>
      <c r="W234" s="102" t="n"/>
      <c r="X234" s="27" t="inlineStr">
        <is>
          <t>YES Gastro Germany Market Research.xlsx</t>
        </is>
      </c>
      <c r="Y234" s="27" t="n"/>
      <c r="Z234" s="27" t="n"/>
      <c r="AA234" s="27" t="n"/>
      <c r="AB234" s="27" t="inlineStr">
        <is>
          <t>EUR</t>
        </is>
      </c>
      <c r="AC234" s="27" t="inlineStr">
        <is>
          <t>yes</t>
        </is>
      </c>
      <c r="AD234" s="27">
        <f>IF(ISNUMBER(V234),V234,"")</f>
        <v/>
      </c>
      <c r="AE234" s="27">
        <f>IF(AND(AC234="yes",ISNUMBER(F234),IF('Compare'!$H$5="All mapped",TRUE,IF('Compare'!$H$5="EXACT only",J234="EXACT",OR(J234="EXACT",J234="CLOSE")))),"yes","no")</f>
        <v/>
      </c>
      <c r="AF234" s="27">
        <f>IF(ISNUMBER(H234),COUNTIFS($B$7:$B$608,B234,$C$7:$C$608,C234,$H$7:$H$608,"&lt;"&amp;H234,$AH$7:$AH$608,"yes")+COUNTIFS($B$7:B234,B234,$C$7:C234,C234,$H$7:H234,H234,$AH$7:AH234,"yes"),"")</f>
        <v/>
      </c>
      <c r="AG234" s="27">
        <f>IF(ISNUMBER(I234),COUNTIFS($B$7:$B$608,B234,$C$7:$C$608,C234,$I$7:$I$608,"&lt;"&amp;I234,$AI$7:$AI$608,"yes")+COUNTIFS($B$7:B234,B234,$C$7:C234,C234,$I$7:I234,I234,$AI$7:AI234,"yes"),"")</f>
        <v/>
      </c>
      <c r="AH234" s="27">
        <f>IF(ISNUMBER(H234),"yes","no")</f>
        <v/>
      </c>
      <c r="AI234" s="27">
        <f>IF(ISNUMBER(I234),"yes","no")</f>
        <v/>
      </c>
      <c r="AJ234" s="105" t="n">
        <v>46295</v>
      </c>
      <c r="AK234" s="27" t="n"/>
    </row>
    <row r="235" ht="42" customHeight="1">
      <c r="A235" s="2" t="n"/>
      <c r="B235" s="24" t="inlineStr">
        <is>
          <t>PE cutting board 600 × 400 × 20 mm</t>
        </is>
      </c>
      <c r="C235" s="24" t="inlineStr">
        <is>
          <t>Germany</t>
        </is>
      </c>
      <c r="D235" s="24" t="inlineStr">
        <is>
          <t>GGM Gastro</t>
        </is>
      </c>
      <c r="E235" s="24" t="inlineStr">
        <is>
          <t>Schneidebrett - EN 600x400 - HACCP-Konform - Weiß</t>
        </is>
      </c>
      <c r="F235" s="98" t="n">
        <v>28.49</v>
      </c>
      <c r="G235" s="24" t="inlineStr">
        <is>
          <t>EUR</t>
        </is>
      </c>
      <c r="H235" s="98">
        <f>IF(AND(AE235="yes",ISNUMBER(AD235)),AD235,"")</f>
        <v/>
      </c>
      <c r="I235" s="99">
        <f>IF(AND(AE235="yes",ISNUMBER(AD235),ISNUMBER(INDEX('Sources'!$G$7:$G$10,MATCH(AB235,'Sources'!$B$7:$B$10,0)))),AD235/INDEX('Sources'!$G$7:$G$10,MATCH(AB235,'Sources'!$B$7:$B$10,0)),"")</f>
        <v/>
      </c>
      <c r="J235" s="24" t="inlineStr">
        <is>
          <t>EXACT</t>
        </is>
      </c>
      <c r="K235" s="24" t="inlineStr">
        <is>
          <t>2026-09-30</t>
        </is>
      </c>
      <c r="L235" s="71" t="n"/>
      <c r="M235" s="24" t="inlineStr">
        <is>
          <t>PE, 600x400x20 mm</t>
        </is>
      </c>
      <c r="N235" s="25" t="inlineStr">
        <is>
          <t>https://www.ggmgastro.com/de-de-eur/schneidebrett-en-600x400-haccp-konform-weiss-sbp46w</t>
        </is>
      </c>
      <c r="O235" s="24" t="inlineStr">
        <is>
          <t>GGM</t>
        </is>
      </c>
      <c r="P235" s="24" t="inlineStr">
        <is>
          <t>excl.</t>
        </is>
      </c>
      <c r="Q235" s="100" t="n"/>
      <c r="R235" s="24" t="n">
        <v>1</v>
      </c>
      <c r="S235" s="24" t="n"/>
      <c r="T235" s="24" t="inlineStr">
        <is>
          <t>EXACT</t>
        </is>
      </c>
      <c r="U235" s="24" t="inlineStr">
        <is>
          <t>Existing benchmark assignment and match quality retained.</t>
        </is>
      </c>
      <c r="V235" s="98" t="n">
        <v>28.49</v>
      </c>
      <c r="W235" s="98" t="n"/>
      <c r="X235" s="24" t="inlineStr">
        <is>
          <t>YES Gastro Germany Market Research.xlsx</t>
        </is>
      </c>
      <c r="Y235" s="24" t="n"/>
      <c r="Z235" s="24" t="n"/>
      <c r="AA235" s="24" t="n"/>
      <c r="AB235" s="24" t="inlineStr">
        <is>
          <t>EUR</t>
        </is>
      </c>
      <c r="AC235" s="24" t="inlineStr">
        <is>
          <t>yes</t>
        </is>
      </c>
      <c r="AD235" s="24">
        <f>IF(ISNUMBER(V235),V235,"")</f>
        <v/>
      </c>
      <c r="AE235" s="24">
        <f>IF(AND(AC235="yes",ISNUMBER(F235),IF('Compare'!$H$5="All mapped",TRUE,IF('Compare'!$H$5="EXACT only",J235="EXACT",OR(J235="EXACT",J235="CLOSE")))),"yes","no")</f>
        <v/>
      </c>
      <c r="AF235" s="24">
        <f>IF(ISNUMBER(H235),COUNTIFS($B$7:$B$608,B235,$C$7:$C$608,C235,$H$7:$H$608,"&lt;"&amp;H235,$AH$7:$AH$608,"yes")+COUNTIFS($B$7:B235,B235,$C$7:C235,C235,$H$7:H235,H235,$AH$7:AH235,"yes"),"")</f>
        <v/>
      </c>
      <c r="AG235" s="24">
        <f>IF(ISNUMBER(I235),COUNTIFS($B$7:$B$608,B235,$C$7:$C$608,C235,$I$7:$I$608,"&lt;"&amp;I235,$AI$7:$AI$608,"yes")+COUNTIFS($B$7:B235,B235,$C$7:C235,C235,$I$7:I235,I235,$AI$7:AI235,"yes"),"")</f>
        <v/>
      </c>
      <c r="AH235" s="24">
        <f>IF(ISNUMBER(H235),"yes","no")</f>
        <v/>
      </c>
      <c r="AI235" s="24">
        <f>IF(ISNUMBER(I235),"yes","no")</f>
        <v/>
      </c>
      <c r="AJ235" s="101" t="n">
        <v>46295</v>
      </c>
      <c r="AK235" s="24" t="n"/>
    </row>
    <row r="236" ht="42" customHeight="1">
      <c r="A236" s="2" t="n"/>
      <c r="B236" s="27" t="inlineStr">
        <is>
          <t>PE cutting board 600 × 400 × 20 mm</t>
        </is>
      </c>
      <c r="C236" s="27" t="inlineStr">
        <is>
          <t>Germany</t>
        </is>
      </c>
      <c r="D236" s="27" t="inlineStr">
        <is>
          <t>GastroHero</t>
        </is>
      </c>
      <c r="E236" s="27" t="inlineStr">
        <is>
          <t>Schneidebrett Gastro-M 600x400 weiß</t>
        </is>
      </c>
      <c r="F236" s="102" t="n">
        <v>45.9</v>
      </c>
      <c r="G236" s="27" t="inlineStr">
        <is>
          <t>EUR</t>
        </is>
      </c>
      <c r="H236" s="102">
        <f>IF(AND(AE236="yes",ISNUMBER(AD236)),AD236,"")</f>
        <v/>
      </c>
      <c r="I236" s="103">
        <f>IF(AND(AE236="yes",ISNUMBER(AD236),ISNUMBER(INDEX('Sources'!$G$7:$G$10,MATCH(AB236,'Sources'!$B$7:$B$10,0)))),AD236/INDEX('Sources'!$G$7:$G$10,MATCH(AB236,'Sources'!$B$7:$B$10,0)),"")</f>
        <v/>
      </c>
      <c r="J236" s="27" t="inlineStr">
        <is>
          <t>CLOSE</t>
        </is>
      </c>
      <c r="K236" s="27" t="inlineStr">
        <is>
          <t>2026-09-30</t>
        </is>
      </c>
      <c r="L236" s="71" t="n"/>
      <c r="M236" s="27" t="inlineStr">
        <is>
          <t>600x400x20 mm; material not stated on page</t>
        </is>
      </c>
      <c r="N236" s="28" t="inlineStr">
        <is>
          <t>https://www.gastro-hero.de/products/schneidebrett-gastro-m-600x400-weiss-gn344</t>
        </is>
      </c>
      <c r="O236" s="27" t="inlineStr">
        <is>
          <t>Gastro-M</t>
        </is>
      </c>
      <c r="P236" s="27" t="inlineStr">
        <is>
          <t>excl.</t>
        </is>
      </c>
      <c r="Q236" s="104" t="n"/>
      <c r="R236" s="27" t="n">
        <v>1</v>
      </c>
      <c r="S236" s="27" t="n"/>
      <c r="T236" s="27" t="inlineStr">
        <is>
          <t>CLOSE</t>
        </is>
      </c>
      <c r="U236" s="27" t="inlineStr">
        <is>
          <t>Existing benchmark assignment and match quality retained.</t>
        </is>
      </c>
      <c r="V236" s="102" t="n">
        <v>45.9</v>
      </c>
      <c r="W236" s="102" t="n"/>
      <c r="X236" s="27" t="inlineStr">
        <is>
          <t>YES Gastro Germany Market Research.xlsx</t>
        </is>
      </c>
      <c r="Y236" s="27" t="n"/>
      <c r="Z236" s="27" t="n"/>
      <c r="AA236" s="27" t="n"/>
      <c r="AB236" s="27" t="inlineStr">
        <is>
          <t>EUR</t>
        </is>
      </c>
      <c r="AC236" s="27" t="inlineStr">
        <is>
          <t>yes</t>
        </is>
      </c>
      <c r="AD236" s="27">
        <f>IF(ISNUMBER(V236),V236,"")</f>
        <v/>
      </c>
      <c r="AE236" s="27">
        <f>IF(AND(AC236="yes",ISNUMBER(F236),IF('Compare'!$H$5="All mapped",TRUE,IF('Compare'!$H$5="EXACT only",J236="EXACT",OR(J236="EXACT",J236="CLOSE")))),"yes","no")</f>
        <v/>
      </c>
      <c r="AF236" s="27">
        <f>IF(ISNUMBER(H236),COUNTIFS($B$7:$B$608,B236,$C$7:$C$608,C236,$H$7:$H$608,"&lt;"&amp;H236,$AH$7:$AH$608,"yes")+COUNTIFS($B$7:B236,B236,$C$7:C236,C236,$H$7:H236,H236,$AH$7:AH236,"yes"),"")</f>
        <v/>
      </c>
      <c r="AG236" s="27">
        <f>IF(ISNUMBER(I236),COUNTIFS($B$7:$B$608,B236,$C$7:$C$608,C236,$I$7:$I$608,"&lt;"&amp;I236,$AI$7:$AI$608,"yes")+COUNTIFS($B$7:B236,B236,$C$7:C236,C236,$I$7:I236,I236,$AI$7:AI236,"yes"),"")</f>
        <v/>
      </c>
      <c r="AH236" s="27">
        <f>IF(ISNUMBER(H236),"yes","no")</f>
        <v/>
      </c>
      <c r="AI236" s="27">
        <f>IF(ISNUMBER(I236),"yes","no")</f>
        <v/>
      </c>
      <c r="AJ236" s="105" t="n">
        <v>46295</v>
      </c>
      <c r="AK236" s="27" t="n"/>
    </row>
    <row r="237" ht="42" customHeight="1">
      <c r="A237" s="2" t="n"/>
      <c r="B237" s="24" t="inlineStr">
        <is>
          <t>PE cutting board 600 × 400 × 20 mm</t>
        </is>
      </c>
      <c r="C237" s="24" t="inlineStr">
        <is>
          <t>Germany</t>
        </is>
      </c>
      <c r="D237" s="24" t="inlineStr">
        <is>
          <t>Gastrodax [substitute]</t>
        </is>
      </c>
      <c r="E237" s="24" t="inlineStr">
        <is>
          <t>Hendi Schneidbretter HACCP 600x400, Weiß</t>
        </is>
      </c>
      <c r="F237" s="98" t="n">
        <v>33.5</v>
      </c>
      <c r="G237" s="24" t="inlineStr">
        <is>
          <t>EUR</t>
        </is>
      </c>
      <c r="H237" s="98">
        <f>IF(AND(AE237="yes",ISNUMBER(AD237)),AD237,"")</f>
        <v/>
      </c>
      <c r="I237" s="99">
        <f>IF(AND(AE237="yes",ISNUMBER(AD237),ISNUMBER(INDEX('Sources'!$G$7:$G$10,MATCH(AB237,'Sources'!$B$7:$B$10,0)))),AD237/INDEX('Sources'!$G$7:$G$10,MATCH(AB237,'Sources'!$B$7:$B$10,0)),"")</f>
        <v/>
      </c>
      <c r="J237" s="24" t="inlineStr">
        <is>
          <t>CLOSE</t>
        </is>
      </c>
      <c r="K237" s="24" t="inlineStr">
        <is>
          <t>2026-09-30</t>
        </is>
      </c>
      <c r="L237" s="71" t="n"/>
      <c r="M237" s="24" t="inlineStr">
        <is>
          <t>18 mm thick instead of 20 mm</t>
        </is>
      </c>
      <c r="N237" s="25" t="inlineStr">
        <is>
          <t>https://www.gastrodax.de/hendi-schneidbretter-haccp-600-x-400-mm-weiss</t>
        </is>
      </c>
      <c r="O237" s="24" t="inlineStr">
        <is>
          <t>Hendi</t>
        </is>
      </c>
      <c r="P237" s="24" t="inlineStr">
        <is>
          <t>excl.</t>
        </is>
      </c>
      <c r="Q237" s="100" t="n"/>
      <c r="R237" s="24" t="n">
        <v>1</v>
      </c>
      <c r="S237" s="24" t="n"/>
      <c r="T237" s="24" t="inlineStr">
        <is>
          <t>CLOSE</t>
        </is>
      </c>
      <c r="U237" s="24" t="inlineStr">
        <is>
          <t>Existing benchmark assignment and match quality retained.</t>
        </is>
      </c>
      <c r="V237" s="98" t="n">
        <v>33.5</v>
      </c>
      <c r="W237" s="98" t="n"/>
      <c r="X237" s="24" t="inlineStr">
        <is>
          <t>YES Gastro Germany Market Research.xlsx</t>
        </is>
      </c>
      <c r="Y237" s="24" t="n"/>
      <c r="Z237" s="24" t="n"/>
      <c r="AA237" s="24" t="n"/>
      <c r="AB237" s="24" t="inlineStr">
        <is>
          <t>EUR</t>
        </is>
      </c>
      <c r="AC237" s="24" t="inlineStr">
        <is>
          <t>yes</t>
        </is>
      </c>
      <c r="AD237" s="24">
        <f>IF(ISNUMBER(V237),V237,"")</f>
        <v/>
      </c>
      <c r="AE237" s="24">
        <f>IF(AND(AC237="yes",ISNUMBER(F237),IF('Compare'!$H$5="All mapped",TRUE,IF('Compare'!$H$5="EXACT only",J237="EXACT",OR(J237="EXACT",J237="CLOSE")))),"yes","no")</f>
        <v/>
      </c>
      <c r="AF237" s="24">
        <f>IF(ISNUMBER(H237),COUNTIFS($B$7:$B$608,B237,$C$7:$C$608,C237,$H$7:$H$608,"&lt;"&amp;H237,$AH$7:$AH$608,"yes")+COUNTIFS($B$7:B237,B237,$C$7:C237,C237,$H$7:H237,H237,$AH$7:AH237,"yes"),"")</f>
        <v/>
      </c>
      <c r="AG237" s="24">
        <f>IF(ISNUMBER(I237),COUNTIFS($B$7:$B$608,B237,$C$7:$C$608,C237,$I$7:$I$608,"&lt;"&amp;I237,$AI$7:$AI$608,"yes")+COUNTIFS($B$7:B237,B237,$C$7:C237,C237,$I$7:I237,I237,$AI$7:AI237,"yes"),"")</f>
        <v/>
      </c>
      <c r="AH237" s="24">
        <f>IF(ISNUMBER(H237),"yes","no")</f>
        <v/>
      </c>
      <c r="AI237" s="24">
        <f>IF(ISNUMBER(I237),"yes","no")</f>
        <v/>
      </c>
      <c r="AJ237" s="101" t="n">
        <v>46295</v>
      </c>
      <c r="AK237" s="24" t="n"/>
    </row>
    <row r="238" ht="42" customHeight="1">
      <c r="A238" s="2" t="n"/>
      <c r="B238" s="27" t="inlineStr">
        <is>
          <t>PE cutting board 600 × 400 × 20 mm</t>
        </is>
      </c>
      <c r="C238" s="27" t="inlineStr">
        <is>
          <t>Germany</t>
        </is>
      </c>
      <c r="D238" s="27" t="inlineStr">
        <is>
          <t>Gastroladen.de (Harotec GmbH) [substitute]</t>
        </is>
      </c>
      <c r="E238" s="27" t="inlineStr">
        <is>
          <t>Bartscher Schneidbrett 60x40 W</t>
        </is>
      </c>
      <c r="F238" s="102" t="n">
        <v>34.9</v>
      </c>
      <c r="G238" s="27" t="inlineStr">
        <is>
          <t>EUR</t>
        </is>
      </c>
      <c r="H238" s="102">
        <f>IF(AND(AE238="yes",ISNUMBER(AD238)),AD238,"")</f>
        <v/>
      </c>
      <c r="I238" s="103">
        <f>IF(AND(AE238="yes",ISNUMBER(AD238),ISNUMBER(INDEX('Sources'!$G$7:$G$10,MATCH(AB238,'Sources'!$B$7:$B$10,0)))),AD238/INDEX('Sources'!$G$7:$G$10,MATCH(AB238,'Sources'!$B$7:$B$10,0)),"")</f>
        <v/>
      </c>
      <c r="J238" s="27" t="inlineStr">
        <is>
          <t>CLOSE</t>
        </is>
      </c>
      <c r="K238" s="27" t="inlineStr">
        <is>
          <t>2026-09-30</t>
        </is>
      </c>
      <c r="L238" s="71" t="n"/>
      <c r="M238" s="27" t="inlineStr">
        <is>
          <t>PE, 16 mm plate (20 mm incl. feet), HACCP white</t>
        </is>
      </c>
      <c r="N238" s="28" t="inlineStr">
        <is>
          <t>https://www.gastroladen.de/2310@A120592/Bartscher-Schneidbrett-60x40-W.htm</t>
        </is>
      </c>
      <c r="O238" s="27" t="inlineStr">
        <is>
          <t>Bartscher</t>
        </is>
      </c>
      <c r="P238" s="27" t="inlineStr">
        <is>
          <t>incl.</t>
        </is>
      </c>
      <c r="Q238" s="104" t="n"/>
      <c r="R238" s="27" t="n">
        <v>1</v>
      </c>
      <c r="S238" s="27" t="n"/>
      <c r="T238" s="27" t="inlineStr">
        <is>
          <t>CLOSE</t>
        </is>
      </c>
      <c r="U238" s="27" t="inlineStr">
        <is>
          <t>Existing benchmark assignment and match quality retained.</t>
        </is>
      </c>
      <c r="V238" s="102" t="n">
        <v>29.33</v>
      </c>
      <c r="W238" s="102" t="n"/>
      <c r="X238" s="27" t="inlineStr">
        <is>
          <t>YES Gastro Germany Market Research.xlsx</t>
        </is>
      </c>
      <c r="Y238" s="27" t="n"/>
      <c r="Z238" s="27" t="n"/>
      <c r="AA238" s="27" t="n"/>
      <c r="AB238" s="27" t="inlineStr">
        <is>
          <t>EUR</t>
        </is>
      </c>
      <c r="AC238" s="27" t="inlineStr">
        <is>
          <t>yes</t>
        </is>
      </c>
      <c r="AD238" s="27">
        <f>IF(ISNUMBER(V238),V238,"")</f>
        <v/>
      </c>
      <c r="AE238" s="27">
        <f>IF(AND(AC238="yes",ISNUMBER(F238),IF('Compare'!$H$5="All mapped",TRUE,IF('Compare'!$H$5="EXACT only",J238="EXACT",OR(J238="EXACT",J238="CLOSE")))),"yes","no")</f>
        <v/>
      </c>
      <c r="AF238" s="27">
        <f>IF(ISNUMBER(H238),COUNTIFS($B$7:$B$608,B238,$C$7:$C$608,C238,$H$7:$H$608,"&lt;"&amp;H238,$AH$7:$AH$608,"yes")+COUNTIFS($B$7:B238,B238,$C$7:C238,C238,$H$7:H238,H238,$AH$7:AH238,"yes"),"")</f>
        <v/>
      </c>
      <c r="AG238" s="27">
        <f>IF(ISNUMBER(I238),COUNTIFS($B$7:$B$608,B238,$C$7:$C$608,C238,$I$7:$I$608,"&lt;"&amp;I238,$AI$7:$AI$608,"yes")+COUNTIFS($B$7:B238,B238,$C$7:C238,C238,$I$7:I238,I238,$AI$7:AI238,"yes"),"")</f>
        <v/>
      </c>
      <c r="AH238" s="27">
        <f>IF(ISNUMBER(H238),"yes","no")</f>
        <v/>
      </c>
      <c r="AI238" s="27">
        <f>IF(ISNUMBER(I238),"yes","no")</f>
        <v/>
      </c>
      <c r="AJ238" s="105" t="n">
        <v>46295</v>
      </c>
      <c r="AK238" s="27" t="n"/>
    </row>
    <row r="239" ht="42" customHeight="1">
      <c r="A239" s="2" t="n"/>
      <c r="B239" s="24" t="inlineStr">
        <is>
          <t>PE cutting board 600 × 400 × 20 mm</t>
        </is>
      </c>
      <c r="C239" s="24" t="inlineStr">
        <is>
          <t>Germany</t>
        </is>
      </c>
      <c r="D239" s="24" t="inlineStr">
        <is>
          <t>Intergastro</t>
        </is>
      </c>
      <c r="E239" s="24" t="inlineStr">
        <is>
          <t>Schneidbrett Polyethylen weiß mit Saftrille 600 x 400 mm</t>
        </is>
      </c>
      <c r="F239" s="98" t="n">
        <v>35.05</v>
      </c>
      <c r="G239" s="24" t="inlineStr">
        <is>
          <t>EUR</t>
        </is>
      </c>
      <c r="H239" s="98">
        <f>IF(AND(AE239="yes",ISNUMBER(AD239)),AD239,"")</f>
        <v/>
      </c>
      <c r="I239" s="99">
        <f>IF(AND(AE239="yes",ISNUMBER(AD239),ISNUMBER(INDEX('Sources'!$G$7:$G$10,MATCH(AB239,'Sources'!$B$7:$B$10,0)))),AD239/INDEX('Sources'!$G$7:$G$10,MATCH(AB239,'Sources'!$B$7:$B$10,0)),"")</f>
        <v/>
      </c>
      <c r="J239" s="24" t="inlineStr">
        <is>
          <t>EXACT</t>
        </is>
      </c>
      <c r="K239" s="24" t="inlineStr">
        <is>
          <t>2026-09-30</t>
        </is>
      </c>
      <c r="L239" s="71" t="n"/>
      <c r="M239" s="24" t="inlineStr">
        <is>
          <t>20 mm thick, with juice groove</t>
        </is>
      </c>
      <c r="N239" s="25" t="inlineStr">
        <is>
          <t>https://www.intergastro.de/schneidbrett-polyethylen-weiss-mit-saftrille-600-mm-x-400-mm-159019</t>
        </is>
      </c>
      <c r="O239" s="24" t="inlineStr">
        <is>
          <t>Contacto</t>
        </is>
      </c>
      <c r="P239" s="24" t="inlineStr">
        <is>
          <t>excl.</t>
        </is>
      </c>
      <c r="Q239" s="100" t="n"/>
      <c r="R239" s="24" t="n">
        <v>1</v>
      </c>
      <c r="S239" s="24" t="n"/>
      <c r="T239" s="24" t="inlineStr">
        <is>
          <t>EXACT</t>
        </is>
      </c>
      <c r="U239" s="24" t="inlineStr">
        <is>
          <t>Existing benchmark assignment and match quality retained.</t>
        </is>
      </c>
      <c r="V239" s="98" t="n">
        <v>35.05</v>
      </c>
      <c r="W239" s="98" t="n"/>
      <c r="X239" s="24" t="inlineStr">
        <is>
          <t>YES Gastro Germany Market Research.xlsx</t>
        </is>
      </c>
      <c r="Y239" s="24" t="n"/>
      <c r="Z239" s="24" t="n"/>
      <c r="AA239" s="24" t="n"/>
      <c r="AB239" s="24" t="inlineStr">
        <is>
          <t>EUR</t>
        </is>
      </c>
      <c r="AC239" s="24" t="inlineStr">
        <is>
          <t>yes</t>
        </is>
      </c>
      <c r="AD239" s="24">
        <f>IF(ISNUMBER(V239),V239,"")</f>
        <v/>
      </c>
      <c r="AE239" s="24">
        <f>IF(AND(AC239="yes",ISNUMBER(F239),IF('Compare'!$H$5="All mapped",TRUE,IF('Compare'!$H$5="EXACT only",J239="EXACT",OR(J239="EXACT",J239="CLOSE")))),"yes","no")</f>
        <v/>
      </c>
      <c r="AF239" s="24">
        <f>IF(ISNUMBER(H239),COUNTIFS($B$7:$B$608,B239,$C$7:$C$608,C239,$H$7:$H$608,"&lt;"&amp;H239,$AH$7:$AH$608,"yes")+COUNTIFS($B$7:B239,B239,$C$7:C239,C239,$H$7:H239,H239,$AH$7:AH239,"yes"),"")</f>
        <v/>
      </c>
      <c r="AG239" s="24">
        <f>IF(ISNUMBER(I239),COUNTIFS($B$7:$B$608,B239,$C$7:$C$608,C239,$I$7:$I$608,"&lt;"&amp;I239,$AI$7:$AI$608,"yes")+COUNTIFS($B$7:B239,B239,$C$7:C239,C239,$I$7:I239,I239,$AI$7:AI239,"yes"),"")</f>
        <v/>
      </c>
      <c r="AH239" s="24">
        <f>IF(ISNUMBER(H239),"yes","no")</f>
        <v/>
      </c>
      <c r="AI239" s="24">
        <f>IF(ISNUMBER(I239),"yes","no")</f>
        <v/>
      </c>
      <c r="AJ239" s="101" t="n">
        <v>46295</v>
      </c>
      <c r="AK239" s="24" t="n"/>
    </row>
    <row r="240" ht="42" customHeight="1">
      <c r="A240" s="2" t="n"/>
      <c r="B240" s="27" t="inlineStr">
        <is>
          <t>PE cutting board 600 × 400 × 20 mm</t>
        </is>
      </c>
      <c r="C240" s="27" t="inlineStr">
        <is>
          <t>Germany</t>
        </is>
      </c>
      <c r="D240" s="27" t="inlineStr">
        <is>
          <t>Nisbets</t>
        </is>
      </c>
      <c r="E240" s="27" t="inlineStr">
        <is>
          <t>Gastro M HDPE Schneidebrett blau 60x40x2cm</t>
        </is>
      </c>
      <c r="F240" s="102" t="n">
        <v>57.99</v>
      </c>
      <c r="G240" s="27" t="inlineStr">
        <is>
          <t>EUR</t>
        </is>
      </c>
      <c r="H240" s="102">
        <f>IF(AND(AE240="yes",ISNUMBER(AD240)),AD240,"")</f>
        <v/>
      </c>
      <c r="I240" s="103">
        <f>IF(AND(AE240="yes",ISNUMBER(AD240),ISNUMBER(INDEX('Sources'!$G$7:$G$10,MATCH(AB240,'Sources'!$B$7:$B$10,0)))),AD240/INDEX('Sources'!$G$7:$G$10,MATCH(AB240,'Sources'!$B$7:$B$10,0)),"")</f>
        <v/>
      </c>
      <c r="J240" s="27" t="inlineStr">
        <is>
          <t>EXACT</t>
        </is>
      </c>
      <c r="K240" s="27" t="inlineStr">
        <is>
          <t>2026-09-30</t>
        </is>
      </c>
      <c r="L240" s="71" t="n"/>
      <c r="M240" s="27" t="inlineStr">
        <is>
          <t>HDPE 600x400x20 mm. Hygiplas 600x450x12 mm HDPE (J017 etc.) 25.49</t>
        </is>
      </c>
      <c r="N240" s="28" t="inlineStr">
        <is>
          <t>https://www.nisbets.de/gastro-m-hdpe-schneidebrett-blau/gn348</t>
        </is>
      </c>
      <c r="O240" s="27" t="inlineStr">
        <is>
          <t>Gastro M</t>
        </is>
      </c>
      <c r="P240" s="27" t="inlineStr">
        <is>
          <t>excl.</t>
        </is>
      </c>
      <c r="Q240" s="104" t="n"/>
      <c r="R240" s="27" t="n">
        <v>1</v>
      </c>
      <c r="S240" s="27" t="n"/>
      <c r="T240" s="27" t="inlineStr">
        <is>
          <t>EXACT</t>
        </is>
      </c>
      <c r="U240" s="27" t="inlineStr">
        <is>
          <t>Existing benchmark assignment and match quality retained.</t>
        </is>
      </c>
      <c r="V240" s="102" t="n">
        <v>57.99</v>
      </c>
      <c r="W240" s="102" t="n"/>
      <c r="X240" s="27" t="inlineStr">
        <is>
          <t>YES Gastro Germany Market Research.xlsx</t>
        </is>
      </c>
      <c r="Y240" s="27" t="n"/>
      <c r="Z240" s="27" t="n"/>
      <c r="AA240" s="27" t="n"/>
      <c r="AB240" s="27" t="inlineStr">
        <is>
          <t>EUR</t>
        </is>
      </c>
      <c r="AC240" s="27" t="inlineStr">
        <is>
          <t>yes</t>
        </is>
      </c>
      <c r="AD240" s="27">
        <f>IF(ISNUMBER(V240),V240,"")</f>
        <v/>
      </c>
      <c r="AE240" s="27">
        <f>IF(AND(AC240="yes",ISNUMBER(F240),IF('Compare'!$H$5="All mapped",TRUE,IF('Compare'!$H$5="EXACT only",J240="EXACT",OR(J240="EXACT",J240="CLOSE")))),"yes","no")</f>
        <v/>
      </c>
      <c r="AF240" s="27">
        <f>IF(ISNUMBER(H240),COUNTIFS($B$7:$B$608,B240,$C$7:$C$608,C240,$H$7:$H$608,"&lt;"&amp;H240,$AH$7:$AH$608,"yes")+COUNTIFS($B$7:B240,B240,$C$7:C240,C240,$H$7:H240,H240,$AH$7:AH240,"yes"),"")</f>
        <v/>
      </c>
      <c r="AG240" s="27">
        <f>IF(ISNUMBER(I240),COUNTIFS($B$7:$B$608,B240,$C$7:$C$608,C240,$I$7:$I$608,"&lt;"&amp;I240,$AI$7:$AI$608,"yes")+COUNTIFS($B$7:B240,B240,$C$7:C240,C240,$I$7:I240,I240,$AI$7:AI240,"yes"),"")</f>
        <v/>
      </c>
      <c r="AH240" s="27">
        <f>IF(ISNUMBER(H240),"yes","no")</f>
        <v/>
      </c>
      <c r="AI240" s="27">
        <f>IF(ISNUMBER(I240),"yes","no")</f>
        <v/>
      </c>
      <c r="AJ240" s="105" t="n">
        <v>46295</v>
      </c>
      <c r="AK240" s="27" t="n"/>
    </row>
    <row r="241" ht="52" customHeight="1">
      <c r="A241" s="2" t="n"/>
      <c r="B241" s="24" t="inlineStr">
        <is>
          <t>PE cutting board 600 × 400 × 20 mm</t>
        </is>
      </c>
      <c r="C241" s="24" t="inlineStr">
        <is>
          <t>Czech</t>
        </is>
      </c>
      <c r="D241" s="24" t="inlineStr">
        <is>
          <t>GGM Gastro (CZ storefront)</t>
        </is>
      </c>
      <c r="E241" s="24" t="inlineStr">
        <is>
          <t>Krájecí deska - EN 600x400 - Dle HACCP - Bílá</t>
        </is>
      </c>
      <c r="F241" s="98" t="n">
        <v>717.76</v>
      </c>
      <c r="G241" s="24" t="inlineStr">
        <is>
          <t>CZK</t>
        </is>
      </c>
      <c r="H241" s="98">
        <f>IF(AND(AE241="yes",ISNUMBER(AD241)),AD241,"")</f>
        <v/>
      </c>
      <c r="I241" s="99">
        <f>IF(AND(AE241="yes",ISNUMBER(AD241),ISNUMBER(INDEX('Sources'!$G$7:$G$10,MATCH(AB241,'Sources'!$B$7:$B$10,0)))),AD241/INDEX('Sources'!$G$7:$G$10,MATCH(AB241,'Sources'!$B$7:$B$10,0)),"")</f>
        <v/>
      </c>
      <c r="J241" s="24" t="inlineStr">
        <is>
          <t>EXACT</t>
        </is>
      </c>
      <c r="K241" s="24" t="inlineStr">
        <is>
          <t>2026-09-30</t>
        </is>
      </c>
      <c r="L241" s="71" t="n"/>
      <c r="M241" s="24" t="inlineStr">
        <is>
          <t>Net CZK price as displayed; page footnote: "* čistá cena | hrubá cena vč. 19% DPH" (German VAT 19% used on the CZ storefront). SKU SBP46W, PE, 600 x 400 x 20 mm, HACCP colours. Gross 854.13 CZK.</t>
        </is>
      </c>
      <c r="N241" s="25" t="inlineStr">
        <is>
          <t>https://www.ggmgastro.com/cs-cz-czk/krajeci-deska-en-600x400-dle-haccp-bila-sbp46w</t>
        </is>
      </c>
      <c r="O241" s="24" t="inlineStr">
        <is>
          <t>GGM</t>
        </is>
      </c>
      <c r="P241" s="24" t="inlineStr">
        <is>
          <t>excl.</t>
        </is>
      </c>
      <c r="Q241" s="100" t="n">
        <v>0.19</v>
      </c>
      <c r="R241" s="24" t="n">
        <v>1</v>
      </c>
      <c r="S241" s="24" t="inlineStr">
        <is>
          <t>per piece</t>
        </is>
      </c>
      <c r="T241" s="24" t="inlineStr">
        <is>
          <t>EXACT</t>
        </is>
      </c>
      <c r="U241" s="24" t="inlineStr">
        <is>
          <t>Existing benchmark assignment and match quality retained.</t>
        </is>
      </c>
      <c r="V241" s="98" t="n"/>
      <c r="W241" s="98" t="n"/>
      <c r="X241" s="24" t="inlineStr">
        <is>
          <t>YES Gastro Czech Market Research.xlsx</t>
        </is>
      </c>
      <c r="Y241" s="24" t="n"/>
      <c r="Z241" s="24" t="n"/>
      <c r="AA241" s="24" t="n"/>
      <c r="AB241" s="24" t="inlineStr">
        <is>
          <t>CZK</t>
        </is>
      </c>
      <c r="AC241" s="24" t="inlineStr">
        <is>
          <t>yes</t>
        </is>
      </c>
      <c r="AD241" s="24">
        <f>IF(OR(F241="",Q241="",R241=""),"",ROUND(IF(P241="incl.",F241/(1+Q241),F241)/IF(S241="per pack",R241,1),2))</f>
        <v/>
      </c>
      <c r="AE241" s="24">
        <f>IF(AND(AC241="yes",ISNUMBER(F241),IF('Compare'!$H$5="All mapped",TRUE,IF('Compare'!$H$5="EXACT only",J241="EXACT",OR(J241="EXACT",J241="CLOSE")))),"yes","no")</f>
        <v/>
      </c>
      <c r="AF241" s="24">
        <f>IF(ISNUMBER(H241),COUNTIFS($B$7:$B$608,B241,$C$7:$C$608,C241,$H$7:$H$608,"&lt;"&amp;H241,$AH$7:$AH$608,"yes")+COUNTIFS($B$7:B241,B241,$C$7:C241,C241,$H$7:H241,H241,$AH$7:AH241,"yes"),"")</f>
        <v/>
      </c>
      <c r="AG241" s="24">
        <f>IF(ISNUMBER(I241),COUNTIFS($B$7:$B$608,B241,$C$7:$C$608,C241,$I$7:$I$608,"&lt;"&amp;I241,$AI$7:$AI$608,"yes")+COUNTIFS($B$7:B241,B241,$C$7:C241,C241,$I$7:I241,I241,$AI$7:AI241,"yes"),"")</f>
        <v/>
      </c>
      <c r="AH241" s="24">
        <f>IF(ISNUMBER(H241),"yes","no")</f>
        <v/>
      </c>
      <c r="AI241" s="24">
        <f>IF(ISNUMBER(I241),"yes","no")</f>
        <v/>
      </c>
      <c r="AJ241" s="101" t="n">
        <v>46295</v>
      </c>
      <c r="AK241" s="24" t="n"/>
    </row>
    <row r="242" ht="52" customHeight="1">
      <c r="A242" s="2" t="n"/>
      <c r="B242" s="27" t="inlineStr">
        <is>
          <t>PE cutting board 600 × 400 × 20 mm</t>
        </is>
      </c>
      <c r="C242" s="27" t="inlineStr">
        <is>
          <t>Czech</t>
        </is>
      </c>
      <c r="D242" s="27" t="inlineStr">
        <is>
          <t>Gastro Novotný</t>
        </is>
      </c>
      <c r="E242" s="27" t="inlineStr">
        <is>
          <t>Deska polyethylen 60x40x2cm nožičky PE-HD -bílá</t>
        </is>
      </c>
      <c r="F242" s="102" t="n">
        <v>1350</v>
      </c>
      <c r="G242" s="27" t="inlineStr">
        <is>
          <t>CZK</t>
        </is>
      </c>
      <c r="H242" s="102">
        <f>IF(AND(AE242="yes",ISNUMBER(AD242)),AD242,"")</f>
        <v/>
      </c>
      <c r="I242" s="103">
        <f>IF(AND(AE242="yes",ISNUMBER(AD242),ISNUMBER(INDEX('Sources'!$G$7:$G$10,MATCH(AB242,'Sources'!$B$7:$B$10,0)))),AD242/INDEX('Sources'!$G$7:$G$10,MATCH(AB242,'Sources'!$B$7:$B$10,0)),"")</f>
        <v/>
      </c>
      <c r="J242" s="27" t="inlineStr">
        <is>
          <t>EXACT</t>
        </is>
      </c>
      <c r="K242" s="27" t="inlineStr">
        <is>
          <t>2026-09-30</t>
        </is>
      </c>
      <c r="L242" s="71" t="n"/>
      <c r="M242" s="27" t="inlineStr">
        <is>
          <t>HDPE, feet; colour range (white/yellow/red/green/brown/black); white is the lowest-priced colour; 1,633.50 CZK incl. VAT; white on order 3-6 weeks (red 1,460 CZK excl., in stock).</t>
        </is>
      </c>
      <c r="N242" s="28" t="inlineStr">
        <is>
          <t>https://eshop.gastronovotny.cz/deska-polyethylen-60x40x2cm-nozicky-pe-hd-bila/</t>
        </is>
      </c>
      <c r="O242" s="27" t="n"/>
      <c r="P242" s="27" t="inlineStr">
        <is>
          <t>excl.</t>
        </is>
      </c>
      <c r="Q242" s="104" t="n">
        <v>0.21</v>
      </c>
      <c r="R242" s="27" t="n">
        <v>1</v>
      </c>
      <c r="S242" s="27" t="inlineStr">
        <is>
          <t>per piece</t>
        </is>
      </c>
      <c r="T242" s="27" t="inlineStr">
        <is>
          <t>EXACT</t>
        </is>
      </c>
      <c r="U242" s="27" t="inlineStr">
        <is>
          <t>Existing benchmark assignment and match quality retained.</t>
        </is>
      </c>
      <c r="V242" s="102" t="n"/>
      <c r="W242" s="102" t="n"/>
      <c r="X242" s="27" t="inlineStr">
        <is>
          <t>YES Gastro Czech Market Research.xlsx</t>
        </is>
      </c>
      <c r="Y242" s="27" t="n"/>
      <c r="Z242" s="27" t="n"/>
      <c r="AA242" s="27" t="n"/>
      <c r="AB242" s="27" t="inlineStr">
        <is>
          <t>CZK</t>
        </is>
      </c>
      <c r="AC242" s="27" t="inlineStr">
        <is>
          <t>yes</t>
        </is>
      </c>
      <c r="AD242" s="27">
        <f>IF(OR(F242="",Q242="",R242=""),"",ROUND(IF(P242="incl.",F242/(1+Q242),F242)/IF(S242="per pack",R242,1),2))</f>
        <v/>
      </c>
      <c r="AE242" s="27">
        <f>IF(AND(AC242="yes",ISNUMBER(F242),IF('Compare'!$H$5="All mapped",TRUE,IF('Compare'!$H$5="EXACT only",J242="EXACT",OR(J242="EXACT",J242="CLOSE")))),"yes","no")</f>
        <v/>
      </c>
      <c r="AF242" s="27">
        <f>IF(ISNUMBER(H242),COUNTIFS($B$7:$B$608,B242,$C$7:$C$608,C242,$H$7:$H$608,"&lt;"&amp;H242,$AH$7:$AH$608,"yes")+COUNTIFS($B$7:B242,B242,$C$7:C242,C242,$H$7:H242,H242,$AH$7:AH242,"yes"),"")</f>
        <v/>
      </c>
      <c r="AG242" s="27">
        <f>IF(ISNUMBER(I242),COUNTIFS($B$7:$B$608,B242,$C$7:$C$608,C242,$I$7:$I$608,"&lt;"&amp;I242,$AI$7:$AI$608,"yes")+COUNTIFS($B$7:B242,B242,$C$7:C242,C242,$I$7:I242,I242,$AI$7:AI242,"yes"),"")</f>
        <v/>
      </c>
      <c r="AH242" s="27">
        <f>IF(ISNUMBER(H242),"yes","no")</f>
        <v/>
      </c>
      <c r="AI242" s="27">
        <f>IF(ISNUMBER(I242),"yes","no")</f>
        <v/>
      </c>
      <c r="AJ242" s="105" t="n">
        <v>46295</v>
      </c>
      <c r="AK242" s="27" t="n"/>
    </row>
    <row r="243" ht="42" customHeight="1">
      <c r="A243" s="2" t="n"/>
      <c r="B243" s="24" t="inlineStr">
        <is>
          <t>PE cutting board 600 × 400 × 20 mm</t>
        </is>
      </c>
      <c r="C243" s="24" t="inlineStr">
        <is>
          <t>Czech</t>
        </is>
      </c>
      <c r="D243" s="24" t="inlineStr">
        <is>
          <t>Gastromania</t>
        </is>
      </c>
      <c r="E243" s="24" t="inlineStr">
        <is>
          <t>Krájecí deska 600x400x20 mm, červená | YATO, YG-02180</t>
        </is>
      </c>
      <c r="F243" s="98" t="n">
        <v>574</v>
      </c>
      <c r="G243" s="24" t="inlineStr">
        <is>
          <t>CZK</t>
        </is>
      </c>
      <c r="H243" s="98">
        <f>IF(AND(AE243="yes",ISNUMBER(AD243)),AD243,"")</f>
        <v/>
      </c>
      <c r="I243" s="99">
        <f>IF(AND(AE243="yes",ISNUMBER(AD243),ISNUMBER(INDEX('Sources'!$G$7:$G$10,MATCH(AB243,'Sources'!$B$7:$B$10,0)))),AD243/INDEX('Sources'!$G$7:$G$10,MATCH(AB243,'Sources'!$B$7:$B$10,0)),"")</f>
        <v/>
      </c>
      <c r="J243" s="24" t="inlineStr">
        <is>
          <t>EXACT</t>
        </is>
      </c>
      <c r="K243" s="24" t="inlineStr">
        <is>
          <t>2026-09-30</t>
        </is>
      </c>
      <c r="L243" s="71" t="n"/>
      <c r="M243" s="24" t="inlineStr">
        <is>
          <t>PE, 20 mm, HACCP colours (white/red/blue/green/yellow/brown); 695 CZK incl.; availability 5 days.</t>
        </is>
      </c>
      <c r="N243" s="25" t="inlineStr">
        <is>
          <t>https://www.gastromania.cz/plastove-krajeci-desky-haccp/krajeci-deska-600x400x20-mm-cervena-yato-yg-02180</t>
        </is>
      </c>
      <c r="O243" s="24" t="inlineStr">
        <is>
          <t>Yato</t>
        </is>
      </c>
      <c r="P243" s="24" t="inlineStr">
        <is>
          <t>excl.</t>
        </is>
      </c>
      <c r="Q243" s="100" t="n">
        <v>0.21</v>
      </c>
      <c r="R243" s="24" t="n">
        <v>1</v>
      </c>
      <c r="S243" s="24" t="inlineStr">
        <is>
          <t>per piece</t>
        </is>
      </c>
      <c r="T243" s="24" t="inlineStr">
        <is>
          <t>EXACT</t>
        </is>
      </c>
      <c r="U243" s="24" t="inlineStr">
        <is>
          <t>Existing benchmark assignment and match quality retained.</t>
        </is>
      </c>
      <c r="V243" s="98" t="n"/>
      <c r="W243" s="98" t="n"/>
      <c r="X243" s="24" t="inlineStr">
        <is>
          <t>YES Gastro Czech Market Research.xlsx</t>
        </is>
      </c>
      <c r="Y243" s="24" t="n"/>
      <c r="Z243" s="24" t="n"/>
      <c r="AA243" s="24" t="n"/>
      <c r="AB243" s="24" t="inlineStr">
        <is>
          <t>CZK</t>
        </is>
      </c>
      <c r="AC243" s="24" t="inlineStr">
        <is>
          <t>yes</t>
        </is>
      </c>
      <c r="AD243" s="24">
        <f>IF(OR(F243="",Q243="",R243=""),"",ROUND(IF(P243="incl.",F243/(1+Q243),F243)/IF(S243="per pack",R243,1),2))</f>
        <v/>
      </c>
      <c r="AE243" s="24">
        <f>IF(AND(AC243="yes",ISNUMBER(F243),IF('Compare'!$H$5="All mapped",TRUE,IF('Compare'!$H$5="EXACT only",J243="EXACT",OR(J243="EXACT",J243="CLOSE")))),"yes","no")</f>
        <v/>
      </c>
      <c r="AF243" s="24">
        <f>IF(ISNUMBER(H243),COUNTIFS($B$7:$B$608,B243,$C$7:$C$608,C243,$H$7:$H$608,"&lt;"&amp;H243,$AH$7:$AH$608,"yes")+COUNTIFS($B$7:B243,B243,$C$7:C243,C243,$H$7:H243,H243,$AH$7:AH243,"yes"),"")</f>
        <v/>
      </c>
      <c r="AG243" s="24">
        <f>IF(ISNUMBER(I243),COUNTIFS($B$7:$B$608,B243,$C$7:$C$608,C243,$I$7:$I$608,"&lt;"&amp;I243,$AI$7:$AI$608,"yes")+COUNTIFS($B$7:B243,B243,$C$7:C243,C243,$I$7:I243,I243,$AI$7:AI243,"yes"),"")</f>
        <v/>
      </c>
      <c r="AH243" s="24">
        <f>IF(ISNUMBER(H243),"yes","no")</f>
        <v/>
      </c>
      <c r="AI243" s="24">
        <f>IF(ISNUMBER(I243),"yes","no")</f>
        <v/>
      </c>
      <c r="AJ243" s="101" t="n">
        <v>46295</v>
      </c>
      <c r="AK243" s="24" t="n"/>
    </row>
    <row r="244" ht="42" customHeight="1">
      <c r="A244" s="2" t="n"/>
      <c r="B244" s="27" t="inlineStr">
        <is>
          <t>PE cutting board 600 × 400 × 20 mm</t>
        </is>
      </c>
      <c r="C244" s="27" t="inlineStr">
        <is>
          <t>Czech</t>
        </is>
      </c>
      <c r="D244" s="27" t="inlineStr">
        <is>
          <t>Gastrozone</t>
        </is>
      </c>
      <c r="E244" s="27" t="inlineStr">
        <is>
          <t>Prkénko krájecí plastové 60x40x3 cm, s drážkou, červené</t>
        </is>
      </c>
      <c r="F244" s="102" t="n">
        <v>2225</v>
      </c>
      <c r="G244" s="27" t="inlineStr">
        <is>
          <t>CZK</t>
        </is>
      </c>
      <c r="H244" s="102">
        <f>IF(AND(AE244="yes",ISNUMBER(AD244)),AD244,"")</f>
        <v/>
      </c>
      <c r="I244" s="103">
        <f>IF(AND(AE244="yes",ISNUMBER(AD244),ISNUMBER(INDEX('Sources'!$G$7:$G$10,MATCH(AB244,'Sources'!$B$7:$B$10,0)))),AD244/INDEX('Sources'!$G$7:$G$10,MATCH(AB244,'Sources'!$B$7:$B$10,0)),"")</f>
        <v/>
      </c>
      <c r="J244" s="27" t="inlineStr">
        <is>
          <t>CLOSE</t>
        </is>
      </c>
      <c r="K244" s="27" t="inlineStr">
        <is>
          <t>2026-09-30</t>
        </is>
      </c>
      <c r="L244" s="71" t="n"/>
      <c r="M244" s="27" t="inlineStr">
        <is>
          <t>600 x 400 but 30 mm thick (no 20 mm version); material only "plast" (flagged); HACCP colours; white 2,003 CZK. 1,839 CZK bez DPH.</t>
        </is>
      </c>
      <c r="N244" s="28" t="inlineStr">
        <is>
          <t>https://www.gastrozone.cz/gastro-prkenko-krajeci-plastove-60x40x3-cm-s-drazkou-cervene.html</t>
        </is>
      </c>
      <c r="O244" s="27" t="inlineStr">
        <is>
          <t>Gastro</t>
        </is>
      </c>
      <c r="P244" s="27" t="inlineStr">
        <is>
          <t>incl.</t>
        </is>
      </c>
      <c r="Q244" s="104" t="n">
        <v>0.21</v>
      </c>
      <c r="R244" s="27" t="n">
        <v>1</v>
      </c>
      <c r="S244" s="27" t="inlineStr">
        <is>
          <t>per piece</t>
        </is>
      </c>
      <c r="T244" s="27" t="inlineStr">
        <is>
          <t>CLOSE</t>
        </is>
      </c>
      <c r="U244" s="27" t="inlineStr">
        <is>
          <t>Existing benchmark assignment and match quality retained.</t>
        </is>
      </c>
      <c r="V244" s="102" t="n"/>
      <c r="W244" s="102" t="n"/>
      <c r="X244" s="27" t="inlineStr">
        <is>
          <t>YES Gastro Czech Market Research.xlsx</t>
        </is>
      </c>
      <c r="Y244" s="27" t="n"/>
      <c r="Z244" s="27" t="n"/>
      <c r="AA244" s="27" t="n"/>
      <c r="AB244" s="27" t="inlineStr">
        <is>
          <t>CZK</t>
        </is>
      </c>
      <c r="AC244" s="27" t="inlineStr">
        <is>
          <t>yes</t>
        </is>
      </c>
      <c r="AD244" s="27">
        <f>IF(OR(F244="",Q244="",R244=""),"",ROUND(IF(P244="incl.",F244/(1+Q244),F244)/IF(S244="per pack",R244,1),2))</f>
        <v/>
      </c>
      <c r="AE244" s="27">
        <f>IF(AND(AC244="yes",ISNUMBER(F244),IF('Compare'!$H$5="All mapped",TRUE,IF('Compare'!$H$5="EXACT only",J244="EXACT",OR(J244="EXACT",J244="CLOSE")))),"yes","no")</f>
        <v/>
      </c>
      <c r="AF244" s="27">
        <f>IF(ISNUMBER(H244),COUNTIFS($B$7:$B$608,B244,$C$7:$C$608,C244,$H$7:$H$608,"&lt;"&amp;H244,$AH$7:$AH$608,"yes")+COUNTIFS($B$7:B244,B244,$C$7:C244,C244,$H$7:H244,H244,$AH$7:AH244,"yes"),"")</f>
        <v/>
      </c>
      <c r="AG244" s="27">
        <f>IF(ISNUMBER(I244),COUNTIFS($B$7:$B$608,B244,$C$7:$C$608,C244,$I$7:$I$608,"&lt;"&amp;I244,$AI$7:$AI$608,"yes")+COUNTIFS($B$7:B244,B244,$C$7:C244,C244,$I$7:I244,I244,$AI$7:AI244,"yes"),"")</f>
        <v/>
      </c>
      <c r="AH244" s="27">
        <f>IF(ISNUMBER(H244),"yes","no")</f>
        <v/>
      </c>
      <c r="AI244" s="27">
        <f>IF(ISNUMBER(I244),"yes","no")</f>
        <v/>
      </c>
      <c r="AJ244" s="105" t="n">
        <v>46295</v>
      </c>
      <c r="AK244" s="27" t="n"/>
    </row>
    <row r="245" ht="42" customHeight="1">
      <c r="A245" s="2" t="n"/>
      <c r="B245" s="24" t="inlineStr">
        <is>
          <t>PE cutting board 600 × 400 × 20 mm</t>
        </is>
      </c>
      <c r="C245" s="24" t="inlineStr">
        <is>
          <t>Czech</t>
        </is>
      </c>
      <c r="D245" s="24" t="inlineStr">
        <is>
          <t>TOMGAST</t>
        </is>
      </c>
      <c r="E245" s="24" t="inlineStr">
        <is>
          <t>Deska 600 × 400 × 20 mm, červená</t>
        </is>
      </c>
      <c r="F245" s="98" t="n">
        <v>1440</v>
      </c>
      <c r="G245" s="24" t="inlineStr">
        <is>
          <t>CZK</t>
        </is>
      </c>
      <c r="H245" s="98">
        <f>IF(AND(AE245="yes",ISNUMBER(AD245)),AD245,"")</f>
        <v/>
      </c>
      <c r="I245" s="99">
        <f>IF(AND(AE245="yes",ISNUMBER(AD245),ISNUMBER(INDEX('Sources'!$G$7:$G$10,MATCH(AB245,'Sources'!$B$7:$B$10,0)))),AD245/INDEX('Sources'!$G$7:$G$10,MATCH(AB245,'Sources'!$B$7:$B$10,0)),"")</f>
        <v/>
      </c>
      <c r="J245" s="24" t="inlineStr">
        <is>
          <t>EXACT</t>
        </is>
      </c>
      <c r="K245" s="24" t="inlineStr">
        <is>
          <t>2026-09-30</t>
        </is>
      </c>
      <c r="L245" s="71" t="n"/>
      <c r="M245" s="24" t="inlineStr">
        <is>
          <t>PE, colours white/red/blue/green/yellow/brown; 1,190 CZK bez DPH</t>
        </is>
      </c>
      <c r="N245" s="25" t="inlineStr">
        <is>
          <t>https://www.tomgast.cz/deska-600--400--20-mm--cervena/</t>
        </is>
      </c>
      <c r="O245" s="24" t="inlineStr">
        <is>
          <t>TOMGAST</t>
        </is>
      </c>
      <c r="P245" s="24" t="inlineStr">
        <is>
          <t>incl.</t>
        </is>
      </c>
      <c r="Q245" s="100" t="n">
        <v>0.21</v>
      </c>
      <c r="R245" s="24" t="n">
        <v>1</v>
      </c>
      <c r="S245" s="24" t="inlineStr">
        <is>
          <t>per piece</t>
        </is>
      </c>
      <c r="T245" s="24" t="inlineStr">
        <is>
          <t>EXACT</t>
        </is>
      </c>
      <c r="U245" s="24" t="inlineStr">
        <is>
          <t>Existing benchmark assignment and match quality retained.</t>
        </is>
      </c>
      <c r="V245" s="98" t="n"/>
      <c r="W245" s="98" t="n"/>
      <c r="X245" s="24" t="inlineStr">
        <is>
          <t>YES Gastro Czech Market Research.xlsx</t>
        </is>
      </c>
      <c r="Y245" s="24" t="n"/>
      <c r="Z245" s="24" t="n"/>
      <c r="AA245" s="24" t="n"/>
      <c r="AB245" s="24" t="inlineStr">
        <is>
          <t>CZK</t>
        </is>
      </c>
      <c r="AC245" s="24" t="inlineStr">
        <is>
          <t>yes</t>
        </is>
      </c>
      <c r="AD245" s="24">
        <f>IF(OR(F245="",Q245="",R245=""),"",ROUND(IF(P245="incl.",F245/(1+Q245),F245)/IF(S245="per pack",R245,1),2))</f>
        <v/>
      </c>
      <c r="AE245" s="24">
        <f>IF(AND(AC245="yes",ISNUMBER(F245),IF('Compare'!$H$5="All mapped",TRUE,IF('Compare'!$H$5="EXACT only",J245="EXACT",OR(J245="EXACT",J245="CLOSE")))),"yes","no")</f>
        <v/>
      </c>
      <c r="AF245" s="24">
        <f>IF(ISNUMBER(H245),COUNTIFS($B$7:$B$608,B245,$C$7:$C$608,C245,$H$7:$H$608,"&lt;"&amp;H245,$AH$7:$AH$608,"yes")+COUNTIFS($B$7:B245,B245,$C$7:C245,C245,$H$7:H245,H245,$AH$7:AH245,"yes"),"")</f>
        <v/>
      </c>
      <c r="AG245" s="24">
        <f>IF(ISNUMBER(I245),COUNTIFS($B$7:$B$608,B245,$C$7:$C$608,C245,$I$7:$I$608,"&lt;"&amp;I245,$AI$7:$AI$608,"yes")+COUNTIFS($B$7:B245,B245,$C$7:C245,C245,$I$7:I245,I245,$AI$7:AI245,"yes"),"")</f>
        <v/>
      </c>
      <c r="AH245" s="24">
        <f>IF(ISNUMBER(H245),"yes","no")</f>
        <v/>
      </c>
      <c r="AI245" s="24">
        <f>IF(ISNUMBER(I245),"yes","no")</f>
        <v/>
      </c>
      <c r="AJ245" s="101" t="n">
        <v>46295</v>
      </c>
      <c r="AK245" s="24" t="n"/>
    </row>
    <row r="246" ht="52" customHeight="1">
      <c r="A246" s="2" t="n"/>
      <c r="B246" s="27" t="inlineStr">
        <is>
          <t>PE cutting board 600 × 400 × 20 mm</t>
        </is>
      </c>
      <c r="C246" s="27" t="inlineStr">
        <is>
          <t>Slovakia</t>
        </is>
      </c>
      <c r="D246" s="27" t="inlineStr">
        <is>
          <t>Gastromania.sk (GASTROMANIA CZ s.r.o., CZ)</t>
        </is>
      </c>
      <c r="E246" s="27" t="inlineStr">
        <is>
          <t>Doska na krájanie 600x400x20 mm, červená | BARTSCHER, 60x40 R</t>
        </is>
      </c>
      <c r="F246" s="102" t="n">
        <v>32.85</v>
      </c>
      <c r="G246" s="27" t="inlineStr">
        <is>
          <t>EUR</t>
        </is>
      </c>
      <c r="H246" s="102">
        <f>IF(AND(AE246="yes",ISNUMBER(AD246)),AD246,"")</f>
        <v/>
      </c>
      <c r="I246" s="103">
        <f>IF(AND(AE246="yes",ISNUMBER(AD246),ISNUMBER(INDEX('Sources'!$G$7:$G$10,MATCH(AB246,'Sources'!$B$7:$B$10,0)))),AD246/INDEX('Sources'!$G$7:$G$10,MATCH(AB246,'Sources'!$B$7:$B$10,0)),"")</f>
        <v/>
      </c>
      <c r="J246" s="27" t="inlineStr">
        <is>
          <t>EXACT</t>
        </is>
      </c>
      <c r="K246" s="27" t="inlineStr">
        <is>
          <t>2026-09-30</t>
        </is>
      </c>
      <c r="L246" s="71" t="n"/>
      <c r="M246" s="27" t="inlineStr">
        <is>
          <t>Listed 'Cena bez DPH' 32.85 EUR / 'Cena s DPH' 40.41 EUR. PE, 600x400x20 mm, HACCP colour range (red/yellow/green/blue/brown/purple/white). Promo; base 36,50 / 44,90; lowest price in 30 days 41,03 s DPH. Availability 14 days.</t>
        </is>
      </c>
      <c r="N246" s="28" t="inlineStr">
        <is>
          <t>https://gastromania.sk/plastove-krajacie-dosky-haccp/doska-na-krajanie-600x400x20-mm-cervena-bartscher-60x40-r</t>
        </is>
      </c>
      <c r="O246" s="27" t="inlineStr">
        <is>
          <t>Bartscher</t>
        </is>
      </c>
      <c r="P246" s="27" t="inlineStr">
        <is>
          <t>excl.</t>
        </is>
      </c>
      <c r="Q246" s="104" t="inlineStr">
        <is>
          <t>n/a</t>
        </is>
      </c>
      <c r="R246" s="27" t="n">
        <v>1</v>
      </c>
      <c r="S246" s="27" t="inlineStr">
        <is>
          <t>per piece</t>
        </is>
      </c>
      <c r="T246" s="27" t="inlineStr">
        <is>
          <t>EXACT</t>
        </is>
      </c>
      <c r="U246" s="27" t="inlineStr">
        <is>
          <t>Existing benchmark assignment and match quality retained.</t>
        </is>
      </c>
      <c r="V246" s="102" t="n">
        <v>32.85</v>
      </c>
      <c r="W246" s="102" t="n"/>
      <c r="X246" s="27" t="inlineStr">
        <is>
          <t>YES Gastro Slovakia Market Research.xlsx</t>
        </is>
      </c>
      <c r="Y246" s="27" t="n"/>
      <c r="Z246" s="27" t="n"/>
      <c r="AA246" s="27" t="n"/>
      <c r="AB246" s="27" t="inlineStr">
        <is>
          <t>EUR</t>
        </is>
      </c>
      <c r="AC246" s="27" t="inlineStr">
        <is>
          <t>yes</t>
        </is>
      </c>
      <c r="AD246" s="27">
        <f>IF(ISNUMBER(V246),V246,"")</f>
        <v/>
      </c>
      <c r="AE246" s="27">
        <f>IF(AND(AC246="yes",ISNUMBER(F246),IF('Compare'!$H$5="All mapped",TRUE,IF('Compare'!$H$5="EXACT only",J246="EXACT",OR(J246="EXACT",J246="CLOSE")))),"yes","no")</f>
        <v/>
      </c>
      <c r="AF246" s="27">
        <f>IF(ISNUMBER(H246),COUNTIFS($B$7:$B$608,B246,$C$7:$C$608,C246,$H$7:$H$608,"&lt;"&amp;H246,$AH$7:$AH$608,"yes")+COUNTIFS($B$7:B246,B246,$C$7:C246,C246,$H$7:H246,H246,$AH$7:AH246,"yes"),"")</f>
        <v/>
      </c>
      <c r="AG246" s="27">
        <f>IF(ISNUMBER(I246),COUNTIFS($B$7:$B$608,B246,$C$7:$C$608,C246,$I$7:$I$608,"&lt;"&amp;I246,$AI$7:$AI$608,"yes")+COUNTIFS($B$7:B246,B246,$C$7:C246,C246,$I$7:I246,I246,$AI$7:AI246,"yes"),"")</f>
        <v/>
      </c>
      <c r="AH246" s="27">
        <f>IF(ISNUMBER(H246),"yes","no")</f>
        <v/>
      </c>
      <c r="AI246" s="27">
        <f>IF(ISNUMBER(I246),"yes","no")</f>
        <v/>
      </c>
      <c r="AJ246" s="105" t="n">
        <v>46295</v>
      </c>
      <c r="AK246" s="27" t="n"/>
    </row>
    <row r="247" ht="42" customHeight="1">
      <c r="A247" s="2" t="n"/>
      <c r="B247" s="24" t="inlineStr">
        <is>
          <t>PE cutting board 600 × 400 × 20 mm</t>
        </is>
      </c>
      <c r="C247" s="24" t="inlineStr">
        <is>
          <t>Slovakia</t>
        </is>
      </c>
      <c r="D247" s="24" t="inlineStr">
        <is>
          <t>Gastrozone.sk (GASTROZONE, spol. s r.o., CZ)</t>
        </is>
      </c>
      <c r="E247" s="24" t="inlineStr">
        <is>
          <t>Doštička na krájanie plastová 60x40x3 cm, s drážkou, biela</t>
        </is>
      </c>
      <c r="F247" s="98" t="n">
        <v>93.51000000000001</v>
      </c>
      <c r="G247" s="24" t="inlineStr">
        <is>
          <t>EUR</t>
        </is>
      </c>
      <c r="H247" s="98">
        <f>IF(AND(AE247="yes",ISNUMBER(AD247)),AD247,"")</f>
        <v/>
      </c>
      <c r="I247" s="99">
        <f>IF(AND(AE247="yes",ISNUMBER(AD247),ISNUMBER(INDEX('Sources'!$G$7:$G$10,MATCH(AB247,'Sources'!$B$7:$B$10,0)))),AD247/INDEX('Sources'!$G$7:$G$10,MATCH(AB247,'Sources'!$B$7:$B$10,0)),"")</f>
        <v/>
      </c>
      <c r="J247" s="24" t="inlineStr">
        <is>
          <t>APPROX</t>
        </is>
      </c>
      <c r="K247" s="24" t="inlineStr">
        <is>
          <t>2026-09-30</t>
        </is>
      </c>
      <c r="L247" s="71" t="n"/>
      <c r="M247" s="24" t="inlineStr">
        <is>
          <t>30 mm thick instead of 20 mm AND material not stated (only 'plast'); HACCP colours available. No 600x400x20 board found.</t>
        </is>
      </c>
      <c r="N247" s="25" t="inlineStr">
        <is>
          <t>https://www.gastrozone.sk/gastrodosticka-na-krajanie-plastova-60x40x3-cm-s-drazkou-biela.html</t>
        </is>
      </c>
      <c r="O247" s="24" t="inlineStr">
        <is>
          <t>Gastro</t>
        </is>
      </c>
      <c r="P247" s="24" t="inlineStr">
        <is>
          <t>incl.</t>
        </is>
      </c>
      <c r="Q247" s="100" t="n">
        <v>0.23</v>
      </c>
      <c r="R247" s="24" t="n">
        <v>1</v>
      </c>
      <c r="S247" s="24" t="inlineStr">
        <is>
          <t>per piece</t>
        </is>
      </c>
      <c r="T247" s="24" t="inlineStr">
        <is>
          <t>APPROX</t>
        </is>
      </c>
      <c r="U247" s="24" t="inlineStr">
        <is>
          <t>Existing benchmark assignment and match quality retained.</t>
        </is>
      </c>
      <c r="V247" s="98" t="n">
        <v>76.0243902439025</v>
      </c>
      <c r="W247" s="98" t="n"/>
      <c r="X247" s="24" t="inlineStr">
        <is>
          <t>YES Gastro Slovakia Market Research.xlsx</t>
        </is>
      </c>
      <c r="Y247" s="24" t="n"/>
      <c r="Z247" s="24" t="n"/>
      <c r="AA247" s="24" t="n"/>
      <c r="AB247" s="24" t="inlineStr">
        <is>
          <t>EUR</t>
        </is>
      </c>
      <c r="AC247" s="24" t="inlineStr">
        <is>
          <t>yes</t>
        </is>
      </c>
      <c r="AD247" s="24">
        <f>IF(ISNUMBER(V247),V247,"")</f>
        <v/>
      </c>
      <c r="AE247" s="24">
        <f>IF(AND(AC247="yes",ISNUMBER(F247),IF('Compare'!$H$5="All mapped",TRUE,IF('Compare'!$H$5="EXACT only",J247="EXACT",OR(J247="EXACT",J247="CLOSE")))),"yes","no")</f>
        <v/>
      </c>
      <c r="AF247" s="24">
        <f>IF(ISNUMBER(H247),COUNTIFS($B$7:$B$608,B247,$C$7:$C$608,C247,$H$7:$H$608,"&lt;"&amp;H247,$AH$7:$AH$608,"yes")+COUNTIFS($B$7:B247,B247,$C$7:C247,C247,$H$7:H247,H247,$AH$7:AH247,"yes"),"")</f>
        <v/>
      </c>
      <c r="AG247" s="24">
        <f>IF(ISNUMBER(I247),COUNTIFS($B$7:$B$608,B247,$C$7:$C$608,C247,$I$7:$I$608,"&lt;"&amp;I247,$AI$7:$AI$608,"yes")+COUNTIFS($B$7:B247,B247,$C$7:C247,C247,$I$7:I247,I247,$AI$7:AI247,"yes"),"")</f>
        <v/>
      </c>
      <c r="AH247" s="24">
        <f>IF(ISNUMBER(H247),"yes","no")</f>
        <v/>
      </c>
      <c r="AI247" s="24">
        <f>IF(ISNUMBER(I247),"yes","no")</f>
        <v/>
      </c>
      <c r="AJ247" s="101" t="n">
        <v>46295</v>
      </c>
      <c r="AK247" s="24" t="n"/>
    </row>
    <row r="248" ht="42" customHeight="1">
      <c r="A248" s="2" t="n"/>
      <c r="B248" s="27" t="inlineStr">
        <is>
          <t>PE cutting board 300 × 200 × 10 mm</t>
        </is>
      </c>
      <c r="C248" s="27" t="inlineStr">
        <is>
          <t>Romania</t>
        </is>
      </c>
      <c r="D248" s="27" t="inlineStr">
        <is>
          <t>Direca</t>
        </is>
      </c>
      <c r="E248" s="27" t="inlineStr">
        <is>
          <t>300 x 200 x 10 mm</t>
        </is>
      </c>
      <c r="F248" s="102" t="n">
        <v>35.14</v>
      </c>
      <c r="G248" s="27" t="inlineStr">
        <is>
          <t>RON</t>
        </is>
      </c>
      <c r="H248" s="102">
        <f>IF(AND(AE248="yes",ISNUMBER(AD248)),AD248,"")</f>
        <v/>
      </c>
      <c r="I248" s="103">
        <f>IF(AND(AE248="yes",ISNUMBER(AD248),ISNUMBER(INDEX('Sources'!$G$7:$G$10,MATCH(AB248,'Sources'!$B$7:$B$10,0)))),AD248/INDEX('Sources'!$G$7:$G$10,MATCH(AB248,'Sources'!$B$7:$B$10,0)),"")</f>
        <v/>
      </c>
      <c r="J248" s="27" t="inlineStr">
        <is>
          <t>INCOMPLETE</t>
        </is>
      </c>
      <c r="K248" s="27" t="inlineStr">
        <is>
          <t>2026-07-10 00:00:00</t>
        </is>
      </c>
      <c r="L248" s="71" t="n"/>
      <c r="M248" s="27" t="inlineStr">
        <is>
          <t>PE</t>
        </is>
      </c>
      <c r="N248" s="28" t="inlineStr">
        <is>
          <t>https://direca.ro/shop/tocator-polietilena-negru-300x200x10-mm-cu-maner-pentru-taiere/?srsltid=AfmBOor5Vg-8ELcwb8UL1lYcw03O6M1ZpTThr3cpyBMi2G-Lw-x2tBXZ</t>
        </is>
      </c>
      <c r="O248" s="27" t="inlineStr">
        <is>
          <t>HD</t>
        </is>
      </c>
      <c r="P248" s="27" t="n"/>
      <c r="Q248" s="104" t="n"/>
      <c r="R248" s="27" t="n"/>
      <c r="S248" s="27" t="n"/>
      <c r="T248" s="27" t="n"/>
      <c r="U248" s="27" t="inlineStr">
        <is>
          <t>Dimensions and PE material agree. HACCP/colour coding is not stated.</t>
        </is>
      </c>
      <c r="V248" s="102" t="n"/>
      <c r="W248" s="102" t="n">
        <v>7.028</v>
      </c>
      <c r="X248" s="27" t="inlineStr">
        <is>
          <t>YES Gastro Romania Market Research.xlsx</t>
        </is>
      </c>
      <c r="Y248" s="27" t="inlineStr">
        <is>
          <t>Gabi</t>
        </is>
      </c>
      <c r="Z248" s="27" t="n"/>
      <c r="AA248" s="27" t="n"/>
      <c r="AB248" s="27" t="inlineStr">
        <is>
          <t>RON</t>
        </is>
      </c>
      <c r="AC248" s="27" t="inlineStr">
        <is>
          <t>yes</t>
        </is>
      </c>
      <c r="AD248" s="27">
        <f>IF(ISNUMBER(F248),IF(G248=AB248,F248,IF(AND(ISNUMBER(INDEX('Sources'!$G$7:$G$10,MATCH(G248,'Sources'!$B$7:$B$10,0))),ISNUMBER(INDEX('Sources'!$G$7:$G$10,MATCH(AB248,'Sources'!$B$7:$B$10,0)))),F248/INDEX('Sources'!$G$7:$G$10,MATCH(G248,'Sources'!$B$7:$B$10,0))*INDEX('Sources'!$G$7:$G$10,MATCH(AB248,'Sources'!$B$7:$B$10,0)),"")),"")</f>
        <v/>
      </c>
      <c r="AE248" s="27">
        <f>IF(AND(AC248="yes",ISNUMBER(F248),IF('Compare'!$H$5="All mapped",TRUE,IF('Compare'!$H$5="EXACT only",J248="EXACT",OR(J248="EXACT",J248="CLOSE")))),"yes","no")</f>
        <v/>
      </c>
      <c r="AF248" s="27">
        <f>IF(ISNUMBER(H248),COUNTIFS($B$7:$B$608,B248,$C$7:$C$608,C248,$H$7:$H$608,"&lt;"&amp;H248,$AH$7:$AH$608,"yes")+COUNTIFS($B$7:B248,B248,$C$7:C248,C248,$H$7:H248,H248,$AH$7:AH248,"yes"),"")</f>
        <v/>
      </c>
      <c r="AG248" s="27">
        <f>IF(ISNUMBER(I248),COUNTIFS($B$7:$B$608,B248,$C$7:$C$608,C248,$I$7:$I$608,"&lt;"&amp;I248,$AI$7:$AI$608,"yes")+COUNTIFS($B$7:B248,B248,$C$7:C248,C248,$I$7:I248,I248,$AI$7:AI248,"yes"),"")</f>
        <v/>
      </c>
      <c r="AH248" s="27">
        <f>IF(ISNUMBER(H248),"yes","no")</f>
        <v/>
      </c>
      <c r="AI248" s="27">
        <f>IF(ISNUMBER(I248),"yes","no")</f>
        <v/>
      </c>
      <c r="AJ248" s="105" t="n">
        <v>46213</v>
      </c>
      <c r="AK248" s="27" t="n"/>
    </row>
    <row r="249" ht="42" customHeight="1">
      <c r="A249" s="2" t="n"/>
      <c r="B249" s="24" t="inlineStr">
        <is>
          <t>PE cutting board 300 × 200 × 10 mm</t>
        </is>
      </c>
      <c r="C249" s="24" t="inlineStr">
        <is>
          <t>Romania</t>
        </is>
      </c>
      <c r="D249" s="24" t="inlineStr">
        <is>
          <t>Direca</t>
        </is>
      </c>
      <c r="E249" s="24" t="inlineStr">
        <is>
          <t>300 x 200 x 10 mm</t>
        </is>
      </c>
      <c r="F249" s="98" t="n">
        <v>35.14</v>
      </c>
      <c r="G249" s="24" t="inlineStr">
        <is>
          <t>RON</t>
        </is>
      </c>
      <c r="H249" s="98">
        <f>IF(AND(AE249="yes",ISNUMBER(AD249)),AD249,"")</f>
        <v/>
      </c>
      <c r="I249" s="99">
        <f>IF(AND(AE249="yes",ISNUMBER(AD249),ISNUMBER(INDEX('Sources'!$G$7:$G$10,MATCH(AB249,'Sources'!$B$7:$B$10,0)))),AD249/INDEX('Sources'!$G$7:$G$10,MATCH(AB249,'Sources'!$B$7:$B$10,0)),"")</f>
        <v/>
      </c>
      <c r="J249" s="24" t="inlineStr">
        <is>
          <t>INCOMPLETE</t>
        </is>
      </c>
      <c r="K249" s="24" t="inlineStr">
        <is>
          <t>2026-07-11 00:00:00</t>
        </is>
      </c>
      <c r="L249" s="71" t="n"/>
      <c r="M249" s="24" t="inlineStr">
        <is>
          <t>PE</t>
        </is>
      </c>
      <c r="N249" s="25" t="inlineStr">
        <is>
          <t>https://direca.ro/cutite-profesionale/tocator-bucatarie/</t>
        </is>
      </c>
      <c r="O249" s="24" t="inlineStr">
        <is>
          <t>HD</t>
        </is>
      </c>
      <c r="P249" s="24" t="n"/>
      <c r="Q249" s="100" t="n"/>
      <c r="R249" s="24" t="n"/>
      <c r="S249" s="24" t="n"/>
      <c r="T249" s="24" t="n"/>
      <c r="U249" s="24" t="inlineStr">
        <is>
          <t>Dimensions and PE material agree. HACCP/colour coding is not stated.</t>
        </is>
      </c>
      <c r="V249" s="98" t="n"/>
      <c r="W249" s="98" t="n">
        <v>7.028</v>
      </c>
      <c r="X249" s="24" t="inlineStr">
        <is>
          <t>YES Gastro Romania Market Research.xlsx</t>
        </is>
      </c>
      <c r="Y249" s="24" t="inlineStr">
        <is>
          <t>Gabi</t>
        </is>
      </c>
      <c r="Z249" s="24" t="n"/>
      <c r="AA249" s="24" t="n"/>
      <c r="AB249" s="24" t="inlineStr">
        <is>
          <t>RON</t>
        </is>
      </c>
      <c r="AC249" s="24" t="inlineStr">
        <is>
          <t>yes</t>
        </is>
      </c>
      <c r="AD249" s="24">
        <f>IF(ISNUMBER(F249),IF(G249=AB249,F249,IF(AND(ISNUMBER(INDEX('Sources'!$G$7:$G$10,MATCH(G249,'Sources'!$B$7:$B$10,0))),ISNUMBER(INDEX('Sources'!$G$7:$G$10,MATCH(AB249,'Sources'!$B$7:$B$10,0)))),F249/INDEX('Sources'!$G$7:$G$10,MATCH(G249,'Sources'!$B$7:$B$10,0))*INDEX('Sources'!$G$7:$G$10,MATCH(AB249,'Sources'!$B$7:$B$10,0)),"")),"")</f>
        <v/>
      </c>
      <c r="AE249" s="24">
        <f>IF(AND(AC249="yes",ISNUMBER(F249),IF('Compare'!$H$5="All mapped",TRUE,IF('Compare'!$H$5="EXACT only",J249="EXACT",OR(J249="EXACT",J249="CLOSE")))),"yes","no")</f>
        <v/>
      </c>
      <c r="AF249" s="24">
        <f>IF(ISNUMBER(H249),COUNTIFS($B$7:$B$608,B249,$C$7:$C$608,C249,$H$7:$H$608,"&lt;"&amp;H249,$AH$7:$AH$608,"yes")+COUNTIFS($B$7:B249,B249,$C$7:C249,C249,$H$7:H249,H249,$AH$7:AH249,"yes"),"")</f>
        <v/>
      </c>
      <c r="AG249" s="24">
        <f>IF(ISNUMBER(I249),COUNTIFS($B$7:$B$608,B249,$C$7:$C$608,C249,$I$7:$I$608,"&lt;"&amp;I249,$AI$7:$AI$608,"yes")+COUNTIFS($B$7:B249,B249,$C$7:C249,C249,$I$7:I249,I249,$AI$7:AI249,"yes"),"")</f>
        <v/>
      </c>
      <c r="AH249" s="24">
        <f>IF(ISNUMBER(H249),"yes","no")</f>
        <v/>
      </c>
      <c r="AI249" s="24">
        <f>IF(ISNUMBER(I249),"yes","no")</f>
        <v/>
      </c>
      <c r="AJ249" s="101" t="n">
        <v>46214</v>
      </c>
      <c r="AK249" s="24" t="n"/>
    </row>
    <row r="250" ht="42" customHeight="1">
      <c r="A250" s="2" t="n"/>
      <c r="B250" s="27" t="inlineStr">
        <is>
          <t>PE cutting board 300 × 200 × 10 mm</t>
        </is>
      </c>
      <c r="C250" s="27" t="inlineStr">
        <is>
          <t>Romania</t>
        </is>
      </c>
      <c r="D250" s="27" t="inlineStr">
        <is>
          <t>Hendi</t>
        </is>
      </c>
      <c r="E250" s="27" t="inlineStr">
        <is>
          <t>300 x 200 x 10 mm</t>
        </is>
      </c>
      <c r="F250" s="102" t="n">
        <v>25.52</v>
      </c>
      <c r="G250" s="27" t="inlineStr">
        <is>
          <t>RON</t>
        </is>
      </c>
      <c r="H250" s="102">
        <f>IF(AND(AE250="yes",ISNUMBER(AD250)),AD250,"")</f>
        <v/>
      </c>
      <c r="I250" s="103">
        <f>IF(AND(AE250="yes",ISNUMBER(AD250),ISNUMBER(INDEX('Sources'!$G$7:$G$10,MATCH(AB250,'Sources'!$B$7:$B$10,0)))),AD250/INDEX('Sources'!$G$7:$G$10,MATCH(AB250,'Sources'!$B$7:$B$10,0)),"")</f>
        <v/>
      </c>
      <c r="J250" s="27" t="inlineStr">
        <is>
          <t>INCOMPLETE</t>
        </is>
      </c>
      <c r="K250" s="27" t="inlineStr">
        <is>
          <t>2026-07-10 00:00:00</t>
        </is>
      </c>
      <c r="L250" s="71" t="n"/>
      <c r="M250" s="27" t="inlineStr">
        <is>
          <t>PE</t>
        </is>
      </c>
      <c r="N250" s="28" t="inlineStr">
        <is>
          <t>https://www.hendi.ro/tocator-universal-hendi-alb-cu-maner-300x200x-h-10-mm-polietilena-hdpe-ambele-parti-potrivite-pentru-taiere</t>
        </is>
      </c>
      <c r="O250" s="27" t="inlineStr">
        <is>
          <t>Hendi</t>
        </is>
      </c>
      <c r="P250" s="27" t="n"/>
      <c r="Q250" s="104" t="n"/>
      <c r="R250" s="27" t="n"/>
      <c r="S250" s="27" t="n"/>
      <c r="T250" s="27" t="n"/>
      <c r="U250" s="27" t="inlineStr">
        <is>
          <t>Dimensions and PE material agree. HACCP/colour coding is not stated.</t>
        </is>
      </c>
      <c r="V250" s="102" t="n"/>
      <c r="W250" s="102" t="n">
        <v>5.104</v>
      </c>
      <c r="X250" s="27" t="inlineStr">
        <is>
          <t>YES Gastro Romania Market Research.xlsx</t>
        </is>
      </c>
      <c r="Y250" s="27" t="inlineStr">
        <is>
          <t>Gabi</t>
        </is>
      </c>
      <c r="Z250" s="27" t="n"/>
      <c r="AA250" s="27" t="n"/>
      <c r="AB250" s="27" t="inlineStr">
        <is>
          <t>RON</t>
        </is>
      </c>
      <c r="AC250" s="27" t="inlineStr">
        <is>
          <t>yes</t>
        </is>
      </c>
      <c r="AD250" s="27">
        <f>IF(ISNUMBER(F250),IF(G250=AB250,F250,IF(AND(ISNUMBER(INDEX('Sources'!$G$7:$G$10,MATCH(G250,'Sources'!$B$7:$B$10,0))),ISNUMBER(INDEX('Sources'!$G$7:$G$10,MATCH(AB250,'Sources'!$B$7:$B$10,0)))),F250/INDEX('Sources'!$G$7:$G$10,MATCH(G250,'Sources'!$B$7:$B$10,0))*INDEX('Sources'!$G$7:$G$10,MATCH(AB250,'Sources'!$B$7:$B$10,0)),"")),"")</f>
        <v/>
      </c>
      <c r="AE250" s="27">
        <f>IF(AND(AC250="yes",ISNUMBER(F250),IF('Compare'!$H$5="All mapped",TRUE,IF('Compare'!$H$5="EXACT only",J250="EXACT",OR(J250="EXACT",J250="CLOSE")))),"yes","no")</f>
        <v/>
      </c>
      <c r="AF250" s="27">
        <f>IF(ISNUMBER(H250),COUNTIFS($B$7:$B$608,B250,$C$7:$C$608,C250,$H$7:$H$608,"&lt;"&amp;H250,$AH$7:$AH$608,"yes")+COUNTIFS($B$7:B250,B250,$C$7:C250,C250,$H$7:H250,H250,$AH$7:AH250,"yes"),"")</f>
        <v/>
      </c>
      <c r="AG250" s="27">
        <f>IF(ISNUMBER(I250),COUNTIFS($B$7:$B$608,B250,$C$7:$C$608,C250,$I$7:$I$608,"&lt;"&amp;I250,$AI$7:$AI$608,"yes")+COUNTIFS($B$7:B250,B250,$C$7:C250,C250,$I$7:I250,I250,$AI$7:AI250,"yes"),"")</f>
        <v/>
      </c>
      <c r="AH250" s="27">
        <f>IF(ISNUMBER(H250),"yes","no")</f>
        <v/>
      </c>
      <c r="AI250" s="27">
        <f>IF(ISNUMBER(I250),"yes","no")</f>
        <v/>
      </c>
      <c r="AJ250" s="105" t="n">
        <v>46213</v>
      </c>
      <c r="AK250" s="27" t="n"/>
    </row>
    <row r="251" ht="42" customHeight="1">
      <c r="A251" s="2" t="n"/>
      <c r="B251" s="24" t="inlineStr">
        <is>
          <t>PE cutting board 300 × 200 × 10 mm</t>
        </is>
      </c>
      <c r="C251" s="24" t="inlineStr">
        <is>
          <t>Romania</t>
        </is>
      </c>
      <c r="D251" s="24" t="inlineStr">
        <is>
          <t>Magora</t>
        </is>
      </c>
      <c r="E251" s="24" t="inlineStr">
        <is>
          <t>300 x 200 x 10 mm</t>
        </is>
      </c>
      <c r="F251" s="98" t="n">
        <v>34.8</v>
      </c>
      <c r="G251" s="24" t="inlineStr">
        <is>
          <t>RON</t>
        </is>
      </c>
      <c r="H251" s="98">
        <f>IF(AND(AE251="yes",ISNUMBER(AD251)),AD251,"")</f>
        <v/>
      </c>
      <c r="I251" s="99">
        <f>IF(AND(AE251="yes",ISNUMBER(AD251),ISNUMBER(INDEX('Sources'!$G$7:$G$10,MATCH(AB251,'Sources'!$B$7:$B$10,0)))),AD251/INDEX('Sources'!$G$7:$G$10,MATCH(AB251,'Sources'!$B$7:$B$10,0)),"")</f>
        <v/>
      </c>
      <c r="J251" s="24" t="inlineStr">
        <is>
          <t>INCOMPLETE</t>
        </is>
      </c>
      <c r="K251" s="24" t="inlineStr">
        <is>
          <t>2026-07-11 00:00:00</t>
        </is>
      </c>
      <c r="L251" s="71" t="n"/>
      <c r="M251" s="24" t="inlineStr">
        <is>
          <t>PE</t>
        </is>
      </c>
      <c r="N251" s="25" t="inlineStr">
        <is>
          <t>https://www.magora.ro/tocatoare-bucatarie?srsltid=AfmBOoqBen1tJwZaOge4D1OEi_AYmELkZTfTEDjmRBzTsS683pdHwzVJ</t>
        </is>
      </c>
      <c r="O251" s="24" t="n"/>
      <c r="P251" s="24" t="n"/>
      <c r="Q251" s="100" t="n"/>
      <c r="R251" s="24" t="n"/>
      <c r="S251" s="24" t="n"/>
      <c r="T251" s="24" t="n"/>
      <c r="U251" s="24" t="inlineStr">
        <is>
          <t>Dimensions and PE material agree. HACCP/colour coding is not stated.</t>
        </is>
      </c>
      <c r="V251" s="98" t="n"/>
      <c r="W251" s="98" t="n">
        <v>6.96</v>
      </c>
      <c r="X251" s="24" t="inlineStr">
        <is>
          <t>YES Gastro Romania Market Research.xlsx</t>
        </is>
      </c>
      <c r="Y251" s="24" t="inlineStr">
        <is>
          <t>Gabi</t>
        </is>
      </c>
      <c r="Z251" s="24" t="n"/>
      <c r="AA251" s="24" t="n"/>
      <c r="AB251" s="24" t="inlineStr">
        <is>
          <t>RON</t>
        </is>
      </c>
      <c r="AC251" s="24" t="inlineStr">
        <is>
          <t>yes</t>
        </is>
      </c>
      <c r="AD251" s="24">
        <f>IF(ISNUMBER(F251),IF(G251=AB251,F251,IF(AND(ISNUMBER(INDEX('Sources'!$G$7:$G$10,MATCH(G251,'Sources'!$B$7:$B$10,0))),ISNUMBER(INDEX('Sources'!$G$7:$G$10,MATCH(AB251,'Sources'!$B$7:$B$10,0)))),F251/INDEX('Sources'!$G$7:$G$10,MATCH(G251,'Sources'!$B$7:$B$10,0))*INDEX('Sources'!$G$7:$G$10,MATCH(AB251,'Sources'!$B$7:$B$10,0)),"")),"")</f>
        <v/>
      </c>
      <c r="AE251" s="24">
        <f>IF(AND(AC251="yes",ISNUMBER(F251),IF('Compare'!$H$5="All mapped",TRUE,IF('Compare'!$H$5="EXACT only",J251="EXACT",OR(J251="EXACT",J251="CLOSE")))),"yes","no")</f>
        <v/>
      </c>
      <c r="AF251" s="24">
        <f>IF(ISNUMBER(H251),COUNTIFS($B$7:$B$608,B251,$C$7:$C$608,C251,$H$7:$H$608,"&lt;"&amp;H251,$AH$7:$AH$608,"yes")+COUNTIFS($B$7:B251,B251,$C$7:C251,C251,$H$7:H251,H251,$AH$7:AH251,"yes"),"")</f>
        <v/>
      </c>
      <c r="AG251" s="24">
        <f>IF(ISNUMBER(I251),COUNTIFS($B$7:$B$608,B251,$C$7:$C$608,C251,$I$7:$I$608,"&lt;"&amp;I251,$AI$7:$AI$608,"yes")+COUNTIFS($B$7:B251,B251,$C$7:C251,C251,$I$7:I251,I251,$AI$7:AI251,"yes"),"")</f>
        <v/>
      </c>
      <c r="AH251" s="24">
        <f>IF(ISNUMBER(H251),"yes","no")</f>
        <v/>
      </c>
      <c r="AI251" s="24">
        <f>IF(ISNUMBER(I251),"yes","no")</f>
        <v/>
      </c>
      <c r="AJ251" s="101" t="n">
        <v>46214</v>
      </c>
      <c r="AK251" s="24" t="n"/>
    </row>
    <row r="252" ht="66" customHeight="1">
      <c r="A252" s="2" t="n"/>
      <c r="B252" s="27" t="inlineStr">
        <is>
          <t>PE cutting board 300 × 200 × 10 mm</t>
        </is>
      </c>
      <c r="C252" s="27" t="inlineStr">
        <is>
          <t>Romania</t>
        </is>
      </c>
      <c r="D252" s="27" t="inlineStr">
        <is>
          <t>mmgastro</t>
        </is>
      </c>
      <c r="E252" s="27" t="inlineStr">
        <is>
          <t>300 x 200 x 10 mm</t>
        </is>
      </c>
      <c r="F252" s="102" t="n">
        <v>24.98</v>
      </c>
      <c r="G252" s="27" t="inlineStr">
        <is>
          <t>RON</t>
        </is>
      </c>
      <c r="H252" s="102">
        <f>IF(AND(AE252="yes",ISNUMBER(AD252)),AD252,"")</f>
        <v/>
      </c>
      <c r="I252" s="103">
        <f>IF(AND(AE252="yes",ISNUMBER(AD252),ISNUMBER(INDEX('Sources'!$G$7:$G$10,MATCH(AB252,'Sources'!$B$7:$B$10,0)))),AD252/INDEX('Sources'!$G$7:$G$10,MATCH(AB252,'Sources'!$B$7:$B$10,0)),"")</f>
        <v/>
      </c>
      <c r="J252" s="27" t="inlineStr">
        <is>
          <t>INCOMPLETE</t>
        </is>
      </c>
      <c r="K252" s="27" t="inlineStr">
        <is>
          <t>2026-07-11 00:00:00</t>
        </is>
      </c>
      <c r="L252" s="71" t="n"/>
      <c r="M252" s="27" t="inlineStr">
        <is>
          <t>PE</t>
        </is>
      </c>
      <c r="N252" s="28" t="inlineStr">
        <is>
          <t>https://mmgastro.ro/ro/menu/categorii/ustensile-de-bucatarie-si-aparate-mici/placi-de-taiere-11837?filter_text=&amp;filter_producer=&amp;filter_price=&amp;filter_traits[63]=&amp;filter_traits[80]=&amp;filter_traits[47260]=&amp;filter_traits[47300]=&amp;filter_traits[47034]=&amp;filter_traits[21]=&amp;filter_traits[65]=&amp;filter_traits[73752]=74901</t>
        </is>
      </c>
      <c r="O252" s="27" t="inlineStr">
        <is>
          <t>Hendi</t>
        </is>
      </c>
      <c r="P252" s="27" t="n"/>
      <c r="Q252" s="104" t="n"/>
      <c r="R252" s="27" t="n"/>
      <c r="S252" s="27" t="n"/>
      <c r="T252" s="27" t="n"/>
      <c r="U252" s="27" t="inlineStr">
        <is>
          <t>Dimensions and PE material agree. HACCP/colour coding is not stated.</t>
        </is>
      </c>
      <c r="V252" s="102" t="n"/>
      <c r="W252" s="102" t="n">
        <v>4.996</v>
      </c>
      <c r="X252" s="27" t="inlineStr">
        <is>
          <t>YES Gastro Romania Market Research.xlsx</t>
        </is>
      </c>
      <c r="Y252" s="27" t="inlineStr">
        <is>
          <t>Gabi</t>
        </is>
      </c>
      <c r="Z252" s="27" t="n"/>
      <c r="AA252" s="27" t="n"/>
      <c r="AB252" s="27" t="inlineStr">
        <is>
          <t>RON</t>
        </is>
      </c>
      <c r="AC252" s="27" t="inlineStr">
        <is>
          <t>yes</t>
        </is>
      </c>
      <c r="AD252" s="27">
        <f>IF(ISNUMBER(F252),IF(G252=AB252,F252,IF(AND(ISNUMBER(INDEX('Sources'!$G$7:$G$10,MATCH(G252,'Sources'!$B$7:$B$10,0))),ISNUMBER(INDEX('Sources'!$G$7:$G$10,MATCH(AB252,'Sources'!$B$7:$B$10,0)))),F252/INDEX('Sources'!$G$7:$G$10,MATCH(G252,'Sources'!$B$7:$B$10,0))*INDEX('Sources'!$G$7:$G$10,MATCH(AB252,'Sources'!$B$7:$B$10,0)),"")),"")</f>
        <v/>
      </c>
      <c r="AE252" s="27">
        <f>IF(AND(AC252="yes",ISNUMBER(F252),IF('Compare'!$H$5="All mapped",TRUE,IF('Compare'!$H$5="EXACT only",J252="EXACT",OR(J252="EXACT",J252="CLOSE")))),"yes","no")</f>
        <v/>
      </c>
      <c r="AF252" s="27">
        <f>IF(ISNUMBER(H252),COUNTIFS($B$7:$B$608,B252,$C$7:$C$608,C252,$H$7:$H$608,"&lt;"&amp;H252,$AH$7:$AH$608,"yes")+COUNTIFS($B$7:B252,B252,$C$7:C252,C252,$H$7:H252,H252,$AH$7:AH252,"yes"),"")</f>
        <v/>
      </c>
      <c r="AG252" s="27">
        <f>IF(ISNUMBER(I252),COUNTIFS($B$7:$B$608,B252,$C$7:$C$608,C252,$I$7:$I$608,"&lt;"&amp;I252,$AI$7:$AI$608,"yes")+COUNTIFS($B$7:B252,B252,$C$7:C252,C252,$I$7:I252,I252,$AI$7:AI252,"yes"),"")</f>
        <v/>
      </c>
      <c r="AH252" s="27">
        <f>IF(ISNUMBER(H252),"yes","no")</f>
        <v/>
      </c>
      <c r="AI252" s="27">
        <f>IF(ISNUMBER(I252),"yes","no")</f>
        <v/>
      </c>
      <c r="AJ252" s="105" t="n">
        <v>46214</v>
      </c>
      <c r="AK252" s="27" t="n"/>
    </row>
    <row r="253" ht="42" customHeight="1">
      <c r="A253" s="2" t="n"/>
      <c r="B253" s="24" t="inlineStr">
        <is>
          <t>PE cutting board 300 × 200 × 10 mm</t>
        </is>
      </c>
      <c r="C253" s="24" t="inlineStr">
        <is>
          <t>Austria</t>
        </is>
      </c>
      <c r="D253" s="24" t="inlineStr">
        <is>
          <t>GastroHero Österreich</t>
        </is>
      </c>
      <c r="E253" s="24" t="inlineStr">
        <is>
          <t>Schneidbrett GN 1/2 - 32,5 x 26,5 x 1,2 cm - HDPE weiß</t>
        </is>
      </c>
      <c r="F253" s="98" t="n">
        <v>24.99</v>
      </c>
      <c r="G253" s="24" t="inlineStr">
        <is>
          <t>EUR</t>
        </is>
      </c>
      <c r="H253" s="98">
        <f>IF(AND(AE253="yes",ISNUMBER(AD253)),AD253,"")</f>
        <v/>
      </c>
      <c r="I253" s="99">
        <f>IF(AND(AE253="yes",ISNUMBER(AD253),ISNUMBER(INDEX('Sources'!$G$7:$G$10,MATCH(AB253,'Sources'!$B$7:$B$10,0)))),AD253/INDEX('Sources'!$G$7:$G$10,MATCH(AB253,'Sources'!$B$7:$B$10,0)),"")</f>
        <v/>
      </c>
      <c r="J253" s="24" t="inlineStr">
        <is>
          <t>APPROX</t>
        </is>
      </c>
      <c r="K253" s="24" t="inlineStr">
        <is>
          <t>2026-09-30</t>
        </is>
      </c>
      <c r="L253" s="71" t="n"/>
      <c r="M253" s="24" t="inlineStr">
        <is>
          <t>325x265x12 mm (GN 1/2) vs 300x200x10; no 300x200 board found</t>
        </is>
      </c>
      <c r="N253" s="25" t="inlineStr">
        <is>
          <t>https://www.gastro-hero.at/products/schneidbrett-gn-1-2-32-5-x-26-5-x-1-2-cm-hdpe-weiss</t>
        </is>
      </c>
      <c r="O253" s="24" t="inlineStr">
        <is>
          <t>Hendi</t>
        </is>
      </c>
      <c r="P253" s="24" t="inlineStr">
        <is>
          <t>excl.</t>
        </is>
      </c>
      <c r="Q253" s="100" t="n"/>
      <c r="R253" s="24" t="n">
        <v>1</v>
      </c>
      <c r="S253" s="24" t="n"/>
      <c r="T253" s="24" t="inlineStr">
        <is>
          <t>APPROX</t>
        </is>
      </c>
      <c r="U253" s="24" t="inlineStr">
        <is>
          <t>Existing benchmark assignment and match quality retained.</t>
        </is>
      </c>
      <c r="V253" s="98" t="n">
        <v>24.99</v>
      </c>
      <c r="W253" s="98" t="n"/>
      <c r="X253" s="24" t="inlineStr">
        <is>
          <t>YES Gastro Austria Market Research.xlsx</t>
        </is>
      </c>
      <c r="Y253" s="24" t="n"/>
      <c r="Z253" s="24" t="n"/>
      <c r="AA253" s="24" t="n"/>
      <c r="AB253" s="24" t="inlineStr">
        <is>
          <t>EUR</t>
        </is>
      </c>
      <c r="AC253" s="24" t="inlineStr">
        <is>
          <t>yes</t>
        </is>
      </c>
      <c r="AD253" s="24">
        <f>IF(ISNUMBER(V253),V253,"")</f>
        <v/>
      </c>
      <c r="AE253" s="24">
        <f>IF(AND(AC253="yes",ISNUMBER(F253),IF('Compare'!$H$5="All mapped",TRUE,IF('Compare'!$H$5="EXACT only",J253="EXACT",OR(J253="EXACT",J253="CLOSE")))),"yes","no")</f>
        <v/>
      </c>
      <c r="AF253" s="24">
        <f>IF(ISNUMBER(H253),COUNTIFS($B$7:$B$608,B253,$C$7:$C$608,C253,$H$7:$H$608,"&lt;"&amp;H253,$AH$7:$AH$608,"yes")+COUNTIFS($B$7:B253,B253,$C$7:C253,C253,$H$7:H253,H253,$AH$7:AH253,"yes"),"")</f>
        <v/>
      </c>
      <c r="AG253" s="24">
        <f>IF(ISNUMBER(I253),COUNTIFS($B$7:$B$608,B253,$C$7:$C$608,C253,$I$7:$I$608,"&lt;"&amp;I253,$AI$7:$AI$608,"yes")+COUNTIFS($B$7:B253,B253,$C$7:C253,C253,$I$7:I253,I253,$AI$7:AI253,"yes"),"")</f>
        <v/>
      </c>
      <c r="AH253" s="24">
        <f>IF(ISNUMBER(H253),"yes","no")</f>
        <v/>
      </c>
      <c r="AI253" s="24">
        <f>IF(ISNUMBER(I253),"yes","no")</f>
        <v/>
      </c>
      <c r="AJ253" s="101" t="n">
        <v>46295</v>
      </c>
      <c r="AK253" s="24" t="n"/>
    </row>
    <row r="254" ht="42" customHeight="1">
      <c r="A254" s="2" t="n"/>
      <c r="B254" s="27" t="inlineStr">
        <is>
          <t>PE cutting board 300 × 200 × 10 mm</t>
        </is>
      </c>
      <c r="C254" s="27" t="inlineStr">
        <is>
          <t>Austria</t>
        </is>
      </c>
      <c r="D254" s="27" t="inlineStr">
        <is>
          <t>Gastrodax</t>
        </is>
      </c>
      <c r="E254" s="27" t="inlineStr">
        <is>
          <t>Hendi Schneidbrett mit Griff, Weiß, 300x200mm</t>
        </is>
      </c>
      <c r="F254" s="102" t="n">
        <v>15.76</v>
      </c>
      <c r="G254" s="27" t="inlineStr">
        <is>
          <t>EUR</t>
        </is>
      </c>
      <c r="H254" s="102">
        <f>IF(AND(AE254="yes",ISNUMBER(AD254)),AD254,"")</f>
        <v/>
      </c>
      <c r="I254" s="103">
        <f>IF(AND(AE254="yes",ISNUMBER(AD254),ISNUMBER(INDEX('Sources'!$G$7:$G$10,MATCH(AB254,'Sources'!$B$7:$B$10,0)))),AD254/INDEX('Sources'!$G$7:$G$10,MATCH(AB254,'Sources'!$B$7:$B$10,0)),"")</f>
        <v/>
      </c>
      <c r="J254" s="27" t="inlineStr">
        <is>
          <t>EXACT</t>
        </is>
      </c>
      <c r="K254" s="27" t="inlineStr">
        <is>
          <t>2026-09-30</t>
        </is>
      </c>
      <c r="L254" s="71" t="n"/>
      <c r="M254" s="27" t="inlineStr">
        <is>
          <t>300x200x10 mm HDPE, with handle</t>
        </is>
      </c>
      <c r="N254" s="28" t="inlineStr">
        <is>
          <t>https://www.gastrodax.de/hendi-schneidbrett-mit-griff-weiss-300-x-200-mm</t>
        </is>
      </c>
      <c r="O254" s="27" t="inlineStr">
        <is>
          <t>Hendi</t>
        </is>
      </c>
      <c r="P254" s="27" t="inlineStr">
        <is>
          <t>excl.</t>
        </is>
      </c>
      <c r="Q254" s="104" t="n"/>
      <c r="R254" s="27" t="n">
        <v>1</v>
      </c>
      <c r="S254" s="27" t="n"/>
      <c r="T254" s="27" t="inlineStr">
        <is>
          <t>EXACT</t>
        </is>
      </c>
      <c r="U254" s="27" t="inlineStr">
        <is>
          <t>Existing benchmark assignment and match quality retained.</t>
        </is>
      </c>
      <c r="V254" s="102" t="n">
        <v>15.76</v>
      </c>
      <c r="W254" s="102" t="n"/>
      <c r="X254" s="27" t="inlineStr">
        <is>
          <t>YES Gastro Austria Market Research.xlsx</t>
        </is>
      </c>
      <c r="Y254" s="27" t="n"/>
      <c r="Z254" s="27" t="n"/>
      <c r="AA254" s="27" t="n"/>
      <c r="AB254" s="27" t="inlineStr">
        <is>
          <t>EUR</t>
        </is>
      </c>
      <c r="AC254" s="27" t="inlineStr">
        <is>
          <t>yes</t>
        </is>
      </c>
      <c r="AD254" s="27">
        <f>IF(ISNUMBER(V254),V254,"")</f>
        <v/>
      </c>
      <c r="AE254" s="27">
        <f>IF(AND(AC254="yes",ISNUMBER(F254),IF('Compare'!$H$5="All mapped",TRUE,IF('Compare'!$H$5="EXACT only",J254="EXACT",OR(J254="EXACT",J254="CLOSE")))),"yes","no")</f>
        <v/>
      </c>
      <c r="AF254" s="27">
        <f>IF(ISNUMBER(H254),COUNTIFS($B$7:$B$608,B254,$C$7:$C$608,C254,$H$7:$H$608,"&lt;"&amp;H254,$AH$7:$AH$608,"yes")+COUNTIFS($B$7:B254,B254,$C$7:C254,C254,$H$7:H254,H254,$AH$7:AH254,"yes"),"")</f>
        <v/>
      </c>
      <c r="AG254" s="27">
        <f>IF(ISNUMBER(I254),COUNTIFS($B$7:$B$608,B254,$C$7:$C$608,C254,$I$7:$I$608,"&lt;"&amp;I254,$AI$7:$AI$608,"yes")+COUNTIFS($B$7:B254,B254,$C$7:C254,C254,$I$7:I254,I254,$AI$7:AI254,"yes"),"")</f>
        <v/>
      </c>
      <c r="AH254" s="27">
        <f>IF(ISNUMBER(H254),"yes","no")</f>
        <v/>
      </c>
      <c r="AI254" s="27">
        <f>IF(ISNUMBER(I254),"yes","no")</f>
        <v/>
      </c>
      <c r="AJ254" s="105" t="n">
        <v>46295</v>
      </c>
      <c r="AK254" s="27" t="n"/>
    </row>
    <row r="255" ht="42" customHeight="1">
      <c r="A255" s="2" t="n"/>
      <c r="B255" s="24" t="inlineStr">
        <is>
          <t>PE cutting board 300 × 200 × 10 mm</t>
        </is>
      </c>
      <c r="C255" s="24" t="inlineStr">
        <is>
          <t>Austria</t>
        </is>
      </c>
      <c r="D255" s="24" t="inlineStr">
        <is>
          <t>Gastroladen.at (Harotec GmbH)</t>
        </is>
      </c>
      <c r="E255" s="24" t="inlineStr">
        <is>
          <t>Hygiplas HDPE kleines Schneidebrett weiß 300x225x12mm</t>
        </is>
      </c>
      <c r="F255" s="98" t="n">
        <v>8.890000000000001</v>
      </c>
      <c r="G255" s="24" t="inlineStr">
        <is>
          <t>EUR</t>
        </is>
      </c>
      <c r="H255" s="98">
        <f>IF(AND(AE255="yes",ISNUMBER(AD255)),AD255,"")</f>
        <v/>
      </c>
      <c r="I255" s="99">
        <f>IF(AND(AE255="yes",ISNUMBER(AD255),ISNUMBER(INDEX('Sources'!$G$7:$G$10,MATCH(AB255,'Sources'!$B$7:$B$10,0)))),AD255/INDEX('Sources'!$G$7:$G$10,MATCH(AB255,'Sources'!$B$7:$B$10,0)),"")</f>
        <v/>
      </c>
      <c r="J255" s="24" t="inlineStr">
        <is>
          <t>CLOSE</t>
        </is>
      </c>
      <c r="K255" s="24" t="inlineStr">
        <is>
          <t>2026-09-30</t>
        </is>
      </c>
      <c r="L255" s="71" t="n"/>
      <c r="M255" s="24" t="inlineStr">
        <is>
          <t>300x225x12 mm vs 300x200x10</t>
        </is>
      </c>
      <c r="N255" s="25" t="inlineStr">
        <is>
          <t>https://www.gastroladen.at/2310@GN-HC867/Hygiplas-HDPE-kleines-Schneidebrett-wei%C3%9F-300x-225x12mm.htm</t>
        </is>
      </c>
      <c r="O255" s="24" t="inlineStr">
        <is>
          <t>Hygiplas</t>
        </is>
      </c>
      <c r="P255" s="24" t="inlineStr">
        <is>
          <t>incl.</t>
        </is>
      </c>
      <c r="Q255" s="100" t="n"/>
      <c r="R255" s="24" t="n">
        <v>1</v>
      </c>
      <c r="S255" s="24" t="n"/>
      <c r="T255" s="24" t="inlineStr">
        <is>
          <t>CLOSE</t>
        </is>
      </c>
      <c r="U255" s="24" t="inlineStr">
        <is>
          <t>Existing benchmark assignment and match quality retained.</t>
        </is>
      </c>
      <c r="V255" s="98" t="n">
        <v>7.41</v>
      </c>
      <c r="W255" s="98" t="n"/>
      <c r="X255" s="24" t="inlineStr">
        <is>
          <t>YES Gastro Austria Market Research.xlsx</t>
        </is>
      </c>
      <c r="Y255" s="24" t="n"/>
      <c r="Z255" s="24" t="n"/>
      <c r="AA255" s="24" t="n"/>
      <c r="AB255" s="24" t="inlineStr">
        <is>
          <t>EUR</t>
        </is>
      </c>
      <c r="AC255" s="24" t="inlineStr">
        <is>
          <t>yes</t>
        </is>
      </c>
      <c r="AD255" s="24">
        <f>IF(ISNUMBER(V255),V255,"")</f>
        <v/>
      </c>
      <c r="AE255" s="24">
        <f>IF(AND(AC255="yes",ISNUMBER(F255),IF('Compare'!$H$5="All mapped",TRUE,IF('Compare'!$H$5="EXACT only",J255="EXACT",OR(J255="EXACT",J255="CLOSE")))),"yes","no")</f>
        <v/>
      </c>
      <c r="AF255" s="24">
        <f>IF(ISNUMBER(H255),COUNTIFS($B$7:$B$608,B255,$C$7:$C$608,C255,$H$7:$H$608,"&lt;"&amp;H255,$AH$7:$AH$608,"yes")+COUNTIFS($B$7:B255,B255,$C$7:C255,C255,$H$7:H255,H255,$AH$7:AH255,"yes"),"")</f>
        <v/>
      </c>
      <c r="AG255" s="24">
        <f>IF(ISNUMBER(I255),COUNTIFS($B$7:$B$608,B255,$C$7:$C$608,C255,$I$7:$I$608,"&lt;"&amp;I255,$AI$7:$AI$608,"yes")+COUNTIFS($B$7:B255,B255,$C$7:C255,C255,$I$7:I255,I255,$AI$7:AI255,"yes"),"")</f>
        <v/>
      </c>
      <c r="AH255" s="24">
        <f>IF(ISNUMBER(H255),"yes","no")</f>
        <v/>
      </c>
      <c r="AI255" s="24">
        <f>IF(ISNUMBER(I255),"yes","no")</f>
        <v/>
      </c>
      <c r="AJ255" s="101" t="n">
        <v>46295</v>
      </c>
      <c r="AK255" s="24" t="n"/>
    </row>
    <row r="256" ht="42" customHeight="1">
      <c r="A256" s="2" t="n"/>
      <c r="B256" s="27" t="inlineStr">
        <is>
          <t>PE cutting board 300 × 200 × 10 mm</t>
        </is>
      </c>
      <c r="C256" s="27" t="inlineStr">
        <is>
          <t>Austria</t>
        </is>
      </c>
      <c r="D256" s="27" t="inlineStr">
        <is>
          <t>Intergastro (AT shop)</t>
        </is>
      </c>
      <c r="E256" s="27" t="inlineStr">
        <is>
          <t>Schneidbrett Polyethylen weiß 300 x 200 mm H 15 mm</t>
        </is>
      </c>
      <c r="F256" s="102" t="n">
        <v>8.74</v>
      </c>
      <c r="G256" s="27" t="inlineStr">
        <is>
          <t>EUR</t>
        </is>
      </c>
      <c r="H256" s="102">
        <f>IF(AND(AE256="yes",ISNUMBER(AD256)),AD256,"")</f>
        <v/>
      </c>
      <c r="I256" s="103">
        <f>IF(AND(AE256="yes",ISNUMBER(AD256),ISNUMBER(INDEX('Sources'!$G$7:$G$10,MATCH(AB256,'Sources'!$B$7:$B$10,0)))),AD256/INDEX('Sources'!$G$7:$G$10,MATCH(AB256,'Sources'!$B$7:$B$10,0)),"")</f>
        <v/>
      </c>
      <c r="J256" s="27" t="inlineStr">
        <is>
          <t>CLOSE</t>
        </is>
      </c>
      <c r="K256" s="27" t="inlineStr">
        <is>
          <t>2026-09-30</t>
        </is>
      </c>
      <c r="L256" s="71" t="n"/>
      <c r="M256" s="27" t="inlineStr">
        <is>
          <t>15 mm thick instead of 10 mm; gross 10.49</t>
        </is>
      </c>
      <c r="N256" s="28" t="inlineStr">
        <is>
          <t>https://www.intergastro.at/schneidbrett-polyethylen-weiss-300-mm-x-200-mm-h-15-mm-158986</t>
        </is>
      </c>
      <c r="O256" s="27" t="inlineStr">
        <is>
          <t>WAS Germany</t>
        </is>
      </c>
      <c r="P256" s="27" t="inlineStr">
        <is>
          <t>excl.</t>
        </is>
      </c>
      <c r="Q256" s="104" t="n"/>
      <c r="R256" s="27" t="n">
        <v>1</v>
      </c>
      <c r="S256" s="27" t="n"/>
      <c r="T256" s="27" t="inlineStr">
        <is>
          <t>CLOSE</t>
        </is>
      </c>
      <c r="U256" s="27" t="inlineStr">
        <is>
          <t>Existing benchmark assignment and match quality retained.</t>
        </is>
      </c>
      <c r="V256" s="102" t="n">
        <v>8.74</v>
      </c>
      <c r="W256" s="102" t="n"/>
      <c r="X256" s="27" t="inlineStr">
        <is>
          <t>YES Gastro Austria Market Research.xlsx</t>
        </is>
      </c>
      <c r="Y256" s="27" t="n"/>
      <c r="Z256" s="27" t="n"/>
      <c r="AA256" s="27" t="n"/>
      <c r="AB256" s="27" t="inlineStr">
        <is>
          <t>EUR</t>
        </is>
      </c>
      <c r="AC256" s="27" t="inlineStr">
        <is>
          <t>yes</t>
        </is>
      </c>
      <c r="AD256" s="27">
        <f>IF(ISNUMBER(V256),V256,"")</f>
        <v/>
      </c>
      <c r="AE256" s="27">
        <f>IF(AND(AC256="yes",ISNUMBER(F256),IF('Compare'!$H$5="All mapped",TRUE,IF('Compare'!$H$5="EXACT only",J256="EXACT",OR(J256="EXACT",J256="CLOSE")))),"yes","no")</f>
        <v/>
      </c>
      <c r="AF256" s="27">
        <f>IF(ISNUMBER(H256),COUNTIFS($B$7:$B$608,B256,$C$7:$C$608,C256,$H$7:$H$608,"&lt;"&amp;H256,$AH$7:$AH$608,"yes")+COUNTIFS($B$7:B256,B256,$C$7:C256,C256,$H$7:H256,H256,$AH$7:AH256,"yes"),"")</f>
        <v/>
      </c>
      <c r="AG256" s="27">
        <f>IF(ISNUMBER(I256),COUNTIFS($B$7:$B$608,B256,$C$7:$C$608,C256,$I$7:$I$608,"&lt;"&amp;I256,$AI$7:$AI$608,"yes")+COUNTIFS($B$7:B256,B256,$C$7:C256,C256,$I$7:I256,I256,$AI$7:AI256,"yes"),"")</f>
        <v/>
      </c>
      <c r="AH256" s="27">
        <f>IF(ISNUMBER(H256),"yes","no")</f>
        <v/>
      </c>
      <c r="AI256" s="27">
        <f>IF(ISNUMBER(I256),"yes","no")</f>
        <v/>
      </c>
      <c r="AJ256" s="105" t="n">
        <v>46295</v>
      </c>
      <c r="AK256" s="27" t="n"/>
    </row>
    <row r="257" ht="42" customHeight="1">
      <c r="A257" s="2" t="n"/>
      <c r="B257" s="24" t="inlineStr">
        <is>
          <t>PE cutting board 300 × 200 × 10 mm</t>
        </is>
      </c>
      <c r="C257" s="24" t="inlineStr">
        <is>
          <t>Austria</t>
        </is>
      </c>
      <c r="D257" s="24" t="inlineStr">
        <is>
          <t>Jungheinrich PROFISHOP Austria</t>
        </is>
      </c>
      <c r="E257" s="24" t="inlineStr">
        <is>
          <t>Stalgast Schneidbrett, rutschfest 270x190x9 mm, schwarz</t>
        </is>
      </c>
      <c r="F257" s="98" t="n">
        <v>16.3</v>
      </c>
      <c r="G257" s="24" t="inlineStr">
        <is>
          <t>EUR</t>
        </is>
      </c>
      <c r="H257" s="98">
        <f>IF(AND(AE257="yes",ISNUMBER(AD257)),AD257,"")</f>
        <v/>
      </c>
      <c r="I257" s="99">
        <f>IF(AND(AE257="yes",ISNUMBER(AD257),ISNUMBER(INDEX('Sources'!$G$7:$G$10,MATCH(AB257,'Sources'!$B$7:$B$10,0)))),AD257/INDEX('Sources'!$G$7:$G$10,MATCH(AB257,'Sources'!$B$7:$B$10,0)),"")</f>
        <v/>
      </c>
      <c r="J257" s="24" t="inlineStr">
        <is>
          <t>APPROX</t>
        </is>
      </c>
      <c r="K257" s="24" t="inlineStr">
        <is>
          <t>2026-09-30</t>
        </is>
      </c>
      <c r="L257" s="71" t="n"/>
      <c r="M257" s="24" t="inlineStr">
        <is>
          <t>270x190x9 mm, black non-slip board, not HACCP colour-coded</t>
        </is>
      </c>
      <c r="N257" s="25" t="inlineStr">
        <is>
          <t>https://www.jh-profishop.at/p/stalgast-schneidbrett-rutschfest-270x190x9-mm-schwarz-928715-348311/</t>
        </is>
      </c>
      <c r="O257" s="24" t="inlineStr">
        <is>
          <t>Stalgast</t>
        </is>
      </c>
      <c r="P257" s="24" t="inlineStr">
        <is>
          <t>excl.</t>
        </is>
      </c>
      <c r="Q257" s="100" t="n"/>
      <c r="R257" s="24" t="n">
        <v>1</v>
      </c>
      <c r="S257" s="24" t="n"/>
      <c r="T257" s="24" t="inlineStr">
        <is>
          <t>APPROX</t>
        </is>
      </c>
      <c r="U257" s="24" t="inlineStr">
        <is>
          <t>Existing benchmark assignment and match quality retained.</t>
        </is>
      </c>
      <c r="V257" s="98" t="n">
        <v>16.3</v>
      </c>
      <c r="W257" s="98" t="n"/>
      <c r="X257" s="24" t="inlineStr">
        <is>
          <t>YES Gastro Austria Market Research.xlsx</t>
        </is>
      </c>
      <c r="Y257" s="24" t="n"/>
      <c r="Z257" s="24" t="n"/>
      <c r="AA257" s="24" t="n"/>
      <c r="AB257" s="24" t="inlineStr">
        <is>
          <t>EUR</t>
        </is>
      </c>
      <c r="AC257" s="24" t="inlineStr">
        <is>
          <t>yes</t>
        </is>
      </c>
      <c r="AD257" s="24">
        <f>IF(ISNUMBER(V257),V257,"")</f>
        <v/>
      </c>
      <c r="AE257" s="24">
        <f>IF(AND(AC257="yes",ISNUMBER(F257),IF('Compare'!$H$5="All mapped",TRUE,IF('Compare'!$H$5="EXACT only",J257="EXACT",OR(J257="EXACT",J257="CLOSE")))),"yes","no")</f>
        <v/>
      </c>
      <c r="AF257" s="24">
        <f>IF(ISNUMBER(H257),COUNTIFS($B$7:$B$608,B257,$C$7:$C$608,C257,$H$7:$H$608,"&lt;"&amp;H257,$AH$7:$AH$608,"yes")+COUNTIFS($B$7:B257,B257,$C$7:C257,C257,$H$7:H257,H257,$AH$7:AH257,"yes"),"")</f>
        <v/>
      </c>
      <c r="AG257" s="24">
        <f>IF(ISNUMBER(I257),COUNTIFS($B$7:$B$608,B257,$C$7:$C$608,C257,$I$7:$I$608,"&lt;"&amp;I257,$AI$7:$AI$608,"yes")+COUNTIFS($B$7:B257,B257,$C$7:C257,C257,$I$7:I257,I257,$AI$7:AI257,"yes"),"")</f>
        <v/>
      </c>
      <c r="AH257" s="24">
        <f>IF(ISNUMBER(H257),"yes","no")</f>
        <v/>
      </c>
      <c r="AI257" s="24">
        <f>IF(ISNUMBER(I257),"yes","no")</f>
        <v/>
      </c>
      <c r="AJ257" s="101" t="n">
        <v>46295</v>
      </c>
      <c r="AK257" s="24" t="n"/>
    </row>
    <row r="258" ht="42" customHeight="1">
      <c r="A258" s="2" t="n"/>
      <c r="B258" s="27" t="inlineStr">
        <is>
          <t>PE cutting board 300 × 200 × 10 mm</t>
        </is>
      </c>
      <c r="C258" s="27" t="inlineStr">
        <is>
          <t>Germany</t>
        </is>
      </c>
      <c r="D258" s="27" t="inlineStr">
        <is>
          <t>GGM Gastro</t>
        </is>
      </c>
      <c r="E258" s="27" t="inlineStr">
        <is>
          <t>Schneidebrett - 250x400mm - HACCP-Konform - Weiß</t>
        </is>
      </c>
      <c r="F258" s="102" t="n">
        <v>15.99</v>
      </c>
      <c r="G258" s="27" t="inlineStr">
        <is>
          <t>EUR</t>
        </is>
      </c>
      <c r="H258" s="102">
        <f>IF(AND(AE258="yes",ISNUMBER(AD258)),AD258,"")</f>
        <v/>
      </c>
      <c r="I258" s="103">
        <f>IF(AND(AE258="yes",ISNUMBER(AD258),ISNUMBER(INDEX('Sources'!$G$7:$G$10,MATCH(AB258,'Sources'!$B$7:$B$10,0)))),AD258/INDEX('Sources'!$G$7:$G$10,MATCH(AB258,'Sources'!$B$7:$B$10,0)),"")</f>
        <v/>
      </c>
      <c r="J258" s="27" t="inlineStr">
        <is>
          <t>APPROX</t>
        </is>
      </c>
      <c r="K258" s="27" t="inlineStr">
        <is>
          <t>2026-09-30</t>
        </is>
      </c>
      <c r="L258" s="71" t="n"/>
      <c r="M258" s="27" t="inlineStr">
        <is>
          <t>Smallest HACCP board offered: 250x400 mm (vs 300x200x10); thickness not stated</t>
        </is>
      </c>
      <c r="N258" s="28" t="inlineStr">
        <is>
          <t>https://www.ggmgastro.com/de-de-eur/schneidebrett-250x400mm-haccp-konform-weiss-sbp25w</t>
        </is>
      </c>
      <c r="O258" s="27" t="inlineStr">
        <is>
          <t>GGM</t>
        </is>
      </c>
      <c r="P258" s="27" t="inlineStr">
        <is>
          <t>excl.</t>
        </is>
      </c>
      <c r="Q258" s="104" t="n"/>
      <c r="R258" s="27" t="n">
        <v>1</v>
      </c>
      <c r="S258" s="27" t="n"/>
      <c r="T258" s="27" t="inlineStr">
        <is>
          <t>APPROX</t>
        </is>
      </c>
      <c r="U258" s="27" t="inlineStr">
        <is>
          <t>Existing benchmark assignment and match quality retained.</t>
        </is>
      </c>
      <c r="V258" s="102" t="n">
        <v>15.99</v>
      </c>
      <c r="W258" s="102" t="n"/>
      <c r="X258" s="27" t="inlineStr">
        <is>
          <t>YES Gastro Germany Market Research.xlsx</t>
        </is>
      </c>
      <c r="Y258" s="27" t="n"/>
      <c r="Z258" s="27" t="n"/>
      <c r="AA258" s="27" t="n"/>
      <c r="AB258" s="27" t="inlineStr">
        <is>
          <t>EUR</t>
        </is>
      </c>
      <c r="AC258" s="27" t="inlineStr">
        <is>
          <t>yes</t>
        </is>
      </c>
      <c r="AD258" s="27">
        <f>IF(ISNUMBER(V258),V258,"")</f>
        <v/>
      </c>
      <c r="AE258" s="27">
        <f>IF(AND(AC258="yes",ISNUMBER(F258),IF('Compare'!$H$5="All mapped",TRUE,IF('Compare'!$H$5="EXACT only",J258="EXACT",OR(J258="EXACT",J258="CLOSE")))),"yes","no")</f>
        <v/>
      </c>
      <c r="AF258" s="27">
        <f>IF(ISNUMBER(H258),COUNTIFS($B$7:$B$608,B258,$C$7:$C$608,C258,$H$7:$H$608,"&lt;"&amp;H258,$AH$7:$AH$608,"yes")+COUNTIFS($B$7:B258,B258,$C$7:C258,C258,$H$7:H258,H258,$AH$7:AH258,"yes"),"")</f>
        <v/>
      </c>
      <c r="AG258" s="27">
        <f>IF(ISNUMBER(I258),COUNTIFS($B$7:$B$608,B258,$C$7:$C$608,C258,$I$7:$I$608,"&lt;"&amp;I258,$AI$7:$AI$608,"yes")+COUNTIFS($B$7:B258,B258,$C$7:C258,C258,$I$7:I258,I258,$AI$7:AI258,"yes"),"")</f>
        <v/>
      </c>
      <c r="AH258" s="27">
        <f>IF(ISNUMBER(H258),"yes","no")</f>
        <v/>
      </c>
      <c r="AI258" s="27">
        <f>IF(ISNUMBER(I258),"yes","no")</f>
        <v/>
      </c>
      <c r="AJ258" s="105" t="n">
        <v>46295</v>
      </c>
      <c r="AK258" s="27" t="n"/>
    </row>
    <row r="259" ht="42" customHeight="1">
      <c r="A259" s="2" t="n"/>
      <c r="B259" s="24" t="inlineStr">
        <is>
          <t>PE cutting board 300 × 200 × 10 mm</t>
        </is>
      </c>
      <c r="C259" s="24" t="inlineStr">
        <is>
          <t>Germany</t>
        </is>
      </c>
      <c r="D259" s="24" t="inlineStr">
        <is>
          <t>GastroHero</t>
        </is>
      </c>
      <c r="E259" s="24" t="inlineStr">
        <is>
          <t>Schneidbrett GN 1/2 - 32,5 x 26,5 x 1,2 cm - HDPE weiß</t>
        </is>
      </c>
      <c r="F259" s="98" t="n">
        <v>8.09</v>
      </c>
      <c r="G259" s="24" t="inlineStr">
        <is>
          <t>EUR</t>
        </is>
      </c>
      <c r="H259" s="98">
        <f>IF(AND(AE259="yes",ISNUMBER(AD259)),AD259,"")</f>
        <v/>
      </c>
      <c r="I259" s="99">
        <f>IF(AND(AE259="yes",ISNUMBER(AD259),ISNUMBER(INDEX('Sources'!$G$7:$G$10,MATCH(AB259,'Sources'!$B$7:$B$10,0)))),AD259/INDEX('Sources'!$G$7:$G$10,MATCH(AB259,'Sources'!$B$7:$B$10,0)),"")</f>
        <v/>
      </c>
      <c r="J259" s="24" t="inlineStr">
        <is>
          <t>APPROX</t>
        </is>
      </c>
      <c r="K259" s="24" t="inlineStr">
        <is>
          <t>2026-09-30</t>
        </is>
      </c>
      <c r="L259" s="71" t="n"/>
      <c r="M259" s="24" t="inlineStr">
        <is>
          <t>325x265x12 mm (GN 1/2) vs 300x200x10; no 300x200 board found</t>
        </is>
      </c>
      <c r="N259" s="25" t="inlineStr">
        <is>
          <t>https://www.gastro-hero.de/products/schneidbrett-gn-1-2-32-5-x-26-5-x-1-2-cm-hdpe-weiss</t>
        </is>
      </c>
      <c r="O259" s="24" t="inlineStr">
        <is>
          <t>Hendi</t>
        </is>
      </c>
      <c r="P259" s="24" t="inlineStr">
        <is>
          <t>excl.</t>
        </is>
      </c>
      <c r="Q259" s="100" t="n"/>
      <c r="R259" s="24" t="n">
        <v>1</v>
      </c>
      <c r="S259" s="24" t="n"/>
      <c r="T259" s="24" t="inlineStr">
        <is>
          <t>APPROX</t>
        </is>
      </c>
      <c r="U259" s="24" t="inlineStr">
        <is>
          <t>Existing benchmark assignment and match quality retained.</t>
        </is>
      </c>
      <c r="V259" s="98" t="n">
        <v>8.09</v>
      </c>
      <c r="W259" s="98" t="n"/>
      <c r="X259" s="24" t="inlineStr">
        <is>
          <t>YES Gastro Germany Market Research.xlsx</t>
        </is>
      </c>
      <c r="Y259" s="24" t="n"/>
      <c r="Z259" s="24" t="n"/>
      <c r="AA259" s="24" t="n"/>
      <c r="AB259" s="24" t="inlineStr">
        <is>
          <t>EUR</t>
        </is>
      </c>
      <c r="AC259" s="24" t="inlineStr">
        <is>
          <t>yes</t>
        </is>
      </c>
      <c r="AD259" s="24">
        <f>IF(ISNUMBER(V259),V259,"")</f>
        <v/>
      </c>
      <c r="AE259" s="24">
        <f>IF(AND(AC259="yes",ISNUMBER(F259),IF('Compare'!$H$5="All mapped",TRUE,IF('Compare'!$H$5="EXACT only",J259="EXACT",OR(J259="EXACT",J259="CLOSE")))),"yes","no")</f>
        <v/>
      </c>
      <c r="AF259" s="24">
        <f>IF(ISNUMBER(H259),COUNTIFS($B$7:$B$608,B259,$C$7:$C$608,C259,$H$7:$H$608,"&lt;"&amp;H259,$AH$7:$AH$608,"yes")+COUNTIFS($B$7:B259,B259,$C$7:C259,C259,$H$7:H259,H259,$AH$7:AH259,"yes"),"")</f>
        <v/>
      </c>
      <c r="AG259" s="24">
        <f>IF(ISNUMBER(I259),COUNTIFS($B$7:$B$608,B259,$C$7:$C$608,C259,$I$7:$I$608,"&lt;"&amp;I259,$AI$7:$AI$608,"yes")+COUNTIFS($B$7:B259,B259,$C$7:C259,C259,$I$7:I259,I259,$AI$7:AI259,"yes"),"")</f>
        <v/>
      </c>
      <c r="AH259" s="24">
        <f>IF(ISNUMBER(H259),"yes","no")</f>
        <v/>
      </c>
      <c r="AI259" s="24">
        <f>IF(ISNUMBER(I259),"yes","no")</f>
        <v/>
      </c>
      <c r="AJ259" s="101" t="n">
        <v>46295</v>
      </c>
      <c r="AK259" s="24" t="n"/>
    </row>
    <row r="260" ht="42" customHeight="1">
      <c r="A260" s="2" t="n"/>
      <c r="B260" s="27" t="inlineStr">
        <is>
          <t>PE cutting board 300 × 200 × 10 mm</t>
        </is>
      </c>
      <c r="C260" s="27" t="inlineStr">
        <is>
          <t>Germany</t>
        </is>
      </c>
      <c r="D260" s="27" t="inlineStr">
        <is>
          <t>Gastrodax [substitute]</t>
        </is>
      </c>
      <c r="E260" s="27" t="inlineStr">
        <is>
          <t>Hendi Schneidbrett mit Griff, Weiß, 300x200mm</t>
        </is>
      </c>
      <c r="F260" s="102" t="n">
        <v>15.76</v>
      </c>
      <c r="G260" s="27" t="inlineStr">
        <is>
          <t>EUR</t>
        </is>
      </c>
      <c r="H260" s="102">
        <f>IF(AND(AE260="yes",ISNUMBER(AD260)),AD260,"")</f>
        <v/>
      </c>
      <c r="I260" s="103">
        <f>IF(AND(AE260="yes",ISNUMBER(AD260),ISNUMBER(INDEX('Sources'!$G$7:$G$10,MATCH(AB260,'Sources'!$B$7:$B$10,0)))),AD260/INDEX('Sources'!$G$7:$G$10,MATCH(AB260,'Sources'!$B$7:$B$10,0)),"")</f>
        <v/>
      </c>
      <c r="J260" s="27" t="inlineStr">
        <is>
          <t>EXACT</t>
        </is>
      </c>
      <c r="K260" s="27" t="inlineStr">
        <is>
          <t>2026-09-30</t>
        </is>
      </c>
      <c r="L260" s="71" t="n"/>
      <c r="M260" s="27" t="inlineStr">
        <is>
          <t>300x200x10 mm HDPE, with handle</t>
        </is>
      </c>
      <c r="N260" s="28" t="inlineStr">
        <is>
          <t>https://www.gastrodax.de/hendi-schneidbrett-mit-griff-weiss-300-x-200-mm</t>
        </is>
      </c>
      <c r="O260" s="27" t="inlineStr">
        <is>
          <t>Hendi</t>
        </is>
      </c>
      <c r="P260" s="27" t="inlineStr">
        <is>
          <t>excl.</t>
        </is>
      </c>
      <c r="Q260" s="104" t="n"/>
      <c r="R260" s="27" t="n">
        <v>1</v>
      </c>
      <c r="S260" s="27" t="n"/>
      <c r="T260" s="27" t="inlineStr">
        <is>
          <t>EXACT</t>
        </is>
      </c>
      <c r="U260" s="27" t="inlineStr">
        <is>
          <t>Existing benchmark assignment and match quality retained.</t>
        </is>
      </c>
      <c r="V260" s="102" t="n">
        <v>15.76</v>
      </c>
      <c r="W260" s="102" t="n"/>
      <c r="X260" s="27" t="inlineStr">
        <is>
          <t>YES Gastro Germany Market Research.xlsx</t>
        </is>
      </c>
      <c r="Y260" s="27" t="n"/>
      <c r="Z260" s="27" t="n"/>
      <c r="AA260" s="27" t="n"/>
      <c r="AB260" s="27" t="inlineStr">
        <is>
          <t>EUR</t>
        </is>
      </c>
      <c r="AC260" s="27" t="inlineStr">
        <is>
          <t>yes</t>
        </is>
      </c>
      <c r="AD260" s="27">
        <f>IF(ISNUMBER(V260),V260,"")</f>
        <v/>
      </c>
      <c r="AE260" s="27">
        <f>IF(AND(AC260="yes",ISNUMBER(F260),IF('Compare'!$H$5="All mapped",TRUE,IF('Compare'!$H$5="EXACT only",J260="EXACT",OR(J260="EXACT",J260="CLOSE")))),"yes","no")</f>
        <v/>
      </c>
      <c r="AF260" s="27">
        <f>IF(ISNUMBER(H260),COUNTIFS($B$7:$B$608,B260,$C$7:$C$608,C260,$H$7:$H$608,"&lt;"&amp;H260,$AH$7:$AH$608,"yes")+COUNTIFS($B$7:B260,B260,$C$7:C260,C260,$H$7:H260,H260,$AH$7:AH260,"yes"),"")</f>
        <v/>
      </c>
      <c r="AG260" s="27">
        <f>IF(ISNUMBER(I260),COUNTIFS($B$7:$B$608,B260,$C$7:$C$608,C260,$I$7:$I$608,"&lt;"&amp;I260,$AI$7:$AI$608,"yes")+COUNTIFS($B$7:B260,B260,$C$7:C260,C260,$I$7:I260,I260,$AI$7:AI260,"yes"),"")</f>
        <v/>
      </c>
      <c r="AH260" s="27">
        <f>IF(ISNUMBER(H260),"yes","no")</f>
        <v/>
      </c>
      <c r="AI260" s="27">
        <f>IF(ISNUMBER(I260),"yes","no")</f>
        <v/>
      </c>
      <c r="AJ260" s="105" t="n">
        <v>46295</v>
      </c>
      <c r="AK260" s="27" t="n"/>
    </row>
    <row r="261" ht="42" customHeight="1">
      <c r="A261" s="2" t="n"/>
      <c r="B261" s="24" t="inlineStr">
        <is>
          <t>PE cutting board 300 × 200 × 10 mm</t>
        </is>
      </c>
      <c r="C261" s="24" t="inlineStr">
        <is>
          <t>Germany</t>
        </is>
      </c>
      <c r="D261" s="24" t="inlineStr">
        <is>
          <t>Gastroladen.de (Harotec GmbH) [substitute]</t>
        </is>
      </c>
      <c r="E261" s="24" t="inlineStr">
        <is>
          <t>Hygiplas HDPE kleines Schneidebrett weiß 300x225x12mm</t>
        </is>
      </c>
      <c r="F261" s="98" t="n">
        <v>8.789999999999999</v>
      </c>
      <c r="G261" s="24" t="inlineStr">
        <is>
          <t>EUR</t>
        </is>
      </c>
      <c r="H261" s="98">
        <f>IF(AND(AE261="yes",ISNUMBER(AD261)),AD261,"")</f>
        <v/>
      </c>
      <c r="I261" s="99">
        <f>IF(AND(AE261="yes",ISNUMBER(AD261),ISNUMBER(INDEX('Sources'!$G$7:$G$10,MATCH(AB261,'Sources'!$B$7:$B$10,0)))),AD261/INDEX('Sources'!$G$7:$G$10,MATCH(AB261,'Sources'!$B$7:$B$10,0)),"")</f>
        <v/>
      </c>
      <c r="J261" s="24" t="inlineStr">
        <is>
          <t>CLOSE</t>
        </is>
      </c>
      <c r="K261" s="24" t="inlineStr">
        <is>
          <t>2026-09-30</t>
        </is>
      </c>
      <c r="L261" s="71" t="n"/>
      <c r="M261" s="24" t="inlineStr">
        <is>
          <t>300x225x12 mm vs 300x200x10</t>
        </is>
      </c>
      <c r="N261" s="25" t="inlineStr">
        <is>
          <t>https://www.gastroladen.de/2310@GN-HC867/Hygiplas-HDPE-kleines-Schneidebrett-wei%C3%9F-300x-225x12mm.htm</t>
        </is>
      </c>
      <c r="O261" s="24" t="inlineStr">
        <is>
          <t>Hygiplas</t>
        </is>
      </c>
      <c r="P261" s="24" t="inlineStr">
        <is>
          <t>incl.</t>
        </is>
      </c>
      <c r="Q261" s="100" t="n"/>
      <c r="R261" s="24" t="n">
        <v>1</v>
      </c>
      <c r="S261" s="24" t="n"/>
      <c r="T261" s="24" t="inlineStr">
        <is>
          <t>CLOSE</t>
        </is>
      </c>
      <c r="U261" s="24" t="inlineStr">
        <is>
          <t>Existing benchmark assignment and match quality retained.</t>
        </is>
      </c>
      <c r="V261" s="98" t="n">
        <v>7.39</v>
      </c>
      <c r="W261" s="98" t="n"/>
      <c r="X261" s="24" t="inlineStr">
        <is>
          <t>YES Gastro Germany Market Research.xlsx</t>
        </is>
      </c>
      <c r="Y261" s="24" t="n"/>
      <c r="Z261" s="24" t="n"/>
      <c r="AA261" s="24" t="n"/>
      <c r="AB261" s="24" t="inlineStr">
        <is>
          <t>EUR</t>
        </is>
      </c>
      <c r="AC261" s="24" t="inlineStr">
        <is>
          <t>yes</t>
        </is>
      </c>
      <c r="AD261" s="24">
        <f>IF(ISNUMBER(V261),V261,"")</f>
        <v/>
      </c>
      <c r="AE261" s="24">
        <f>IF(AND(AC261="yes",ISNUMBER(F261),IF('Compare'!$H$5="All mapped",TRUE,IF('Compare'!$H$5="EXACT only",J261="EXACT",OR(J261="EXACT",J261="CLOSE")))),"yes","no")</f>
        <v/>
      </c>
      <c r="AF261" s="24">
        <f>IF(ISNUMBER(H261),COUNTIFS($B$7:$B$608,B261,$C$7:$C$608,C261,$H$7:$H$608,"&lt;"&amp;H261,$AH$7:$AH$608,"yes")+COUNTIFS($B$7:B261,B261,$C$7:C261,C261,$H$7:H261,H261,$AH$7:AH261,"yes"),"")</f>
        <v/>
      </c>
      <c r="AG261" s="24">
        <f>IF(ISNUMBER(I261),COUNTIFS($B$7:$B$608,B261,$C$7:$C$608,C261,$I$7:$I$608,"&lt;"&amp;I261,$AI$7:$AI$608,"yes")+COUNTIFS($B$7:B261,B261,$C$7:C261,C261,$I$7:I261,I261,$AI$7:AI261,"yes"),"")</f>
        <v/>
      </c>
      <c r="AH261" s="24">
        <f>IF(ISNUMBER(H261),"yes","no")</f>
        <v/>
      </c>
      <c r="AI261" s="24">
        <f>IF(ISNUMBER(I261),"yes","no")</f>
        <v/>
      </c>
      <c r="AJ261" s="101" t="n">
        <v>46295</v>
      </c>
      <c r="AK261" s="24" t="n"/>
    </row>
    <row r="262" ht="42" customHeight="1">
      <c r="A262" s="2" t="n"/>
      <c r="B262" s="27" t="inlineStr">
        <is>
          <t>PE cutting board 300 × 200 × 10 mm</t>
        </is>
      </c>
      <c r="C262" s="27" t="inlineStr">
        <is>
          <t>Germany</t>
        </is>
      </c>
      <c r="D262" s="27" t="inlineStr">
        <is>
          <t>Intergastro</t>
        </is>
      </c>
      <c r="E262" s="27" t="inlineStr">
        <is>
          <t>Schneidbrett Polyethylen weiß 300 x 200 mm H 15 mm</t>
        </is>
      </c>
      <c r="F262" s="102" t="n">
        <v>8.74</v>
      </c>
      <c r="G262" s="27" t="inlineStr">
        <is>
          <t>EUR</t>
        </is>
      </c>
      <c r="H262" s="102">
        <f>IF(AND(AE262="yes",ISNUMBER(AD262)),AD262,"")</f>
        <v/>
      </c>
      <c r="I262" s="103">
        <f>IF(AND(AE262="yes",ISNUMBER(AD262),ISNUMBER(INDEX('Sources'!$G$7:$G$10,MATCH(AB262,'Sources'!$B$7:$B$10,0)))),AD262/INDEX('Sources'!$G$7:$G$10,MATCH(AB262,'Sources'!$B$7:$B$10,0)),"")</f>
        <v/>
      </c>
      <c r="J262" s="27" t="inlineStr">
        <is>
          <t>CLOSE</t>
        </is>
      </c>
      <c r="K262" s="27" t="inlineStr">
        <is>
          <t>2026-09-30</t>
        </is>
      </c>
      <c r="L262" s="71" t="n"/>
      <c r="M262" s="27" t="inlineStr">
        <is>
          <t>15 mm thick instead of 10 mm</t>
        </is>
      </c>
      <c r="N262" s="28" t="inlineStr">
        <is>
          <t>https://www.intergastro.de/schneidbrett-polyethylen-weiss-300-mm-x-200-mm-h-15-mm-158986</t>
        </is>
      </c>
      <c r="O262" s="27" t="inlineStr">
        <is>
          <t>WAS Germany</t>
        </is>
      </c>
      <c r="P262" s="27" t="inlineStr">
        <is>
          <t>excl.</t>
        </is>
      </c>
      <c r="Q262" s="104" t="n"/>
      <c r="R262" s="27" t="n">
        <v>1</v>
      </c>
      <c r="S262" s="27" t="n"/>
      <c r="T262" s="27" t="inlineStr">
        <is>
          <t>CLOSE</t>
        </is>
      </c>
      <c r="U262" s="27" t="inlineStr">
        <is>
          <t>Existing benchmark assignment and match quality retained.</t>
        </is>
      </c>
      <c r="V262" s="102" t="n">
        <v>8.74</v>
      </c>
      <c r="W262" s="102" t="n"/>
      <c r="X262" s="27" t="inlineStr">
        <is>
          <t>YES Gastro Germany Market Research.xlsx</t>
        </is>
      </c>
      <c r="Y262" s="27" t="n"/>
      <c r="Z262" s="27" t="n"/>
      <c r="AA262" s="27" t="n"/>
      <c r="AB262" s="27" t="inlineStr">
        <is>
          <t>EUR</t>
        </is>
      </c>
      <c r="AC262" s="27" t="inlineStr">
        <is>
          <t>yes</t>
        </is>
      </c>
      <c r="AD262" s="27">
        <f>IF(ISNUMBER(V262),V262,"")</f>
        <v/>
      </c>
      <c r="AE262" s="27">
        <f>IF(AND(AC262="yes",ISNUMBER(F262),IF('Compare'!$H$5="All mapped",TRUE,IF('Compare'!$H$5="EXACT only",J262="EXACT",OR(J262="EXACT",J262="CLOSE")))),"yes","no")</f>
        <v/>
      </c>
      <c r="AF262" s="27">
        <f>IF(ISNUMBER(H262),COUNTIFS($B$7:$B$608,B262,$C$7:$C$608,C262,$H$7:$H$608,"&lt;"&amp;H262,$AH$7:$AH$608,"yes")+COUNTIFS($B$7:B262,B262,$C$7:C262,C262,$H$7:H262,H262,$AH$7:AH262,"yes"),"")</f>
        <v/>
      </c>
      <c r="AG262" s="27">
        <f>IF(ISNUMBER(I262),COUNTIFS($B$7:$B$608,B262,$C$7:$C$608,C262,$I$7:$I$608,"&lt;"&amp;I262,$AI$7:$AI$608,"yes")+COUNTIFS($B$7:B262,B262,$C$7:C262,C262,$I$7:I262,I262,$AI$7:AI262,"yes"),"")</f>
        <v/>
      </c>
      <c r="AH262" s="27">
        <f>IF(ISNUMBER(H262),"yes","no")</f>
        <v/>
      </c>
      <c r="AI262" s="27">
        <f>IF(ISNUMBER(I262),"yes","no")</f>
        <v/>
      </c>
      <c r="AJ262" s="105" t="n">
        <v>46295</v>
      </c>
      <c r="AK262" s="27" t="n"/>
    </row>
    <row r="263" ht="42" customHeight="1">
      <c r="A263" s="2" t="n"/>
      <c r="B263" s="24" t="inlineStr">
        <is>
          <t>PE cutting board 300 × 200 × 10 mm</t>
        </is>
      </c>
      <c r="C263" s="24" t="inlineStr">
        <is>
          <t>Germany</t>
        </is>
      </c>
      <c r="D263" s="24" t="inlineStr">
        <is>
          <t>Nisbets</t>
        </is>
      </c>
      <c r="E263" s="24" t="inlineStr">
        <is>
          <t>Hygiplas HDPE kleines Schneidebrett weiß 300x225x12mm</t>
        </is>
      </c>
      <c r="F263" s="98" t="n">
        <v>4.89</v>
      </c>
      <c r="G263" s="24" t="inlineStr">
        <is>
          <t>EUR</t>
        </is>
      </c>
      <c r="H263" s="98">
        <f>IF(AND(AE263="yes",ISNUMBER(AD263)),AD263,"")</f>
        <v/>
      </c>
      <c r="I263" s="99">
        <f>IF(AND(AE263="yes",ISNUMBER(AD263),ISNUMBER(INDEX('Sources'!$G$7:$G$10,MATCH(AB263,'Sources'!$B$7:$B$10,0)))),AD263/INDEX('Sources'!$G$7:$G$10,MATCH(AB263,'Sources'!$B$7:$B$10,0)),"")</f>
        <v/>
      </c>
      <c r="J263" s="24" t="inlineStr">
        <is>
          <t>CLOSE</t>
        </is>
      </c>
      <c r="K263" s="24" t="inlineStr">
        <is>
          <t>2026-09-30</t>
        </is>
      </c>
      <c r="L263" s="71" t="n"/>
      <c r="M263" s="24" t="inlineStr">
        <is>
          <t>300x225x12 mm vs 300x200x10; other colours 4.89-6.09</t>
        </is>
      </c>
      <c r="N263" s="25" t="inlineStr">
        <is>
          <t>https://www.nisbets.de/hygiplas-hdpe-kleines-schneidebrett-wei-300x-225x12mm/hc867</t>
        </is>
      </c>
      <c r="O263" s="24" t="inlineStr">
        <is>
          <t>Hygiplas</t>
        </is>
      </c>
      <c r="P263" s="24" t="inlineStr">
        <is>
          <t>excl.</t>
        </is>
      </c>
      <c r="Q263" s="100" t="n"/>
      <c r="R263" s="24" t="n">
        <v>1</v>
      </c>
      <c r="S263" s="24" t="n"/>
      <c r="T263" s="24" t="inlineStr">
        <is>
          <t>CLOSE</t>
        </is>
      </c>
      <c r="U263" s="24" t="inlineStr">
        <is>
          <t>Existing benchmark assignment and match quality retained.</t>
        </is>
      </c>
      <c r="V263" s="98" t="n">
        <v>4.89</v>
      </c>
      <c r="W263" s="98" t="n"/>
      <c r="X263" s="24" t="inlineStr">
        <is>
          <t>YES Gastro Germany Market Research.xlsx</t>
        </is>
      </c>
      <c r="Y263" s="24" t="n"/>
      <c r="Z263" s="24" t="n"/>
      <c r="AA263" s="24" t="n"/>
      <c r="AB263" s="24" t="inlineStr">
        <is>
          <t>EUR</t>
        </is>
      </c>
      <c r="AC263" s="24" t="inlineStr">
        <is>
          <t>yes</t>
        </is>
      </c>
      <c r="AD263" s="24">
        <f>IF(ISNUMBER(V263),V263,"")</f>
        <v/>
      </c>
      <c r="AE263" s="24">
        <f>IF(AND(AC263="yes",ISNUMBER(F263),IF('Compare'!$H$5="All mapped",TRUE,IF('Compare'!$H$5="EXACT only",J263="EXACT",OR(J263="EXACT",J263="CLOSE")))),"yes","no")</f>
        <v/>
      </c>
      <c r="AF263" s="24">
        <f>IF(ISNUMBER(H263),COUNTIFS($B$7:$B$608,B263,$C$7:$C$608,C263,$H$7:$H$608,"&lt;"&amp;H263,$AH$7:$AH$608,"yes")+COUNTIFS($B$7:B263,B263,$C$7:C263,C263,$H$7:H263,H263,$AH$7:AH263,"yes"),"")</f>
        <v/>
      </c>
      <c r="AG263" s="24">
        <f>IF(ISNUMBER(I263),COUNTIFS($B$7:$B$608,B263,$C$7:$C$608,C263,$I$7:$I$608,"&lt;"&amp;I263,$AI$7:$AI$608,"yes")+COUNTIFS($B$7:B263,B263,$C$7:C263,C263,$I$7:I263,I263,$AI$7:AI263,"yes"),"")</f>
        <v/>
      </c>
      <c r="AH263" s="24">
        <f>IF(ISNUMBER(H263),"yes","no")</f>
        <v/>
      </c>
      <c r="AI263" s="24">
        <f>IF(ISNUMBER(I263),"yes","no")</f>
        <v/>
      </c>
      <c r="AJ263" s="101" t="n">
        <v>46295</v>
      </c>
      <c r="AK263" s="24" t="n"/>
    </row>
    <row r="264" ht="52" customHeight="1">
      <c r="A264" s="2" t="n"/>
      <c r="B264" s="27" t="inlineStr">
        <is>
          <t>PE cutting board 300 × 200 × 10 mm</t>
        </is>
      </c>
      <c r="C264" s="27" t="inlineStr">
        <is>
          <t>Czech</t>
        </is>
      </c>
      <c r="D264" s="27" t="inlineStr">
        <is>
          <t>GGM Gastro (CZ storefront)</t>
        </is>
      </c>
      <c r="E264" s="27" t="inlineStr">
        <is>
          <t>Krájecí deska - EN 250x400 - Dle HACCP - Bílá</t>
        </is>
      </c>
      <c r="F264" s="102" t="n">
        <v>437.86</v>
      </c>
      <c r="G264" s="27" t="inlineStr">
        <is>
          <t>CZK</t>
        </is>
      </c>
      <c r="H264" s="102">
        <f>IF(AND(AE264="yes",ISNUMBER(AD264)),AD264,"")</f>
        <v/>
      </c>
      <c r="I264" s="103">
        <f>IF(AND(AE264="yes",ISNUMBER(AD264),ISNUMBER(INDEX('Sources'!$G$7:$G$10,MATCH(AB264,'Sources'!$B$7:$B$10,0)))),AD264/INDEX('Sources'!$G$7:$G$10,MATCH(AB264,'Sources'!$B$7:$B$10,0)),"")</f>
        <v/>
      </c>
      <c r="J264" s="27" t="inlineStr">
        <is>
          <t>APPROX</t>
        </is>
      </c>
      <c r="K264" s="27" t="inlineStr">
        <is>
          <t>2026-09-30</t>
        </is>
      </c>
      <c r="L264" s="71" t="n"/>
      <c r="M264" s="27" t="inlineStr">
        <is>
          <t>Net CZK price as displayed; page footnote: "* čistá cena | hrubá cena vč. 19% DPH" (German VAT 19% used on the CZ storefront). Smallest HACCP board: 250 x 400 x 20 mm PE (vs 300 x 200 x 10). Gross 521.05 CZK.</t>
        </is>
      </c>
      <c r="N264" s="28" t="inlineStr">
        <is>
          <t>https://www.ggmgastro.com/cs-cz-czk/krajeci-deska-en-250x400-dle-haccp-bila-sbp25w</t>
        </is>
      </c>
      <c r="O264" s="27" t="inlineStr">
        <is>
          <t>GGM</t>
        </is>
      </c>
      <c r="P264" s="27" t="inlineStr">
        <is>
          <t>excl.</t>
        </is>
      </c>
      <c r="Q264" s="104" t="n">
        <v>0.19</v>
      </c>
      <c r="R264" s="27" t="n">
        <v>1</v>
      </c>
      <c r="S264" s="27" t="inlineStr">
        <is>
          <t>per piece</t>
        </is>
      </c>
      <c r="T264" s="27" t="inlineStr">
        <is>
          <t>APPROX</t>
        </is>
      </c>
      <c r="U264" s="27" t="inlineStr">
        <is>
          <t>Existing benchmark assignment and match quality retained.</t>
        </is>
      </c>
      <c r="V264" s="102" t="n"/>
      <c r="W264" s="102" t="n"/>
      <c r="X264" s="27" t="inlineStr">
        <is>
          <t>YES Gastro Czech Market Research.xlsx</t>
        </is>
      </c>
      <c r="Y264" s="27" t="n"/>
      <c r="Z264" s="27" t="n"/>
      <c r="AA264" s="27" t="n"/>
      <c r="AB264" s="27" t="inlineStr">
        <is>
          <t>CZK</t>
        </is>
      </c>
      <c r="AC264" s="27" t="inlineStr">
        <is>
          <t>yes</t>
        </is>
      </c>
      <c r="AD264" s="27">
        <f>IF(OR(F264="",Q264="",R264=""),"",ROUND(IF(P264="incl.",F264/(1+Q264),F264)/IF(S264="per pack",R264,1),2))</f>
        <v/>
      </c>
      <c r="AE264" s="27">
        <f>IF(AND(AC264="yes",ISNUMBER(F264),IF('Compare'!$H$5="All mapped",TRUE,IF('Compare'!$H$5="EXACT only",J264="EXACT",OR(J264="EXACT",J264="CLOSE")))),"yes","no")</f>
        <v/>
      </c>
      <c r="AF264" s="27">
        <f>IF(ISNUMBER(H264),COUNTIFS($B$7:$B$608,B264,$C$7:$C$608,C264,$H$7:$H$608,"&lt;"&amp;H264,$AH$7:$AH$608,"yes")+COUNTIFS($B$7:B264,B264,$C$7:C264,C264,$H$7:H264,H264,$AH$7:AH264,"yes"),"")</f>
        <v/>
      </c>
      <c r="AG264" s="27">
        <f>IF(ISNUMBER(I264),COUNTIFS($B$7:$B$608,B264,$C$7:$C$608,C264,$I$7:$I$608,"&lt;"&amp;I264,$AI$7:$AI$608,"yes")+COUNTIFS($B$7:B264,B264,$C$7:C264,C264,$I$7:I264,I264,$AI$7:AI264,"yes"),"")</f>
        <v/>
      </c>
      <c r="AH264" s="27">
        <f>IF(ISNUMBER(H264),"yes","no")</f>
        <v/>
      </c>
      <c r="AI264" s="27">
        <f>IF(ISNUMBER(I264),"yes","no")</f>
        <v/>
      </c>
      <c r="AJ264" s="105" t="n">
        <v>46295</v>
      </c>
      <c r="AK264" s="27" t="n"/>
    </row>
    <row r="265" ht="52" customHeight="1">
      <c r="A265" s="2" t="n"/>
      <c r="B265" s="24" t="inlineStr">
        <is>
          <t>PE cutting board 300 × 200 × 10 mm</t>
        </is>
      </c>
      <c r="C265" s="24" t="inlineStr">
        <is>
          <t>Czech</t>
        </is>
      </c>
      <c r="D265" s="24" t="inlineStr">
        <is>
          <t>Gastromania</t>
        </is>
      </c>
      <c r="E265" s="24" t="inlineStr">
        <is>
          <t>Prkénko na krájení s úchytem 30x20x1 cm, černé | HENDI, 826485</t>
        </is>
      </c>
      <c r="F265" s="98" t="n">
        <v>159</v>
      </c>
      <c r="G265" s="24" t="inlineStr">
        <is>
          <t>CZK</t>
        </is>
      </c>
      <c r="H265" s="98">
        <f>IF(AND(AE265="yes",ISNUMBER(AD265)),AD265,"")</f>
        <v/>
      </c>
      <c r="I265" s="99">
        <f>IF(AND(AE265="yes",ISNUMBER(AD265),ISNUMBER(INDEX('Sources'!$G$7:$G$10,MATCH(AB265,'Sources'!$B$7:$B$10,0)))),AD265/INDEX('Sources'!$G$7:$G$10,MATCH(AB265,'Sources'!$B$7:$B$10,0)),"")</f>
        <v/>
      </c>
      <c r="J265" s="24" t="inlineStr">
        <is>
          <t>CLOSE</t>
        </is>
      </c>
      <c r="K265" s="24" t="inlineStr">
        <is>
          <t>2026-09-30</t>
        </is>
      </c>
      <c r="L265" s="71" t="n"/>
      <c r="M265" s="24" t="inlineStr">
        <is>
          <t>HDPE 300 x 200 x 10 mm with handle; black only (not HACCP colour set). 192 CZK incl. Parameter list says "cena za: sadu" (price per set) while title/description describe one board - unit unclear, treated as 1 piece.</t>
        </is>
      </c>
      <c r="N265" s="25" t="inlineStr">
        <is>
          <t>https://www.gastromania.cz/plastove-krajeci-desky-haccp/prkenko-na-krajeni-s-uchytem-30x20x1-cm-cerne-hendi-826485</t>
        </is>
      </c>
      <c r="O265" s="24" t="inlineStr">
        <is>
          <t>Hendi</t>
        </is>
      </c>
      <c r="P265" s="24" t="inlineStr">
        <is>
          <t>excl.</t>
        </is>
      </c>
      <c r="Q265" s="100" t="n">
        <v>0.21</v>
      </c>
      <c r="R265" s="24" t="n">
        <v>1</v>
      </c>
      <c r="S265" s="24" t="inlineStr">
        <is>
          <t>per piece</t>
        </is>
      </c>
      <c r="T265" s="24" t="inlineStr">
        <is>
          <t>CLOSE</t>
        </is>
      </c>
      <c r="U265" s="24" t="inlineStr">
        <is>
          <t>Existing benchmark assignment and match quality retained.</t>
        </is>
      </c>
      <c r="V265" s="98" t="n"/>
      <c r="W265" s="98" t="n"/>
      <c r="X265" s="24" t="inlineStr">
        <is>
          <t>YES Gastro Czech Market Research.xlsx</t>
        </is>
      </c>
      <c r="Y265" s="24" t="n"/>
      <c r="Z265" s="24" t="n"/>
      <c r="AA265" s="24" t="n"/>
      <c r="AB265" s="24" t="inlineStr">
        <is>
          <t>CZK</t>
        </is>
      </c>
      <c r="AC265" s="24" t="inlineStr">
        <is>
          <t>yes</t>
        </is>
      </c>
      <c r="AD265" s="24">
        <f>IF(OR(F265="",Q265="",R265=""),"",ROUND(IF(P265="incl.",F265/(1+Q265),F265)/IF(S265="per pack",R265,1),2))</f>
        <v/>
      </c>
      <c r="AE265" s="24">
        <f>IF(AND(AC265="yes",ISNUMBER(F265),IF('Compare'!$H$5="All mapped",TRUE,IF('Compare'!$H$5="EXACT only",J265="EXACT",OR(J265="EXACT",J265="CLOSE")))),"yes","no")</f>
        <v/>
      </c>
      <c r="AF265" s="24">
        <f>IF(ISNUMBER(H265),COUNTIFS($B$7:$B$608,B265,$C$7:$C$608,C265,$H$7:$H$608,"&lt;"&amp;H265,$AH$7:$AH$608,"yes")+COUNTIFS($B$7:B265,B265,$C$7:C265,C265,$H$7:H265,H265,$AH$7:AH265,"yes"),"")</f>
        <v/>
      </c>
      <c r="AG265" s="24">
        <f>IF(ISNUMBER(I265),COUNTIFS($B$7:$B$608,B265,$C$7:$C$608,C265,$I$7:$I$608,"&lt;"&amp;I265,$AI$7:$AI$608,"yes")+COUNTIFS($B$7:B265,B265,$C$7:C265,C265,$I$7:I265,I265,$AI$7:AI265,"yes"),"")</f>
        <v/>
      </c>
      <c r="AH265" s="24">
        <f>IF(ISNUMBER(H265),"yes","no")</f>
        <v/>
      </c>
      <c r="AI265" s="24">
        <f>IF(ISNUMBER(I265),"yes","no")</f>
        <v/>
      </c>
      <c r="AJ265" s="101" t="n">
        <v>46295</v>
      </c>
      <c r="AK265" s="24" t="n"/>
    </row>
    <row r="266" ht="42" customHeight="1">
      <c r="A266" s="2" t="n"/>
      <c r="B266" s="27" t="inlineStr">
        <is>
          <t>PE cutting board 300 × 200 × 10 mm</t>
        </is>
      </c>
      <c r="C266" s="27" t="inlineStr">
        <is>
          <t>Czech</t>
        </is>
      </c>
      <c r="D266" s="27" t="inlineStr">
        <is>
          <t>Gastrozone</t>
        </is>
      </c>
      <c r="E266" s="27" t="inlineStr">
        <is>
          <t>Krájecí prkénko HENDI s rukojetí, 300 × 200 mm, bílé</t>
        </is>
      </c>
      <c r="F266" s="102" t="n">
        <v>183</v>
      </c>
      <c r="G266" s="27" t="inlineStr">
        <is>
          <t>CZK</t>
        </is>
      </c>
      <c r="H266" s="102">
        <f>IF(AND(AE266="yes",ISNUMBER(AD266)),AD266,"")</f>
        <v/>
      </c>
      <c r="I266" s="103">
        <f>IF(AND(AE266="yes",ISNUMBER(AD266),ISNUMBER(INDEX('Sources'!$G$7:$G$10,MATCH(AB266,'Sources'!$B$7:$B$10,0)))),AD266/INDEX('Sources'!$G$7:$G$10,MATCH(AB266,'Sources'!$B$7:$B$10,0)),"")</f>
        <v/>
      </c>
      <c r="J266" s="27" t="inlineStr">
        <is>
          <t>CLOSE</t>
        </is>
      </c>
      <c r="K266" s="27" t="inlineStr">
        <is>
          <t>2026-09-30</t>
        </is>
      </c>
      <c r="L266" s="71" t="n"/>
      <c r="M266" s="27" t="inlineStr">
        <is>
          <t>HDPE 300 x 200 x 10 mm with integrated handle; only white/black (no full HACCP colour set). 151 CZK bez DPH.</t>
        </is>
      </c>
      <c r="N266" s="28" t="inlineStr">
        <is>
          <t>https://www.gastrozone.cz/viceucelove-krajeci-prkenko-s-rukojeti-hendi-bila-300x200mm-obdelnikove.html</t>
        </is>
      </c>
      <c r="O266" s="27" t="inlineStr">
        <is>
          <t>Hendi</t>
        </is>
      </c>
      <c r="P266" s="27" t="inlineStr">
        <is>
          <t>incl.</t>
        </is>
      </c>
      <c r="Q266" s="104" t="n">
        <v>0.21</v>
      </c>
      <c r="R266" s="27" t="n">
        <v>1</v>
      </c>
      <c r="S266" s="27" t="inlineStr">
        <is>
          <t>per piece</t>
        </is>
      </c>
      <c r="T266" s="27" t="inlineStr">
        <is>
          <t>CLOSE</t>
        </is>
      </c>
      <c r="U266" s="27" t="inlineStr">
        <is>
          <t>Existing benchmark assignment and match quality retained.</t>
        </is>
      </c>
      <c r="V266" s="102" t="n"/>
      <c r="W266" s="102" t="n"/>
      <c r="X266" s="27" t="inlineStr">
        <is>
          <t>YES Gastro Czech Market Research.xlsx</t>
        </is>
      </c>
      <c r="Y266" s="27" t="n"/>
      <c r="Z266" s="27" t="n"/>
      <c r="AA266" s="27" t="n"/>
      <c r="AB266" s="27" t="inlineStr">
        <is>
          <t>CZK</t>
        </is>
      </c>
      <c r="AC266" s="27" t="inlineStr">
        <is>
          <t>yes</t>
        </is>
      </c>
      <c r="AD266" s="27">
        <f>IF(OR(F266="",Q266="",R266=""),"",ROUND(IF(P266="incl.",F266/(1+Q266),F266)/IF(S266="per pack",R266,1),2))</f>
        <v/>
      </c>
      <c r="AE266" s="27">
        <f>IF(AND(AC266="yes",ISNUMBER(F266),IF('Compare'!$H$5="All mapped",TRUE,IF('Compare'!$H$5="EXACT only",J266="EXACT",OR(J266="EXACT",J266="CLOSE")))),"yes","no")</f>
        <v/>
      </c>
      <c r="AF266" s="27">
        <f>IF(ISNUMBER(H266),COUNTIFS($B$7:$B$608,B266,$C$7:$C$608,C266,$H$7:$H$608,"&lt;"&amp;H266,$AH$7:$AH$608,"yes")+COUNTIFS($B$7:B266,B266,$C$7:C266,C266,$H$7:H266,H266,$AH$7:AH266,"yes"),"")</f>
        <v/>
      </c>
      <c r="AG266" s="27">
        <f>IF(ISNUMBER(I266),COUNTIFS($B$7:$B$608,B266,$C$7:$C$608,C266,$I$7:$I$608,"&lt;"&amp;I266,$AI$7:$AI$608,"yes")+COUNTIFS($B$7:B266,B266,$C$7:C266,C266,$I$7:I266,I266,$AI$7:AI266,"yes"),"")</f>
        <v/>
      </c>
      <c r="AH266" s="27">
        <f>IF(ISNUMBER(H266),"yes","no")</f>
        <v/>
      </c>
      <c r="AI266" s="27">
        <f>IF(ISNUMBER(I266),"yes","no")</f>
        <v/>
      </c>
      <c r="AJ266" s="105" t="n">
        <v>46295</v>
      </c>
      <c r="AK266" s="27" t="n"/>
    </row>
    <row r="267" ht="42" customHeight="1">
      <c r="A267" s="2" t="n"/>
      <c r="B267" s="24" t="inlineStr">
        <is>
          <t>PE cutting board 300 × 200 × 10 mm</t>
        </is>
      </c>
      <c r="C267" s="24" t="inlineStr">
        <is>
          <t>Czech</t>
        </is>
      </c>
      <c r="D267" s="24" t="inlineStr">
        <is>
          <t>TOMGAST</t>
        </is>
      </c>
      <c r="E267" s="24" t="inlineStr">
        <is>
          <t>Deska krájecí 20 × 30 × 1,2 cm</t>
        </is>
      </c>
      <c r="F267" s="98" t="n">
        <v>115</v>
      </c>
      <c r="G267" s="24" t="inlineStr">
        <is>
          <t>CZK</t>
        </is>
      </c>
      <c r="H267" s="98">
        <f>IF(AND(AE267="yes",ISNUMBER(AD267)),AD267,"")</f>
        <v/>
      </c>
      <c r="I267" s="99">
        <f>IF(AND(AE267="yes",ISNUMBER(AD267),ISNUMBER(INDEX('Sources'!$G$7:$G$10,MATCH(AB267,'Sources'!$B$7:$B$10,0)))),AD267/INDEX('Sources'!$G$7:$G$10,MATCH(AB267,'Sources'!$B$7:$B$10,0)),"")</f>
        <v/>
      </c>
      <c r="J267" s="24" t="inlineStr">
        <is>
          <t>CLOSE</t>
        </is>
      </c>
      <c r="K267" s="24" t="inlineStr">
        <is>
          <t>2026-09-30</t>
        </is>
      </c>
      <c r="L267" s="71" t="n"/>
      <c r="M267" s="24" t="inlineStr">
        <is>
          <t>PE 300 x 200 mm but 12 mm thick; white only (no colour range). 95 CZK bez DPH.</t>
        </is>
      </c>
      <c r="N267" s="25" t="inlineStr">
        <is>
          <t>https://www.tomgast.cz/deska-krajeci-20--30--1-2-cm/</t>
        </is>
      </c>
      <c r="O267" s="24" t="inlineStr">
        <is>
          <t>TOMGAST</t>
        </is>
      </c>
      <c r="P267" s="24" t="inlineStr">
        <is>
          <t>incl.</t>
        </is>
      </c>
      <c r="Q267" s="100" t="n">
        <v>0.21</v>
      </c>
      <c r="R267" s="24" t="n">
        <v>1</v>
      </c>
      <c r="S267" s="24" t="inlineStr">
        <is>
          <t>per piece</t>
        </is>
      </c>
      <c r="T267" s="24" t="inlineStr">
        <is>
          <t>CLOSE</t>
        </is>
      </c>
      <c r="U267" s="24" t="inlineStr">
        <is>
          <t>Existing benchmark assignment and match quality retained.</t>
        </is>
      </c>
      <c r="V267" s="98" t="n"/>
      <c r="W267" s="98" t="n"/>
      <c r="X267" s="24" t="inlineStr">
        <is>
          <t>YES Gastro Czech Market Research.xlsx</t>
        </is>
      </c>
      <c r="Y267" s="24" t="n"/>
      <c r="Z267" s="24" t="n"/>
      <c r="AA267" s="24" t="n"/>
      <c r="AB267" s="24" t="inlineStr">
        <is>
          <t>CZK</t>
        </is>
      </c>
      <c r="AC267" s="24" t="inlineStr">
        <is>
          <t>yes</t>
        </is>
      </c>
      <c r="AD267" s="24">
        <f>IF(OR(F267="",Q267="",R267=""),"",ROUND(IF(P267="incl.",F267/(1+Q267),F267)/IF(S267="per pack",R267,1),2))</f>
        <v/>
      </c>
      <c r="AE267" s="24">
        <f>IF(AND(AC267="yes",ISNUMBER(F267),IF('Compare'!$H$5="All mapped",TRUE,IF('Compare'!$H$5="EXACT only",J267="EXACT",OR(J267="EXACT",J267="CLOSE")))),"yes","no")</f>
        <v/>
      </c>
      <c r="AF267" s="24">
        <f>IF(ISNUMBER(H267),COUNTIFS($B$7:$B$608,B267,$C$7:$C$608,C267,$H$7:$H$608,"&lt;"&amp;H267,$AH$7:$AH$608,"yes")+COUNTIFS($B$7:B267,B267,$C$7:C267,C267,$H$7:H267,H267,$AH$7:AH267,"yes"),"")</f>
        <v/>
      </c>
      <c r="AG267" s="24">
        <f>IF(ISNUMBER(I267),COUNTIFS($B$7:$B$608,B267,$C$7:$C$608,C267,$I$7:$I$608,"&lt;"&amp;I267,$AI$7:$AI$608,"yes")+COUNTIFS($B$7:B267,B267,$C$7:C267,C267,$I$7:I267,I267,$AI$7:AI267,"yes"),"")</f>
        <v/>
      </c>
      <c r="AH267" s="24">
        <f>IF(ISNUMBER(H267),"yes","no")</f>
        <v/>
      </c>
      <c r="AI267" s="24">
        <f>IF(ISNUMBER(I267),"yes","no")</f>
        <v/>
      </c>
      <c r="AJ267" s="101" t="n">
        <v>46295</v>
      </c>
      <c r="AK267" s="24" t="n"/>
    </row>
    <row r="268" ht="52" customHeight="1">
      <c r="A268" s="2" t="n"/>
      <c r="B268" s="27" t="inlineStr">
        <is>
          <t>PE cutting board 300 × 200 × 10 mm</t>
        </is>
      </c>
      <c r="C268" s="27" t="inlineStr">
        <is>
          <t>Slovakia</t>
        </is>
      </c>
      <c r="D268" s="27" t="inlineStr">
        <is>
          <t>Gastromania.sk (GASTROMANIA CZ s.r.o., CZ)</t>
        </is>
      </c>
      <c r="E268" s="27" t="inlineStr">
        <is>
          <t>Doska na krájanie s držadlom 300x200x10 mm, biela | HENDI, 826355</t>
        </is>
      </c>
      <c r="F268" s="102" t="n">
        <v>6.18</v>
      </c>
      <c r="G268" s="27" t="inlineStr">
        <is>
          <t>EUR</t>
        </is>
      </c>
      <c r="H268" s="102">
        <f>IF(AND(AE268="yes",ISNUMBER(AD268)),AD268,"")</f>
        <v/>
      </c>
      <c r="I268" s="103">
        <f>IF(AND(AE268="yes",ISNUMBER(AD268),ISNUMBER(INDEX('Sources'!$G$7:$G$10,MATCH(AB268,'Sources'!$B$7:$B$10,0)))),AD268/INDEX('Sources'!$G$7:$G$10,MATCH(AB268,'Sources'!$B$7:$B$10,0)),"")</f>
        <v/>
      </c>
      <c r="J268" s="27" t="inlineStr">
        <is>
          <t>CLOSE</t>
        </is>
      </c>
      <c r="K268" s="27" t="inlineStr">
        <is>
          <t>2026-09-30</t>
        </is>
      </c>
      <c r="L268" s="71" t="n"/>
      <c r="M268" s="27" t="inlineStr">
        <is>
          <t>Listed 'Cena bez DPH' 6.18 EUR / 'Cena s DPH' 7.60 EUR. HDPE 300x200x10 mm with integrated handle; white only (not a HACCP colour set); not dishwasher-safe. In stock 100+.</t>
        </is>
      </c>
      <c r="N268" s="28" t="inlineStr">
        <is>
          <t>https://gastromania.sk/plastove-krajacie-dosky-biele/doska-na-krajanie-s-drzadlom-300x200x10-mm-biela-hendi-826355</t>
        </is>
      </c>
      <c r="O268" s="27" t="inlineStr">
        <is>
          <t>Hendi</t>
        </is>
      </c>
      <c r="P268" s="27" t="inlineStr">
        <is>
          <t>excl.</t>
        </is>
      </c>
      <c r="Q268" s="104" t="inlineStr">
        <is>
          <t>n/a</t>
        </is>
      </c>
      <c r="R268" s="27" t="n">
        <v>1</v>
      </c>
      <c r="S268" s="27" t="inlineStr">
        <is>
          <t>per piece</t>
        </is>
      </c>
      <c r="T268" s="27" t="inlineStr">
        <is>
          <t>CLOSE</t>
        </is>
      </c>
      <c r="U268" s="27" t="inlineStr">
        <is>
          <t>Existing benchmark assignment and match quality retained.</t>
        </is>
      </c>
      <c r="V268" s="102" t="n">
        <v>6.18</v>
      </c>
      <c r="W268" s="102" t="n"/>
      <c r="X268" s="27" t="inlineStr">
        <is>
          <t>YES Gastro Slovakia Market Research.xlsx</t>
        </is>
      </c>
      <c r="Y268" s="27" t="n"/>
      <c r="Z268" s="27" t="n"/>
      <c r="AA268" s="27" t="n"/>
      <c r="AB268" s="27" t="inlineStr">
        <is>
          <t>EUR</t>
        </is>
      </c>
      <c r="AC268" s="27" t="inlineStr">
        <is>
          <t>yes</t>
        </is>
      </c>
      <c r="AD268" s="27">
        <f>IF(ISNUMBER(V268),V268,"")</f>
        <v/>
      </c>
      <c r="AE268" s="27">
        <f>IF(AND(AC268="yes",ISNUMBER(F268),IF('Compare'!$H$5="All mapped",TRUE,IF('Compare'!$H$5="EXACT only",J268="EXACT",OR(J268="EXACT",J268="CLOSE")))),"yes","no")</f>
        <v/>
      </c>
      <c r="AF268" s="27">
        <f>IF(ISNUMBER(H268),COUNTIFS($B$7:$B$608,B268,$C$7:$C$608,C268,$H$7:$H$608,"&lt;"&amp;H268,$AH$7:$AH$608,"yes")+COUNTIFS($B$7:B268,B268,$C$7:C268,C268,$H$7:H268,H268,$AH$7:AH268,"yes"),"")</f>
        <v/>
      </c>
      <c r="AG268" s="27">
        <f>IF(ISNUMBER(I268),COUNTIFS($B$7:$B$608,B268,$C$7:$C$608,C268,$I$7:$I$608,"&lt;"&amp;I268,$AI$7:$AI$608,"yes")+COUNTIFS($B$7:B268,B268,$C$7:C268,C268,$I$7:I268,I268,$AI$7:AI268,"yes"),"")</f>
        <v/>
      </c>
      <c r="AH268" s="27">
        <f>IF(ISNUMBER(H268),"yes","no")</f>
        <v/>
      </c>
      <c r="AI268" s="27">
        <f>IF(ISNUMBER(I268),"yes","no")</f>
        <v/>
      </c>
      <c r="AJ268" s="105" t="n">
        <v>46295</v>
      </c>
      <c r="AK268" s="27" t="n"/>
    </row>
    <row r="269" ht="42" customHeight="1">
      <c r="A269" s="2" t="n"/>
      <c r="B269" s="24" t="inlineStr">
        <is>
          <t>PE cutting board 300 × 200 × 10 mm</t>
        </is>
      </c>
      <c r="C269" s="24" t="inlineStr">
        <is>
          <t>Slovakia</t>
        </is>
      </c>
      <c r="D269" s="24" t="inlineStr">
        <is>
          <t>Gastrozone.sk (GASTROZONE, spol. s r.o., CZ)</t>
        </is>
      </c>
      <c r="E269" s="24" t="inlineStr">
        <is>
          <t>Doska na krájanie HENDI s rukoväťou, 300 × 200 mm, biela</t>
        </is>
      </c>
      <c r="F269" s="98" t="n">
        <v>8.609999999999999</v>
      </c>
      <c r="G269" s="24" t="inlineStr">
        <is>
          <t>EUR</t>
        </is>
      </c>
      <c r="H269" s="98">
        <f>IF(AND(AE269="yes",ISNUMBER(AD269)),AD269,"")</f>
        <v/>
      </c>
      <c r="I269" s="99">
        <f>IF(AND(AE269="yes",ISNUMBER(AD269),ISNUMBER(INDEX('Sources'!$G$7:$G$10,MATCH(AB269,'Sources'!$B$7:$B$10,0)))),AD269/INDEX('Sources'!$G$7:$G$10,MATCH(AB269,'Sources'!$B$7:$B$10,0)),"")</f>
        <v/>
      </c>
      <c r="J269" s="24" t="inlineStr">
        <is>
          <t>CLOSE</t>
        </is>
      </c>
      <c r="K269" s="24" t="inlineStr">
        <is>
          <t>2026-09-30</t>
        </is>
      </c>
      <c r="L269" s="71" t="n"/>
      <c r="M269" s="24" t="inlineStr">
        <is>
          <t>HDPE, 300x200x10 mm; integrated handle and only white/black offered (not a full HACCP colour set); not dishwasher-safe per spec. Page shows 8,61 / 7,00 bez DPH.</t>
        </is>
      </c>
      <c r="N269" s="25" t="inlineStr">
        <is>
          <t>https://www.gastrozone.sk/viceucelove-krajeci-prkenko-s-rukojeti-hendi-bila-300x200mm-obdelnikove.html</t>
        </is>
      </c>
      <c r="O269" s="24" t="inlineStr">
        <is>
          <t>Hendi</t>
        </is>
      </c>
      <c r="P269" s="24" t="inlineStr">
        <is>
          <t>incl.</t>
        </is>
      </c>
      <c r="Q269" s="100" t="n">
        <v>0.23</v>
      </c>
      <c r="R269" s="24" t="n">
        <v>1</v>
      </c>
      <c r="S269" s="24" t="inlineStr">
        <is>
          <t>per piece</t>
        </is>
      </c>
      <c r="T269" s="24" t="inlineStr">
        <is>
          <t>CLOSE</t>
        </is>
      </c>
      <c r="U269" s="24" t="inlineStr">
        <is>
          <t>Existing benchmark assignment and match quality retained.</t>
        </is>
      </c>
      <c r="V269" s="98" t="n">
        <v>7</v>
      </c>
      <c r="W269" s="98" t="n"/>
      <c r="X269" s="24" t="inlineStr">
        <is>
          <t>YES Gastro Slovakia Market Research.xlsx</t>
        </is>
      </c>
      <c r="Y269" s="24" t="n"/>
      <c r="Z269" s="24" t="n"/>
      <c r="AA269" s="24" t="n"/>
      <c r="AB269" s="24" t="inlineStr">
        <is>
          <t>EUR</t>
        </is>
      </c>
      <c r="AC269" s="24" t="inlineStr">
        <is>
          <t>yes</t>
        </is>
      </c>
      <c r="AD269" s="24">
        <f>IF(ISNUMBER(V269),V269,"")</f>
        <v/>
      </c>
      <c r="AE269" s="24">
        <f>IF(AND(AC269="yes",ISNUMBER(F269),IF('Compare'!$H$5="All mapped",TRUE,IF('Compare'!$H$5="EXACT only",J269="EXACT",OR(J269="EXACT",J269="CLOSE")))),"yes","no")</f>
        <v/>
      </c>
      <c r="AF269" s="24">
        <f>IF(ISNUMBER(H269),COUNTIFS($B$7:$B$608,B269,$C$7:$C$608,C269,$H$7:$H$608,"&lt;"&amp;H269,$AH$7:$AH$608,"yes")+COUNTIFS($B$7:B269,B269,$C$7:C269,C269,$H$7:H269,H269,$AH$7:AH269,"yes"),"")</f>
        <v/>
      </c>
      <c r="AG269" s="24">
        <f>IF(ISNUMBER(I269),COUNTIFS($B$7:$B$608,B269,$C$7:$C$608,C269,$I$7:$I$608,"&lt;"&amp;I269,$AI$7:$AI$608,"yes")+COUNTIFS($B$7:B269,B269,$C$7:C269,C269,$I$7:I269,I269,$AI$7:AI269,"yes"),"")</f>
        <v/>
      </c>
      <c r="AH269" s="24">
        <f>IF(ISNUMBER(H269),"yes","no")</f>
        <v/>
      </c>
      <c r="AI269" s="24">
        <f>IF(ISNUMBER(I269),"yes","no")</f>
        <v/>
      </c>
      <c r="AJ269" s="101" t="n">
        <v>46295</v>
      </c>
      <c r="AK269" s="24" t="n"/>
    </row>
    <row r="270" ht="42" customHeight="1">
      <c r="A270" s="2" t="n"/>
      <c r="B270" s="27" t="inlineStr">
        <is>
          <t>PP dough box 600 × 400 × 100 mm</t>
        </is>
      </c>
      <c r="C270" s="27" t="inlineStr">
        <is>
          <t>Hungary</t>
        </is>
      </c>
      <c r="D270" s="27" t="inlineStr">
        <is>
          <t>Attase</t>
        </is>
      </c>
      <c r="E270" s="27" t="inlineStr">
        <is>
          <t>PP Box 600 x 400 x 100 mm</t>
        </is>
      </c>
      <c r="F270" s="102" t="n">
        <v>3560</v>
      </c>
      <c r="G270" s="27" t="inlineStr">
        <is>
          <t>HUF</t>
        </is>
      </c>
      <c r="H270" s="102">
        <f>IF(AND(AE270="yes",ISNUMBER(AD270)),AD270,"")</f>
        <v/>
      </c>
      <c r="I270" s="103">
        <f>IF(AND(AE270="yes",ISNUMBER(AD270),ISNUMBER(INDEX('Sources'!$G$7:$G$10,MATCH(AB270,'Sources'!$B$7:$B$10,0)))),AD270/INDEX('Sources'!$G$7:$G$10,MATCH(AB270,'Sources'!$B$7:$B$10,0)),"")</f>
        <v/>
      </c>
      <c r="J270" s="27" t="inlineStr">
        <is>
          <t>EXACT</t>
        </is>
      </c>
      <c r="K270" s="27" t="inlineStr">
        <is>
          <t>26.06.2026</t>
        </is>
      </c>
      <c r="L270" s="71" t="n"/>
      <c r="M270" s="27" t="inlineStr">
        <is>
          <t>Source sheet: Pizza Dough Boxes &amp; Lids</t>
        </is>
      </c>
      <c r="N270" s="28" t="inlineStr">
        <is>
          <t>https://www.attase.hu/en/pizza-pan?infinite_page=2</t>
        </is>
      </c>
      <c r="O270" s="27" t="n"/>
      <c r="P270" s="27" t="n"/>
      <c r="Q270" s="104" t="n"/>
      <c r="R270" s="27" t="n"/>
      <c r="S270" s="27" t="n"/>
      <c r="T270" s="27" t="n"/>
      <c r="U270" s="27" t="inlineStr">
        <is>
          <t>Dough-box dimensions and PP material agree.</t>
        </is>
      </c>
      <c r="V270" s="102" t="n"/>
      <c r="W270" s="102" t="n">
        <v>3560</v>
      </c>
      <c r="X270" s="27" t="inlineStr">
        <is>
          <t>YES Gastro Hungary Market Research.xlsx</t>
        </is>
      </c>
      <c r="Y270" s="27" t="inlineStr">
        <is>
          <t>Taha</t>
        </is>
      </c>
      <c r="Z270" s="27" t="n"/>
      <c r="AA270" s="27" t="inlineStr">
        <is>
          <t>Direct</t>
        </is>
      </c>
      <c r="AB270" s="27" t="inlineStr">
        <is>
          <t>HUF</t>
        </is>
      </c>
      <c r="AC270" s="27" t="inlineStr">
        <is>
          <t>yes</t>
        </is>
      </c>
      <c r="AD270" s="27">
        <f>IF(ISNUMBER(F270),IF(G270=AB270,F270,IF(AND(ISNUMBER(INDEX('Sources'!$G$7:$G$10,MATCH(G270,'Sources'!$B$7:$B$10,0))),ISNUMBER(INDEX('Sources'!$G$7:$G$10,MATCH(AB270,'Sources'!$B$7:$B$10,0)))),F270/INDEX('Sources'!$G$7:$G$10,MATCH(G270,'Sources'!$B$7:$B$10,0))*INDEX('Sources'!$G$7:$G$10,MATCH(AB270,'Sources'!$B$7:$B$10,0)),"")),"")</f>
        <v/>
      </c>
      <c r="AE270" s="27">
        <f>IF(AND(AC270="yes",ISNUMBER(F270),IF('Compare'!$H$5="All mapped",TRUE,IF('Compare'!$H$5="EXACT only",J270="EXACT",OR(J270="EXACT",J270="CLOSE")))),"yes","no")</f>
        <v/>
      </c>
      <c r="AF270" s="27">
        <f>IF(ISNUMBER(H270),COUNTIFS($B$7:$B$608,B270,$C$7:$C$608,C270,$H$7:$H$608,"&lt;"&amp;H270,$AH$7:$AH$608,"yes")+COUNTIFS($B$7:B270,B270,$C$7:C270,C270,$H$7:H270,H270,$AH$7:AH270,"yes"),"")</f>
        <v/>
      </c>
      <c r="AG270" s="27">
        <f>IF(ISNUMBER(I270),COUNTIFS($B$7:$B$608,B270,$C$7:$C$608,C270,$I$7:$I$608,"&lt;"&amp;I270,$AI$7:$AI$608,"yes")+COUNTIFS($B$7:B270,B270,$C$7:C270,C270,$I$7:I270,I270,$AI$7:AI270,"yes"),"")</f>
        <v/>
      </c>
      <c r="AH270" s="27">
        <f>IF(ISNUMBER(H270),"yes","no")</f>
        <v/>
      </c>
      <c r="AI270" s="27">
        <f>IF(ISNUMBER(I270),"yes","no")</f>
        <v/>
      </c>
      <c r="AJ270" s="105" t="n">
        <v>46199</v>
      </c>
      <c r="AK270" s="27" t="n"/>
    </row>
    <row r="271" ht="42" customHeight="1">
      <c r="A271" s="2" t="n"/>
      <c r="B271" s="24" t="inlineStr">
        <is>
          <t>PP dough box 600 × 400 × 100 mm</t>
        </is>
      </c>
      <c r="C271" s="24" t="inlineStr">
        <is>
          <t>Hungary</t>
        </is>
      </c>
      <c r="D271" s="24" t="inlineStr">
        <is>
          <t>Gasztronagyker</t>
        </is>
      </c>
      <c r="E271" s="24" t="inlineStr">
        <is>
          <t>PP Box 600 x 400 x 100 mm</t>
        </is>
      </c>
      <c r="F271" s="98" t="n">
        <v>5897</v>
      </c>
      <c r="G271" s="24" t="inlineStr">
        <is>
          <t>HUF</t>
        </is>
      </c>
      <c r="H271" s="98">
        <f>IF(AND(AE271="yes",ISNUMBER(AD271)),AD271,"")</f>
        <v/>
      </c>
      <c r="I271" s="99">
        <f>IF(AND(AE271="yes",ISNUMBER(AD271),ISNUMBER(INDEX('Sources'!$G$7:$G$10,MATCH(AB271,'Sources'!$B$7:$B$10,0)))),AD271/INDEX('Sources'!$G$7:$G$10,MATCH(AB271,'Sources'!$B$7:$B$10,0)),"")</f>
        <v/>
      </c>
      <c r="J271" s="24" t="inlineStr">
        <is>
          <t>EXACT</t>
        </is>
      </c>
      <c r="K271" s="24" t="inlineStr">
        <is>
          <t>26.06.2026</t>
        </is>
      </c>
      <c r="L271" s="71" t="n"/>
      <c r="M271" s="24" t="inlineStr">
        <is>
          <t>Source sheet: Pizza Dough Boxes &amp; Lids</t>
        </is>
      </c>
      <c r="N271" s="25" t="inlineStr">
        <is>
          <t>https://www.gasztronagyker.hu/shop_search.php?search=Pizzat%C3%A9szta+keleszt%C5%91</t>
        </is>
      </c>
      <c r="O271" s="24" t="n"/>
      <c r="P271" s="24" t="n"/>
      <c r="Q271" s="100" t="n"/>
      <c r="R271" s="24" t="n"/>
      <c r="S271" s="24" t="n"/>
      <c r="T271" s="24" t="n"/>
      <c r="U271" s="24" t="inlineStr">
        <is>
          <t>Dough-box dimensions and PP material agree.</t>
        </is>
      </c>
      <c r="V271" s="98" t="n"/>
      <c r="W271" s="98" t="n">
        <v>5897</v>
      </c>
      <c r="X271" s="24" t="inlineStr">
        <is>
          <t>YES Gastro Hungary Market Research.xlsx</t>
        </is>
      </c>
      <c r="Y271" s="24" t="inlineStr">
        <is>
          <t>Taha</t>
        </is>
      </c>
      <c r="Z271" s="24" t="n"/>
      <c r="AA271" s="24" t="inlineStr">
        <is>
          <t>Direct</t>
        </is>
      </c>
      <c r="AB271" s="24" t="inlineStr">
        <is>
          <t>HUF</t>
        </is>
      </c>
      <c r="AC271" s="24" t="inlineStr">
        <is>
          <t>yes</t>
        </is>
      </c>
      <c r="AD271" s="24">
        <f>IF(ISNUMBER(F271),IF(G271=AB271,F271,IF(AND(ISNUMBER(INDEX('Sources'!$G$7:$G$10,MATCH(G271,'Sources'!$B$7:$B$10,0))),ISNUMBER(INDEX('Sources'!$G$7:$G$10,MATCH(AB271,'Sources'!$B$7:$B$10,0)))),F271/INDEX('Sources'!$G$7:$G$10,MATCH(G271,'Sources'!$B$7:$B$10,0))*INDEX('Sources'!$G$7:$G$10,MATCH(AB271,'Sources'!$B$7:$B$10,0)),"")),"")</f>
        <v/>
      </c>
      <c r="AE271" s="24">
        <f>IF(AND(AC271="yes",ISNUMBER(F271),IF('Compare'!$H$5="All mapped",TRUE,IF('Compare'!$H$5="EXACT only",J271="EXACT",OR(J271="EXACT",J271="CLOSE")))),"yes","no")</f>
        <v/>
      </c>
      <c r="AF271" s="24">
        <f>IF(ISNUMBER(H271),COUNTIFS($B$7:$B$608,B271,$C$7:$C$608,C271,$H$7:$H$608,"&lt;"&amp;H271,$AH$7:$AH$608,"yes")+COUNTIFS($B$7:B271,B271,$C$7:C271,C271,$H$7:H271,H271,$AH$7:AH271,"yes"),"")</f>
        <v/>
      </c>
      <c r="AG271" s="24">
        <f>IF(ISNUMBER(I271),COUNTIFS($B$7:$B$608,B271,$C$7:$C$608,C271,$I$7:$I$608,"&lt;"&amp;I271,$AI$7:$AI$608,"yes")+COUNTIFS($B$7:B271,B271,$C$7:C271,C271,$I$7:I271,I271,$AI$7:AI271,"yes"),"")</f>
        <v/>
      </c>
      <c r="AH271" s="24">
        <f>IF(ISNUMBER(H271),"yes","no")</f>
        <v/>
      </c>
      <c r="AI271" s="24">
        <f>IF(ISNUMBER(I271),"yes","no")</f>
        <v/>
      </c>
      <c r="AJ271" s="101" t="n">
        <v>46199</v>
      </c>
      <c r="AK271" s="24" t="n"/>
    </row>
    <row r="272" ht="42" customHeight="1">
      <c r="A272" s="2" t="n"/>
      <c r="B272" s="27" t="inlineStr">
        <is>
          <t>PP dough box 600 × 400 × 100 mm</t>
        </is>
      </c>
      <c r="C272" s="27" t="inlineStr">
        <is>
          <t>Hungary</t>
        </is>
      </c>
      <c r="D272" s="27" t="inlineStr">
        <is>
          <t>Inox-Bázis</t>
        </is>
      </c>
      <c r="E272" s="27" t="inlineStr">
        <is>
          <t>PP Box 600 x 400 x 100 mm</t>
        </is>
      </c>
      <c r="F272" s="102" t="n">
        <v>3990</v>
      </c>
      <c r="G272" s="27" t="inlineStr">
        <is>
          <t>HUF</t>
        </is>
      </c>
      <c r="H272" s="102">
        <f>IF(AND(AE272="yes",ISNUMBER(AD272)),AD272,"")</f>
        <v/>
      </c>
      <c r="I272" s="103">
        <f>IF(AND(AE272="yes",ISNUMBER(AD272),ISNUMBER(INDEX('Sources'!$G$7:$G$10,MATCH(AB272,'Sources'!$B$7:$B$10,0)))),AD272/INDEX('Sources'!$G$7:$G$10,MATCH(AB272,'Sources'!$B$7:$B$10,0)),"")</f>
        <v/>
      </c>
      <c r="J272" s="27" t="inlineStr">
        <is>
          <t>EXACT</t>
        </is>
      </c>
      <c r="K272" s="27" t="inlineStr">
        <is>
          <t>26.06.2026</t>
        </is>
      </c>
      <c r="L272" s="71" t="n"/>
      <c r="M272" s="27" t="inlineStr">
        <is>
          <t>Source sheet: Pizza Dough Boxes &amp; Lids</t>
        </is>
      </c>
      <c r="N272" s="28" t="inlineStr">
        <is>
          <t>https://www.inoxbazis.hu/search/?q=Pizza+keleszt%C5%91+doboz</t>
        </is>
      </c>
      <c r="O272" s="27" t="n"/>
      <c r="P272" s="27" t="n"/>
      <c r="Q272" s="104" t="n"/>
      <c r="R272" s="27" t="n"/>
      <c r="S272" s="27" t="n"/>
      <c r="T272" s="27" t="n"/>
      <c r="U272" s="27" t="inlineStr">
        <is>
          <t>Dough-box dimensions and PP material agree.</t>
        </is>
      </c>
      <c r="V272" s="102" t="n"/>
      <c r="W272" s="102" t="n">
        <v>3990</v>
      </c>
      <c r="X272" s="27" t="inlineStr">
        <is>
          <t>YES Gastro Hungary Market Research.xlsx</t>
        </is>
      </c>
      <c r="Y272" s="27" t="inlineStr">
        <is>
          <t>Taha</t>
        </is>
      </c>
      <c r="Z272" s="27" t="n"/>
      <c r="AA272" s="27" t="inlineStr">
        <is>
          <t>Direct</t>
        </is>
      </c>
      <c r="AB272" s="27" t="inlineStr">
        <is>
          <t>HUF</t>
        </is>
      </c>
      <c r="AC272" s="27" t="inlineStr">
        <is>
          <t>yes</t>
        </is>
      </c>
      <c r="AD272" s="27">
        <f>IF(ISNUMBER(F272),IF(G272=AB272,F272,IF(AND(ISNUMBER(INDEX('Sources'!$G$7:$G$10,MATCH(G272,'Sources'!$B$7:$B$10,0))),ISNUMBER(INDEX('Sources'!$G$7:$G$10,MATCH(AB272,'Sources'!$B$7:$B$10,0)))),F272/INDEX('Sources'!$G$7:$G$10,MATCH(G272,'Sources'!$B$7:$B$10,0))*INDEX('Sources'!$G$7:$G$10,MATCH(AB272,'Sources'!$B$7:$B$10,0)),"")),"")</f>
        <v/>
      </c>
      <c r="AE272" s="27">
        <f>IF(AND(AC272="yes",ISNUMBER(F272),IF('Compare'!$H$5="All mapped",TRUE,IF('Compare'!$H$5="EXACT only",J272="EXACT",OR(J272="EXACT",J272="CLOSE")))),"yes","no")</f>
        <v/>
      </c>
      <c r="AF272" s="27">
        <f>IF(ISNUMBER(H272),COUNTIFS($B$7:$B$608,B272,$C$7:$C$608,C272,$H$7:$H$608,"&lt;"&amp;H272,$AH$7:$AH$608,"yes")+COUNTIFS($B$7:B272,B272,$C$7:C272,C272,$H$7:H272,H272,$AH$7:AH272,"yes"),"")</f>
        <v/>
      </c>
      <c r="AG272" s="27">
        <f>IF(ISNUMBER(I272),COUNTIFS($B$7:$B$608,B272,$C$7:$C$608,C272,$I$7:$I$608,"&lt;"&amp;I272,$AI$7:$AI$608,"yes")+COUNTIFS($B$7:B272,B272,$C$7:C272,C272,$I$7:I272,I272,$AI$7:AI272,"yes"),"")</f>
        <v/>
      </c>
      <c r="AH272" s="27">
        <f>IF(ISNUMBER(H272),"yes","no")</f>
        <v/>
      </c>
      <c r="AI272" s="27">
        <f>IF(ISNUMBER(I272),"yes","no")</f>
        <v/>
      </c>
      <c r="AJ272" s="105" t="n">
        <v>46199</v>
      </c>
      <c r="AK272" s="27" t="n"/>
    </row>
    <row r="273" ht="42" customHeight="1">
      <c r="A273" s="2" t="n"/>
      <c r="B273" s="24" t="inlineStr">
        <is>
          <t>PP dough box 600 × 400 × 100 mm</t>
        </is>
      </c>
      <c r="C273" s="24" t="inlineStr">
        <is>
          <t>Romania</t>
        </is>
      </c>
      <c r="D273" s="24" t="inlineStr">
        <is>
          <t>gastroprofesional</t>
        </is>
      </c>
      <c r="E273" s="24" t="inlineStr">
        <is>
          <t>600 x 400 x 100 mm</t>
        </is>
      </c>
      <c r="F273" s="98" t="n">
        <v>60.6</v>
      </c>
      <c r="G273" s="24" t="inlineStr">
        <is>
          <t>RON</t>
        </is>
      </c>
      <c r="H273" s="98">
        <f>IF(AND(AE273="yes",ISNUMBER(AD273)),AD273,"")</f>
        <v/>
      </c>
      <c r="I273" s="99">
        <f>IF(AND(AE273="yes",ISNUMBER(AD273),ISNUMBER(INDEX('Sources'!$G$7:$G$10,MATCH(AB273,'Sources'!$B$7:$B$10,0)))),AD273/INDEX('Sources'!$G$7:$G$10,MATCH(AB273,'Sources'!$B$7:$B$10,0)),"")</f>
        <v/>
      </c>
      <c r="J273" s="24" t="inlineStr">
        <is>
          <t>EXACT</t>
        </is>
      </c>
      <c r="K273" s="24" t="inlineStr">
        <is>
          <t>2026-09-03 00:00:00</t>
        </is>
      </c>
      <c r="L273" s="71" t="n"/>
      <c r="M273" s="24" t="inlineStr">
        <is>
          <t>PP</t>
        </is>
      </c>
      <c r="N273" s="25" t="inlineStr">
        <is>
          <t>https://gastroprofesional.ro/accesorii-horeca/accesorii-pizzerie/casete-plastic-pentru-aluat</t>
        </is>
      </c>
      <c r="O273" s="24" t="inlineStr">
        <is>
          <t>GiMetal</t>
        </is>
      </c>
      <c r="P273" s="24" t="n"/>
      <c r="Q273" s="100" t="n"/>
      <c r="R273" s="24" t="n"/>
      <c r="S273" s="24" t="n"/>
      <c r="T273" s="24" t="n"/>
      <c r="U273" s="24" t="inlineStr">
        <is>
          <t>Dough-box dimensions and PP material agree.</t>
        </is>
      </c>
      <c r="V273" s="98" t="n"/>
      <c r="W273" s="98" t="n">
        <v>12.12</v>
      </c>
      <c r="X273" s="24" t="inlineStr">
        <is>
          <t>YES Gastro Romania Market Research.xlsx</t>
        </is>
      </c>
      <c r="Y273" s="24" t="inlineStr">
        <is>
          <t>Gabi</t>
        </is>
      </c>
      <c r="Z273" s="24" t="n"/>
      <c r="AA273" s="24" t="n"/>
      <c r="AB273" s="24" t="inlineStr">
        <is>
          <t>RON</t>
        </is>
      </c>
      <c r="AC273" s="24" t="inlineStr">
        <is>
          <t>yes</t>
        </is>
      </c>
      <c r="AD273" s="24">
        <f>IF(ISNUMBER(F273),IF(G273=AB273,F273,IF(AND(ISNUMBER(INDEX('Sources'!$G$7:$G$10,MATCH(G273,'Sources'!$B$7:$B$10,0))),ISNUMBER(INDEX('Sources'!$G$7:$G$10,MATCH(AB273,'Sources'!$B$7:$B$10,0)))),F273/INDEX('Sources'!$G$7:$G$10,MATCH(G273,'Sources'!$B$7:$B$10,0))*INDEX('Sources'!$G$7:$G$10,MATCH(AB273,'Sources'!$B$7:$B$10,0)),"")),"")</f>
        <v/>
      </c>
      <c r="AE273" s="24">
        <f>IF(AND(AC273="yes",ISNUMBER(F273),IF('Compare'!$H$5="All mapped",TRUE,IF('Compare'!$H$5="EXACT only",J273="EXACT",OR(J273="EXACT",J273="CLOSE")))),"yes","no")</f>
        <v/>
      </c>
      <c r="AF273" s="24">
        <f>IF(ISNUMBER(H273),COUNTIFS($B$7:$B$608,B273,$C$7:$C$608,C273,$H$7:$H$608,"&lt;"&amp;H273,$AH$7:$AH$608,"yes")+COUNTIFS($B$7:B273,B273,$C$7:C273,C273,$H$7:H273,H273,$AH$7:AH273,"yes"),"")</f>
        <v/>
      </c>
      <c r="AG273" s="24">
        <f>IF(ISNUMBER(I273),COUNTIFS($B$7:$B$608,B273,$C$7:$C$608,C273,$I$7:$I$608,"&lt;"&amp;I273,$AI$7:$AI$608,"yes")+COUNTIFS($B$7:B273,B273,$C$7:C273,C273,$I$7:I273,I273,$AI$7:AI273,"yes"),"")</f>
        <v/>
      </c>
      <c r="AH273" s="24">
        <f>IF(ISNUMBER(H273),"yes","no")</f>
        <v/>
      </c>
      <c r="AI273" s="24">
        <f>IF(ISNUMBER(I273),"yes","no")</f>
        <v/>
      </c>
      <c r="AJ273" s="101" t="n">
        <v>46268</v>
      </c>
      <c r="AK273" s="24" t="n"/>
    </row>
    <row r="274" ht="42" customHeight="1">
      <c r="A274" s="2" t="n"/>
      <c r="B274" s="27" t="inlineStr">
        <is>
          <t>PP dough box 600 × 400 × 100 mm</t>
        </is>
      </c>
      <c r="C274" s="27" t="inlineStr">
        <is>
          <t>Austria</t>
        </is>
      </c>
      <c r="D274" s="27" t="inlineStr">
        <is>
          <t>ALLPAX Österreich</t>
        </is>
      </c>
      <c r="E274" s="27" t="inlineStr">
        <is>
          <t>AmerBox Pizzaballenbox 60 x 40 x 9,5 cm</t>
        </is>
      </c>
      <c r="F274" s="102" t="n">
        <v>13.95</v>
      </c>
      <c r="G274" s="27" t="inlineStr">
        <is>
          <t>EUR</t>
        </is>
      </c>
      <c r="H274" s="102">
        <f>IF(AND(AE274="yes",ISNUMBER(AD274)),AD274,"")</f>
        <v/>
      </c>
      <c r="I274" s="103">
        <f>IF(AND(AE274="yes",ISNUMBER(AD274),ISNUMBER(INDEX('Sources'!$G$7:$G$10,MATCH(AB274,'Sources'!$B$7:$B$10,0)))),AD274/INDEX('Sources'!$G$7:$G$10,MATCH(AB274,'Sources'!$B$7:$B$10,0)),"")</f>
        <v/>
      </c>
      <c r="J274" s="27" t="inlineStr">
        <is>
          <t>CLOSE</t>
        </is>
      </c>
      <c r="K274" s="27" t="inlineStr">
        <is>
          <t>2026-09-30</t>
        </is>
      </c>
      <c r="L274" s="71" t="n"/>
      <c r="M274" s="27" t="inlineStr">
        <is>
          <t>95 mm high and polyethylene (vs 100 mm PP), 18 l</t>
        </is>
      </c>
      <c r="N274" s="28" t="inlineStr">
        <is>
          <t>https://www.allpax.at/product_info.php/info/AmerBox-Pizzaballenbox-60-x-40-x-9-5-cm.html</t>
        </is>
      </c>
      <c r="O274" s="27" t="inlineStr">
        <is>
          <t>AmerBox</t>
        </is>
      </c>
      <c r="P274" s="27" t="inlineStr">
        <is>
          <t>excl.</t>
        </is>
      </c>
      <c r="Q274" s="104" t="n"/>
      <c r="R274" s="27" t="n">
        <v>1</v>
      </c>
      <c r="S274" s="27" t="n"/>
      <c r="T274" s="27" t="inlineStr">
        <is>
          <t>CLOSE</t>
        </is>
      </c>
      <c r="U274" s="27" t="inlineStr">
        <is>
          <t>Existing benchmark assignment and match quality retained.</t>
        </is>
      </c>
      <c r="V274" s="102" t="n">
        <v>13.95</v>
      </c>
      <c r="W274" s="102" t="n"/>
      <c r="X274" s="27" t="inlineStr">
        <is>
          <t>YES Gastro Austria Market Research.xlsx</t>
        </is>
      </c>
      <c r="Y274" s="27" t="n"/>
      <c r="Z274" s="27" t="n"/>
      <c r="AA274" s="27" t="n"/>
      <c r="AB274" s="27" t="inlineStr">
        <is>
          <t>EUR</t>
        </is>
      </c>
      <c r="AC274" s="27" t="inlineStr">
        <is>
          <t>yes</t>
        </is>
      </c>
      <c r="AD274" s="27">
        <f>IF(ISNUMBER(V274),V274,"")</f>
        <v/>
      </c>
      <c r="AE274" s="27">
        <f>IF(AND(AC274="yes",ISNUMBER(F274),IF('Compare'!$H$5="All mapped",TRUE,IF('Compare'!$H$5="EXACT only",J274="EXACT",OR(J274="EXACT",J274="CLOSE")))),"yes","no")</f>
        <v/>
      </c>
      <c r="AF274" s="27">
        <f>IF(ISNUMBER(H274),COUNTIFS($B$7:$B$608,B274,$C$7:$C$608,C274,$H$7:$H$608,"&lt;"&amp;H274,$AH$7:$AH$608,"yes")+COUNTIFS($B$7:B274,B274,$C$7:C274,C274,$H$7:H274,H274,$AH$7:AH274,"yes"),"")</f>
        <v/>
      </c>
      <c r="AG274" s="27">
        <f>IF(ISNUMBER(I274),COUNTIFS($B$7:$B$608,B274,$C$7:$C$608,C274,$I$7:$I$608,"&lt;"&amp;I274,$AI$7:$AI$608,"yes")+COUNTIFS($B$7:B274,B274,$C$7:C274,C274,$I$7:I274,I274,$AI$7:AI274,"yes"),"")</f>
        <v/>
      </c>
      <c r="AH274" s="27">
        <f>IF(ISNUMBER(H274),"yes","no")</f>
        <v/>
      </c>
      <c r="AI274" s="27">
        <f>IF(ISNUMBER(I274),"yes","no")</f>
        <v/>
      </c>
      <c r="AJ274" s="105" t="n">
        <v>46295</v>
      </c>
      <c r="AK274" s="27" t="n"/>
    </row>
    <row r="275" ht="42" customHeight="1">
      <c r="A275" s="2" t="n"/>
      <c r="B275" s="24" t="inlineStr">
        <is>
          <t>PP dough box 600 × 400 × 100 mm</t>
        </is>
      </c>
      <c r="C275" s="24" t="inlineStr">
        <is>
          <t>Austria</t>
        </is>
      </c>
      <c r="D275" s="24" t="inlineStr">
        <is>
          <t>GastroHero Österreich</t>
        </is>
      </c>
      <c r="E275" s="24" t="inlineStr">
        <is>
          <t>Pizzateigbox 18 l 600x400x95 mm</t>
        </is>
      </c>
      <c r="F275" s="98" t="n">
        <v>28.49</v>
      </c>
      <c r="G275" s="24" t="inlineStr">
        <is>
          <t>EUR</t>
        </is>
      </c>
      <c r="H275" s="98">
        <f>IF(AND(AE275="yes",ISNUMBER(AD275)),AD275,"")</f>
        <v/>
      </c>
      <c r="I275" s="99">
        <f>IF(AND(AE275="yes",ISNUMBER(AD275),ISNUMBER(INDEX('Sources'!$G$7:$G$10,MATCH(AB275,'Sources'!$B$7:$B$10,0)))),AD275/INDEX('Sources'!$G$7:$G$10,MATCH(AB275,'Sources'!$B$7:$B$10,0)),"")</f>
        <v/>
      </c>
      <c r="J275" s="24" t="inlineStr">
        <is>
          <t>CLOSE</t>
        </is>
      </c>
      <c r="K275" s="24" t="inlineStr">
        <is>
          <t>2026-09-30</t>
        </is>
      </c>
      <c r="L275" s="71" t="n"/>
      <c r="M275" s="24" t="inlineStr">
        <is>
          <t>95 mm high; material PET (not PP)</t>
        </is>
      </c>
      <c r="N275" s="25" t="inlineStr">
        <is>
          <t>https://www.gastro-hero.at/products/pizzateigbox-18-l-600x400x95-mm</t>
        </is>
      </c>
      <c r="O275" s="24" t="inlineStr">
        <is>
          <t>Hendi</t>
        </is>
      </c>
      <c r="P275" s="24" t="inlineStr">
        <is>
          <t>excl.</t>
        </is>
      </c>
      <c r="Q275" s="100" t="n"/>
      <c r="R275" s="24" t="n">
        <v>1</v>
      </c>
      <c r="S275" s="24" t="n"/>
      <c r="T275" s="24" t="inlineStr">
        <is>
          <t>CLOSE</t>
        </is>
      </c>
      <c r="U275" s="24" t="inlineStr">
        <is>
          <t>Existing benchmark assignment and match quality retained.</t>
        </is>
      </c>
      <c r="V275" s="98" t="n">
        <v>28.49</v>
      </c>
      <c r="W275" s="98" t="n"/>
      <c r="X275" s="24" t="inlineStr">
        <is>
          <t>YES Gastro Austria Market Research.xlsx</t>
        </is>
      </c>
      <c r="Y275" s="24" t="n"/>
      <c r="Z275" s="24" t="n"/>
      <c r="AA275" s="24" t="n"/>
      <c r="AB275" s="24" t="inlineStr">
        <is>
          <t>EUR</t>
        </is>
      </c>
      <c r="AC275" s="24" t="inlineStr">
        <is>
          <t>yes</t>
        </is>
      </c>
      <c r="AD275" s="24">
        <f>IF(ISNUMBER(V275),V275,"")</f>
        <v/>
      </c>
      <c r="AE275" s="24">
        <f>IF(AND(AC275="yes",ISNUMBER(F275),IF('Compare'!$H$5="All mapped",TRUE,IF('Compare'!$H$5="EXACT only",J275="EXACT",OR(J275="EXACT",J275="CLOSE")))),"yes","no")</f>
        <v/>
      </c>
      <c r="AF275" s="24">
        <f>IF(ISNUMBER(H275),COUNTIFS($B$7:$B$608,B275,$C$7:$C$608,C275,$H$7:$H$608,"&lt;"&amp;H275,$AH$7:$AH$608,"yes")+COUNTIFS($B$7:B275,B275,$C$7:C275,C275,$H$7:H275,H275,$AH$7:AH275,"yes"),"")</f>
        <v/>
      </c>
      <c r="AG275" s="24">
        <f>IF(ISNUMBER(I275),COUNTIFS($B$7:$B$608,B275,$C$7:$C$608,C275,$I$7:$I$608,"&lt;"&amp;I275,$AI$7:$AI$608,"yes")+COUNTIFS($B$7:B275,B275,$C$7:C275,C275,$I$7:I275,I275,$AI$7:AI275,"yes"),"")</f>
        <v/>
      </c>
      <c r="AH275" s="24">
        <f>IF(ISNUMBER(H275),"yes","no")</f>
        <v/>
      </c>
      <c r="AI275" s="24">
        <f>IF(ISNUMBER(I275),"yes","no")</f>
        <v/>
      </c>
      <c r="AJ275" s="101" t="n">
        <v>46295</v>
      </c>
      <c r="AK275" s="24" t="n"/>
    </row>
    <row r="276" ht="42" customHeight="1">
      <c r="A276" s="2" t="n"/>
      <c r="B276" s="27" t="inlineStr">
        <is>
          <t>PP dough box 600 × 400 × 100 mm</t>
        </is>
      </c>
      <c r="C276" s="27" t="inlineStr">
        <is>
          <t>Austria</t>
        </is>
      </c>
      <c r="D276" s="27" t="inlineStr">
        <is>
          <t>Gastrodax</t>
        </is>
      </c>
      <c r="E276" s="27" t="inlineStr">
        <is>
          <t>Hendi Pizzateigbox 600x400, AmerBox, Kitchen Line, 18L, 600x400x(H)95mm</t>
        </is>
      </c>
      <c r="F276" s="102" t="n">
        <v>21.38</v>
      </c>
      <c r="G276" s="27" t="inlineStr">
        <is>
          <t>EUR</t>
        </is>
      </c>
      <c r="H276" s="102">
        <f>IF(AND(AE276="yes",ISNUMBER(AD276)),AD276,"")</f>
        <v/>
      </c>
      <c r="I276" s="103">
        <f>IF(AND(AE276="yes",ISNUMBER(AD276),ISNUMBER(INDEX('Sources'!$G$7:$G$10,MATCH(AB276,'Sources'!$B$7:$B$10,0)))),AD276/INDEX('Sources'!$G$7:$G$10,MATCH(AB276,'Sources'!$B$7:$B$10,0)),"")</f>
        <v/>
      </c>
      <c r="J276" s="27" t="inlineStr">
        <is>
          <t>CLOSE</t>
        </is>
      </c>
      <c r="K276" s="27" t="inlineStr">
        <is>
          <t>2026-09-30</t>
        </is>
      </c>
      <c r="L276" s="71" t="n"/>
      <c r="M276" s="27" t="inlineStr">
        <is>
          <t>95 mm instead of 100 mm; material not stated</t>
        </is>
      </c>
      <c r="N276" s="28" t="inlineStr">
        <is>
          <t>https://www.gastrodax.de/hendi-pizzateig-box-kitchen-line-18-l-600-x-400-x-h-95-mm</t>
        </is>
      </c>
      <c r="O276" s="27" t="inlineStr">
        <is>
          <t>Hendi</t>
        </is>
      </c>
      <c r="P276" s="27" t="inlineStr">
        <is>
          <t>excl.</t>
        </is>
      </c>
      <c r="Q276" s="104" t="n"/>
      <c r="R276" s="27" t="n">
        <v>1</v>
      </c>
      <c r="S276" s="27" t="n"/>
      <c r="T276" s="27" t="inlineStr">
        <is>
          <t>CLOSE</t>
        </is>
      </c>
      <c r="U276" s="27" t="inlineStr">
        <is>
          <t>Existing benchmark assignment and match quality retained.</t>
        </is>
      </c>
      <c r="V276" s="102" t="n">
        <v>21.38</v>
      </c>
      <c r="W276" s="102" t="n"/>
      <c r="X276" s="27" t="inlineStr">
        <is>
          <t>YES Gastro Austria Market Research.xlsx</t>
        </is>
      </c>
      <c r="Y276" s="27" t="n"/>
      <c r="Z276" s="27" t="n"/>
      <c r="AA276" s="27" t="n"/>
      <c r="AB276" s="27" t="inlineStr">
        <is>
          <t>EUR</t>
        </is>
      </c>
      <c r="AC276" s="27" t="inlineStr">
        <is>
          <t>yes</t>
        </is>
      </c>
      <c r="AD276" s="27">
        <f>IF(ISNUMBER(V276),V276,"")</f>
        <v/>
      </c>
      <c r="AE276" s="27">
        <f>IF(AND(AC276="yes",ISNUMBER(F276),IF('Compare'!$H$5="All mapped",TRUE,IF('Compare'!$H$5="EXACT only",J276="EXACT",OR(J276="EXACT",J276="CLOSE")))),"yes","no")</f>
        <v/>
      </c>
      <c r="AF276" s="27">
        <f>IF(ISNUMBER(H276),COUNTIFS($B$7:$B$608,B276,$C$7:$C$608,C276,$H$7:$H$608,"&lt;"&amp;H276,$AH$7:$AH$608,"yes")+COUNTIFS($B$7:B276,B276,$C$7:C276,C276,$H$7:H276,H276,$AH$7:AH276,"yes"),"")</f>
        <v/>
      </c>
      <c r="AG276" s="27">
        <f>IF(ISNUMBER(I276),COUNTIFS($B$7:$B$608,B276,$C$7:$C$608,C276,$I$7:$I$608,"&lt;"&amp;I276,$AI$7:$AI$608,"yes")+COUNTIFS($B$7:B276,B276,$C$7:C276,C276,$I$7:I276,I276,$AI$7:AI276,"yes"),"")</f>
        <v/>
      </c>
      <c r="AH276" s="27">
        <f>IF(ISNUMBER(H276),"yes","no")</f>
        <v/>
      </c>
      <c r="AI276" s="27">
        <f>IF(ISNUMBER(I276),"yes","no")</f>
        <v/>
      </c>
      <c r="AJ276" s="105" t="n">
        <v>46295</v>
      </c>
      <c r="AK276" s="27" t="n"/>
    </row>
    <row r="277" ht="42" customHeight="1">
      <c r="A277" s="2" t="n"/>
      <c r="B277" s="24" t="inlineStr">
        <is>
          <t>PP dough box 600 × 400 × 100 mm</t>
        </is>
      </c>
      <c r="C277" s="24" t="inlineStr">
        <is>
          <t>Austria</t>
        </is>
      </c>
      <c r="D277" s="24" t="inlineStr">
        <is>
          <t>Gastroladen.at (Harotec GmbH)</t>
        </is>
      </c>
      <c r="E277" s="24" t="inlineStr">
        <is>
          <t>Gastronoble Stapelbarer Pizzateigbehälter 9,5cm (60x40)</t>
        </is>
      </c>
      <c r="F277" s="98" t="n">
        <v>31.9</v>
      </c>
      <c r="G277" s="24" t="inlineStr">
        <is>
          <t>EUR</t>
        </is>
      </c>
      <c r="H277" s="98">
        <f>IF(AND(AE277="yes",ISNUMBER(AD277)),AD277,"")</f>
        <v/>
      </c>
      <c r="I277" s="99">
        <f>IF(AND(AE277="yes",ISNUMBER(AD277),ISNUMBER(INDEX('Sources'!$G$7:$G$10,MATCH(AB277,'Sources'!$B$7:$B$10,0)))),AD277/INDEX('Sources'!$G$7:$G$10,MATCH(AB277,'Sources'!$B$7:$B$10,0)),"")</f>
        <v/>
      </c>
      <c r="J277" s="24" t="inlineStr">
        <is>
          <t>CLOSE</t>
        </is>
      </c>
      <c r="K277" s="24" t="inlineStr">
        <is>
          <t>2026-09-30</t>
        </is>
      </c>
      <c r="L277" s="71" t="n"/>
      <c r="M277" s="24" t="inlineStr">
        <is>
          <t>95 mm high and polyethylene (vs 100 mm PP)</t>
        </is>
      </c>
      <c r="N277" s="25" t="inlineStr">
        <is>
          <t>https://www.gastroladen.at/x1090@GN-GN537/Gastronoble-Stapelbarer-Pizzateigbeh%C3%A4lter-9-5cm.htm</t>
        </is>
      </c>
      <c r="O277" s="24" t="inlineStr">
        <is>
          <t>Gastronoble</t>
        </is>
      </c>
      <c r="P277" s="24" t="inlineStr">
        <is>
          <t>incl.</t>
        </is>
      </c>
      <c r="Q277" s="100" t="n"/>
      <c r="R277" s="24" t="n">
        <v>1</v>
      </c>
      <c r="S277" s="24" t="n"/>
      <c r="T277" s="24" t="inlineStr">
        <is>
          <t>CLOSE</t>
        </is>
      </c>
      <c r="U277" s="24" t="inlineStr">
        <is>
          <t>Existing benchmark assignment and match quality retained.</t>
        </is>
      </c>
      <c r="V277" s="98" t="n">
        <v>26.58</v>
      </c>
      <c r="W277" s="98" t="n"/>
      <c r="X277" s="24" t="inlineStr">
        <is>
          <t>YES Gastro Austria Market Research.xlsx</t>
        </is>
      </c>
      <c r="Y277" s="24" t="n"/>
      <c r="Z277" s="24" t="n"/>
      <c r="AA277" s="24" t="n"/>
      <c r="AB277" s="24" t="inlineStr">
        <is>
          <t>EUR</t>
        </is>
      </c>
      <c r="AC277" s="24" t="inlineStr">
        <is>
          <t>yes</t>
        </is>
      </c>
      <c r="AD277" s="24">
        <f>IF(ISNUMBER(V277),V277,"")</f>
        <v/>
      </c>
      <c r="AE277" s="24">
        <f>IF(AND(AC277="yes",ISNUMBER(F277),IF('Compare'!$H$5="All mapped",TRUE,IF('Compare'!$H$5="EXACT only",J277="EXACT",OR(J277="EXACT",J277="CLOSE")))),"yes","no")</f>
        <v/>
      </c>
      <c r="AF277" s="24">
        <f>IF(ISNUMBER(H277),COUNTIFS($B$7:$B$608,B277,$C$7:$C$608,C277,$H$7:$H$608,"&lt;"&amp;H277,$AH$7:$AH$608,"yes")+COUNTIFS($B$7:B277,B277,$C$7:C277,C277,$H$7:H277,H277,$AH$7:AH277,"yes"),"")</f>
        <v/>
      </c>
      <c r="AG277" s="24">
        <f>IF(ISNUMBER(I277),COUNTIFS($B$7:$B$608,B277,$C$7:$C$608,C277,$I$7:$I$608,"&lt;"&amp;I277,$AI$7:$AI$608,"yes")+COUNTIFS($B$7:B277,B277,$C$7:C277,C277,$I$7:I277,I277,$AI$7:AI277,"yes"),"")</f>
        <v/>
      </c>
      <c r="AH277" s="24">
        <f>IF(ISNUMBER(H277),"yes","no")</f>
        <v/>
      </c>
      <c r="AI277" s="24">
        <f>IF(ISNUMBER(I277),"yes","no")</f>
        <v/>
      </c>
      <c r="AJ277" s="101" t="n">
        <v>46295</v>
      </c>
      <c r="AK277" s="24" t="n"/>
    </row>
    <row r="278" ht="42" customHeight="1">
      <c r="A278" s="2" t="n"/>
      <c r="B278" s="27" t="inlineStr">
        <is>
          <t>PP dough box 600 × 400 × 100 mm</t>
        </is>
      </c>
      <c r="C278" s="27" t="inlineStr">
        <is>
          <t>Austria</t>
        </is>
      </c>
      <c r="D278" s="27" t="inlineStr">
        <is>
          <t>Intergastro (AT shop)</t>
        </is>
      </c>
      <c r="E278" s="27" t="inlineStr">
        <is>
          <t>Pizzaballenbehälter, Polyethylen 600x400x100 mm</t>
        </is>
      </c>
      <c r="F278" s="102" t="n">
        <v>21.18</v>
      </c>
      <c r="G278" s="27" t="inlineStr">
        <is>
          <t>EUR</t>
        </is>
      </c>
      <c r="H278" s="102">
        <f>IF(AND(AE278="yes",ISNUMBER(AD278)),AD278,"")</f>
        <v/>
      </c>
      <c r="I278" s="103">
        <f>IF(AND(AE278="yes",ISNUMBER(AD278),ISNUMBER(INDEX('Sources'!$G$7:$G$10,MATCH(AB278,'Sources'!$B$7:$B$10,0)))),AD278/INDEX('Sources'!$G$7:$G$10,MATCH(AB278,'Sources'!$B$7:$B$10,0)),"")</f>
        <v/>
      </c>
      <c r="J278" s="27" t="inlineStr">
        <is>
          <t>CLOSE</t>
        </is>
      </c>
      <c r="K278" s="27" t="inlineStr">
        <is>
          <t>2026-09-30</t>
        </is>
      </c>
      <c r="L278" s="71" t="n"/>
      <c r="M278" s="27" t="inlineStr">
        <is>
          <t>Polyethylene instead of PP; gross 25.42</t>
        </is>
      </c>
      <c r="N278" s="28" t="inlineStr">
        <is>
          <t>https://www.intergastro.at/pizzaballenbehaelter-polyethylen-600x400x100-mm-bxtxh-1027185</t>
        </is>
      </c>
      <c r="O278" s="27" t="inlineStr">
        <is>
          <t>Stalgast</t>
        </is>
      </c>
      <c r="P278" s="27" t="inlineStr">
        <is>
          <t>excl.</t>
        </is>
      </c>
      <c r="Q278" s="104" t="n"/>
      <c r="R278" s="27" t="n">
        <v>1</v>
      </c>
      <c r="S278" s="27" t="n"/>
      <c r="T278" s="27" t="inlineStr">
        <is>
          <t>CLOSE</t>
        </is>
      </c>
      <c r="U278" s="27" t="inlineStr">
        <is>
          <t>Existing benchmark assignment and match quality retained.</t>
        </is>
      </c>
      <c r="V278" s="102" t="n">
        <v>21.18</v>
      </c>
      <c r="W278" s="102" t="n"/>
      <c r="X278" s="27" t="inlineStr">
        <is>
          <t>YES Gastro Austria Market Research.xlsx</t>
        </is>
      </c>
      <c r="Y278" s="27" t="n"/>
      <c r="Z278" s="27" t="n"/>
      <c r="AA278" s="27" t="n"/>
      <c r="AB278" s="27" t="inlineStr">
        <is>
          <t>EUR</t>
        </is>
      </c>
      <c r="AC278" s="27" t="inlineStr">
        <is>
          <t>yes</t>
        </is>
      </c>
      <c r="AD278" s="27">
        <f>IF(ISNUMBER(V278),V278,"")</f>
        <v/>
      </c>
      <c r="AE278" s="27">
        <f>IF(AND(AC278="yes",ISNUMBER(F278),IF('Compare'!$H$5="All mapped",TRUE,IF('Compare'!$H$5="EXACT only",J278="EXACT",OR(J278="EXACT",J278="CLOSE")))),"yes","no")</f>
        <v/>
      </c>
      <c r="AF278" s="27">
        <f>IF(ISNUMBER(H278),COUNTIFS($B$7:$B$608,B278,$C$7:$C$608,C278,$H$7:$H$608,"&lt;"&amp;H278,$AH$7:$AH$608,"yes")+COUNTIFS($B$7:B278,B278,$C$7:C278,C278,$H$7:H278,H278,$AH$7:AH278,"yes"),"")</f>
        <v/>
      </c>
      <c r="AG278" s="27">
        <f>IF(ISNUMBER(I278),COUNTIFS($B$7:$B$608,B278,$C$7:$C$608,C278,$I$7:$I$608,"&lt;"&amp;I278,$AI$7:$AI$608,"yes")+COUNTIFS($B$7:B278,B278,$C$7:C278,C278,$I$7:I278,I278,$AI$7:AI278,"yes"),"")</f>
        <v/>
      </c>
      <c r="AH278" s="27">
        <f>IF(ISNUMBER(H278),"yes","no")</f>
        <v/>
      </c>
      <c r="AI278" s="27">
        <f>IF(ISNUMBER(I278),"yes","no")</f>
        <v/>
      </c>
      <c r="AJ278" s="105" t="n">
        <v>46295</v>
      </c>
      <c r="AK278" s="27" t="n"/>
    </row>
    <row r="279" ht="42" customHeight="1">
      <c r="A279" s="2" t="n"/>
      <c r="B279" s="24" t="inlineStr">
        <is>
          <t>PP dough box 600 × 400 × 100 mm</t>
        </is>
      </c>
      <c r="C279" s="24" t="inlineStr">
        <is>
          <t>Austria</t>
        </is>
      </c>
      <c r="D279" s="24" t="inlineStr">
        <is>
          <t>Jungheinrich PROFISHOP Austria</t>
        </is>
      </c>
      <c r="E279" s="24" t="inlineStr">
        <is>
          <t>Stalgast Pizzaballenbehälter aus Polypropylen 600x400x100 mm</t>
        </is>
      </c>
      <c r="F279" s="98" t="n">
        <v>28.9</v>
      </c>
      <c r="G279" s="24" t="inlineStr">
        <is>
          <t>EUR</t>
        </is>
      </c>
      <c r="H279" s="98">
        <f>IF(AND(AE279="yes",ISNUMBER(AD279)),AD279,"")</f>
        <v/>
      </c>
      <c r="I279" s="99">
        <f>IF(AND(AE279="yes",ISNUMBER(AD279),ISNUMBER(INDEX('Sources'!$G$7:$G$10,MATCH(AB279,'Sources'!$B$7:$B$10,0)))),AD279/INDEX('Sources'!$G$7:$G$10,MATCH(AB279,'Sources'!$B$7:$B$10,0)),"")</f>
        <v/>
      </c>
      <c r="J279" s="24" t="inlineStr">
        <is>
          <t>EXACT</t>
        </is>
      </c>
      <c r="K279" s="24" t="inlineStr">
        <is>
          <t>2026-09-30</t>
        </is>
      </c>
      <c r="L279" s="71" t="n"/>
      <c r="M279" s="24" t="inlineStr">
        <is>
          <t>Title says polypropylene; spec table says 'Polyethylen (PE)' (conflicting)</t>
        </is>
      </c>
      <c r="N279" s="25" t="inlineStr">
        <is>
          <t>https://www.jh-profishop.at/p/stalgast-pizzaballenbehaelter-aus-polypropylen-600x400x100-mm-bxtxh-929478-349074/</t>
        </is>
      </c>
      <c r="O279" s="24" t="inlineStr">
        <is>
          <t>Stalgast</t>
        </is>
      </c>
      <c r="P279" s="24" t="inlineStr">
        <is>
          <t>excl.</t>
        </is>
      </c>
      <c r="Q279" s="100" t="n"/>
      <c r="R279" s="24" t="n">
        <v>1</v>
      </c>
      <c r="S279" s="24" t="n"/>
      <c r="T279" s="24" t="inlineStr">
        <is>
          <t>EXACT</t>
        </is>
      </c>
      <c r="U279" s="24" t="inlineStr">
        <is>
          <t>Existing benchmark assignment and match quality retained.</t>
        </is>
      </c>
      <c r="V279" s="98" t="n">
        <v>28.9</v>
      </c>
      <c r="W279" s="98" t="n"/>
      <c r="X279" s="24" t="inlineStr">
        <is>
          <t>YES Gastro Austria Market Research.xlsx</t>
        </is>
      </c>
      <c r="Y279" s="24" t="n"/>
      <c r="Z279" s="24" t="n"/>
      <c r="AA279" s="24" t="n"/>
      <c r="AB279" s="24" t="inlineStr">
        <is>
          <t>EUR</t>
        </is>
      </c>
      <c r="AC279" s="24" t="inlineStr">
        <is>
          <t>yes</t>
        </is>
      </c>
      <c r="AD279" s="24">
        <f>IF(ISNUMBER(V279),V279,"")</f>
        <v/>
      </c>
      <c r="AE279" s="24">
        <f>IF(AND(AC279="yes",ISNUMBER(F279),IF('Compare'!$H$5="All mapped",TRUE,IF('Compare'!$H$5="EXACT only",J279="EXACT",OR(J279="EXACT",J279="CLOSE")))),"yes","no")</f>
        <v/>
      </c>
      <c r="AF279" s="24">
        <f>IF(ISNUMBER(H279),COUNTIFS($B$7:$B$608,B279,$C$7:$C$608,C279,$H$7:$H$608,"&lt;"&amp;H279,$AH$7:$AH$608,"yes")+COUNTIFS($B$7:B279,B279,$C$7:C279,C279,$H$7:H279,H279,$AH$7:AH279,"yes"),"")</f>
        <v/>
      </c>
      <c r="AG279" s="24">
        <f>IF(ISNUMBER(I279),COUNTIFS($B$7:$B$608,B279,$C$7:$C$608,C279,$I$7:$I$608,"&lt;"&amp;I279,$AI$7:$AI$608,"yes")+COUNTIFS($B$7:B279,B279,$C$7:C279,C279,$I$7:I279,I279,$AI$7:AI279,"yes"),"")</f>
        <v/>
      </c>
      <c r="AH279" s="24">
        <f>IF(ISNUMBER(H279),"yes","no")</f>
        <v/>
      </c>
      <c r="AI279" s="24">
        <f>IF(ISNUMBER(I279),"yes","no")</f>
        <v/>
      </c>
      <c r="AJ279" s="101" t="n">
        <v>46295</v>
      </c>
      <c r="AK279" s="24" t="n"/>
    </row>
    <row r="280" ht="42" customHeight="1">
      <c r="A280" s="2" t="n"/>
      <c r="B280" s="27" t="inlineStr">
        <is>
          <t>PP dough box 600 × 400 × 100 mm</t>
        </is>
      </c>
      <c r="C280" s="27" t="inlineStr">
        <is>
          <t>Austria</t>
        </is>
      </c>
      <c r="D280" s="27" t="inlineStr">
        <is>
          <t>shopbuero.com</t>
        </is>
      </c>
      <c r="E280" s="27" t="inlineStr">
        <is>
          <t>Teigwanne - weiß - rechteckig - 60,0 x 40,0 x 9,5 cm - Inhalt 18 l - Polyethylen</t>
        </is>
      </c>
      <c r="F280" s="102" t="n">
        <v>11</v>
      </c>
      <c r="G280" s="27" t="inlineStr">
        <is>
          <t>EUR</t>
        </is>
      </c>
      <c r="H280" s="102">
        <f>IF(AND(AE280="yes",ISNUMBER(AD280)),AD280,"")</f>
        <v/>
      </c>
      <c r="I280" s="103">
        <f>IF(AND(AE280="yes",ISNUMBER(AD280),ISNUMBER(INDEX('Sources'!$G$7:$G$10,MATCH(AB280,'Sources'!$B$7:$B$10,0)))),AD280/INDEX('Sources'!$G$7:$G$10,MATCH(AB280,'Sources'!$B$7:$B$10,0)),"")</f>
        <v/>
      </c>
      <c r="J280" s="27" t="inlineStr">
        <is>
          <t>CLOSE</t>
        </is>
      </c>
      <c r="K280" s="27" t="inlineStr">
        <is>
          <t>2026-09-30</t>
        </is>
      </c>
      <c r="L280" s="71" t="n"/>
      <c r="M280" s="27" t="inlineStr">
        <is>
          <t>95 mm high and polyethylene (vs 100 mm PP); regular price 17.10</t>
        </is>
      </c>
      <c r="N280" s="28" t="inlineStr">
        <is>
          <t>https://shopbuero.com/teigwanne-weiss-rechteckig-60-0-x-40-0-x-9-5-cm-inhalt-18-l-polyethylen/202172-C</t>
        </is>
      </c>
      <c r="O280" s="27" t="inlineStr">
        <is>
          <t>Schneider</t>
        </is>
      </c>
      <c r="P280" s="27" t="inlineStr">
        <is>
          <t>excl.</t>
        </is>
      </c>
      <c r="Q280" s="104" t="n"/>
      <c r="R280" s="27" t="n">
        <v>1</v>
      </c>
      <c r="S280" s="27" t="n"/>
      <c r="T280" s="27" t="inlineStr">
        <is>
          <t>CLOSE</t>
        </is>
      </c>
      <c r="U280" s="27" t="inlineStr">
        <is>
          <t>Existing benchmark assignment and match quality retained.</t>
        </is>
      </c>
      <c r="V280" s="102" t="n">
        <v>11</v>
      </c>
      <c r="W280" s="102" t="n"/>
      <c r="X280" s="27" t="inlineStr">
        <is>
          <t>YES Gastro Austria Market Research.xlsx</t>
        </is>
      </c>
      <c r="Y280" s="27" t="n"/>
      <c r="Z280" s="27" t="n"/>
      <c r="AA280" s="27" t="n"/>
      <c r="AB280" s="27" t="inlineStr">
        <is>
          <t>EUR</t>
        </is>
      </c>
      <c r="AC280" s="27" t="inlineStr">
        <is>
          <t>yes</t>
        </is>
      </c>
      <c r="AD280" s="27">
        <f>IF(ISNUMBER(V280),V280,"")</f>
        <v/>
      </c>
      <c r="AE280" s="27">
        <f>IF(AND(AC280="yes",ISNUMBER(F280),IF('Compare'!$H$5="All mapped",TRUE,IF('Compare'!$H$5="EXACT only",J280="EXACT",OR(J280="EXACT",J280="CLOSE")))),"yes","no")</f>
        <v/>
      </c>
      <c r="AF280" s="27">
        <f>IF(ISNUMBER(H280),COUNTIFS($B$7:$B$608,B280,$C$7:$C$608,C280,$H$7:$H$608,"&lt;"&amp;H280,$AH$7:$AH$608,"yes")+COUNTIFS($B$7:B280,B280,$C$7:C280,C280,$H$7:H280,H280,$AH$7:AH280,"yes"),"")</f>
        <v/>
      </c>
      <c r="AG280" s="27">
        <f>IF(ISNUMBER(I280),COUNTIFS($B$7:$B$608,B280,$C$7:$C$608,C280,$I$7:$I$608,"&lt;"&amp;I280,$AI$7:$AI$608,"yes")+COUNTIFS($B$7:B280,B280,$C$7:C280,C280,$I$7:I280,I280,$AI$7:AI280,"yes"),"")</f>
        <v/>
      </c>
      <c r="AH280" s="27">
        <f>IF(ISNUMBER(H280),"yes","no")</f>
        <v/>
      </c>
      <c r="AI280" s="27">
        <f>IF(ISNUMBER(I280),"yes","no")</f>
        <v/>
      </c>
      <c r="AJ280" s="105" t="n">
        <v>46295</v>
      </c>
      <c r="AK280" s="27" t="n"/>
    </row>
    <row r="281" ht="42" customHeight="1">
      <c r="A281" s="2" t="n"/>
      <c r="B281" s="24" t="inlineStr">
        <is>
          <t>PP dough box 600 × 400 × 100 mm</t>
        </is>
      </c>
      <c r="C281" s="24" t="inlineStr">
        <is>
          <t>Germany</t>
        </is>
      </c>
      <c r="D281" s="24" t="inlineStr">
        <is>
          <t>ALLPAX</t>
        </is>
      </c>
      <c r="E281" s="24" t="inlineStr">
        <is>
          <t>AmerBox Pizzaballenbox 60 x 40 x 9,5 cm</t>
        </is>
      </c>
      <c r="F281" s="98" t="n">
        <v>13.95</v>
      </c>
      <c r="G281" s="24" t="inlineStr">
        <is>
          <t>EUR</t>
        </is>
      </c>
      <c r="H281" s="98">
        <f>IF(AND(AE281="yes",ISNUMBER(AD281)),AD281,"")</f>
        <v/>
      </c>
      <c r="I281" s="99">
        <f>IF(AND(AE281="yes",ISNUMBER(AD281),ISNUMBER(INDEX('Sources'!$G$7:$G$10,MATCH(AB281,'Sources'!$B$7:$B$10,0)))),AD281/INDEX('Sources'!$G$7:$G$10,MATCH(AB281,'Sources'!$B$7:$B$10,0)),"")</f>
        <v/>
      </c>
      <c r="J281" s="24" t="inlineStr">
        <is>
          <t>CLOSE</t>
        </is>
      </c>
      <c r="K281" s="24" t="inlineStr">
        <is>
          <t>2026-09-30</t>
        </is>
      </c>
      <c r="L281" s="71" t="n"/>
      <c r="M281" s="24" t="inlineStr">
        <is>
          <t>95 mm high and polyethylene (vs 100 mm PP), 18 l</t>
        </is>
      </c>
      <c r="N281" s="25" t="inlineStr">
        <is>
          <t>https://www.allpax.de/product_info.php/info/AmerBox-Pizzaballenbox-60-x-40-x-9-5-cm.html</t>
        </is>
      </c>
      <c r="O281" s="24" t="inlineStr">
        <is>
          <t>AmerBox</t>
        </is>
      </c>
      <c r="P281" s="24" t="inlineStr">
        <is>
          <t>excl.</t>
        </is>
      </c>
      <c r="Q281" s="100" t="n"/>
      <c r="R281" s="24" t="n">
        <v>1</v>
      </c>
      <c r="S281" s="24" t="n"/>
      <c r="T281" s="24" t="inlineStr">
        <is>
          <t>CLOSE</t>
        </is>
      </c>
      <c r="U281" s="24" t="inlineStr">
        <is>
          <t>Existing benchmark assignment and match quality retained.</t>
        </is>
      </c>
      <c r="V281" s="98" t="n">
        <v>13.95</v>
      </c>
      <c r="W281" s="98" t="n"/>
      <c r="X281" s="24" t="inlineStr">
        <is>
          <t>YES Gastro Germany Market Research.xlsx</t>
        </is>
      </c>
      <c r="Y281" s="24" t="n"/>
      <c r="Z281" s="24" t="n"/>
      <c r="AA281" s="24" t="n"/>
      <c r="AB281" s="24" t="inlineStr">
        <is>
          <t>EUR</t>
        </is>
      </c>
      <c r="AC281" s="24" t="inlineStr">
        <is>
          <t>yes</t>
        </is>
      </c>
      <c r="AD281" s="24">
        <f>IF(ISNUMBER(V281),V281,"")</f>
        <v/>
      </c>
      <c r="AE281" s="24">
        <f>IF(AND(AC281="yes",ISNUMBER(F281),IF('Compare'!$H$5="All mapped",TRUE,IF('Compare'!$H$5="EXACT only",J281="EXACT",OR(J281="EXACT",J281="CLOSE")))),"yes","no")</f>
        <v/>
      </c>
      <c r="AF281" s="24">
        <f>IF(ISNUMBER(H281),COUNTIFS($B$7:$B$608,B281,$C$7:$C$608,C281,$H$7:$H$608,"&lt;"&amp;H281,$AH$7:$AH$608,"yes")+COUNTIFS($B$7:B281,B281,$C$7:C281,C281,$H$7:H281,H281,$AH$7:AH281,"yes"),"")</f>
        <v/>
      </c>
      <c r="AG281" s="24">
        <f>IF(ISNUMBER(I281),COUNTIFS($B$7:$B$608,B281,$C$7:$C$608,C281,$I$7:$I$608,"&lt;"&amp;I281,$AI$7:$AI$608,"yes")+COUNTIFS($B$7:B281,B281,$C$7:C281,C281,$I$7:I281,I281,$AI$7:AI281,"yes"),"")</f>
        <v/>
      </c>
      <c r="AH281" s="24">
        <f>IF(ISNUMBER(H281),"yes","no")</f>
        <v/>
      </c>
      <c r="AI281" s="24">
        <f>IF(ISNUMBER(I281),"yes","no")</f>
        <v/>
      </c>
      <c r="AJ281" s="101" t="n">
        <v>46295</v>
      </c>
      <c r="AK281" s="24" t="n"/>
    </row>
    <row r="282" ht="42" customHeight="1">
      <c r="A282" s="2" t="n"/>
      <c r="B282" s="27" t="inlineStr">
        <is>
          <t>PP dough box 600 × 400 × 100 mm</t>
        </is>
      </c>
      <c r="C282" s="27" t="inlineStr">
        <is>
          <t>Germany</t>
        </is>
      </c>
      <c r="D282" s="27" t="inlineStr">
        <is>
          <t>GGM Gastro</t>
        </is>
      </c>
      <c r="E282" s="27" t="inlineStr">
        <is>
          <t>9-tlg Teigbehälter-Set - 8 Behälter &amp; 1 Deckel - EN 600x400 - Höhe: 100mm - Polypropylen</t>
        </is>
      </c>
      <c r="F282" s="102" t="n">
        <v>73.98999999999999</v>
      </c>
      <c r="G282" s="27" t="inlineStr">
        <is>
          <t>EUR</t>
        </is>
      </c>
      <c r="H282" s="102">
        <f>IF(AND(AE282="yes",ISNUMBER(AD282)),AD282,"")</f>
        <v/>
      </c>
      <c r="I282" s="103">
        <f>IF(AND(AE282="yes",ISNUMBER(AD282),ISNUMBER(INDEX('Sources'!$G$7:$G$10,MATCH(AB282,'Sources'!$B$7:$B$10,0)))),AD282/INDEX('Sources'!$G$7:$G$10,MATCH(AB282,'Sources'!$B$7:$B$10,0)),"")</f>
        <v/>
      </c>
      <c r="J282" s="27" t="inlineStr">
        <is>
          <t>CLOSE</t>
        </is>
      </c>
      <c r="K282" s="27" t="inlineStr">
        <is>
          <t>2026-09-30</t>
        </is>
      </c>
      <c r="L282" s="71" t="n"/>
      <c r="M282" s="27" t="inlineStr">
        <is>
          <t>Only sold as a set of 8 boxes plus 1 lid; net per box includes a share of the lid</t>
        </is>
      </c>
      <c r="N282" s="28" t="inlineStr">
        <is>
          <t>https://www.ggmgastro.com/de-de-eur/9-tlg-teigbehaelter-set-8-behaelter-und-1-deckel-en-600x400-hoehe-100mm-polypropylen-weiss-tbpp6410</t>
        </is>
      </c>
      <c r="O282" s="27" t="inlineStr">
        <is>
          <t>GGM</t>
        </is>
      </c>
      <c r="P282" s="27" t="inlineStr">
        <is>
          <t>excl.</t>
        </is>
      </c>
      <c r="Q282" s="104" t="n"/>
      <c r="R282" s="27" t="n">
        <v>8</v>
      </c>
      <c r="S282" s="27" t="inlineStr">
        <is>
          <t>8 boxes + 1 lid</t>
        </is>
      </c>
      <c r="T282" s="27" t="inlineStr">
        <is>
          <t>CLOSE</t>
        </is>
      </c>
      <c r="U282" s="27" t="inlineStr">
        <is>
          <t>Existing benchmark assignment and match quality retained.</t>
        </is>
      </c>
      <c r="V282" s="102" t="n">
        <v>9.25</v>
      </c>
      <c r="W282" s="102" t="n"/>
      <c r="X282" s="27" t="inlineStr">
        <is>
          <t>YES Gastro Germany Market Research.xlsx</t>
        </is>
      </c>
      <c r="Y282" s="27" t="n"/>
      <c r="Z282" s="27" t="n"/>
      <c r="AA282" s="27" t="n"/>
      <c r="AB282" s="27" t="inlineStr">
        <is>
          <t>EUR</t>
        </is>
      </c>
      <c r="AC282" s="27" t="inlineStr">
        <is>
          <t>yes</t>
        </is>
      </c>
      <c r="AD282" s="27">
        <f>IF(ISNUMBER(V282),V282,"")</f>
        <v/>
      </c>
      <c r="AE282" s="27">
        <f>IF(AND(AC282="yes",ISNUMBER(F282),IF('Compare'!$H$5="All mapped",TRUE,IF('Compare'!$H$5="EXACT only",J282="EXACT",OR(J282="EXACT",J282="CLOSE")))),"yes","no")</f>
        <v/>
      </c>
      <c r="AF282" s="27">
        <f>IF(ISNUMBER(H282),COUNTIFS($B$7:$B$608,B282,$C$7:$C$608,C282,$H$7:$H$608,"&lt;"&amp;H282,$AH$7:$AH$608,"yes")+COUNTIFS($B$7:B282,B282,$C$7:C282,C282,$H$7:H282,H282,$AH$7:AH282,"yes"),"")</f>
        <v/>
      </c>
      <c r="AG282" s="27">
        <f>IF(ISNUMBER(I282),COUNTIFS($B$7:$B$608,B282,$C$7:$C$608,C282,$I$7:$I$608,"&lt;"&amp;I282,$AI$7:$AI$608,"yes")+COUNTIFS($B$7:B282,B282,$C$7:C282,C282,$I$7:I282,I282,$AI$7:AI282,"yes"),"")</f>
        <v/>
      </c>
      <c r="AH282" s="27">
        <f>IF(ISNUMBER(H282),"yes","no")</f>
        <v/>
      </c>
      <c r="AI282" s="27">
        <f>IF(ISNUMBER(I282),"yes","no")</f>
        <v/>
      </c>
      <c r="AJ282" s="105" t="n">
        <v>46295</v>
      </c>
      <c r="AK282" s="27" t="n"/>
    </row>
    <row r="283" ht="42" customHeight="1">
      <c r="A283" s="2" t="n"/>
      <c r="B283" s="24" t="inlineStr">
        <is>
          <t>PP dough box 600 × 400 × 100 mm</t>
        </is>
      </c>
      <c r="C283" s="24" t="inlineStr">
        <is>
          <t>Germany</t>
        </is>
      </c>
      <c r="D283" s="24" t="inlineStr">
        <is>
          <t>GastroHero</t>
        </is>
      </c>
      <c r="E283" s="24" t="inlineStr">
        <is>
          <t>Pizzateigbox 18 l 600x400x95 mm</t>
        </is>
      </c>
      <c r="F283" s="98" t="n">
        <v>11.89</v>
      </c>
      <c r="G283" s="24" t="inlineStr">
        <is>
          <t>EUR</t>
        </is>
      </c>
      <c r="H283" s="98">
        <f>IF(AND(AE283="yes",ISNUMBER(AD283)),AD283,"")</f>
        <v/>
      </c>
      <c r="I283" s="99">
        <f>IF(AND(AE283="yes",ISNUMBER(AD283),ISNUMBER(INDEX('Sources'!$G$7:$G$10,MATCH(AB283,'Sources'!$B$7:$B$10,0)))),AD283/INDEX('Sources'!$G$7:$G$10,MATCH(AB283,'Sources'!$B$7:$B$10,0)),"")</f>
        <v/>
      </c>
      <c r="J283" s="24" t="inlineStr">
        <is>
          <t>CLOSE</t>
        </is>
      </c>
      <c r="K283" s="24" t="inlineStr">
        <is>
          <t>2026-09-30</t>
        </is>
      </c>
      <c r="L283" s="71" t="n"/>
      <c r="M283" s="24" t="inlineStr">
        <is>
          <t>95 mm high; material PET (not PP)</t>
        </is>
      </c>
      <c r="N283" s="25" t="inlineStr">
        <is>
          <t>https://www.gastro-hero.de/products/pizzateigbox-18-l-600x400x95-mm</t>
        </is>
      </c>
      <c r="O283" s="24" t="inlineStr">
        <is>
          <t>Hendi</t>
        </is>
      </c>
      <c r="P283" s="24" t="inlineStr">
        <is>
          <t>excl.</t>
        </is>
      </c>
      <c r="Q283" s="100" t="n"/>
      <c r="R283" s="24" t="n">
        <v>1</v>
      </c>
      <c r="S283" s="24" t="n"/>
      <c r="T283" s="24" t="inlineStr">
        <is>
          <t>CLOSE</t>
        </is>
      </c>
      <c r="U283" s="24" t="inlineStr">
        <is>
          <t>Existing benchmark assignment and match quality retained.</t>
        </is>
      </c>
      <c r="V283" s="98" t="n">
        <v>11.89</v>
      </c>
      <c r="W283" s="98" t="n"/>
      <c r="X283" s="24" t="inlineStr">
        <is>
          <t>YES Gastro Germany Market Research.xlsx</t>
        </is>
      </c>
      <c r="Y283" s="24" t="n"/>
      <c r="Z283" s="24" t="n"/>
      <c r="AA283" s="24" t="n"/>
      <c r="AB283" s="24" t="inlineStr">
        <is>
          <t>EUR</t>
        </is>
      </c>
      <c r="AC283" s="24" t="inlineStr">
        <is>
          <t>yes</t>
        </is>
      </c>
      <c r="AD283" s="24">
        <f>IF(ISNUMBER(V283),V283,"")</f>
        <v/>
      </c>
      <c r="AE283" s="24">
        <f>IF(AND(AC283="yes",ISNUMBER(F283),IF('Compare'!$H$5="All mapped",TRUE,IF('Compare'!$H$5="EXACT only",J283="EXACT",OR(J283="EXACT",J283="CLOSE")))),"yes","no")</f>
        <v/>
      </c>
      <c r="AF283" s="24">
        <f>IF(ISNUMBER(H283),COUNTIFS($B$7:$B$608,B283,$C$7:$C$608,C283,$H$7:$H$608,"&lt;"&amp;H283,$AH$7:$AH$608,"yes")+COUNTIFS($B$7:B283,B283,$C$7:C283,C283,$H$7:H283,H283,$AH$7:AH283,"yes"),"")</f>
        <v/>
      </c>
      <c r="AG283" s="24">
        <f>IF(ISNUMBER(I283),COUNTIFS($B$7:$B$608,B283,$C$7:$C$608,C283,$I$7:$I$608,"&lt;"&amp;I283,$AI$7:$AI$608,"yes")+COUNTIFS($B$7:B283,B283,$C$7:C283,C283,$I$7:I283,I283,$AI$7:AI283,"yes"),"")</f>
        <v/>
      </c>
      <c r="AH283" s="24">
        <f>IF(ISNUMBER(H283),"yes","no")</f>
        <v/>
      </c>
      <c r="AI283" s="24">
        <f>IF(ISNUMBER(I283),"yes","no")</f>
        <v/>
      </c>
      <c r="AJ283" s="101" t="n">
        <v>46295</v>
      </c>
      <c r="AK283" s="24" t="n"/>
    </row>
    <row r="284" ht="42" customHeight="1">
      <c r="A284" s="2" t="n"/>
      <c r="B284" s="27" t="inlineStr">
        <is>
          <t>PP dough box 600 × 400 × 100 mm</t>
        </is>
      </c>
      <c r="C284" s="27" t="inlineStr">
        <is>
          <t>Germany</t>
        </is>
      </c>
      <c r="D284" s="27" t="inlineStr">
        <is>
          <t>Gastrodax [substitute]</t>
        </is>
      </c>
      <c r="E284" s="27" t="inlineStr">
        <is>
          <t>Hendi Pizzateigbox 600x400, AmerBox, Kitchen Line, 18L, 600x400x(H)95mm</t>
        </is>
      </c>
      <c r="F284" s="102" t="n">
        <v>21.38</v>
      </c>
      <c r="G284" s="27" t="inlineStr">
        <is>
          <t>EUR</t>
        </is>
      </c>
      <c r="H284" s="102">
        <f>IF(AND(AE284="yes",ISNUMBER(AD284)),AD284,"")</f>
        <v/>
      </c>
      <c r="I284" s="103">
        <f>IF(AND(AE284="yes",ISNUMBER(AD284),ISNUMBER(INDEX('Sources'!$G$7:$G$10,MATCH(AB284,'Sources'!$B$7:$B$10,0)))),AD284/INDEX('Sources'!$G$7:$G$10,MATCH(AB284,'Sources'!$B$7:$B$10,0)),"")</f>
        <v/>
      </c>
      <c r="J284" s="27" t="inlineStr">
        <is>
          <t>CLOSE</t>
        </is>
      </c>
      <c r="K284" s="27" t="inlineStr">
        <is>
          <t>2026-09-30</t>
        </is>
      </c>
      <c r="L284" s="71" t="n"/>
      <c r="M284" s="27" t="inlineStr">
        <is>
          <t>95 mm instead of 100 mm; material not stated</t>
        </is>
      </c>
      <c r="N284" s="28" t="inlineStr">
        <is>
          <t>https://www.gastrodax.de/hendi-pizzateig-box-kitchen-line-18-l-600-x-400-x-h-95-mm</t>
        </is>
      </c>
      <c r="O284" s="27" t="inlineStr">
        <is>
          <t>Hendi</t>
        </is>
      </c>
      <c r="P284" s="27" t="inlineStr">
        <is>
          <t>excl.</t>
        </is>
      </c>
      <c r="Q284" s="104" t="n"/>
      <c r="R284" s="27" t="n">
        <v>1</v>
      </c>
      <c r="S284" s="27" t="n"/>
      <c r="T284" s="27" t="inlineStr">
        <is>
          <t>CLOSE</t>
        </is>
      </c>
      <c r="U284" s="27" t="inlineStr">
        <is>
          <t>Existing benchmark assignment and match quality retained.</t>
        </is>
      </c>
      <c r="V284" s="102" t="n">
        <v>21.38</v>
      </c>
      <c r="W284" s="102" t="n"/>
      <c r="X284" s="27" t="inlineStr">
        <is>
          <t>YES Gastro Germany Market Research.xlsx</t>
        </is>
      </c>
      <c r="Y284" s="27" t="n"/>
      <c r="Z284" s="27" t="n"/>
      <c r="AA284" s="27" t="n"/>
      <c r="AB284" s="27" t="inlineStr">
        <is>
          <t>EUR</t>
        </is>
      </c>
      <c r="AC284" s="27" t="inlineStr">
        <is>
          <t>yes</t>
        </is>
      </c>
      <c r="AD284" s="27">
        <f>IF(ISNUMBER(V284),V284,"")</f>
        <v/>
      </c>
      <c r="AE284" s="27">
        <f>IF(AND(AC284="yes",ISNUMBER(F284),IF('Compare'!$H$5="All mapped",TRUE,IF('Compare'!$H$5="EXACT only",J284="EXACT",OR(J284="EXACT",J284="CLOSE")))),"yes","no")</f>
        <v/>
      </c>
      <c r="AF284" s="27">
        <f>IF(ISNUMBER(H284),COUNTIFS($B$7:$B$608,B284,$C$7:$C$608,C284,$H$7:$H$608,"&lt;"&amp;H284,$AH$7:$AH$608,"yes")+COUNTIFS($B$7:B284,B284,$C$7:C284,C284,$H$7:H284,H284,$AH$7:AH284,"yes"),"")</f>
        <v/>
      </c>
      <c r="AG284" s="27">
        <f>IF(ISNUMBER(I284),COUNTIFS($B$7:$B$608,B284,$C$7:$C$608,C284,$I$7:$I$608,"&lt;"&amp;I284,$AI$7:$AI$608,"yes")+COUNTIFS($B$7:B284,B284,$C$7:C284,C284,$I$7:I284,I284,$AI$7:AI284,"yes"),"")</f>
        <v/>
      </c>
      <c r="AH284" s="27">
        <f>IF(ISNUMBER(H284),"yes","no")</f>
        <v/>
      </c>
      <c r="AI284" s="27">
        <f>IF(ISNUMBER(I284),"yes","no")</f>
        <v/>
      </c>
      <c r="AJ284" s="105" t="n">
        <v>46295</v>
      </c>
      <c r="AK284" s="27" t="n"/>
    </row>
    <row r="285" ht="42" customHeight="1">
      <c r="A285" s="2" t="n"/>
      <c r="B285" s="24" t="inlineStr">
        <is>
          <t>PP dough box 600 × 400 × 100 mm</t>
        </is>
      </c>
      <c r="C285" s="24" t="inlineStr">
        <is>
          <t>Germany</t>
        </is>
      </c>
      <c r="D285" s="24" t="inlineStr">
        <is>
          <t>Gastroladen.de (Harotec GmbH) [substitute]</t>
        </is>
      </c>
      <c r="E285" s="24" t="inlineStr">
        <is>
          <t>Gastronoble Stapelbarer Pizzateigbehälter 9,5cm (60x40)</t>
        </is>
      </c>
      <c r="F285" s="98" t="n">
        <v>31.9</v>
      </c>
      <c r="G285" s="24" t="inlineStr">
        <is>
          <t>EUR</t>
        </is>
      </c>
      <c r="H285" s="98">
        <f>IF(AND(AE285="yes",ISNUMBER(AD285)),AD285,"")</f>
        <v/>
      </c>
      <c r="I285" s="99">
        <f>IF(AND(AE285="yes",ISNUMBER(AD285),ISNUMBER(INDEX('Sources'!$G$7:$G$10,MATCH(AB285,'Sources'!$B$7:$B$10,0)))),AD285/INDEX('Sources'!$G$7:$G$10,MATCH(AB285,'Sources'!$B$7:$B$10,0)),"")</f>
        <v/>
      </c>
      <c r="J285" s="24" t="inlineStr">
        <is>
          <t>CLOSE</t>
        </is>
      </c>
      <c r="K285" s="24" t="inlineStr">
        <is>
          <t>2026-09-30</t>
        </is>
      </c>
      <c r="L285" s="71" t="n"/>
      <c r="M285" s="24" t="inlineStr">
        <is>
          <t>95 mm high and polyethylene (vs 100 mm PP)</t>
        </is>
      </c>
      <c r="N285" s="25" t="inlineStr">
        <is>
          <t>https://www.gastroladen.de/x1090@GN-GN537/Gastronoble-Stapelbarer-Pizzateigbeh%C3%A4lter-9-5cm.htm</t>
        </is>
      </c>
      <c r="O285" s="24" t="inlineStr">
        <is>
          <t>Gastronoble</t>
        </is>
      </c>
      <c r="P285" s="24" t="inlineStr">
        <is>
          <t>incl.</t>
        </is>
      </c>
      <c r="Q285" s="100" t="n"/>
      <c r="R285" s="24" t="n">
        <v>1</v>
      </c>
      <c r="S285" s="24" t="n"/>
      <c r="T285" s="24" t="inlineStr">
        <is>
          <t>CLOSE</t>
        </is>
      </c>
      <c r="U285" s="24" t="inlineStr">
        <is>
          <t>Existing benchmark assignment and match quality retained.</t>
        </is>
      </c>
      <c r="V285" s="98" t="n">
        <v>26.81</v>
      </c>
      <c r="W285" s="98" t="n"/>
      <c r="X285" s="24" t="inlineStr">
        <is>
          <t>YES Gastro Germany Market Research.xlsx</t>
        </is>
      </c>
      <c r="Y285" s="24" t="n"/>
      <c r="Z285" s="24" t="n"/>
      <c r="AA285" s="24" t="n"/>
      <c r="AB285" s="24" t="inlineStr">
        <is>
          <t>EUR</t>
        </is>
      </c>
      <c r="AC285" s="24" t="inlineStr">
        <is>
          <t>yes</t>
        </is>
      </c>
      <c r="AD285" s="24">
        <f>IF(ISNUMBER(V285),V285,"")</f>
        <v/>
      </c>
      <c r="AE285" s="24">
        <f>IF(AND(AC285="yes",ISNUMBER(F285),IF('Compare'!$H$5="All mapped",TRUE,IF('Compare'!$H$5="EXACT only",J285="EXACT",OR(J285="EXACT",J285="CLOSE")))),"yes","no")</f>
        <v/>
      </c>
      <c r="AF285" s="24">
        <f>IF(ISNUMBER(H285),COUNTIFS($B$7:$B$608,B285,$C$7:$C$608,C285,$H$7:$H$608,"&lt;"&amp;H285,$AH$7:$AH$608,"yes")+COUNTIFS($B$7:B285,B285,$C$7:C285,C285,$H$7:H285,H285,$AH$7:AH285,"yes"),"")</f>
        <v/>
      </c>
      <c r="AG285" s="24">
        <f>IF(ISNUMBER(I285),COUNTIFS($B$7:$B$608,B285,$C$7:$C$608,C285,$I$7:$I$608,"&lt;"&amp;I285,$AI$7:$AI$608,"yes")+COUNTIFS($B$7:B285,B285,$C$7:C285,C285,$I$7:I285,I285,$AI$7:AI285,"yes"),"")</f>
        <v/>
      </c>
      <c r="AH285" s="24">
        <f>IF(ISNUMBER(H285),"yes","no")</f>
        <v/>
      </c>
      <c r="AI285" s="24">
        <f>IF(ISNUMBER(I285),"yes","no")</f>
        <v/>
      </c>
      <c r="AJ285" s="101" t="n">
        <v>46295</v>
      </c>
      <c r="AK285" s="24" t="n"/>
    </row>
    <row r="286" ht="42" customHeight="1">
      <c r="A286" s="2" t="n"/>
      <c r="B286" s="27" t="inlineStr">
        <is>
          <t>PP dough box 600 × 400 × 100 mm</t>
        </is>
      </c>
      <c r="C286" s="27" t="inlineStr">
        <is>
          <t>Germany</t>
        </is>
      </c>
      <c r="D286" s="27" t="inlineStr">
        <is>
          <t>Intergastro</t>
        </is>
      </c>
      <c r="E286" s="27" t="inlineStr">
        <is>
          <t>Pizzaballenbehälter, Polyethylen 600x400x100 mm</t>
        </is>
      </c>
      <c r="F286" s="102" t="n">
        <v>21.18</v>
      </c>
      <c r="G286" s="27" t="inlineStr">
        <is>
          <t>EUR</t>
        </is>
      </c>
      <c r="H286" s="102">
        <f>IF(AND(AE286="yes",ISNUMBER(AD286)),AD286,"")</f>
        <v/>
      </c>
      <c r="I286" s="103">
        <f>IF(AND(AE286="yes",ISNUMBER(AD286),ISNUMBER(INDEX('Sources'!$G$7:$G$10,MATCH(AB286,'Sources'!$B$7:$B$10,0)))),AD286/INDEX('Sources'!$G$7:$G$10,MATCH(AB286,'Sources'!$B$7:$B$10,0)),"")</f>
        <v/>
      </c>
      <c r="J286" s="27" t="inlineStr">
        <is>
          <t>CLOSE</t>
        </is>
      </c>
      <c r="K286" s="27" t="inlineStr">
        <is>
          <t>2026-09-30</t>
        </is>
      </c>
      <c r="L286" s="71" t="n"/>
      <c r="M286" s="27" t="inlineStr">
        <is>
          <t>Polyethylene instead of PP</t>
        </is>
      </c>
      <c r="N286" s="28" t="inlineStr">
        <is>
          <t>https://www.intergastro.de/pizzaballenbehaelter-polyethylen-600x400x100-mm-bxtxh-1027185</t>
        </is>
      </c>
      <c r="O286" s="27" t="inlineStr">
        <is>
          <t>Stalgast</t>
        </is>
      </c>
      <c r="P286" s="27" t="inlineStr">
        <is>
          <t>excl.</t>
        </is>
      </c>
      <c r="Q286" s="104" t="n"/>
      <c r="R286" s="27" t="n">
        <v>1</v>
      </c>
      <c r="S286" s="27" t="n"/>
      <c r="T286" s="27" t="inlineStr">
        <is>
          <t>CLOSE</t>
        </is>
      </c>
      <c r="U286" s="27" t="inlineStr">
        <is>
          <t>Existing benchmark assignment and match quality retained.</t>
        </is>
      </c>
      <c r="V286" s="102" t="n">
        <v>21.18</v>
      </c>
      <c r="W286" s="102" t="n"/>
      <c r="X286" s="27" t="inlineStr">
        <is>
          <t>YES Gastro Germany Market Research.xlsx</t>
        </is>
      </c>
      <c r="Y286" s="27" t="n"/>
      <c r="Z286" s="27" t="n"/>
      <c r="AA286" s="27" t="n"/>
      <c r="AB286" s="27" t="inlineStr">
        <is>
          <t>EUR</t>
        </is>
      </c>
      <c r="AC286" s="27" t="inlineStr">
        <is>
          <t>yes</t>
        </is>
      </c>
      <c r="AD286" s="27">
        <f>IF(ISNUMBER(V286),V286,"")</f>
        <v/>
      </c>
      <c r="AE286" s="27">
        <f>IF(AND(AC286="yes",ISNUMBER(F286),IF('Compare'!$H$5="All mapped",TRUE,IF('Compare'!$H$5="EXACT only",J286="EXACT",OR(J286="EXACT",J286="CLOSE")))),"yes","no")</f>
        <v/>
      </c>
      <c r="AF286" s="27">
        <f>IF(ISNUMBER(H286),COUNTIFS($B$7:$B$608,B286,$C$7:$C$608,C286,$H$7:$H$608,"&lt;"&amp;H286,$AH$7:$AH$608,"yes")+COUNTIFS($B$7:B286,B286,$C$7:C286,C286,$H$7:H286,H286,$AH$7:AH286,"yes"),"")</f>
        <v/>
      </c>
      <c r="AG286" s="27">
        <f>IF(ISNUMBER(I286),COUNTIFS($B$7:$B$608,B286,$C$7:$C$608,C286,$I$7:$I$608,"&lt;"&amp;I286,$AI$7:$AI$608,"yes")+COUNTIFS($B$7:B286,B286,$C$7:C286,C286,$I$7:I286,I286,$AI$7:AI286,"yes"),"")</f>
        <v/>
      </c>
      <c r="AH286" s="27">
        <f>IF(ISNUMBER(H286),"yes","no")</f>
        <v/>
      </c>
      <c r="AI286" s="27">
        <f>IF(ISNUMBER(I286),"yes","no")</f>
        <v/>
      </c>
      <c r="AJ286" s="105" t="n">
        <v>46295</v>
      </c>
      <c r="AK286" s="27" t="n"/>
    </row>
    <row r="287" ht="42" customHeight="1">
      <c r="A287" s="2" t="n"/>
      <c r="B287" s="24" t="inlineStr">
        <is>
          <t>PP dough box 600 × 400 × 100 mm</t>
        </is>
      </c>
      <c r="C287" s="24" t="inlineStr">
        <is>
          <t>Germany</t>
        </is>
      </c>
      <c r="D287" s="24" t="inlineStr">
        <is>
          <t>Nisbets</t>
        </is>
      </c>
      <c r="E287" s="24" t="inlineStr">
        <is>
          <t>Stapelbarer Pizzateigbehälter 9,5cm (60x40)</t>
        </is>
      </c>
      <c r="F287" s="98" t="n">
        <v>25.99</v>
      </c>
      <c r="G287" s="24" t="inlineStr">
        <is>
          <t>EUR</t>
        </is>
      </c>
      <c r="H287" s="98">
        <f>IF(AND(AE287="yes",ISNUMBER(AD287)),AD287,"")</f>
        <v/>
      </c>
      <c r="I287" s="99">
        <f>IF(AND(AE287="yes",ISNUMBER(AD287),ISNUMBER(INDEX('Sources'!$G$7:$G$10,MATCH(AB287,'Sources'!$B$7:$B$10,0)))),AD287/INDEX('Sources'!$G$7:$G$10,MATCH(AB287,'Sources'!$B$7:$B$10,0)),"")</f>
        <v/>
      </c>
      <c r="J287" s="24" t="inlineStr">
        <is>
          <t>CLOSE</t>
        </is>
      </c>
      <c r="K287" s="24" t="inlineStr">
        <is>
          <t>2026-09-30</t>
        </is>
      </c>
      <c r="L287" s="71" t="n"/>
      <c r="M287" s="24" t="inlineStr">
        <is>
          <t>95 mm high and polyethylene (vs 100 mm PP)</t>
        </is>
      </c>
      <c r="N287" s="25" t="inlineStr">
        <is>
          <t>https://www.nisbets.de/stapelbarer-pizzateigbehlter-95mm/gn537</t>
        </is>
      </c>
      <c r="O287" s="24" t="inlineStr">
        <is>
          <t>Gastronoble</t>
        </is>
      </c>
      <c r="P287" s="24" t="inlineStr">
        <is>
          <t>excl.</t>
        </is>
      </c>
      <c r="Q287" s="100" t="n"/>
      <c r="R287" s="24" t="n">
        <v>1</v>
      </c>
      <c r="S287" s="24" t="n"/>
      <c r="T287" s="24" t="inlineStr">
        <is>
          <t>CLOSE</t>
        </is>
      </c>
      <c r="U287" s="24" t="inlineStr">
        <is>
          <t>Existing benchmark assignment and match quality retained.</t>
        </is>
      </c>
      <c r="V287" s="98" t="n">
        <v>25.99</v>
      </c>
      <c r="W287" s="98" t="n"/>
      <c r="X287" s="24" t="inlineStr">
        <is>
          <t>YES Gastro Germany Market Research.xlsx</t>
        </is>
      </c>
      <c r="Y287" s="24" t="n"/>
      <c r="Z287" s="24" t="n"/>
      <c r="AA287" s="24" t="n"/>
      <c r="AB287" s="24" t="inlineStr">
        <is>
          <t>EUR</t>
        </is>
      </c>
      <c r="AC287" s="24" t="inlineStr">
        <is>
          <t>yes</t>
        </is>
      </c>
      <c r="AD287" s="24">
        <f>IF(ISNUMBER(V287),V287,"")</f>
        <v/>
      </c>
      <c r="AE287" s="24">
        <f>IF(AND(AC287="yes",ISNUMBER(F287),IF('Compare'!$H$5="All mapped",TRUE,IF('Compare'!$H$5="EXACT only",J287="EXACT",OR(J287="EXACT",J287="CLOSE")))),"yes","no")</f>
        <v/>
      </c>
      <c r="AF287" s="24">
        <f>IF(ISNUMBER(H287),COUNTIFS($B$7:$B$608,B287,$C$7:$C$608,C287,$H$7:$H$608,"&lt;"&amp;H287,$AH$7:$AH$608,"yes")+COUNTIFS($B$7:B287,B287,$C$7:C287,C287,$H$7:H287,H287,$AH$7:AH287,"yes"),"")</f>
        <v/>
      </c>
      <c r="AG287" s="24">
        <f>IF(ISNUMBER(I287),COUNTIFS($B$7:$B$608,B287,$C$7:$C$608,C287,$I$7:$I$608,"&lt;"&amp;I287,$AI$7:$AI$608,"yes")+COUNTIFS($B$7:B287,B287,$C$7:C287,C287,$I$7:I287,I287,$AI$7:AI287,"yes"),"")</f>
        <v/>
      </c>
      <c r="AH287" s="24">
        <f>IF(ISNUMBER(H287),"yes","no")</f>
        <v/>
      </c>
      <c r="AI287" s="24">
        <f>IF(ISNUMBER(I287),"yes","no")</f>
        <v/>
      </c>
      <c r="AJ287" s="101" t="n">
        <v>46295</v>
      </c>
      <c r="AK287" s="24" t="n"/>
    </row>
    <row r="288" ht="66" customHeight="1">
      <c r="A288" s="2" t="n"/>
      <c r="B288" s="27" t="inlineStr">
        <is>
          <t>PP dough box 600 × 400 × 100 mm</t>
        </is>
      </c>
      <c r="C288" s="27" t="inlineStr">
        <is>
          <t>Czech</t>
        </is>
      </c>
      <c r="D288" s="27" t="inlineStr">
        <is>
          <t>GGM Gastro (CZ storefront)</t>
        </is>
      </c>
      <c r="E288" s="27" t="inlineStr">
        <is>
          <t>(9 tlg) Přepravka na těsto-set - 8 nádob &amp; 1 víko - EN 600x400 - Výška: 100 mm - Polypropylen - bílá</t>
        </is>
      </c>
      <c r="F288" s="102" t="n">
        <v>2044.23</v>
      </c>
      <c r="G288" s="27" t="inlineStr">
        <is>
          <t>CZK</t>
        </is>
      </c>
      <c r="H288" s="102">
        <f>IF(AND(AE288="yes",ISNUMBER(AD288)),AD288,"")</f>
        <v/>
      </c>
      <c r="I288" s="103">
        <f>IF(AND(AE288="yes",ISNUMBER(AD288),ISNUMBER(INDEX('Sources'!$G$7:$G$10,MATCH(AB288,'Sources'!$B$7:$B$10,0)))),AD288/INDEX('Sources'!$G$7:$G$10,MATCH(AB288,'Sources'!$B$7:$B$10,0)),"")</f>
        <v/>
      </c>
      <c r="J288" s="27" t="inlineStr">
        <is>
          <t>CLOSE</t>
        </is>
      </c>
      <c r="K288" s="27" t="inlineStr">
        <is>
          <t>2026-09-30</t>
        </is>
      </c>
      <c r="L288" s="71" t="n"/>
      <c r="M288" s="27" t="inlineStr">
        <is>
          <t>Net CZK price as displayed; page footnote: "* čistá cena | hrubá cena vč. 19% DPH" (German VAT 19% used on the CZ storefront). SKU TBPP6410: set of 8 PP boxes 600x400x100 + 1 lid (not sold singly); per-piece value = set price / 8 boxes and therefore includes the lid - flagged. Gross 2,432.63 CZK.</t>
        </is>
      </c>
      <c r="N288" s="28" t="inlineStr">
        <is>
          <t>https://www.ggmgastro.com/cs-cz-czk/9-tlg-prepravka-na-testo-set-8-nadob-und-1-viko-en-600x400-vyska-100-mm-polypropylen-bila-tbpp6410</t>
        </is>
      </c>
      <c r="O288" s="27" t="inlineStr">
        <is>
          <t>GGM</t>
        </is>
      </c>
      <c r="P288" s="27" t="inlineStr">
        <is>
          <t>excl.</t>
        </is>
      </c>
      <c r="Q288" s="104" t="n">
        <v>0.19</v>
      </c>
      <c r="R288" s="27" t="n">
        <v>8</v>
      </c>
      <c r="S288" s="27" t="inlineStr">
        <is>
          <t>per pack</t>
        </is>
      </c>
      <c r="T288" s="27" t="inlineStr">
        <is>
          <t>CLOSE</t>
        </is>
      </c>
      <c r="U288" s="27" t="inlineStr">
        <is>
          <t>Existing benchmark assignment and match quality retained.</t>
        </is>
      </c>
      <c r="V288" s="102" t="n"/>
      <c r="W288" s="102" t="n"/>
      <c r="X288" s="27" t="inlineStr">
        <is>
          <t>YES Gastro Czech Market Research.xlsx</t>
        </is>
      </c>
      <c r="Y288" s="27" t="n"/>
      <c r="Z288" s="27" t="n"/>
      <c r="AA288" s="27" t="n"/>
      <c r="AB288" s="27" t="inlineStr">
        <is>
          <t>CZK</t>
        </is>
      </c>
      <c r="AC288" s="27" t="inlineStr">
        <is>
          <t>yes</t>
        </is>
      </c>
      <c r="AD288" s="27">
        <f>IF(OR(F288="",Q288="",R288=""),"",ROUND(IF(P288="incl.",F288/(1+Q288),F288)/IF(S288="per pack",R288,1),2))</f>
        <v/>
      </c>
      <c r="AE288" s="27">
        <f>IF(AND(AC288="yes",ISNUMBER(F288),IF('Compare'!$H$5="All mapped",TRUE,IF('Compare'!$H$5="EXACT only",J288="EXACT",OR(J288="EXACT",J288="CLOSE")))),"yes","no")</f>
        <v/>
      </c>
      <c r="AF288" s="27">
        <f>IF(ISNUMBER(H288),COUNTIFS($B$7:$B$608,B288,$C$7:$C$608,C288,$H$7:$H$608,"&lt;"&amp;H288,$AH$7:$AH$608,"yes")+COUNTIFS($B$7:B288,B288,$C$7:C288,C288,$H$7:H288,H288,$AH$7:AH288,"yes"),"")</f>
        <v/>
      </c>
      <c r="AG288" s="27">
        <f>IF(ISNUMBER(I288),COUNTIFS($B$7:$B$608,B288,$C$7:$C$608,C288,$I$7:$I$608,"&lt;"&amp;I288,$AI$7:$AI$608,"yes")+COUNTIFS($B$7:B288,B288,$C$7:C288,C288,$I$7:I288,I288,$AI$7:AI288,"yes"),"")</f>
        <v/>
      </c>
      <c r="AH288" s="27">
        <f>IF(ISNUMBER(H288),"yes","no")</f>
        <v/>
      </c>
      <c r="AI288" s="27">
        <f>IF(ISNUMBER(I288),"yes","no")</f>
        <v/>
      </c>
      <c r="AJ288" s="105" t="n">
        <v>46295</v>
      </c>
      <c r="AK288" s="27" t="n"/>
    </row>
    <row r="289" ht="42" customHeight="1">
      <c r="A289" s="2" t="n"/>
      <c r="B289" s="24" t="inlineStr">
        <is>
          <t>PP dough box 600 × 400 × 100 mm</t>
        </is>
      </c>
      <c r="C289" s="24" t="inlineStr">
        <is>
          <t>Czech</t>
        </is>
      </c>
      <c r="D289" s="24" t="inlineStr">
        <is>
          <t>Gastro Novotný</t>
        </is>
      </c>
      <c r="E289" s="24" t="inlineStr">
        <is>
          <t>Přepravka na pizzu 60x40x9cm</t>
        </is>
      </c>
      <c r="F289" s="98" t="n">
        <v>390</v>
      </c>
      <c r="G289" s="24" t="inlineStr">
        <is>
          <t>CZK</t>
        </is>
      </c>
      <c r="H289" s="98">
        <f>IF(AND(AE289="yes",ISNUMBER(AD289)),AD289,"")</f>
        <v/>
      </c>
      <c r="I289" s="99">
        <f>IF(AND(AE289="yes",ISNUMBER(AD289),ISNUMBER(INDEX('Sources'!$G$7:$G$10,MATCH(AB289,'Sources'!$B$7:$B$10,0)))),AD289/INDEX('Sources'!$G$7:$G$10,MATCH(AB289,'Sources'!$B$7:$B$10,0)),"")</f>
        <v/>
      </c>
      <c r="J289" s="24" t="inlineStr">
        <is>
          <t>CLOSE</t>
        </is>
      </c>
      <c r="K289" s="24" t="inlineStr">
        <is>
          <t>2026-09-30</t>
        </is>
      </c>
      <c r="L289" s="71" t="n"/>
      <c r="M289" s="24" t="inlineStr">
        <is>
          <t>600 x 400 x 90 mm (not 100 mm); material NOT stated on page (flagged). 471.90 CZK incl. VAT. Availability "Na dotaz". No lid listed.</t>
        </is>
      </c>
      <c r="N289" s="25" t="inlineStr">
        <is>
          <t>https://eshop.gastronovotny.cz/prepravka-na-pizzu-60x40x9cm--1841762-09/</t>
        </is>
      </c>
      <c r="O289" s="24" t="n"/>
      <c r="P289" s="24" t="inlineStr">
        <is>
          <t>excl.</t>
        </is>
      </c>
      <c r="Q289" s="100" t="n">
        <v>0.21</v>
      </c>
      <c r="R289" s="24" t="n">
        <v>1</v>
      </c>
      <c r="S289" s="24" t="inlineStr">
        <is>
          <t>per piece</t>
        </is>
      </c>
      <c r="T289" s="24" t="inlineStr">
        <is>
          <t>CLOSE</t>
        </is>
      </c>
      <c r="U289" s="24" t="inlineStr">
        <is>
          <t>Existing benchmark assignment and match quality retained.</t>
        </is>
      </c>
      <c r="V289" s="98" t="n"/>
      <c r="W289" s="98" t="n"/>
      <c r="X289" s="24" t="inlineStr">
        <is>
          <t>YES Gastro Czech Market Research.xlsx</t>
        </is>
      </c>
      <c r="Y289" s="24" t="n"/>
      <c r="Z289" s="24" t="n"/>
      <c r="AA289" s="24" t="n"/>
      <c r="AB289" s="24" t="inlineStr">
        <is>
          <t>CZK</t>
        </is>
      </c>
      <c r="AC289" s="24" t="inlineStr">
        <is>
          <t>yes</t>
        </is>
      </c>
      <c r="AD289" s="24">
        <f>IF(OR(F289="",Q289="",R289=""),"",ROUND(IF(P289="incl.",F289/(1+Q289),F289)/IF(S289="per pack",R289,1),2))</f>
        <v/>
      </c>
      <c r="AE289" s="24">
        <f>IF(AND(AC289="yes",ISNUMBER(F289),IF('Compare'!$H$5="All mapped",TRUE,IF('Compare'!$H$5="EXACT only",J289="EXACT",OR(J289="EXACT",J289="CLOSE")))),"yes","no")</f>
        <v/>
      </c>
      <c r="AF289" s="24">
        <f>IF(ISNUMBER(H289),COUNTIFS($B$7:$B$608,B289,$C$7:$C$608,C289,$H$7:$H$608,"&lt;"&amp;H289,$AH$7:$AH$608,"yes")+COUNTIFS($B$7:B289,B289,$C$7:C289,C289,$H$7:H289,H289,$AH$7:AH289,"yes"),"")</f>
        <v/>
      </c>
      <c r="AG289" s="24">
        <f>IF(ISNUMBER(I289),COUNTIFS($B$7:$B$608,B289,$C$7:$C$608,C289,$I$7:$I$608,"&lt;"&amp;I289,$AI$7:$AI$608,"yes")+COUNTIFS($B$7:B289,B289,$C$7:C289,C289,$I$7:I289,I289,$AI$7:AI289,"yes"),"")</f>
        <v/>
      </c>
      <c r="AH289" s="24">
        <f>IF(ISNUMBER(H289),"yes","no")</f>
        <v/>
      </c>
      <c r="AI289" s="24">
        <f>IF(ISNUMBER(I289),"yes","no")</f>
        <v/>
      </c>
      <c r="AJ289" s="101" t="n">
        <v>46295</v>
      </c>
      <c r="AK289" s="24" t="n"/>
    </row>
    <row r="290" ht="42" customHeight="1">
      <c r="A290" s="2" t="n"/>
      <c r="B290" s="27" t="inlineStr">
        <is>
          <t>PP dough box 600 × 400 × 100 mm</t>
        </is>
      </c>
      <c r="C290" s="27" t="inlineStr">
        <is>
          <t>Czech</t>
        </is>
      </c>
      <c r="D290" s="27" t="inlineStr">
        <is>
          <t>Gastromania</t>
        </is>
      </c>
      <c r="E290" s="27" t="inlineStr">
        <is>
          <t>Nádoba na těsto na pizzu, polyetylenová, 600x400x100 mm | STALGAST, 563410</t>
        </is>
      </c>
      <c r="F290" s="102" t="n">
        <v>463</v>
      </c>
      <c r="G290" s="27" t="inlineStr">
        <is>
          <t>CZK</t>
        </is>
      </c>
      <c r="H290" s="102">
        <f>IF(AND(AE290="yes",ISNUMBER(AD290)),AD290,"")</f>
        <v/>
      </c>
      <c r="I290" s="103">
        <f>IF(AND(AE290="yes",ISNUMBER(AD290),ISNUMBER(INDEX('Sources'!$G$7:$G$10,MATCH(AB290,'Sources'!$B$7:$B$10,0)))),AD290/INDEX('Sources'!$G$7:$G$10,MATCH(AB290,'Sources'!$B$7:$B$10,0)),"")</f>
        <v/>
      </c>
      <c r="J290" s="27" t="inlineStr">
        <is>
          <t>CLOSE</t>
        </is>
      </c>
      <c r="K290" s="27" t="inlineStr">
        <is>
          <t>2026-09-30</t>
        </is>
      </c>
      <c r="L290" s="71" t="n"/>
      <c r="M290" s="27" t="inlineStr">
        <is>
          <t>600 x 400 x 100 mm; material conflicting: title says polyethylene, parameters say polypropylene (flagged). 560 CZK incl.; in stock.</t>
        </is>
      </c>
      <c r="N290" s="28" t="inlineStr">
        <is>
          <t>https://www.gastromania.cz/kose-na-pizza-testo/nadoba-na-testo-na-pizzu-polyetylenova-600x400x100-mm-stalgast-563410</t>
        </is>
      </c>
      <c r="O290" s="27" t="inlineStr">
        <is>
          <t>Stalgast</t>
        </is>
      </c>
      <c r="P290" s="27" t="inlineStr">
        <is>
          <t>excl.</t>
        </is>
      </c>
      <c r="Q290" s="104" t="n">
        <v>0.21</v>
      </c>
      <c r="R290" s="27" t="n">
        <v>1</v>
      </c>
      <c r="S290" s="27" t="inlineStr">
        <is>
          <t>per piece</t>
        </is>
      </c>
      <c r="T290" s="27" t="inlineStr">
        <is>
          <t>CLOSE</t>
        </is>
      </c>
      <c r="U290" s="27" t="inlineStr">
        <is>
          <t>Existing benchmark assignment and match quality retained.</t>
        </is>
      </c>
      <c r="V290" s="102" t="n"/>
      <c r="W290" s="102" t="n"/>
      <c r="X290" s="27" t="inlineStr">
        <is>
          <t>YES Gastro Czech Market Research.xlsx</t>
        </is>
      </c>
      <c r="Y290" s="27" t="n"/>
      <c r="Z290" s="27" t="n"/>
      <c r="AA290" s="27" t="n"/>
      <c r="AB290" s="27" t="inlineStr">
        <is>
          <t>CZK</t>
        </is>
      </c>
      <c r="AC290" s="27" t="inlineStr">
        <is>
          <t>yes</t>
        </is>
      </c>
      <c r="AD290" s="27">
        <f>IF(OR(F290="",Q290="",R290=""),"",ROUND(IF(P290="incl.",F290/(1+Q290),F290)/IF(S290="per pack",R290,1),2))</f>
        <v/>
      </c>
      <c r="AE290" s="27">
        <f>IF(AND(AC290="yes",ISNUMBER(F290),IF('Compare'!$H$5="All mapped",TRUE,IF('Compare'!$H$5="EXACT only",J290="EXACT",OR(J290="EXACT",J290="CLOSE")))),"yes","no")</f>
        <v/>
      </c>
      <c r="AF290" s="27">
        <f>IF(ISNUMBER(H290),COUNTIFS($B$7:$B$608,B290,$C$7:$C$608,C290,$H$7:$H$608,"&lt;"&amp;H290,$AH$7:$AH$608,"yes")+COUNTIFS($B$7:B290,B290,$C$7:C290,C290,$H$7:H290,H290,$AH$7:AH290,"yes"),"")</f>
        <v/>
      </c>
      <c r="AG290" s="27">
        <f>IF(ISNUMBER(I290),COUNTIFS($B$7:$B$608,B290,$C$7:$C$608,C290,$I$7:$I$608,"&lt;"&amp;I290,$AI$7:$AI$608,"yes")+COUNTIFS($B$7:B290,B290,$C$7:C290,C290,$I$7:I290,I290,$AI$7:AI290,"yes"),"")</f>
        <v/>
      </c>
      <c r="AH290" s="27">
        <f>IF(ISNUMBER(H290),"yes","no")</f>
        <v/>
      </c>
      <c r="AI290" s="27">
        <f>IF(ISNUMBER(I290),"yes","no")</f>
        <v/>
      </c>
      <c r="AJ290" s="105" t="n">
        <v>46295</v>
      </c>
      <c r="AK290" s="27" t="n"/>
    </row>
    <row r="291" ht="42" customHeight="1">
      <c r="A291" s="2" t="n"/>
      <c r="B291" s="24" t="inlineStr">
        <is>
          <t>PP dough box 600 × 400 × 100 mm</t>
        </is>
      </c>
      <c r="C291" s="24" t="inlineStr">
        <is>
          <t>Czech</t>
        </is>
      </c>
      <c r="D291" s="24" t="inlineStr">
        <is>
          <t>Gastrozone</t>
        </is>
      </c>
      <c r="E291" s="24" t="inlineStr">
        <is>
          <t>Araven Pizzabox na těsto PP, polypropylen, výška: 100 mm, délka: 600 mm, šířka: 400 mm</t>
        </is>
      </c>
      <c r="F291" s="98" t="n">
        <v>546</v>
      </c>
      <c r="G291" s="24" t="inlineStr">
        <is>
          <t>CZK</t>
        </is>
      </c>
      <c r="H291" s="98">
        <f>IF(AND(AE291="yes",ISNUMBER(AD291)),AD291,"")</f>
        <v/>
      </c>
      <c r="I291" s="99">
        <f>IF(AND(AE291="yes",ISNUMBER(AD291),ISNUMBER(INDEX('Sources'!$G$7:$G$10,MATCH(AB291,'Sources'!$B$7:$B$10,0)))),AD291/INDEX('Sources'!$G$7:$G$10,MATCH(AB291,'Sources'!$B$7:$B$10,0)),"")</f>
        <v/>
      </c>
      <c r="J291" s="24" t="inlineStr">
        <is>
          <t>EXACT</t>
        </is>
      </c>
      <c r="K291" s="24" t="inlineStr">
        <is>
          <t>2026-09-30</t>
        </is>
      </c>
      <c r="L291" s="71" t="n"/>
      <c r="M291" s="24" t="inlineStr">
        <is>
          <t>451 CZK bez DPH</t>
        </is>
      </c>
      <c r="N291" s="25" t="inlineStr">
        <is>
          <t>https://www.gastrozone.cz/araven-pizzabox-pp-vyska-100-mm-delka-600-mm-sirka-400-mm.html</t>
        </is>
      </c>
      <c r="O291" s="24" t="inlineStr">
        <is>
          <t>Araven</t>
        </is>
      </c>
      <c r="P291" s="24" t="inlineStr">
        <is>
          <t>incl.</t>
        </is>
      </c>
      <c r="Q291" s="100" t="n">
        <v>0.21</v>
      </c>
      <c r="R291" s="24" t="n">
        <v>1</v>
      </c>
      <c r="S291" s="24" t="inlineStr">
        <is>
          <t>per piece</t>
        </is>
      </c>
      <c r="T291" s="24" t="inlineStr">
        <is>
          <t>EXACT</t>
        </is>
      </c>
      <c r="U291" s="24" t="inlineStr">
        <is>
          <t>Existing benchmark assignment and match quality retained.</t>
        </is>
      </c>
      <c r="V291" s="98" t="n"/>
      <c r="W291" s="98" t="n"/>
      <c r="X291" s="24" t="inlineStr">
        <is>
          <t>YES Gastro Czech Market Research.xlsx</t>
        </is>
      </c>
      <c r="Y291" s="24" t="n"/>
      <c r="Z291" s="24" t="n"/>
      <c r="AA291" s="24" t="n"/>
      <c r="AB291" s="24" t="inlineStr">
        <is>
          <t>CZK</t>
        </is>
      </c>
      <c r="AC291" s="24" t="inlineStr">
        <is>
          <t>yes</t>
        </is>
      </c>
      <c r="AD291" s="24">
        <f>IF(OR(F291="",Q291="",R291=""),"",ROUND(IF(P291="incl.",F291/(1+Q291),F291)/IF(S291="per pack",R291,1),2))</f>
        <v/>
      </c>
      <c r="AE291" s="24">
        <f>IF(AND(AC291="yes",ISNUMBER(F291),IF('Compare'!$H$5="All mapped",TRUE,IF('Compare'!$H$5="EXACT only",J291="EXACT",OR(J291="EXACT",J291="CLOSE")))),"yes","no")</f>
        <v/>
      </c>
      <c r="AF291" s="24">
        <f>IF(ISNUMBER(H291),COUNTIFS($B$7:$B$608,B291,$C$7:$C$608,C291,$H$7:$H$608,"&lt;"&amp;H291,$AH$7:$AH$608,"yes")+COUNTIFS($B$7:B291,B291,$C$7:C291,C291,$H$7:H291,H291,$AH$7:AH291,"yes"),"")</f>
        <v/>
      </c>
      <c r="AG291" s="24">
        <f>IF(ISNUMBER(I291),COUNTIFS($B$7:$B$608,B291,$C$7:$C$608,C291,$I$7:$I$608,"&lt;"&amp;I291,$AI$7:$AI$608,"yes")+COUNTIFS($B$7:B291,B291,$C$7:C291,C291,$I$7:I291,I291,$AI$7:AI291,"yes"),"")</f>
        <v/>
      </c>
      <c r="AH291" s="24">
        <f>IF(ISNUMBER(H291),"yes","no")</f>
        <v/>
      </c>
      <c r="AI291" s="24">
        <f>IF(ISNUMBER(I291),"yes","no")</f>
        <v/>
      </c>
      <c r="AJ291" s="101" t="n">
        <v>46295</v>
      </c>
      <c r="AK291" s="24" t="n"/>
    </row>
    <row r="292" ht="42" customHeight="1">
      <c r="A292" s="2" t="n"/>
      <c r="B292" s="27" t="inlineStr">
        <is>
          <t>PP dough box 600 × 400 × 100 mm</t>
        </is>
      </c>
      <c r="C292" s="27" t="inlineStr">
        <is>
          <t>Czech</t>
        </is>
      </c>
      <c r="D292" s="27" t="inlineStr">
        <is>
          <t>TOMGAST</t>
        </is>
      </c>
      <c r="E292" s="27" t="inlineStr">
        <is>
          <t>Přepravka na pizzu 60 × 40 × 7,5 cm</t>
        </is>
      </c>
      <c r="F292" s="102" t="n">
        <v>339</v>
      </c>
      <c r="G292" s="27" t="inlineStr">
        <is>
          <t>CZK</t>
        </is>
      </c>
      <c r="H292" s="102">
        <f>IF(AND(AE292="yes",ISNUMBER(AD292)),AD292,"")</f>
        <v/>
      </c>
      <c r="I292" s="103">
        <f>IF(AND(AE292="yes",ISNUMBER(AD292),ISNUMBER(INDEX('Sources'!$G$7:$G$10,MATCH(AB292,'Sources'!$B$7:$B$10,0)))),AD292/INDEX('Sources'!$G$7:$G$10,MATCH(AB292,'Sources'!$B$7:$B$10,0)),"")</f>
        <v/>
      </c>
      <c r="J292" s="27" t="inlineStr">
        <is>
          <t>APPROX</t>
        </is>
      </c>
      <c r="K292" s="27" t="inlineStr">
        <is>
          <t>2026-09-30</t>
        </is>
      </c>
      <c r="L292" s="71" t="n"/>
      <c r="M292" s="27" t="inlineStr">
        <is>
          <t>PP dough box but 75 mm deep, not 100 mm (15 l). Parameter table inconsistently says 60 x 40 x 2 cm. 280 CZK bez DPH. Lid sold separately.</t>
        </is>
      </c>
      <c r="N292" s="28" t="inlineStr">
        <is>
          <t>https://www.tomgast.cz/prepravka-na-pizzu-60--40--7-5-cm/</t>
        </is>
      </c>
      <c r="O292" s="27" t="inlineStr">
        <is>
          <t>TOMGAST</t>
        </is>
      </c>
      <c r="P292" s="27" t="inlineStr">
        <is>
          <t>incl.</t>
        </is>
      </c>
      <c r="Q292" s="104" t="n">
        <v>0.21</v>
      </c>
      <c r="R292" s="27" t="n">
        <v>1</v>
      </c>
      <c r="S292" s="27" t="inlineStr">
        <is>
          <t>per piece</t>
        </is>
      </c>
      <c r="T292" s="27" t="inlineStr">
        <is>
          <t>APPROX</t>
        </is>
      </c>
      <c r="U292" s="27" t="inlineStr">
        <is>
          <t>Existing benchmark assignment and match quality retained.</t>
        </is>
      </c>
      <c r="V292" s="102" t="n"/>
      <c r="W292" s="102" t="n"/>
      <c r="X292" s="27" t="inlineStr">
        <is>
          <t>YES Gastro Czech Market Research.xlsx</t>
        </is>
      </c>
      <c r="Y292" s="27" t="n"/>
      <c r="Z292" s="27" t="n"/>
      <c r="AA292" s="27" t="n"/>
      <c r="AB292" s="27" t="inlineStr">
        <is>
          <t>CZK</t>
        </is>
      </c>
      <c r="AC292" s="27" t="inlineStr">
        <is>
          <t>yes</t>
        </is>
      </c>
      <c r="AD292" s="27">
        <f>IF(OR(F292="",Q292="",R292=""),"",ROUND(IF(P292="incl.",F292/(1+Q292),F292)/IF(S292="per pack",R292,1),2))</f>
        <v/>
      </c>
      <c r="AE292" s="27">
        <f>IF(AND(AC292="yes",ISNUMBER(F292),IF('Compare'!$H$5="All mapped",TRUE,IF('Compare'!$H$5="EXACT only",J292="EXACT",OR(J292="EXACT",J292="CLOSE")))),"yes","no")</f>
        <v/>
      </c>
      <c r="AF292" s="27">
        <f>IF(ISNUMBER(H292),COUNTIFS($B$7:$B$608,B292,$C$7:$C$608,C292,$H$7:$H$608,"&lt;"&amp;H292,$AH$7:$AH$608,"yes")+COUNTIFS($B$7:B292,B292,$C$7:C292,C292,$H$7:H292,H292,$AH$7:AH292,"yes"),"")</f>
        <v/>
      </c>
      <c r="AG292" s="27">
        <f>IF(ISNUMBER(I292),COUNTIFS($B$7:$B$608,B292,$C$7:$C$608,C292,$I$7:$I$608,"&lt;"&amp;I292,$AI$7:$AI$608,"yes")+COUNTIFS($B$7:B292,B292,$C$7:C292,C292,$I$7:I292,I292,$AI$7:AI292,"yes"),"")</f>
        <v/>
      </c>
      <c r="AH292" s="27">
        <f>IF(ISNUMBER(H292),"yes","no")</f>
        <v/>
      </c>
      <c r="AI292" s="27">
        <f>IF(ISNUMBER(I292),"yes","no")</f>
        <v/>
      </c>
      <c r="AJ292" s="105" t="n">
        <v>46295</v>
      </c>
      <c r="AK292" s="27" t="n"/>
    </row>
    <row r="293" ht="66" customHeight="1">
      <c r="A293" s="2" t="n"/>
      <c r="B293" s="24" t="inlineStr">
        <is>
          <t>PP dough box 600 × 400 × 100 mm</t>
        </is>
      </c>
      <c r="C293" s="24" t="inlineStr">
        <is>
          <t>Slovakia</t>
        </is>
      </c>
      <c r="D293" s="24" t="inlineStr">
        <is>
          <t>Gastromania.sk (GASTROMANIA CZ s.r.o., CZ)</t>
        </is>
      </c>
      <c r="E293" s="24" t="inlineStr">
        <is>
          <t>Nádoba na cesto na pizzu, 600x400x95 mm | HENDI, 880913</t>
        </is>
      </c>
      <c r="F293" s="98" t="n">
        <v>12.65</v>
      </c>
      <c r="G293" s="24" t="inlineStr">
        <is>
          <t>EUR</t>
        </is>
      </c>
      <c r="H293" s="98">
        <f>IF(AND(AE293="yes",ISNUMBER(AD293)),AD293,"")</f>
        <v/>
      </c>
      <c r="I293" s="99">
        <f>IF(AND(AE293="yes",ISNUMBER(AD293),ISNUMBER(INDEX('Sources'!$G$7:$G$10,MATCH(AB293,'Sources'!$B$7:$B$10,0)))),AD293/INDEX('Sources'!$G$7:$G$10,MATCH(AB293,'Sources'!$B$7:$B$10,0)),"")</f>
        <v/>
      </c>
      <c r="J293" s="24" t="inlineStr">
        <is>
          <t>CLOSE</t>
        </is>
      </c>
      <c r="K293" s="24" t="inlineStr">
        <is>
          <t>2026-09-30</t>
        </is>
      </c>
      <c r="L293" s="71" t="n"/>
      <c r="M293" s="24" t="inlineStr">
        <is>
          <t>Listed 'Cena bez DPH' 12.65 EUR / 'Cena s DPH' 15.56 EUR. Stated PP, 600x400 mm, 95 mm high (5 mm lower), 18 l. NOTE: Gastrozone lists the same 18 l HENDI/AmerBox box as PET - material conflict between sites. Alternative: Stalgast 563410 600x400x100 mm 18,04 bez DPH (title says polyethylene, parameters say PP).</t>
        </is>
      </c>
      <c r="N293" s="25" t="inlineStr">
        <is>
          <t>https://gastromania.sk/nadoby-na-pizza-cesto/nadoba-na-cesto-na-pizzu-600x400x95-mm-hendi-880913</t>
        </is>
      </c>
      <c r="O293" s="24" t="inlineStr">
        <is>
          <t>Hendi</t>
        </is>
      </c>
      <c r="P293" s="24" t="inlineStr">
        <is>
          <t>excl.</t>
        </is>
      </c>
      <c r="Q293" s="100" t="inlineStr">
        <is>
          <t>n/a</t>
        </is>
      </c>
      <c r="R293" s="24" t="n">
        <v>1</v>
      </c>
      <c r="S293" s="24" t="inlineStr">
        <is>
          <t>per piece</t>
        </is>
      </c>
      <c r="T293" s="24" t="inlineStr">
        <is>
          <t>CLOSE</t>
        </is>
      </c>
      <c r="U293" s="24" t="inlineStr">
        <is>
          <t>Existing benchmark assignment and match quality retained.</t>
        </is>
      </c>
      <c r="V293" s="98" t="n">
        <v>12.65</v>
      </c>
      <c r="W293" s="98" t="n"/>
      <c r="X293" s="24" t="inlineStr">
        <is>
          <t>YES Gastro Slovakia Market Research.xlsx</t>
        </is>
      </c>
      <c r="Y293" s="24" t="n"/>
      <c r="Z293" s="24" t="n"/>
      <c r="AA293" s="24" t="n"/>
      <c r="AB293" s="24" t="inlineStr">
        <is>
          <t>EUR</t>
        </is>
      </c>
      <c r="AC293" s="24" t="inlineStr">
        <is>
          <t>yes</t>
        </is>
      </c>
      <c r="AD293" s="24">
        <f>IF(ISNUMBER(V293),V293,"")</f>
        <v/>
      </c>
      <c r="AE293" s="24">
        <f>IF(AND(AC293="yes",ISNUMBER(F293),IF('Compare'!$H$5="All mapped",TRUE,IF('Compare'!$H$5="EXACT only",J293="EXACT",OR(J293="EXACT",J293="CLOSE")))),"yes","no")</f>
        <v/>
      </c>
      <c r="AF293" s="24">
        <f>IF(ISNUMBER(H293),COUNTIFS($B$7:$B$608,B293,$C$7:$C$608,C293,$H$7:$H$608,"&lt;"&amp;H293,$AH$7:$AH$608,"yes")+COUNTIFS($B$7:B293,B293,$C$7:C293,C293,$H$7:H293,H293,$AH$7:AH293,"yes"),"")</f>
        <v/>
      </c>
      <c r="AG293" s="24">
        <f>IF(ISNUMBER(I293),COUNTIFS($B$7:$B$608,B293,$C$7:$C$608,C293,$I$7:$I$608,"&lt;"&amp;I293,$AI$7:$AI$608,"yes")+COUNTIFS($B$7:B293,B293,$C$7:C293,C293,$I$7:I293,I293,$AI$7:AI293,"yes"),"")</f>
        <v/>
      </c>
      <c r="AH293" s="24">
        <f>IF(ISNUMBER(H293),"yes","no")</f>
        <v/>
      </c>
      <c r="AI293" s="24">
        <f>IF(ISNUMBER(I293),"yes","no")</f>
        <v/>
      </c>
      <c r="AJ293" s="101" t="n">
        <v>46295</v>
      </c>
      <c r="AK293" s="24" t="n"/>
    </row>
    <row r="294" ht="42" customHeight="1">
      <c r="A294" s="2" t="n"/>
      <c r="B294" s="27" t="inlineStr">
        <is>
          <t>PP dough box 600 × 400 × 100 mm</t>
        </is>
      </c>
      <c r="C294" s="27" t="inlineStr">
        <is>
          <t>Slovakia</t>
        </is>
      </c>
      <c r="D294" s="27" t="inlineStr">
        <is>
          <t>Gastrozone.sk (GASTROZONE, spol. s r.o., CZ)</t>
        </is>
      </c>
      <c r="E294" s="27" t="inlineStr">
        <is>
          <t>Araven Pizzabox na cesto PP, polypropylén, výška 100 mm, 600 x 400 mm</t>
        </is>
      </c>
      <c r="F294" s="102" t="n">
        <v>22.96</v>
      </c>
      <c r="G294" s="27" t="inlineStr">
        <is>
          <t>EUR</t>
        </is>
      </c>
      <c r="H294" s="102">
        <f>IF(AND(AE294="yes",ISNUMBER(AD294)),AD294,"")</f>
        <v/>
      </c>
      <c r="I294" s="103">
        <f>IF(AND(AE294="yes",ISNUMBER(AD294),ISNUMBER(INDEX('Sources'!$G$7:$G$10,MATCH(AB294,'Sources'!$B$7:$B$10,0)))),AD294/INDEX('Sources'!$G$7:$G$10,MATCH(AB294,'Sources'!$B$7:$B$10,0)),"")</f>
        <v/>
      </c>
      <c r="J294" s="27" t="inlineStr">
        <is>
          <t>EXACT</t>
        </is>
      </c>
      <c r="K294" s="27" t="inlineStr">
        <is>
          <t>2026-09-30</t>
        </is>
      </c>
      <c r="L294" s="71" t="n"/>
      <c r="M294" s="27" t="inlineStr">
        <is>
          <t>PP, 600x400x100 mm. Page shows 22,96 / 18,67 bez DPH. In stock.</t>
        </is>
      </c>
      <c r="N294" s="28" t="inlineStr">
        <is>
          <t>https://www.gastrozone.sk/araven-pizzabox-pp-vyska-100-mm-delka-600-mm-sirka-400-mm.html</t>
        </is>
      </c>
      <c r="O294" s="27" t="inlineStr">
        <is>
          <t>Araven</t>
        </is>
      </c>
      <c r="P294" s="27" t="inlineStr">
        <is>
          <t>incl.</t>
        </is>
      </c>
      <c r="Q294" s="104" t="n">
        <v>0.23</v>
      </c>
      <c r="R294" s="27" t="n">
        <v>1</v>
      </c>
      <c r="S294" s="27" t="inlineStr">
        <is>
          <t>per piece</t>
        </is>
      </c>
      <c r="T294" s="27" t="inlineStr">
        <is>
          <t>EXACT</t>
        </is>
      </c>
      <c r="U294" s="27" t="inlineStr">
        <is>
          <t>Existing benchmark assignment and match quality retained.</t>
        </is>
      </c>
      <c r="V294" s="102" t="n">
        <v>18.6666666666667</v>
      </c>
      <c r="W294" s="102" t="n"/>
      <c r="X294" s="27" t="inlineStr">
        <is>
          <t>YES Gastro Slovakia Market Research.xlsx</t>
        </is>
      </c>
      <c r="Y294" s="27" t="n"/>
      <c r="Z294" s="27" t="n"/>
      <c r="AA294" s="27" t="n"/>
      <c r="AB294" s="27" t="inlineStr">
        <is>
          <t>EUR</t>
        </is>
      </c>
      <c r="AC294" s="27" t="inlineStr">
        <is>
          <t>yes</t>
        </is>
      </c>
      <c r="AD294" s="27">
        <f>IF(ISNUMBER(V294),V294,"")</f>
        <v/>
      </c>
      <c r="AE294" s="27">
        <f>IF(AND(AC294="yes",ISNUMBER(F294),IF('Compare'!$H$5="All mapped",TRUE,IF('Compare'!$H$5="EXACT only",J294="EXACT",OR(J294="EXACT",J294="CLOSE")))),"yes","no")</f>
        <v/>
      </c>
      <c r="AF294" s="27">
        <f>IF(ISNUMBER(H294),COUNTIFS($B$7:$B$608,B294,$C$7:$C$608,C294,$H$7:$H$608,"&lt;"&amp;H294,$AH$7:$AH$608,"yes")+COUNTIFS($B$7:B294,B294,$C$7:C294,C294,$H$7:H294,H294,$AH$7:AH294,"yes"),"")</f>
        <v/>
      </c>
      <c r="AG294" s="27">
        <f>IF(ISNUMBER(I294),COUNTIFS($B$7:$B$608,B294,$C$7:$C$608,C294,$I$7:$I$608,"&lt;"&amp;I294,$AI$7:$AI$608,"yes")+COUNTIFS($B$7:B294,B294,$C$7:C294,C294,$I$7:I294,I294,$AI$7:AI294,"yes"),"")</f>
        <v/>
      </c>
      <c r="AH294" s="27">
        <f>IF(ISNUMBER(H294),"yes","no")</f>
        <v/>
      </c>
      <c r="AI294" s="27">
        <f>IF(ISNUMBER(I294),"yes","no")</f>
        <v/>
      </c>
      <c r="AJ294" s="105" t="n">
        <v>46295</v>
      </c>
      <c r="AK294" s="27" t="n"/>
    </row>
    <row r="295" ht="42" customHeight="1">
      <c r="A295" s="2" t="n"/>
      <c r="B295" s="24" t="inlineStr">
        <is>
          <t>Lid for 600 × 400 mm dough box</t>
        </is>
      </c>
      <c r="C295" s="24" t="inlineStr">
        <is>
          <t>Hungary</t>
        </is>
      </c>
      <c r="D295" s="24" t="inlineStr">
        <is>
          <t>Attase</t>
        </is>
      </c>
      <c r="E295" s="24" t="inlineStr">
        <is>
          <t>PE Lid 600 x 400 mm</t>
        </is>
      </c>
      <c r="F295" s="98" t="n">
        <v>1522</v>
      </c>
      <c r="G295" s="24" t="inlineStr">
        <is>
          <t>HUF</t>
        </is>
      </c>
      <c r="H295" s="98">
        <f>IF(AND(AE295="yes",ISNUMBER(AD295)),AD295,"")</f>
        <v/>
      </c>
      <c r="I295" s="99">
        <f>IF(AND(AE295="yes",ISNUMBER(AD295),ISNUMBER(INDEX('Sources'!$G$7:$G$10,MATCH(AB295,'Sources'!$B$7:$B$10,0)))),AD295/INDEX('Sources'!$G$7:$G$10,MATCH(AB295,'Sources'!$B$7:$B$10,0)),"")</f>
        <v/>
      </c>
      <c r="J295" s="24" t="inlineStr">
        <is>
          <t>EXACT</t>
        </is>
      </c>
      <c r="K295" s="24" t="inlineStr">
        <is>
          <t>26.06.2026</t>
        </is>
      </c>
      <c r="L295" s="71" t="n"/>
      <c r="M295" s="24" t="inlineStr">
        <is>
          <t>Source sheet: Pizza Dough Boxes &amp; Lids</t>
        </is>
      </c>
      <c r="N295" s="25" t="inlineStr">
        <is>
          <t>https://www.attase.hu/en/pizza-pan?infinite_page=2</t>
        </is>
      </c>
      <c r="O295" s="24" t="n"/>
      <c r="P295" s="24" t="n"/>
      <c r="Q295" s="100" t="n"/>
      <c r="R295" s="24" t="n"/>
      <c r="S295" s="24" t="n"/>
      <c r="T295" s="24" t="n"/>
      <c r="U295" s="24" t="inlineStr">
        <is>
          <t>Dough-box lid size agrees. Benchmark does not restrict lid material.</t>
        </is>
      </c>
      <c r="V295" s="98" t="n"/>
      <c r="W295" s="98" t="n">
        <v>1522</v>
      </c>
      <c r="X295" s="24" t="inlineStr">
        <is>
          <t>YES Gastro Hungary Market Research.xlsx</t>
        </is>
      </c>
      <c r="Y295" s="24" t="inlineStr">
        <is>
          <t>Taha</t>
        </is>
      </c>
      <c r="Z295" s="24" t="n"/>
      <c r="AA295" s="24" t="inlineStr">
        <is>
          <t>Direct</t>
        </is>
      </c>
      <c r="AB295" s="24" t="inlineStr">
        <is>
          <t>HUF</t>
        </is>
      </c>
      <c r="AC295" s="24" t="inlineStr">
        <is>
          <t>yes</t>
        </is>
      </c>
      <c r="AD295" s="24">
        <f>IF(ISNUMBER(F295),IF(G295=AB295,F295,IF(AND(ISNUMBER(INDEX('Sources'!$G$7:$G$10,MATCH(G295,'Sources'!$B$7:$B$10,0))),ISNUMBER(INDEX('Sources'!$G$7:$G$10,MATCH(AB295,'Sources'!$B$7:$B$10,0)))),F295/INDEX('Sources'!$G$7:$G$10,MATCH(G295,'Sources'!$B$7:$B$10,0))*INDEX('Sources'!$G$7:$G$10,MATCH(AB295,'Sources'!$B$7:$B$10,0)),"")),"")</f>
        <v/>
      </c>
      <c r="AE295" s="24">
        <f>IF(AND(AC295="yes",ISNUMBER(F295),IF('Compare'!$H$5="All mapped",TRUE,IF('Compare'!$H$5="EXACT only",J295="EXACT",OR(J295="EXACT",J295="CLOSE")))),"yes","no")</f>
        <v/>
      </c>
      <c r="AF295" s="24">
        <f>IF(ISNUMBER(H295),COUNTIFS($B$7:$B$608,B295,$C$7:$C$608,C295,$H$7:$H$608,"&lt;"&amp;H295,$AH$7:$AH$608,"yes")+COUNTIFS($B$7:B295,B295,$C$7:C295,C295,$H$7:H295,H295,$AH$7:AH295,"yes"),"")</f>
        <v/>
      </c>
      <c r="AG295" s="24">
        <f>IF(ISNUMBER(I295),COUNTIFS($B$7:$B$608,B295,$C$7:$C$608,C295,$I$7:$I$608,"&lt;"&amp;I295,$AI$7:$AI$608,"yes")+COUNTIFS($B$7:B295,B295,$C$7:C295,C295,$I$7:I295,I295,$AI$7:AI295,"yes"),"")</f>
        <v/>
      </c>
      <c r="AH295" s="24">
        <f>IF(ISNUMBER(H295),"yes","no")</f>
        <v/>
      </c>
      <c r="AI295" s="24">
        <f>IF(ISNUMBER(I295),"yes","no")</f>
        <v/>
      </c>
      <c r="AJ295" s="101" t="n">
        <v>46199</v>
      </c>
      <c r="AK295" s="24" t="n"/>
    </row>
    <row r="296" ht="42" customHeight="1">
      <c r="A296" s="2" t="n"/>
      <c r="B296" s="27" t="inlineStr">
        <is>
          <t>Lid for 600 × 400 mm dough box</t>
        </is>
      </c>
      <c r="C296" s="27" t="inlineStr">
        <is>
          <t>Hungary</t>
        </is>
      </c>
      <c r="D296" s="27" t="inlineStr">
        <is>
          <t>Attase</t>
        </is>
      </c>
      <c r="E296" s="27" t="inlineStr">
        <is>
          <t>PP Lid 600 x 400 mm</t>
        </is>
      </c>
      <c r="F296" s="102" t="n">
        <v>1910</v>
      </c>
      <c r="G296" s="27" t="inlineStr">
        <is>
          <t>HUF</t>
        </is>
      </c>
      <c r="H296" s="102">
        <f>IF(AND(AE296="yes",ISNUMBER(AD296)),AD296,"")</f>
        <v/>
      </c>
      <c r="I296" s="103">
        <f>IF(AND(AE296="yes",ISNUMBER(AD296),ISNUMBER(INDEX('Sources'!$G$7:$G$10,MATCH(AB296,'Sources'!$B$7:$B$10,0)))),AD296/INDEX('Sources'!$G$7:$G$10,MATCH(AB296,'Sources'!$B$7:$B$10,0)),"")</f>
        <v/>
      </c>
      <c r="J296" s="27" t="inlineStr">
        <is>
          <t>EXACT</t>
        </is>
      </c>
      <c r="K296" s="27" t="inlineStr">
        <is>
          <t>26.06.2026</t>
        </is>
      </c>
      <c r="L296" s="71" t="n"/>
      <c r="M296" s="27" t="inlineStr">
        <is>
          <t>Source sheet: Pizza Dough Boxes &amp; Lids</t>
        </is>
      </c>
      <c r="N296" s="28" t="inlineStr">
        <is>
          <t>https://www.attase.hu/en/pizza-pan?infinite_page=2</t>
        </is>
      </c>
      <c r="O296" s="27" t="n"/>
      <c r="P296" s="27" t="n"/>
      <c r="Q296" s="104" t="n"/>
      <c r="R296" s="27" t="n"/>
      <c r="S296" s="27" t="n"/>
      <c r="T296" s="27" t="n"/>
      <c r="U296" s="27" t="inlineStr">
        <is>
          <t>Dough-box lid size agrees. Benchmark does not restrict lid material.</t>
        </is>
      </c>
      <c r="V296" s="102" t="n"/>
      <c r="W296" s="102" t="n">
        <v>1910</v>
      </c>
      <c r="X296" s="27" t="inlineStr">
        <is>
          <t>YES Gastro Hungary Market Research.xlsx</t>
        </is>
      </c>
      <c r="Y296" s="27" t="inlineStr">
        <is>
          <t>Taha</t>
        </is>
      </c>
      <c r="Z296" s="27" t="n"/>
      <c r="AA296" s="27" t="inlineStr">
        <is>
          <t>Direct</t>
        </is>
      </c>
      <c r="AB296" s="27" t="inlineStr">
        <is>
          <t>HUF</t>
        </is>
      </c>
      <c r="AC296" s="27" t="inlineStr">
        <is>
          <t>yes</t>
        </is>
      </c>
      <c r="AD296" s="27">
        <f>IF(ISNUMBER(F296),IF(G296=AB296,F296,IF(AND(ISNUMBER(INDEX('Sources'!$G$7:$G$10,MATCH(G296,'Sources'!$B$7:$B$10,0))),ISNUMBER(INDEX('Sources'!$G$7:$G$10,MATCH(AB296,'Sources'!$B$7:$B$10,0)))),F296/INDEX('Sources'!$G$7:$G$10,MATCH(G296,'Sources'!$B$7:$B$10,0))*INDEX('Sources'!$G$7:$G$10,MATCH(AB296,'Sources'!$B$7:$B$10,0)),"")),"")</f>
        <v/>
      </c>
      <c r="AE296" s="27">
        <f>IF(AND(AC296="yes",ISNUMBER(F296),IF('Compare'!$H$5="All mapped",TRUE,IF('Compare'!$H$5="EXACT only",J296="EXACT",OR(J296="EXACT",J296="CLOSE")))),"yes","no")</f>
        <v/>
      </c>
      <c r="AF296" s="27">
        <f>IF(ISNUMBER(H296),COUNTIFS($B$7:$B$608,B296,$C$7:$C$608,C296,$H$7:$H$608,"&lt;"&amp;H296,$AH$7:$AH$608,"yes")+COUNTIFS($B$7:B296,B296,$C$7:C296,C296,$H$7:H296,H296,$AH$7:AH296,"yes"),"")</f>
        <v/>
      </c>
      <c r="AG296" s="27">
        <f>IF(ISNUMBER(I296),COUNTIFS($B$7:$B$608,B296,$C$7:$C$608,C296,$I$7:$I$608,"&lt;"&amp;I296,$AI$7:$AI$608,"yes")+COUNTIFS($B$7:B296,B296,$C$7:C296,C296,$I$7:I296,I296,$AI$7:AI296,"yes"),"")</f>
        <v/>
      </c>
      <c r="AH296" s="27">
        <f>IF(ISNUMBER(H296),"yes","no")</f>
        <v/>
      </c>
      <c r="AI296" s="27">
        <f>IF(ISNUMBER(I296),"yes","no")</f>
        <v/>
      </c>
      <c r="AJ296" s="105" t="n">
        <v>46199</v>
      </c>
      <c r="AK296" s="27" t="n"/>
    </row>
    <row r="297" ht="42" customHeight="1">
      <c r="A297" s="2" t="n"/>
      <c r="B297" s="24" t="inlineStr">
        <is>
          <t>Lid for 600 × 400 mm dough box</t>
        </is>
      </c>
      <c r="C297" s="24" t="inlineStr">
        <is>
          <t>Hungary</t>
        </is>
      </c>
      <c r="D297" s="24" t="inlineStr">
        <is>
          <t>Gasztronagyker</t>
        </is>
      </c>
      <c r="E297" s="24" t="inlineStr">
        <is>
          <t>PP Lid 600 x 400 mm</t>
        </is>
      </c>
      <c r="F297" s="98" t="n">
        <v>2826</v>
      </c>
      <c r="G297" s="24" t="inlineStr">
        <is>
          <t>HUF</t>
        </is>
      </c>
      <c r="H297" s="98">
        <f>IF(AND(AE297="yes",ISNUMBER(AD297)),AD297,"")</f>
        <v/>
      </c>
      <c r="I297" s="99">
        <f>IF(AND(AE297="yes",ISNUMBER(AD297),ISNUMBER(INDEX('Sources'!$G$7:$G$10,MATCH(AB297,'Sources'!$B$7:$B$10,0)))),AD297/INDEX('Sources'!$G$7:$G$10,MATCH(AB297,'Sources'!$B$7:$B$10,0)),"")</f>
        <v/>
      </c>
      <c r="J297" s="24" t="inlineStr">
        <is>
          <t>EXACT</t>
        </is>
      </c>
      <c r="K297" s="24" t="inlineStr">
        <is>
          <t>26.06.2026</t>
        </is>
      </c>
      <c r="L297" s="71" t="n"/>
      <c r="M297" s="24" t="inlineStr">
        <is>
          <t>Source sheet: Pizza Dough Boxes &amp; Lids</t>
        </is>
      </c>
      <c r="N297" s="25" t="inlineStr">
        <is>
          <t>https://www.gasztronagyker.hu/shop_search.php?search=Pizzat%C3%A9szta+keleszt%C5%91</t>
        </is>
      </c>
      <c r="O297" s="24" t="n"/>
      <c r="P297" s="24" t="n"/>
      <c r="Q297" s="100" t="n"/>
      <c r="R297" s="24" t="n"/>
      <c r="S297" s="24" t="n"/>
      <c r="T297" s="24" t="n"/>
      <c r="U297" s="24" t="inlineStr">
        <is>
          <t>Dough-box lid size agrees. Benchmark does not restrict lid material.</t>
        </is>
      </c>
      <c r="V297" s="98" t="n"/>
      <c r="W297" s="98" t="n">
        <v>2826</v>
      </c>
      <c r="X297" s="24" t="inlineStr">
        <is>
          <t>YES Gastro Hungary Market Research.xlsx</t>
        </is>
      </c>
      <c r="Y297" s="24" t="inlineStr">
        <is>
          <t>Taha</t>
        </is>
      </c>
      <c r="Z297" s="24" t="n"/>
      <c r="AA297" s="24" t="inlineStr">
        <is>
          <t>Direct</t>
        </is>
      </c>
      <c r="AB297" s="24" t="inlineStr">
        <is>
          <t>HUF</t>
        </is>
      </c>
      <c r="AC297" s="24" t="inlineStr">
        <is>
          <t>yes</t>
        </is>
      </c>
      <c r="AD297" s="24">
        <f>IF(ISNUMBER(F297),IF(G297=AB297,F297,IF(AND(ISNUMBER(INDEX('Sources'!$G$7:$G$10,MATCH(G297,'Sources'!$B$7:$B$10,0))),ISNUMBER(INDEX('Sources'!$G$7:$G$10,MATCH(AB297,'Sources'!$B$7:$B$10,0)))),F297/INDEX('Sources'!$G$7:$G$10,MATCH(G297,'Sources'!$B$7:$B$10,0))*INDEX('Sources'!$G$7:$G$10,MATCH(AB297,'Sources'!$B$7:$B$10,0)),"")),"")</f>
        <v/>
      </c>
      <c r="AE297" s="24">
        <f>IF(AND(AC297="yes",ISNUMBER(F297),IF('Compare'!$H$5="All mapped",TRUE,IF('Compare'!$H$5="EXACT only",J297="EXACT",OR(J297="EXACT",J297="CLOSE")))),"yes","no")</f>
        <v/>
      </c>
      <c r="AF297" s="24">
        <f>IF(ISNUMBER(H297),COUNTIFS($B$7:$B$608,B297,$C$7:$C$608,C297,$H$7:$H$608,"&lt;"&amp;H297,$AH$7:$AH$608,"yes")+COUNTIFS($B$7:B297,B297,$C$7:C297,C297,$H$7:H297,H297,$AH$7:AH297,"yes"),"")</f>
        <v/>
      </c>
      <c r="AG297" s="24">
        <f>IF(ISNUMBER(I297),COUNTIFS($B$7:$B$608,B297,$C$7:$C$608,C297,$I$7:$I$608,"&lt;"&amp;I297,$AI$7:$AI$608,"yes")+COUNTIFS($B$7:B297,B297,$C$7:C297,C297,$I$7:I297,I297,$AI$7:AI297,"yes"),"")</f>
        <v/>
      </c>
      <c r="AH297" s="24">
        <f>IF(ISNUMBER(H297),"yes","no")</f>
        <v/>
      </c>
      <c r="AI297" s="24">
        <f>IF(ISNUMBER(I297),"yes","no")</f>
        <v/>
      </c>
      <c r="AJ297" s="101" t="n">
        <v>46199</v>
      </c>
      <c r="AK297" s="24" t="n"/>
    </row>
    <row r="298" ht="42" customHeight="1">
      <c r="A298" s="2" t="n"/>
      <c r="B298" s="27" t="inlineStr">
        <is>
          <t>Lid for 600 × 400 mm dough box</t>
        </is>
      </c>
      <c r="C298" s="27" t="inlineStr">
        <is>
          <t>Hungary</t>
        </is>
      </c>
      <c r="D298" s="27" t="inlineStr">
        <is>
          <t>HFSE</t>
        </is>
      </c>
      <c r="E298" s="27" t="inlineStr">
        <is>
          <t>PE Lid 600 x 400 mm</t>
        </is>
      </c>
      <c r="F298" s="102" t="n">
        <v>3087</v>
      </c>
      <c r="G298" s="27" t="inlineStr">
        <is>
          <t>HUF</t>
        </is>
      </c>
      <c r="H298" s="102">
        <f>IF(AND(AE298="yes",ISNUMBER(AD298)),AD298,"")</f>
        <v/>
      </c>
      <c r="I298" s="103">
        <f>IF(AND(AE298="yes",ISNUMBER(AD298),ISNUMBER(INDEX('Sources'!$G$7:$G$10,MATCH(AB298,'Sources'!$B$7:$B$10,0)))),AD298/INDEX('Sources'!$G$7:$G$10,MATCH(AB298,'Sources'!$B$7:$B$10,0)),"")</f>
        <v/>
      </c>
      <c r="J298" s="27" t="inlineStr">
        <is>
          <t>EXACT</t>
        </is>
      </c>
      <c r="K298" s="27" t="inlineStr">
        <is>
          <t>26.06.2026</t>
        </is>
      </c>
      <c r="L298" s="71" t="n"/>
      <c r="M298" s="27" t="inlineStr">
        <is>
          <t>Source sheet: Pizza Dough Boxes &amp; Lids</t>
        </is>
      </c>
      <c r="N298" s="28" t="inlineStr">
        <is>
          <t>https://hfse.hu/?s=pizzat%C3%A9szta+keleszt%C5%91&amp;post_type=product&amp;dgwt_wcas=1</t>
        </is>
      </c>
      <c r="O298" s="27" t="n"/>
      <c r="P298" s="27" t="n"/>
      <c r="Q298" s="104" t="n"/>
      <c r="R298" s="27" t="n"/>
      <c r="S298" s="27" t="n"/>
      <c r="T298" s="27" t="n"/>
      <c r="U298" s="27" t="inlineStr">
        <is>
          <t>Dough-box lid size agrees. Benchmark does not restrict lid material.</t>
        </is>
      </c>
      <c r="V298" s="102" t="n"/>
      <c r="W298" s="102" t="n">
        <v>3087</v>
      </c>
      <c r="X298" s="27" t="inlineStr">
        <is>
          <t>YES Gastro Hungary Market Research.xlsx</t>
        </is>
      </c>
      <c r="Y298" s="27" t="inlineStr">
        <is>
          <t>Taha</t>
        </is>
      </c>
      <c r="Z298" s="27" t="n"/>
      <c r="AA298" s="27" t="inlineStr">
        <is>
          <t>Direct</t>
        </is>
      </c>
      <c r="AB298" s="27" t="inlineStr">
        <is>
          <t>HUF</t>
        </is>
      </c>
      <c r="AC298" s="27" t="inlineStr">
        <is>
          <t>yes</t>
        </is>
      </c>
      <c r="AD298" s="27">
        <f>IF(ISNUMBER(F298),IF(G298=AB298,F298,IF(AND(ISNUMBER(INDEX('Sources'!$G$7:$G$10,MATCH(G298,'Sources'!$B$7:$B$10,0))),ISNUMBER(INDEX('Sources'!$G$7:$G$10,MATCH(AB298,'Sources'!$B$7:$B$10,0)))),F298/INDEX('Sources'!$G$7:$G$10,MATCH(G298,'Sources'!$B$7:$B$10,0))*INDEX('Sources'!$G$7:$G$10,MATCH(AB298,'Sources'!$B$7:$B$10,0)),"")),"")</f>
        <v/>
      </c>
      <c r="AE298" s="27">
        <f>IF(AND(AC298="yes",ISNUMBER(F298),IF('Compare'!$H$5="All mapped",TRUE,IF('Compare'!$H$5="EXACT only",J298="EXACT",OR(J298="EXACT",J298="CLOSE")))),"yes","no")</f>
        <v/>
      </c>
      <c r="AF298" s="27">
        <f>IF(ISNUMBER(H298),COUNTIFS($B$7:$B$608,B298,$C$7:$C$608,C298,$H$7:$H$608,"&lt;"&amp;H298,$AH$7:$AH$608,"yes")+COUNTIFS($B$7:B298,B298,$C$7:C298,C298,$H$7:H298,H298,$AH$7:AH298,"yes"),"")</f>
        <v/>
      </c>
      <c r="AG298" s="27">
        <f>IF(ISNUMBER(I298),COUNTIFS($B$7:$B$608,B298,$C$7:$C$608,C298,$I$7:$I$608,"&lt;"&amp;I298,$AI$7:$AI$608,"yes")+COUNTIFS($B$7:B298,B298,$C$7:C298,C298,$I$7:I298,I298,$AI$7:AI298,"yes"),"")</f>
        <v/>
      </c>
      <c r="AH298" s="27">
        <f>IF(ISNUMBER(H298),"yes","no")</f>
        <v/>
      </c>
      <c r="AI298" s="27">
        <f>IF(ISNUMBER(I298),"yes","no")</f>
        <v/>
      </c>
      <c r="AJ298" s="105" t="n">
        <v>46199</v>
      </c>
      <c r="AK298" s="27" t="n"/>
    </row>
    <row r="299" ht="42" customHeight="1">
      <c r="A299" s="2" t="n"/>
      <c r="B299" s="24" t="inlineStr">
        <is>
          <t>Lid for 600 × 400 mm dough box</t>
        </is>
      </c>
      <c r="C299" s="24" t="inlineStr">
        <is>
          <t>Hungary</t>
        </is>
      </c>
      <c r="D299" s="24" t="inlineStr">
        <is>
          <t>Hunnia</t>
        </is>
      </c>
      <c r="E299" s="24" t="inlineStr">
        <is>
          <t>PE Lid 600 x 400 mm</t>
        </is>
      </c>
      <c r="F299" s="98" t="n">
        <v>2536</v>
      </c>
      <c r="G299" s="24" t="inlineStr">
        <is>
          <t>HUF</t>
        </is>
      </c>
      <c r="H299" s="98">
        <f>IF(AND(AE299="yes",ISNUMBER(AD299)),AD299,"")</f>
        <v/>
      </c>
      <c r="I299" s="99">
        <f>IF(AND(AE299="yes",ISNUMBER(AD299),ISNUMBER(INDEX('Sources'!$G$7:$G$10,MATCH(AB299,'Sources'!$B$7:$B$10,0)))),AD299/INDEX('Sources'!$G$7:$G$10,MATCH(AB299,'Sources'!$B$7:$B$10,0)),"")</f>
        <v/>
      </c>
      <c r="J299" s="24" t="inlineStr">
        <is>
          <t>EXACT</t>
        </is>
      </c>
      <c r="K299" s="24" t="inlineStr">
        <is>
          <t>26.06.2026</t>
        </is>
      </c>
      <c r="L299" s="71" t="n"/>
      <c r="M299" s="24" t="inlineStr">
        <is>
          <t>Source sheet: Pizza Dough Boxes &amp; Lids</t>
        </is>
      </c>
      <c r="N299" s="25" t="inlineStr">
        <is>
          <t>https://hunniakristaly.hu/kereses?description=0&amp;search=+Pizza+keleszt%C5%91&amp;keyword=+Pizza+keleszt%C5%91</t>
        </is>
      </c>
      <c r="O299" s="24" t="n"/>
      <c r="P299" s="24" t="n"/>
      <c r="Q299" s="100" t="n"/>
      <c r="R299" s="24" t="n"/>
      <c r="S299" s="24" t="n"/>
      <c r="T299" s="24" t="n"/>
      <c r="U299" s="24" t="inlineStr">
        <is>
          <t>Dough-box lid size agrees. Benchmark does not restrict lid material.</t>
        </is>
      </c>
      <c r="V299" s="98" t="n"/>
      <c r="W299" s="98" t="n">
        <v>2536</v>
      </c>
      <c r="X299" s="24" t="inlineStr">
        <is>
          <t>YES Gastro Hungary Market Research.xlsx</t>
        </is>
      </c>
      <c r="Y299" s="24" t="inlineStr">
        <is>
          <t>Taha</t>
        </is>
      </c>
      <c r="Z299" s="24" t="n"/>
      <c r="AA299" s="24" t="inlineStr">
        <is>
          <t>Direct</t>
        </is>
      </c>
      <c r="AB299" s="24" t="inlineStr">
        <is>
          <t>HUF</t>
        </is>
      </c>
      <c r="AC299" s="24" t="inlineStr">
        <is>
          <t>yes</t>
        </is>
      </c>
      <c r="AD299" s="24">
        <f>IF(ISNUMBER(F299),IF(G299=AB299,F299,IF(AND(ISNUMBER(INDEX('Sources'!$G$7:$G$10,MATCH(G299,'Sources'!$B$7:$B$10,0))),ISNUMBER(INDEX('Sources'!$G$7:$G$10,MATCH(AB299,'Sources'!$B$7:$B$10,0)))),F299/INDEX('Sources'!$G$7:$G$10,MATCH(G299,'Sources'!$B$7:$B$10,0))*INDEX('Sources'!$G$7:$G$10,MATCH(AB299,'Sources'!$B$7:$B$10,0)),"")),"")</f>
        <v/>
      </c>
      <c r="AE299" s="24">
        <f>IF(AND(AC299="yes",ISNUMBER(F299),IF('Compare'!$H$5="All mapped",TRUE,IF('Compare'!$H$5="EXACT only",J299="EXACT",OR(J299="EXACT",J299="CLOSE")))),"yes","no")</f>
        <v/>
      </c>
      <c r="AF299" s="24">
        <f>IF(ISNUMBER(H299),COUNTIFS($B$7:$B$608,B299,$C$7:$C$608,C299,$H$7:$H$608,"&lt;"&amp;H299,$AH$7:$AH$608,"yes")+COUNTIFS($B$7:B299,B299,$C$7:C299,C299,$H$7:H299,H299,$AH$7:AH299,"yes"),"")</f>
        <v/>
      </c>
      <c r="AG299" s="24">
        <f>IF(ISNUMBER(I299),COUNTIFS($B$7:$B$608,B299,$C$7:$C$608,C299,$I$7:$I$608,"&lt;"&amp;I299,$AI$7:$AI$608,"yes")+COUNTIFS($B$7:B299,B299,$C$7:C299,C299,$I$7:I299,I299,$AI$7:AI299,"yes"),"")</f>
        <v/>
      </c>
      <c r="AH299" s="24">
        <f>IF(ISNUMBER(H299),"yes","no")</f>
        <v/>
      </c>
      <c r="AI299" s="24">
        <f>IF(ISNUMBER(I299),"yes","no")</f>
        <v/>
      </c>
      <c r="AJ299" s="101" t="n">
        <v>46199</v>
      </c>
      <c r="AK299" s="24" t="n"/>
    </row>
    <row r="300" ht="42" customHeight="1">
      <c r="A300" s="2" t="n"/>
      <c r="B300" s="27" t="inlineStr">
        <is>
          <t>Lid for 600 × 400 mm dough box</t>
        </is>
      </c>
      <c r="C300" s="27" t="inlineStr">
        <is>
          <t>Hungary</t>
        </is>
      </c>
      <c r="D300" s="27" t="inlineStr">
        <is>
          <t>Hunnia</t>
        </is>
      </c>
      <c r="E300" s="27" t="inlineStr">
        <is>
          <t>PE Contacto Lid 600 x 400 mm</t>
        </is>
      </c>
      <c r="F300" s="102" t="n">
        <v>7147</v>
      </c>
      <c r="G300" s="27" t="inlineStr">
        <is>
          <t>HUF</t>
        </is>
      </c>
      <c r="H300" s="102">
        <f>IF(AND(AE300="yes",ISNUMBER(AD300)),AD300,"")</f>
        <v/>
      </c>
      <c r="I300" s="103">
        <f>IF(AND(AE300="yes",ISNUMBER(AD300),ISNUMBER(INDEX('Sources'!$G$7:$G$10,MATCH(AB300,'Sources'!$B$7:$B$10,0)))),AD300/INDEX('Sources'!$G$7:$G$10,MATCH(AB300,'Sources'!$B$7:$B$10,0)),"")</f>
        <v/>
      </c>
      <c r="J300" s="27" t="inlineStr">
        <is>
          <t>EXACT</t>
        </is>
      </c>
      <c r="K300" s="27" t="inlineStr">
        <is>
          <t>26.06.2026</t>
        </is>
      </c>
      <c r="L300" s="71" t="n"/>
      <c r="M300" s="27" t="inlineStr">
        <is>
          <t>Source sheet: Pizza Dough Boxes &amp; Lids</t>
        </is>
      </c>
      <c r="N300" s="28" t="inlineStr">
        <is>
          <t>https://hunniakristaly.hu/kereses?description=0&amp;search=+Pizza+keleszt%C5%91&amp;keyword=+Pizza+keleszt%C5%91</t>
        </is>
      </c>
      <c r="O300" s="27" t="n"/>
      <c r="P300" s="27" t="n"/>
      <c r="Q300" s="104" t="n"/>
      <c r="R300" s="27" t="n"/>
      <c r="S300" s="27" t="n"/>
      <c r="T300" s="27" t="n"/>
      <c r="U300" s="27" t="inlineStr">
        <is>
          <t>Dough-box lid size agrees. Benchmark does not restrict lid material.</t>
        </is>
      </c>
      <c r="V300" s="102" t="n"/>
      <c r="W300" s="102" t="n">
        <v>7147</v>
      </c>
      <c r="X300" s="27" t="inlineStr">
        <is>
          <t>YES Gastro Hungary Market Research.xlsx</t>
        </is>
      </c>
      <c r="Y300" s="27" t="inlineStr">
        <is>
          <t>Taha</t>
        </is>
      </c>
      <c r="Z300" s="27" t="n"/>
      <c r="AA300" s="27" t="inlineStr">
        <is>
          <t>Direct</t>
        </is>
      </c>
      <c r="AB300" s="27" t="inlineStr">
        <is>
          <t>HUF</t>
        </is>
      </c>
      <c r="AC300" s="27" t="inlineStr">
        <is>
          <t>yes</t>
        </is>
      </c>
      <c r="AD300" s="27">
        <f>IF(ISNUMBER(F300),IF(G300=AB300,F300,IF(AND(ISNUMBER(INDEX('Sources'!$G$7:$G$10,MATCH(G300,'Sources'!$B$7:$B$10,0))),ISNUMBER(INDEX('Sources'!$G$7:$G$10,MATCH(AB300,'Sources'!$B$7:$B$10,0)))),F300/INDEX('Sources'!$G$7:$G$10,MATCH(G300,'Sources'!$B$7:$B$10,0))*INDEX('Sources'!$G$7:$G$10,MATCH(AB300,'Sources'!$B$7:$B$10,0)),"")),"")</f>
        <v/>
      </c>
      <c r="AE300" s="27">
        <f>IF(AND(AC300="yes",ISNUMBER(F300),IF('Compare'!$H$5="All mapped",TRUE,IF('Compare'!$H$5="EXACT only",J300="EXACT",OR(J300="EXACT",J300="CLOSE")))),"yes","no")</f>
        <v/>
      </c>
      <c r="AF300" s="27">
        <f>IF(ISNUMBER(H300),COUNTIFS($B$7:$B$608,B300,$C$7:$C$608,C300,$H$7:$H$608,"&lt;"&amp;H300,$AH$7:$AH$608,"yes")+COUNTIFS($B$7:B300,B300,$C$7:C300,C300,$H$7:H300,H300,$AH$7:AH300,"yes"),"")</f>
        <v/>
      </c>
      <c r="AG300" s="27">
        <f>IF(ISNUMBER(I300),COUNTIFS($B$7:$B$608,B300,$C$7:$C$608,C300,$I$7:$I$608,"&lt;"&amp;I300,$AI$7:$AI$608,"yes")+COUNTIFS($B$7:B300,B300,$C$7:C300,C300,$I$7:I300,I300,$AI$7:AI300,"yes"),"")</f>
        <v/>
      </c>
      <c r="AH300" s="27">
        <f>IF(ISNUMBER(H300),"yes","no")</f>
        <v/>
      </c>
      <c r="AI300" s="27">
        <f>IF(ISNUMBER(I300),"yes","no")</f>
        <v/>
      </c>
      <c r="AJ300" s="105" t="n">
        <v>46199</v>
      </c>
      <c r="AK300" s="27" t="n"/>
    </row>
    <row r="301" ht="42" customHeight="1">
      <c r="A301" s="2" t="n"/>
      <c r="B301" s="24" t="inlineStr">
        <is>
          <t>Lid for 600 × 400 mm dough box</t>
        </is>
      </c>
      <c r="C301" s="24" t="inlineStr">
        <is>
          <t>Hungary</t>
        </is>
      </c>
      <c r="D301" s="24" t="inlineStr">
        <is>
          <t>Inox-Bázis</t>
        </is>
      </c>
      <c r="E301" s="24" t="inlineStr">
        <is>
          <t>PE Lid 600 x 400 mm</t>
        </is>
      </c>
      <c r="F301" s="98" t="n">
        <v>2290</v>
      </c>
      <c r="G301" s="24" t="inlineStr">
        <is>
          <t>HUF</t>
        </is>
      </c>
      <c r="H301" s="98">
        <f>IF(AND(AE301="yes",ISNUMBER(AD301)),AD301,"")</f>
        <v/>
      </c>
      <c r="I301" s="99">
        <f>IF(AND(AE301="yes",ISNUMBER(AD301),ISNUMBER(INDEX('Sources'!$G$7:$G$10,MATCH(AB301,'Sources'!$B$7:$B$10,0)))),AD301/INDEX('Sources'!$G$7:$G$10,MATCH(AB301,'Sources'!$B$7:$B$10,0)),"")</f>
        <v/>
      </c>
      <c r="J301" s="24" t="inlineStr">
        <is>
          <t>EXACT</t>
        </is>
      </c>
      <c r="K301" s="24" t="inlineStr">
        <is>
          <t>26.06.2026</t>
        </is>
      </c>
      <c r="L301" s="71" t="n"/>
      <c r="M301" s="24" t="inlineStr">
        <is>
          <t>Source sheet: Pizza Dough Boxes &amp; Lids</t>
        </is>
      </c>
      <c r="N301" s="25" t="inlineStr">
        <is>
          <t>https://www.inoxbazis.hu/search/?q=Pizza+keleszt%C5%91+doboz</t>
        </is>
      </c>
      <c r="O301" s="24" t="n"/>
      <c r="P301" s="24" t="n"/>
      <c r="Q301" s="100" t="n"/>
      <c r="R301" s="24" t="n"/>
      <c r="S301" s="24" t="n"/>
      <c r="T301" s="24" t="n"/>
      <c r="U301" s="24" t="inlineStr">
        <is>
          <t>Dough-box lid size agrees. Benchmark does not restrict lid material.</t>
        </is>
      </c>
      <c r="V301" s="98" t="n"/>
      <c r="W301" s="98" t="n">
        <v>2290</v>
      </c>
      <c r="X301" s="24" t="inlineStr">
        <is>
          <t>YES Gastro Hungary Market Research.xlsx</t>
        </is>
      </c>
      <c r="Y301" s="24" t="inlineStr">
        <is>
          <t>Taha</t>
        </is>
      </c>
      <c r="Z301" s="24" t="n"/>
      <c r="AA301" s="24" t="inlineStr">
        <is>
          <t>Direct</t>
        </is>
      </c>
      <c r="AB301" s="24" t="inlineStr">
        <is>
          <t>HUF</t>
        </is>
      </c>
      <c r="AC301" s="24" t="inlineStr">
        <is>
          <t>yes</t>
        </is>
      </c>
      <c r="AD301" s="24">
        <f>IF(ISNUMBER(F301),IF(G301=AB301,F301,IF(AND(ISNUMBER(INDEX('Sources'!$G$7:$G$10,MATCH(G301,'Sources'!$B$7:$B$10,0))),ISNUMBER(INDEX('Sources'!$G$7:$G$10,MATCH(AB301,'Sources'!$B$7:$B$10,0)))),F301/INDEX('Sources'!$G$7:$G$10,MATCH(G301,'Sources'!$B$7:$B$10,0))*INDEX('Sources'!$G$7:$G$10,MATCH(AB301,'Sources'!$B$7:$B$10,0)),"")),"")</f>
        <v/>
      </c>
      <c r="AE301" s="24">
        <f>IF(AND(AC301="yes",ISNUMBER(F301),IF('Compare'!$H$5="All mapped",TRUE,IF('Compare'!$H$5="EXACT only",J301="EXACT",OR(J301="EXACT",J301="CLOSE")))),"yes","no")</f>
        <v/>
      </c>
      <c r="AF301" s="24">
        <f>IF(ISNUMBER(H301),COUNTIFS($B$7:$B$608,B301,$C$7:$C$608,C301,$H$7:$H$608,"&lt;"&amp;H301,$AH$7:$AH$608,"yes")+COUNTIFS($B$7:B301,B301,$C$7:C301,C301,$H$7:H301,H301,$AH$7:AH301,"yes"),"")</f>
        <v/>
      </c>
      <c r="AG301" s="24">
        <f>IF(ISNUMBER(I301),COUNTIFS($B$7:$B$608,B301,$C$7:$C$608,C301,$I$7:$I$608,"&lt;"&amp;I301,$AI$7:$AI$608,"yes")+COUNTIFS($B$7:B301,B301,$C$7:C301,C301,$I$7:I301,I301,$AI$7:AI301,"yes"),"")</f>
        <v/>
      </c>
      <c r="AH301" s="24">
        <f>IF(ISNUMBER(H301),"yes","no")</f>
        <v/>
      </c>
      <c r="AI301" s="24">
        <f>IF(ISNUMBER(I301),"yes","no")</f>
        <v/>
      </c>
      <c r="AJ301" s="101" t="n">
        <v>46199</v>
      </c>
      <c r="AK301" s="24" t="n"/>
    </row>
    <row r="302" ht="42" customHeight="1">
      <c r="A302" s="2" t="n"/>
      <c r="B302" s="27" t="inlineStr">
        <is>
          <t>Lid for 600 × 400 mm dough box</t>
        </is>
      </c>
      <c r="C302" s="27" t="inlineStr">
        <is>
          <t>Hungary</t>
        </is>
      </c>
      <c r="D302" s="27" t="inlineStr">
        <is>
          <t>Inox-Pláza</t>
        </is>
      </c>
      <c r="E302" s="27" t="inlineStr">
        <is>
          <t>PE Lid 600 x 400 mm</t>
        </is>
      </c>
      <c r="F302" s="102" t="n">
        <v>3400</v>
      </c>
      <c r="G302" s="27" t="inlineStr">
        <is>
          <t>HUF</t>
        </is>
      </c>
      <c r="H302" s="102">
        <f>IF(AND(AE302="yes",ISNUMBER(AD302)),AD302,"")</f>
        <v/>
      </c>
      <c r="I302" s="103">
        <f>IF(AND(AE302="yes",ISNUMBER(AD302),ISNUMBER(INDEX('Sources'!$G$7:$G$10,MATCH(AB302,'Sources'!$B$7:$B$10,0)))),AD302/INDEX('Sources'!$G$7:$G$10,MATCH(AB302,'Sources'!$B$7:$B$10,0)),"")</f>
        <v/>
      </c>
      <c r="J302" s="27" t="inlineStr">
        <is>
          <t>EXACT</t>
        </is>
      </c>
      <c r="K302" s="27" t="inlineStr">
        <is>
          <t>26.06.2026</t>
        </is>
      </c>
      <c r="L302" s="71" t="n"/>
      <c r="M302" s="27" t="inlineStr">
        <is>
          <t>Source sheet: Pizza Dough Boxes &amp; Lids</t>
        </is>
      </c>
      <c r="N302" s="28" t="inlineStr">
        <is>
          <t>https://www.inoxplaza.hu/kereses?description=0&amp;keyword=Pizza+keleszt%C5%91</t>
        </is>
      </c>
      <c r="O302" s="27" t="n"/>
      <c r="P302" s="27" t="n"/>
      <c r="Q302" s="104" t="n"/>
      <c r="R302" s="27" t="n"/>
      <c r="S302" s="27" t="n"/>
      <c r="T302" s="27" t="n"/>
      <c r="U302" s="27" t="inlineStr">
        <is>
          <t>Dough-box lid size agrees. Benchmark does not restrict lid material.</t>
        </is>
      </c>
      <c r="V302" s="102" t="n"/>
      <c r="W302" s="102" t="n">
        <v>3400</v>
      </c>
      <c r="X302" s="27" t="inlineStr">
        <is>
          <t>YES Gastro Hungary Market Research.xlsx</t>
        </is>
      </c>
      <c r="Y302" s="27" t="inlineStr">
        <is>
          <t>Taha</t>
        </is>
      </c>
      <c r="Z302" s="27" t="n"/>
      <c r="AA302" s="27" t="inlineStr">
        <is>
          <t>Direct</t>
        </is>
      </c>
      <c r="AB302" s="27" t="inlineStr">
        <is>
          <t>HUF</t>
        </is>
      </c>
      <c r="AC302" s="27" t="inlineStr">
        <is>
          <t>yes</t>
        </is>
      </c>
      <c r="AD302" s="27">
        <f>IF(ISNUMBER(F302),IF(G302=AB302,F302,IF(AND(ISNUMBER(INDEX('Sources'!$G$7:$G$10,MATCH(G302,'Sources'!$B$7:$B$10,0))),ISNUMBER(INDEX('Sources'!$G$7:$G$10,MATCH(AB302,'Sources'!$B$7:$B$10,0)))),F302/INDEX('Sources'!$G$7:$G$10,MATCH(G302,'Sources'!$B$7:$B$10,0))*INDEX('Sources'!$G$7:$G$10,MATCH(AB302,'Sources'!$B$7:$B$10,0)),"")),"")</f>
        <v/>
      </c>
      <c r="AE302" s="27">
        <f>IF(AND(AC302="yes",ISNUMBER(F302),IF('Compare'!$H$5="All mapped",TRUE,IF('Compare'!$H$5="EXACT only",J302="EXACT",OR(J302="EXACT",J302="CLOSE")))),"yes","no")</f>
        <v/>
      </c>
      <c r="AF302" s="27">
        <f>IF(ISNUMBER(H302),COUNTIFS($B$7:$B$608,B302,$C$7:$C$608,C302,$H$7:$H$608,"&lt;"&amp;H302,$AH$7:$AH$608,"yes")+COUNTIFS($B$7:B302,B302,$C$7:C302,C302,$H$7:H302,H302,$AH$7:AH302,"yes"),"")</f>
        <v/>
      </c>
      <c r="AG302" s="27">
        <f>IF(ISNUMBER(I302),COUNTIFS($B$7:$B$608,B302,$C$7:$C$608,C302,$I$7:$I$608,"&lt;"&amp;I302,$AI$7:$AI$608,"yes")+COUNTIFS($B$7:B302,B302,$C$7:C302,C302,$I$7:I302,I302,$AI$7:AI302,"yes"),"")</f>
        <v/>
      </c>
      <c r="AH302" s="27">
        <f>IF(ISNUMBER(H302),"yes","no")</f>
        <v/>
      </c>
      <c r="AI302" s="27">
        <f>IF(ISNUMBER(I302),"yes","no")</f>
        <v/>
      </c>
      <c r="AJ302" s="105" t="n">
        <v>46199</v>
      </c>
      <c r="AK302" s="27" t="n"/>
    </row>
    <row r="303" ht="42" customHeight="1">
      <c r="A303" s="2" t="n"/>
      <c r="B303" s="24" t="inlineStr">
        <is>
          <t>Lid for 600 × 400 mm dough box</t>
        </is>
      </c>
      <c r="C303" s="24" t="inlineStr">
        <is>
          <t>Romania</t>
        </is>
      </c>
      <c r="D303" s="24" t="inlineStr">
        <is>
          <t>Direca</t>
        </is>
      </c>
      <c r="E303" s="24" t="inlineStr">
        <is>
          <t xml:space="preserve">600 x 400 </t>
        </is>
      </c>
      <c r="F303" s="98" t="n">
        <v>45.12</v>
      </c>
      <c r="G303" s="24" t="inlineStr">
        <is>
          <t>RON</t>
        </is>
      </c>
      <c r="H303" s="98">
        <f>IF(AND(AE303="yes",ISNUMBER(AD303)),AD303,"")</f>
        <v/>
      </c>
      <c r="I303" s="99">
        <f>IF(AND(AE303="yes",ISNUMBER(AD303),ISNUMBER(INDEX('Sources'!$G$7:$G$10,MATCH(AB303,'Sources'!$B$7:$B$10,0)))),AD303/INDEX('Sources'!$G$7:$G$10,MATCH(AB303,'Sources'!$B$7:$B$10,0)),"")</f>
        <v/>
      </c>
      <c r="J303" s="24" t="inlineStr">
        <is>
          <t>EXACT</t>
        </is>
      </c>
      <c r="K303" s="24" t="inlineStr">
        <is>
          <t>2026-09-03 00:00:00</t>
        </is>
      </c>
      <c r="L303" s="71" t="n"/>
      <c r="M303" s="24" t="n"/>
      <c r="N303" s="25" t="inlineStr">
        <is>
          <t>https://direca.ro/shop/capac-caseta-aluat-pizza/</t>
        </is>
      </c>
      <c r="O303" s="24" t="inlineStr">
        <is>
          <t>Forcar</t>
        </is>
      </c>
      <c r="P303" s="24" t="n"/>
      <c r="Q303" s="100" t="n"/>
      <c r="R303" s="24" t="n"/>
      <c r="S303" s="24" t="n"/>
      <c r="T303" s="24" t="n"/>
      <c r="U303" s="24" t="inlineStr">
        <is>
          <t>Dough-box lid size agrees. Benchmark does not restrict lid material.</t>
        </is>
      </c>
      <c r="V303" s="98" t="n"/>
      <c r="W303" s="98" t="n">
        <v>9.023999999999999</v>
      </c>
      <c r="X303" s="24" t="inlineStr">
        <is>
          <t>YES Gastro Romania Market Research.xlsx</t>
        </is>
      </c>
      <c r="Y303" s="24" t="inlineStr">
        <is>
          <t>Gabi</t>
        </is>
      </c>
      <c r="Z303" s="24" t="n"/>
      <c r="AA303" s="24" t="n"/>
      <c r="AB303" s="24" t="inlineStr">
        <is>
          <t>RON</t>
        </is>
      </c>
      <c r="AC303" s="24" t="inlineStr">
        <is>
          <t>yes</t>
        </is>
      </c>
      <c r="AD303" s="24">
        <f>IF(ISNUMBER(F303),IF(G303=AB303,F303,IF(AND(ISNUMBER(INDEX('Sources'!$G$7:$G$10,MATCH(G303,'Sources'!$B$7:$B$10,0))),ISNUMBER(INDEX('Sources'!$G$7:$G$10,MATCH(AB303,'Sources'!$B$7:$B$10,0)))),F303/INDEX('Sources'!$G$7:$G$10,MATCH(G303,'Sources'!$B$7:$B$10,0))*INDEX('Sources'!$G$7:$G$10,MATCH(AB303,'Sources'!$B$7:$B$10,0)),"")),"")</f>
        <v/>
      </c>
      <c r="AE303" s="24">
        <f>IF(AND(AC303="yes",ISNUMBER(F303),IF('Compare'!$H$5="All mapped",TRUE,IF('Compare'!$H$5="EXACT only",J303="EXACT",OR(J303="EXACT",J303="CLOSE")))),"yes","no")</f>
        <v/>
      </c>
      <c r="AF303" s="24">
        <f>IF(ISNUMBER(H303),COUNTIFS($B$7:$B$608,B303,$C$7:$C$608,C303,$H$7:$H$608,"&lt;"&amp;H303,$AH$7:$AH$608,"yes")+COUNTIFS($B$7:B303,B303,$C$7:C303,C303,$H$7:H303,H303,$AH$7:AH303,"yes"),"")</f>
        <v/>
      </c>
      <c r="AG303" s="24">
        <f>IF(ISNUMBER(I303),COUNTIFS($B$7:$B$608,B303,$C$7:$C$608,C303,$I$7:$I$608,"&lt;"&amp;I303,$AI$7:$AI$608,"yes")+COUNTIFS($B$7:B303,B303,$C$7:C303,C303,$I$7:I303,I303,$AI$7:AI303,"yes"),"")</f>
        <v/>
      </c>
      <c r="AH303" s="24">
        <f>IF(ISNUMBER(H303),"yes","no")</f>
        <v/>
      </c>
      <c r="AI303" s="24">
        <f>IF(ISNUMBER(I303),"yes","no")</f>
        <v/>
      </c>
      <c r="AJ303" s="101" t="n">
        <v>46268</v>
      </c>
      <c r="AK303" s="24" t="n"/>
    </row>
    <row r="304" ht="42" customHeight="1">
      <c r="A304" s="2" t="n"/>
      <c r="B304" s="27" t="inlineStr">
        <is>
          <t>Lid for 600 × 400 mm dough box</t>
        </is>
      </c>
      <c r="C304" s="27" t="inlineStr">
        <is>
          <t>Romania</t>
        </is>
      </c>
      <c r="D304" s="27" t="inlineStr">
        <is>
          <t>FiMax</t>
        </is>
      </c>
      <c r="E304" s="27" t="inlineStr">
        <is>
          <t>600 x 400</t>
        </is>
      </c>
      <c r="F304" s="102" t="n">
        <v>50.47</v>
      </c>
      <c r="G304" s="27" t="inlineStr">
        <is>
          <t>RON</t>
        </is>
      </c>
      <c r="H304" s="102">
        <f>IF(AND(AE304="yes",ISNUMBER(AD304)),AD304,"")</f>
        <v/>
      </c>
      <c r="I304" s="103">
        <f>IF(AND(AE304="yes",ISNUMBER(AD304),ISNUMBER(INDEX('Sources'!$G$7:$G$10,MATCH(AB304,'Sources'!$B$7:$B$10,0)))),AD304/INDEX('Sources'!$G$7:$G$10,MATCH(AB304,'Sources'!$B$7:$B$10,0)),"")</f>
        <v/>
      </c>
      <c r="J304" s="27" t="inlineStr">
        <is>
          <t>EXACT</t>
        </is>
      </c>
      <c r="K304" s="27" t="inlineStr">
        <is>
          <t>2026-09-03 00:00:00</t>
        </is>
      </c>
      <c r="L304" s="71" t="n"/>
      <c r="M304" s="27" t="n"/>
      <c r="N304" s="28" t="inlineStr">
        <is>
          <t>https://www.fimax.ro/categorie/echipamente-pizzerie/accesorii-preparare-pizza/page/2/</t>
        </is>
      </c>
      <c r="O304" s="27" t="inlineStr">
        <is>
          <t>Fimar</t>
        </is>
      </c>
      <c r="P304" s="27" t="n"/>
      <c r="Q304" s="104" t="n"/>
      <c r="R304" s="27" t="n"/>
      <c r="S304" s="27" t="n"/>
      <c r="T304" s="27" t="n"/>
      <c r="U304" s="27" t="inlineStr">
        <is>
          <t>Dough-box lid size agrees. Benchmark does not restrict lid material.</t>
        </is>
      </c>
      <c r="V304" s="102" t="n"/>
      <c r="W304" s="102" t="n">
        <v>10.094</v>
      </c>
      <c r="X304" s="27" t="inlineStr">
        <is>
          <t>YES Gastro Romania Market Research.xlsx</t>
        </is>
      </c>
      <c r="Y304" s="27" t="inlineStr">
        <is>
          <t>Gabi</t>
        </is>
      </c>
      <c r="Z304" s="27" t="n"/>
      <c r="AA304" s="27" t="n"/>
      <c r="AB304" s="27" t="inlineStr">
        <is>
          <t>RON</t>
        </is>
      </c>
      <c r="AC304" s="27" t="inlineStr">
        <is>
          <t>yes</t>
        </is>
      </c>
      <c r="AD304" s="27">
        <f>IF(ISNUMBER(F304),IF(G304=AB304,F304,IF(AND(ISNUMBER(INDEX('Sources'!$G$7:$G$10,MATCH(G304,'Sources'!$B$7:$B$10,0))),ISNUMBER(INDEX('Sources'!$G$7:$G$10,MATCH(AB304,'Sources'!$B$7:$B$10,0)))),F304/INDEX('Sources'!$G$7:$G$10,MATCH(G304,'Sources'!$B$7:$B$10,0))*INDEX('Sources'!$G$7:$G$10,MATCH(AB304,'Sources'!$B$7:$B$10,0)),"")),"")</f>
        <v/>
      </c>
      <c r="AE304" s="27">
        <f>IF(AND(AC304="yes",ISNUMBER(F304),IF('Compare'!$H$5="All mapped",TRUE,IF('Compare'!$H$5="EXACT only",J304="EXACT",OR(J304="EXACT",J304="CLOSE")))),"yes","no")</f>
        <v/>
      </c>
      <c r="AF304" s="27">
        <f>IF(ISNUMBER(H304),COUNTIFS($B$7:$B$608,B304,$C$7:$C$608,C304,$H$7:$H$608,"&lt;"&amp;H304,$AH$7:$AH$608,"yes")+COUNTIFS($B$7:B304,B304,$C$7:C304,C304,$H$7:H304,H304,$AH$7:AH304,"yes"),"")</f>
        <v/>
      </c>
      <c r="AG304" s="27">
        <f>IF(ISNUMBER(I304),COUNTIFS($B$7:$B$608,B304,$C$7:$C$608,C304,$I$7:$I$608,"&lt;"&amp;I304,$AI$7:$AI$608,"yes")+COUNTIFS($B$7:B304,B304,$C$7:C304,C304,$I$7:I304,I304,$AI$7:AI304,"yes"),"")</f>
        <v/>
      </c>
      <c r="AH304" s="27">
        <f>IF(ISNUMBER(H304),"yes","no")</f>
        <v/>
      </c>
      <c r="AI304" s="27">
        <f>IF(ISNUMBER(I304),"yes","no")</f>
        <v/>
      </c>
      <c r="AJ304" s="105" t="n">
        <v>46268</v>
      </c>
      <c r="AK304" s="27" t="n"/>
    </row>
    <row r="305" ht="42" customHeight="1">
      <c r="A305" s="2" t="n"/>
      <c r="B305" s="24" t="inlineStr">
        <is>
          <t>Lid for 600 × 400 mm dough box</t>
        </is>
      </c>
      <c r="C305" s="24" t="inlineStr">
        <is>
          <t>Romania</t>
        </is>
      </c>
      <c r="D305" s="24" t="inlineStr">
        <is>
          <t>Gastrozone</t>
        </is>
      </c>
      <c r="E305" s="24" t="inlineStr">
        <is>
          <t>600 x 400</t>
        </is>
      </c>
      <c r="F305" s="98" t="n">
        <v>62.24</v>
      </c>
      <c r="G305" s="24" t="inlineStr">
        <is>
          <t>RON</t>
        </is>
      </c>
      <c r="H305" s="98">
        <f>IF(AND(AE305="yes",ISNUMBER(AD305)),AD305,"")</f>
        <v/>
      </c>
      <c r="I305" s="99">
        <f>IF(AND(AE305="yes",ISNUMBER(AD305),ISNUMBER(INDEX('Sources'!$G$7:$G$10,MATCH(AB305,'Sources'!$B$7:$B$10,0)))),AD305/INDEX('Sources'!$G$7:$G$10,MATCH(AB305,'Sources'!$B$7:$B$10,0)),"")</f>
        <v/>
      </c>
      <c r="J305" s="24" t="inlineStr">
        <is>
          <t>EXACT</t>
        </is>
      </c>
      <c r="K305" s="24" t="inlineStr">
        <is>
          <t>2026-09-03 00:00:00</t>
        </is>
      </c>
      <c r="L305" s="71" t="n"/>
      <c r="M305" s="24" t="inlineStr">
        <is>
          <t>PP</t>
        </is>
      </c>
      <c r="N305" s="25" t="inlineStr">
        <is>
          <t>https://www.gastrozone.ro/araven-capac-pentru-cutie-de-pizza-pp-lungime-600-mm-latime-400-mm.html</t>
        </is>
      </c>
      <c r="O305" s="24" t="inlineStr">
        <is>
          <t>Araven</t>
        </is>
      </c>
      <c r="P305" s="24" t="n"/>
      <c r="Q305" s="100" t="n"/>
      <c r="R305" s="24" t="n"/>
      <c r="S305" s="24" t="n"/>
      <c r="T305" s="24" t="n"/>
      <c r="U305" s="24" t="inlineStr">
        <is>
          <t>Dough-box lid size agrees. Benchmark does not restrict lid material.</t>
        </is>
      </c>
      <c r="V305" s="98" t="n"/>
      <c r="W305" s="98" t="n">
        <v>12.448</v>
      </c>
      <c r="X305" s="24" t="inlineStr">
        <is>
          <t>YES Gastro Romania Market Research.xlsx</t>
        </is>
      </c>
      <c r="Y305" s="24" t="inlineStr">
        <is>
          <t>Gabi</t>
        </is>
      </c>
      <c r="Z305" s="24" t="n"/>
      <c r="AA305" s="24" t="n"/>
      <c r="AB305" s="24" t="inlineStr">
        <is>
          <t>RON</t>
        </is>
      </c>
      <c r="AC305" s="24" t="inlineStr">
        <is>
          <t>yes</t>
        </is>
      </c>
      <c r="AD305" s="24">
        <f>IF(ISNUMBER(F305),IF(G305=AB305,F305,IF(AND(ISNUMBER(INDEX('Sources'!$G$7:$G$10,MATCH(G305,'Sources'!$B$7:$B$10,0))),ISNUMBER(INDEX('Sources'!$G$7:$G$10,MATCH(AB305,'Sources'!$B$7:$B$10,0)))),F305/INDEX('Sources'!$G$7:$G$10,MATCH(G305,'Sources'!$B$7:$B$10,0))*INDEX('Sources'!$G$7:$G$10,MATCH(AB305,'Sources'!$B$7:$B$10,0)),"")),"")</f>
        <v/>
      </c>
      <c r="AE305" s="24">
        <f>IF(AND(AC305="yes",ISNUMBER(F305),IF('Compare'!$H$5="All mapped",TRUE,IF('Compare'!$H$5="EXACT only",J305="EXACT",OR(J305="EXACT",J305="CLOSE")))),"yes","no")</f>
        <v/>
      </c>
      <c r="AF305" s="24">
        <f>IF(ISNUMBER(H305),COUNTIFS($B$7:$B$608,B305,$C$7:$C$608,C305,$H$7:$H$608,"&lt;"&amp;H305,$AH$7:$AH$608,"yes")+COUNTIFS($B$7:B305,B305,$C$7:C305,C305,$H$7:H305,H305,$AH$7:AH305,"yes"),"")</f>
        <v/>
      </c>
      <c r="AG305" s="24">
        <f>IF(ISNUMBER(I305),COUNTIFS($B$7:$B$608,B305,$C$7:$C$608,C305,$I$7:$I$608,"&lt;"&amp;I305,$AI$7:$AI$608,"yes")+COUNTIFS($B$7:B305,B305,$C$7:C305,C305,$I$7:I305,I305,$AI$7:AI305,"yes"),"")</f>
        <v/>
      </c>
      <c r="AH305" s="24">
        <f>IF(ISNUMBER(H305),"yes","no")</f>
        <v/>
      </c>
      <c r="AI305" s="24">
        <f>IF(ISNUMBER(I305),"yes","no")</f>
        <v/>
      </c>
      <c r="AJ305" s="101" t="n">
        <v>46268</v>
      </c>
      <c r="AK305" s="24" t="n"/>
    </row>
    <row r="306" ht="42" customHeight="1">
      <c r="A306" s="2" t="n"/>
      <c r="B306" s="27" t="inlineStr">
        <is>
          <t>Lid for 600 × 400 mm dough box</t>
        </is>
      </c>
      <c r="C306" s="27" t="inlineStr">
        <is>
          <t>Romania</t>
        </is>
      </c>
      <c r="D306" s="27" t="inlineStr">
        <is>
          <t>Horecamag</t>
        </is>
      </c>
      <c r="E306" s="27" t="inlineStr">
        <is>
          <t>600 x 400</t>
        </is>
      </c>
      <c r="F306" s="102" t="n">
        <v>39.21</v>
      </c>
      <c r="G306" s="27" t="inlineStr">
        <is>
          <t>RON</t>
        </is>
      </c>
      <c r="H306" s="102">
        <f>IF(AND(AE306="yes",ISNUMBER(AD306)),AD306,"")</f>
        <v/>
      </c>
      <c r="I306" s="103">
        <f>IF(AND(AE306="yes",ISNUMBER(AD306),ISNUMBER(INDEX('Sources'!$G$7:$G$10,MATCH(AB306,'Sources'!$B$7:$B$10,0)))),AD306/INDEX('Sources'!$G$7:$G$10,MATCH(AB306,'Sources'!$B$7:$B$10,0)),"")</f>
        <v/>
      </c>
      <c r="J306" s="27" t="inlineStr">
        <is>
          <t>EXACT</t>
        </is>
      </c>
      <c r="K306" s="27" t="inlineStr">
        <is>
          <t>2026-09-03 00:00:00</t>
        </is>
      </c>
      <c r="L306" s="71" t="n"/>
      <c r="M306" s="27" t="inlineStr">
        <is>
          <t>PE</t>
        </is>
      </c>
      <c r="N306" s="28" t="inlineStr">
        <is>
          <t>https://www.horecamag.ro/produs/capac-pentru-caseta-aluat-paline-pizza/</t>
        </is>
      </c>
      <c r="O306" s="27" t="n"/>
      <c r="P306" s="27" t="n"/>
      <c r="Q306" s="104" t="n"/>
      <c r="R306" s="27" t="n"/>
      <c r="S306" s="27" t="n"/>
      <c r="T306" s="27" t="n"/>
      <c r="U306" s="27" t="inlineStr">
        <is>
          <t>Dough-box lid size agrees. Benchmark does not restrict lid material.</t>
        </is>
      </c>
      <c r="V306" s="102" t="n"/>
      <c r="W306" s="102" t="n">
        <v>7.842000000000001</v>
      </c>
      <c r="X306" s="27" t="inlineStr">
        <is>
          <t>YES Gastro Romania Market Research.xlsx</t>
        </is>
      </c>
      <c r="Y306" s="27" t="inlineStr">
        <is>
          <t>Gabi</t>
        </is>
      </c>
      <c r="Z306" s="27" t="n"/>
      <c r="AA306" s="27" t="n"/>
      <c r="AB306" s="27" t="inlineStr">
        <is>
          <t>RON</t>
        </is>
      </c>
      <c r="AC306" s="27" t="inlineStr">
        <is>
          <t>yes</t>
        </is>
      </c>
      <c r="AD306" s="27">
        <f>IF(ISNUMBER(F306),IF(G306=AB306,F306,IF(AND(ISNUMBER(INDEX('Sources'!$G$7:$G$10,MATCH(G306,'Sources'!$B$7:$B$10,0))),ISNUMBER(INDEX('Sources'!$G$7:$G$10,MATCH(AB306,'Sources'!$B$7:$B$10,0)))),F306/INDEX('Sources'!$G$7:$G$10,MATCH(G306,'Sources'!$B$7:$B$10,0))*INDEX('Sources'!$G$7:$G$10,MATCH(AB306,'Sources'!$B$7:$B$10,0)),"")),"")</f>
        <v/>
      </c>
      <c r="AE306" s="27">
        <f>IF(AND(AC306="yes",ISNUMBER(F306),IF('Compare'!$H$5="All mapped",TRUE,IF('Compare'!$H$5="EXACT only",J306="EXACT",OR(J306="EXACT",J306="CLOSE")))),"yes","no")</f>
        <v/>
      </c>
      <c r="AF306" s="27">
        <f>IF(ISNUMBER(H306),COUNTIFS($B$7:$B$608,B306,$C$7:$C$608,C306,$H$7:$H$608,"&lt;"&amp;H306,$AH$7:$AH$608,"yes")+COUNTIFS($B$7:B306,B306,$C$7:C306,C306,$H$7:H306,H306,$AH$7:AH306,"yes"),"")</f>
        <v/>
      </c>
      <c r="AG306" s="27">
        <f>IF(ISNUMBER(I306),COUNTIFS($B$7:$B$608,B306,$C$7:$C$608,C306,$I$7:$I$608,"&lt;"&amp;I306,$AI$7:$AI$608,"yes")+COUNTIFS($B$7:B306,B306,$C$7:C306,C306,$I$7:I306,I306,$AI$7:AI306,"yes"),"")</f>
        <v/>
      </c>
      <c r="AH306" s="27">
        <f>IF(ISNUMBER(H306),"yes","no")</f>
        <v/>
      </c>
      <c r="AI306" s="27">
        <f>IF(ISNUMBER(I306),"yes","no")</f>
        <v/>
      </c>
      <c r="AJ306" s="105" t="n">
        <v>46268</v>
      </c>
      <c r="AK306" s="27" t="n"/>
    </row>
    <row r="307" ht="42" customHeight="1">
      <c r="A307" s="2" t="n"/>
      <c r="B307" s="24" t="inlineStr">
        <is>
          <t>Lid for 600 × 400 mm dough box</t>
        </is>
      </c>
      <c r="C307" s="24" t="inlineStr">
        <is>
          <t>Romania</t>
        </is>
      </c>
      <c r="D307" s="24" t="inlineStr">
        <is>
          <t>Patiser.ro</t>
        </is>
      </c>
      <c r="E307" s="24" t="inlineStr">
        <is>
          <t>600 x 400</t>
        </is>
      </c>
      <c r="F307" s="98" t="n">
        <v>30.52</v>
      </c>
      <c r="G307" s="24" t="inlineStr">
        <is>
          <t>RON</t>
        </is>
      </c>
      <c r="H307" s="98">
        <f>IF(AND(AE307="yes",ISNUMBER(AD307)),AD307,"")</f>
        <v/>
      </c>
      <c r="I307" s="99">
        <f>IF(AND(AE307="yes",ISNUMBER(AD307),ISNUMBER(INDEX('Sources'!$G$7:$G$10,MATCH(AB307,'Sources'!$B$7:$B$10,0)))),AD307/INDEX('Sources'!$G$7:$G$10,MATCH(AB307,'Sources'!$B$7:$B$10,0)),"")</f>
        <v/>
      </c>
      <c r="J307" s="24" t="inlineStr">
        <is>
          <t>EXACT</t>
        </is>
      </c>
      <c r="K307" s="24" t="inlineStr">
        <is>
          <t>2026-09-03 00:00:00</t>
        </is>
      </c>
      <c r="L307" s="71" t="n"/>
      <c r="M307" s="24" t="inlineStr">
        <is>
          <t>PP</t>
        </is>
      </c>
      <c r="N307" s="25" t="inlineStr">
        <is>
          <t>https://www.patiser.ro/depozitare-transport/capac-cutie-casetă-aluat-pizza-paine-60-x-40.html?srsltid=AfmBOooCw4qgA7pJuSTQQp1fcsdZnXC7gcIpJQkh1e8z_KN2YhwLJOIS</t>
        </is>
      </c>
      <c r="O307" s="24" t="n"/>
      <c r="P307" s="24" t="n"/>
      <c r="Q307" s="100" t="n"/>
      <c r="R307" s="24" t="n"/>
      <c r="S307" s="24" t="n"/>
      <c r="T307" s="24" t="n"/>
      <c r="U307" s="24" t="inlineStr">
        <is>
          <t>Dough-box lid size agrees. Benchmark does not restrict lid material.</t>
        </is>
      </c>
      <c r="V307" s="98" t="n"/>
      <c r="W307" s="98" t="n">
        <v>6.104</v>
      </c>
      <c r="X307" s="24" t="inlineStr">
        <is>
          <t>YES Gastro Romania Market Research.xlsx</t>
        </is>
      </c>
      <c r="Y307" s="24" t="inlineStr">
        <is>
          <t>Gabi</t>
        </is>
      </c>
      <c r="Z307" s="24" t="n"/>
      <c r="AA307" s="24" t="n"/>
      <c r="AB307" s="24" t="inlineStr">
        <is>
          <t>RON</t>
        </is>
      </c>
      <c r="AC307" s="24" t="inlineStr">
        <is>
          <t>yes</t>
        </is>
      </c>
      <c r="AD307" s="24">
        <f>IF(ISNUMBER(F307),IF(G307=AB307,F307,IF(AND(ISNUMBER(INDEX('Sources'!$G$7:$G$10,MATCH(G307,'Sources'!$B$7:$B$10,0))),ISNUMBER(INDEX('Sources'!$G$7:$G$10,MATCH(AB307,'Sources'!$B$7:$B$10,0)))),F307/INDEX('Sources'!$G$7:$G$10,MATCH(G307,'Sources'!$B$7:$B$10,0))*INDEX('Sources'!$G$7:$G$10,MATCH(AB307,'Sources'!$B$7:$B$10,0)),"")),"")</f>
        <v/>
      </c>
      <c r="AE307" s="24">
        <f>IF(AND(AC307="yes",ISNUMBER(F307),IF('Compare'!$H$5="All mapped",TRUE,IF('Compare'!$H$5="EXACT only",J307="EXACT",OR(J307="EXACT",J307="CLOSE")))),"yes","no")</f>
        <v/>
      </c>
      <c r="AF307" s="24">
        <f>IF(ISNUMBER(H307),COUNTIFS($B$7:$B$608,B307,$C$7:$C$608,C307,$H$7:$H$608,"&lt;"&amp;H307,$AH$7:$AH$608,"yes")+COUNTIFS($B$7:B307,B307,$C$7:C307,C307,$H$7:H307,H307,$AH$7:AH307,"yes"),"")</f>
        <v/>
      </c>
      <c r="AG307" s="24">
        <f>IF(ISNUMBER(I307),COUNTIFS($B$7:$B$608,B307,$C$7:$C$608,C307,$I$7:$I$608,"&lt;"&amp;I307,$AI$7:$AI$608,"yes")+COUNTIFS($B$7:B307,B307,$C$7:C307,C307,$I$7:I307,I307,$AI$7:AI307,"yes"),"")</f>
        <v/>
      </c>
      <c r="AH307" s="24">
        <f>IF(ISNUMBER(H307),"yes","no")</f>
        <v/>
      </c>
      <c r="AI307" s="24">
        <f>IF(ISNUMBER(I307),"yes","no")</f>
        <v/>
      </c>
      <c r="AJ307" s="101" t="n">
        <v>46268</v>
      </c>
      <c r="AK307" s="24" t="n"/>
    </row>
    <row r="308" ht="42" customHeight="1">
      <c r="A308" s="2" t="n"/>
      <c r="B308" s="27" t="inlineStr">
        <is>
          <t>Lid for 600 × 400 mm dough box</t>
        </is>
      </c>
      <c r="C308" s="27" t="inlineStr">
        <is>
          <t>Romania</t>
        </is>
      </c>
      <c r="D308" s="27" t="inlineStr">
        <is>
          <t>gastroprofesional</t>
        </is>
      </c>
      <c r="E308" s="27" t="inlineStr">
        <is>
          <t>600 x 400</t>
        </is>
      </c>
      <c r="F308" s="102" t="n">
        <v>49.99</v>
      </c>
      <c r="G308" s="27" t="inlineStr">
        <is>
          <t>RON</t>
        </is>
      </c>
      <c r="H308" s="102">
        <f>IF(AND(AE308="yes",ISNUMBER(AD308)),AD308,"")</f>
        <v/>
      </c>
      <c r="I308" s="103">
        <f>IF(AND(AE308="yes",ISNUMBER(AD308),ISNUMBER(INDEX('Sources'!$G$7:$G$10,MATCH(AB308,'Sources'!$B$7:$B$10,0)))),AD308/INDEX('Sources'!$G$7:$G$10,MATCH(AB308,'Sources'!$B$7:$B$10,0)),"")</f>
        <v/>
      </c>
      <c r="J308" s="27" t="inlineStr">
        <is>
          <t>EXACT</t>
        </is>
      </c>
      <c r="K308" s="27" t="inlineStr">
        <is>
          <t>2026-09-03 00:00:00</t>
        </is>
      </c>
      <c r="L308" s="71" t="n"/>
      <c r="M308" s="27" t="n"/>
      <c r="N308" s="28" t="inlineStr">
        <is>
          <t>https://gastroprofesional.ro/capac-caseta-aluat-600x400x20mm-stalgast.html</t>
        </is>
      </c>
      <c r="O308" s="27" t="inlineStr">
        <is>
          <t>Stalgast</t>
        </is>
      </c>
      <c r="P308" s="27" t="n"/>
      <c r="Q308" s="104" t="n"/>
      <c r="R308" s="27" t="n"/>
      <c r="S308" s="27" t="n"/>
      <c r="T308" s="27" t="n"/>
      <c r="U308" s="27" t="inlineStr">
        <is>
          <t>Dough-box lid size agrees. Benchmark does not restrict lid material.</t>
        </is>
      </c>
      <c r="V308" s="102" t="n"/>
      <c r="W308" s="102" t="n">
        <v>9.998000000000001</v>
      </c>
      <c r="X308" s="27" t="inlineStr">
        <is>
          <t>YES Gastro Romania Market Research.xlsx</t>
        </is>
      </c>
      <c r="Y308" s="27" t="inlineStr">
        <is>
          <t>Gabi</t>
        </is>
      </c>
      <c r="Z308" s="27" t="n"/>
      <c r="AA308" s="27" t="n"/>
      <c r="AB308" s="27" t="inlineStr">
        <is>
          <t>RON</t>
        </is>
      </c>
      <c r="AC308" s="27" t="inlineStr">
        <is>
          <t>yes</t>
        </is>
      </c>
      <c r="AD308" s="27">
        <f>IF(ISNUMBER(F308),IF(G308=AB308,F308,IF(AND(ISNUMBER(INDEX('Sources'!$G$7:$G$10,MATCH(G308,'Sources'!$B$7:$B$10,0))),ISNUMBER(INDEX('Sources'!$G$7:$G$10,MATCH(AB308,'Sources'!$B$7:$B$10,0)))),F308/INDEX('Sources'!$G$7:$G$10,MATCH(G308,'Sources'!$B$7:$B$10,0))*INDEX('Sources'!$G$7:$G$10,MATCH(AB308,'Sources'!$B$7:$B$10,0)),"")),"")</f>
        <v/>
      </c>
      <c r="AE308" s="27">
        <f>IF(AND(AC308="yes",ISNUMBER(F308),IF('Compare'!$H$5="All mapped",TRUE,IF('Compare'!$H$5="EXACT only",J308="EXACT",OR(J308="EXACT",J308="CLOSE")))),"yes","no")</f>
        <v/>
      </c>
      <c r="AF308" s="27">
        <f>IF(ISNUMBER(H308),COUNTIFS($B$7:$B$608,B308,$C$7:$C$608,C308,$H$7:$H$608,"&lt;"&amp;H308,$AH$7:$AH$608,"yes")+COUNTIFS($B$7:B308,B308,$C$7:C308,C308,$H$7:H308,H308,$AH$7:AH308,"yes"),"")</f>
        <v/>
      </c>
      <c r="AG308" s="27">
        <f>IF(ISNUMBER(I308),COUNTIFS($B$7:$B$608,B308,$C$7:$C$608,C308,$I$7:$I$608,"&lt;"&amp;I308,$AI$7:$AI$608,"yes")+COUNTIFS($B$7:B308,B308,$C$7:C308,C308,$I$7:I308,I308,$AI$7:AI308,"yes"),"")</f>
        <v/>
      </c>
      <c r="AH308" s="27">
        <f>IF(ISNUMBER(H308),"yes","no")</f>
        <v/>
      </c>
      <c r="AI308" s="27">
        <f>IF(ISNUMBER(I308),"yes","no")</f>
        <v/>
      </c>
      <c r="AJ308" s="105" t="n">
        <v>46268</v>
      </c>
      <c r="AK308" s="27" t="n"/>
    </row>
    <row r="309" ht="42" customHeight="1">
      <c r="A309" s="2" t="n"/>
      <c r="B309" s="24" t="inlineStr">
        <is>
          <t>Lid for 600 × 400 mm dough box</t>
        </is>
      </c>
      <c r="C309" s="24" t="inlineStr">
        <is>
          <t>Romania</t>
        </is>
      </c>
      <c r="D309" s="24" t="inlineStr">
        <is>
          <t>mmgastro</t>
        </is>
      </c>
      <c r="E309" s="24" t="inlineStr">
        <is>
          <t>600 x 400</t>
        </is>
      </c>
      <c r="F309" s="98" t="n">
        <v>31.68</v>
      </c>
      <c r="G309" s="24" t="inlineStr">
        <is>
          <t>RON</t>
        </is>
      </c>
      <c r="H309" s="98">
        <f>IF(AND(AE309="yes",ISNUMBER(AD309)),AD309,"")</f>
        <v/>
      </c>
      <c r="I309" s="99">
        <f>IF(AND(AE309="yes",ISNUMBER(AD309),ISNUMBER(INDEX('Sources'!$G$7:$G$10,MATCH(AB309,'Sources'!$B$7:$B$10,0)))),AD309/INDEX('Sources'!$G$7:$G$10,MATCH(AB309,'Sources'!$B$7:$B$10,0)),"")</f>
        <v/>
      </c>
      <c r="J309" s="24" t="inlineStr">
        <is>
          <t>EXACT</t>
        </is>
      </c>
      <c r="K309" s="24" t="inlineStr">
        <is>
          <t>2026-09-03 00:00:00</t>
        </is>
      </c>
      <c r="L309" s="71" t="n"/>
      <c r="M309" s="24" t="inlineStr">
        <is>
          <t>PE</t>
        </is>
      </c>
      <c r="N309" s="25" t="inlineStr">
        <is>
          <t>https://mmgastro.ro/ro/menu/categorii/vase-gastronomice/containere-pentru-aluat-de-pizza-11722</t>
        </is>
      </c>
      <c r="O309" s="24" t="inlineStr">
        <is>
          <t>Forgast</t>
        </is>
      </c>
      <c r="P309" s="24" t="n"/>
      <c r="Q309" s="100" t="n"/>
      <c r="R309" s="24" t="n"/>
      <c r="S309" s="24" t="n"/>
      <c r="T309" s="24" t="n"/>
      <c r="U309" s="24" t="inlineStr">
        <is>
          <t>Dough-box lid size agrees. Benchmark does not restrict lid material.</t>
        </is>
      </c>
      <c r="V309" s="98" t="n"/>
      <c r="W309" s="98" t="n">
        <v>6.336</v>
      </c>
      <c r="X309" s="24" t="inlineStr">
        <is>
          <t>YES Gastro Romania Market Research.xlsx</t>
        </is>
      </c>
      <c r="Y309" s="24" t="inlineStr">
        <is>
          <t>Gabi</t>
        </is>
      </c>
      <c r="Z309" s="24" t="n"/>
      <c r="AA309" s="24" t="n"/>
      <c r="AB309" s="24" t="inlineStr">
        <is>
          <t>RON</t>
        </is>
      </c>
      <c r="AC309" s="24" t="inlineStr">
        <is>
          <t>yes</t>
        </is>
      </c>
      <c r="AD309" s="24">
        <f>IF(ISNUMBER(F309),IF(G309=AB309,F309,IF(AND(ISNUMBER(INDEX('Sources'!$G$7:$G$10,MATCH(G309,'Sources'!$B$7:$B$10,0))),ISNUMBER(INDEX('Sources'!$G$7:$G$10,MATCH(AB309,'Sources'!$B$7:$B$10,0)))),F309/INDEX('Sources'!$G$7:$G$10,MATCH(G309,'Sources'!$B$7:$B$10,0))*INDEX('Sources'!$G$7:$G$10,MATCH(AB309,'Sources'!$B$7:$B$10,0)),"")),"")</f>
        <v/>
      </c>
      <c r="AE309" s="24">
        <f>IF(AND(AC309="yes",ISNUMBER(F309),IF('Compare'!$H$5="All mapped",TRUE,IF('Compare'!$H$5="EXACT only",J309="EXACT",OR(J309="EXACT",J309="CLOSE")))),"yes","no")</f>
        <v/>
      </c>
      <c r="AF309" s="24">
        <f>IF(ISNUMBER(H309),COUNTIFS($B$7:$B$608,B309,$C$7:$C$608,C309,$H$7:$H$608,"&lt;"&amp;H309,$AH$7:$AH$608,"yes")+COUNTIFS($B$7:B309,B309,$C$7:C309,C309,$H$7:H309,H309,$AH$7:AH309,"yes"),"")</f>
        <v/>
      </c>
      <c r="AG309" s="24">
        <f>IF(ISNUMBER(I309),COUNTIFS($B$7:$B$608,B309,$C$7:$C$608,C309,$I$7:$I$608,"&lt;"&amp;I309,$AI$7:$AI$608,"yes")+COUNTIFS($B$7:B309,B309,$C$7:C309,C309,$I$7:I309,I309,$AI$7:AI309,"yes"),"")</f>
        <v/>
      </c>
      <c r="AH309" s="24">
        <f>IF(ISNUMBER(H309),"yes","no")</f>
        <v/>
      </c>
      <c r="AI309" s="24">
        <f>IF(ISNUMBER(I309),"yes","no")</f>
        <v/>
      </c>
      <c r="AJ309" s="101" t="n">
        <v>46268</v>
      </c>
      <c r="AK309" s="24" t="n"/>
    </row>
    <row r="310" ht="42" customHeight="1">
      <c r="A310" s="2" t="n"/>
      <c r="B310" s="27" t="inlineStr">
        <is>
          <t>Lid for 600 × 400 mm dough box</t>
        </is>
      </c>
      <c r="C310" s="27" t="inlineStr">
        <is>
          <t>Romania</t>
        </is>
      </c>
      <c r="D310" s="27" t="inlineStr">
        <is>
          <t>mmgastro</t>
        </is>
      </c>
      <c r="E310" s="27" t="inlineStr">
        <is>
          <t>600 x 400</t>
        </is>
      </c>
      <c r="F310" s="102" t="n">
        <v>38.42</v>
      </c>
      <c r="G310" s="27" t="inlineStr">
        <is>
          <t>RON</t>
        </is>
      </c>
      <c r="H310" s="102">
        <f>IF(AND(AE310="yes",ISNUMBER(AD310)),AD310,"")</f>
        <v/>
      </c>
      <c r="I310" s="103">
        <f>IF(AND(AE310="yes",ISNUMBER(AD310),ISNUMBER(INDEX('Sources'!$G$7:$G$10,MATCH(AB310,'Sources'!$B$7:$B$10,0)))),AD310/INDEX('Sources'!$G$7:$G$10,MATCH(AB310,'Sources'!$B$7:$B$10,0)),"")</f>
        <v/>
      </c>
      <c r="J310" s="27" t="inlineStr">
        <is>
          <t>EXACT</t>
        </is>
      </c>
      <c r="K310" s="27" t="inlineStr">
        <is>
          <t>2026-09-03 00:00:00</t>
        </is>
      </c>
      <c r="L310" s="71" t="n"/>
      <c r="M310" s="27" t="inlineStr">
        <is>
          <t>PET</t>
        </is>
      </c>
      <c r="N310" s="28" t="inlineStr">
        <is>
          <t>https://mmgastro.ro/ro/products/capac-pentru-recipiente-de-aluat-de-pizza-amerbox-880968-138502</t>
        </is>
      </c>
      <c r="O310" s="27" t="inlineStr">
        <is>
          <t>AMERBOX</t>
        </is>
      </c>
      <c r="P310" s="27" t="n"/>
      <c r="Q310" s="104" t="n"/>
      <c r="R310" s="27" t="n"/>
      <c r="S310" s="27" t="n"/>
      <c r="T310" s="27" t="n"/>
      <c r="U310" s="27" t="inlineStr">
        <is>
          <t>Dough-box lid size agrees. Benchmark does not restrict lid material.</t>
        </is>
      </c>
      <c r="V310" s="102" t="n"/>
      <c r="W310" s="102" t="n">
        <v>7.684000000000001</v>
      </c>
      <c r="X310" s="27" t="inlineStr">
        <is>
          <t>YES Gastro Romania Market Research.xlsx</t>
        </is>
      </c>
      <c r="Y310" s="27" t="inlineStr">
        <is>
          <t>Gabi</t>
        </is>
      </c>
      <c r="Z310" s="27" t="n"/>
      <c r="AA310" s="27" t="n"/>
      <c r="AB310" s="27" t="inlineStr">
        <is>
          <t>RON</t>
        </is>
      </c>
      <c r="AC310" s="27" t="inlineStr">
        <is>
          <t>yes</t>
        </is>
      </c>
      <c r="AD310" s="27">
        <f>IF(ISNUMBER(F310),IF(G310=AB310,F310,IF(AND(ISNUMBER(INDEX('Sources'!$G$7:$G$10,MATCH(G310,'Sources'!$B$7:$B$10,0))),ISNUMBER(INDEX('Sources'!$G$7:$G$10,MATCH(AB310,'Sources'!$B$7:$B$10,0)))),F310/INDEX('Sources'!$G$7:$G$10,MATCH(G310,'Sources'!$B$7:$B$10,0))*INDEX('Sources'!$G$7:$G$10,MATCH(AB310,'Sources'!$B$7:$B$10,0)),"")),"")</f>
        <v/>
      </c>
      <c r="AE310" s="27">
        <f>IF(AND(AC310="yes",ISNUMBER(F310),IF('Compare'!$H$5="All mapped",TRUE,IF('Compare'!$H$5="EXACT only",J310="EXACT",OR(J310="EXACT",J310="CLOSE")))),"yes","no")</f>
        <v/>
      </c>
      <c r="AF310" s="27">
        <f>IF(ISNUMBER(H310),COUNTIFS($B$7:$B$608,B310,$C$7:$C$608,C310,$H$7:$H$608,"&lt;"&amp;H310,$AH$7:$AH$608,"yes")+COUNTIFS($B$7:B310,B310,$C$7:C310,C310,$H$7:H310,H310,$AH$7:AH310,"yes"),"")</f>
        <v/>
      </c>
      <c r="AG310" s="27">
        <f>IF(ISNUMBER(I310),COUNTIFS($B$7:$B$608,B310,$C$7:$C$608,C310,$I$7:$I$608,"&lt;"&amp;I310,$AI$7:$AI$608,"yes")+COUNTIFS($B$7:B310,B310,$C$7:C310,C310,$I$7:I310,I310,$AI$7:AI310,"yes"),"")</f>
        <v/>
      </c>
      <c r="AH310" s="27">
        <f>IF(ISNUMBER(H310),"yes","no")</f>
        <v/>
      </c>
      <c r="AI310" s="27">
        <f>IF(ISNUMBER(I310),"yes","no")</f>
        <v/>
      </c>
      <c r="AJ310" s="105" t="n">
        <v>46268</v>
      </c>
      <c r="AK310" s="27" t="n"/>
    </row>
    <row r="311" ht="42" customHeight="1">
      <c r="A311" s="2" t="n"/>
      <c r="B311" s="24" t="inlineStr">
        <is>
          <t>Lid for 600 × 400 mm dough box</t>
        </is>
      </c>
      <c r="C311" s="24" t="inlineStr">
        <is>
          <t>Austria</t>
        </is>
      </c>
      <c r="D311" s="24" t="inlineStr">
        <is>
          <t>GastroHero Österreich</t>
        </is>
      </c>
      <c r="E311" s="24" t="inlineStr">
        <is>
          <t>APS Deckel zu Pizzaballenbehälter</t>
        </is>
      </c>
      <c r="F311" s="98" t="n">
        <v>8.99</v>
      </c>
      <c r="G311" s="24" t="inlineStr">
        <is>
          <t>EUR</t>
        </is>
      </c>
      <c r="H311" s="98">
        <f>IF(AND(AE311="yes",ISNUMBER(AD311)),AD311,"")</f>
        <v/>
      </c>
      <c r="I311" s="99">
        <f>IF(AND(AE311="yes",ISNUMBER(AD311),ISNUMBER(INDEX('Sources'!$G$7:$G$10,MATCH(AB311,'Sources'!$B$7:$B$10,0)))),AD311/INDEX('Sources'!$G$7:$G$10,MATCH(AB311,'Sources'!$B$7:$B$10,0)),"")</f>
        <v/>
      </c>
      <c r="J311" s="24" t="inlineStr">
        <is>
          <t>EXACT</t>
        </is>
      </c>
      <c r="K311" s="24" t="inlineStr">
        <is>
          <t>2026-09-30</t>
        </is>
      </c>
      <c r="L311" s="71" t="n"/>
      <c r="M311" s="24" t="inlineStr">
        <is>
          <t>PE, 600x400x10 mm; min. qty 2</t>
        </is>
      </c>
      <c r="N311" s="25" t="inlineStr">
        <is>
          <t>https://www.gastro-hero.at/products/aps-deckel-zu-pizzaballenbehaelter-aps82441</t>
        </is>
      </c>
      <c r="O311" s="24" t="inlineStr">
        <is>
          <t>APS</t>
        </is>
      </c>
      <c r="P311" s="24" t="inlineStr">
        <is>
          <t>excl.</t>
        </is>
      </c>
      <c r="Q311" s="100" t="n"/>
      <c r="R311" s="24" t="n">
        <v>1</v>
      </c>
      <c r="S311" s="24" t="n"/>
      <c r="T311" s="24" t="inlineStr">
        <is>
          <t>EXACT</t>
        </is>
      </c>
      <c r="U311" s="24" t="inlineStr">
        <is>
          <t>Existing benchmark assignment and match quality retained.</t>
        </is>
      </c>
      <c r="V311" s="98" t="n">
        <v>8.99</v>
      </c>
      <c r="W311" s="98" t="n"/>
      <c r="X311" s="24" t="inlineStr">
        <is>
          <t>YES Gastro Austria Market Research.xlsx</t>
        </is>
      </c>
      <c r="Y311" s="24" t="n"/>
      <c r="Z311" s="24" t="n"/>
      <c r="AA311" s="24" t="n"/>
      <c r="AB311" s="24" t="inlineStr">
        <is>
          <t>EUR</t>
        </is>
      </c>
      <c r="AC311" s="24" t="inlineStr">
        <is>
          <t>yes</t>
        </is>
      </c>
      <c r="AD311" s="24">
        <f>IF(ISNUMBER(V311),V311,"")</f>
        <v/>
      </c>
      <c r="AE311" s="24">
        <f>IF(AND(AC311="yes",ISNUMBER(F311),IF('Compare'!$H$5="All mapped",TRUE,IF('Compare'!$H$5="EXACT only",J311="EXACT",OR(J311="EXACT",J311="CLOSE")))),"yes","no")</f>
        <v/>
      </c>
      <c r="AF311" s="24">
        <f>IF(ISNUMBER(H311),COUNTIFS($B$7:$B$608,B311,$C$7:$C$608,C311,$H$7:$H$608,"&lt;"&amp;H311,$AH$7:$AH$608,"yes")+COUNTIFS($B$7:B311,B311,$C$7:C311,C311,$H$7:H311,H311,$AH$7:AH311,"yes"),"")</f>
        <v/>
      </c>
      <c r="AG311" s="24">
        <f>IF(ISNUMBER(I311),COUNTIFS($B$7:$B$608,B311,$C$7:$C$608,C311,$I$7:$I$608,"&lt;"&amp;I311,$AI$7:$AI$608,"yes")+COUNTIFS($B$7:B311,B311,$C$7:C311,C311,$I$7:I311,I311,$AI$7:AI311,"yes"),"")</f>
        <v/>
      </c>
      <c r="AH311" s="24">
        <f>IF(ISNUMBER(H311),"yes","no")</f>
        <v/>
      </c>
      <c r="AI311" s="24">
        <f>IF(ISNUMBER(I311),"yes","no")</f>
        <v/>
      </c>
      <c r="AJ311" s="101" t="n">
        <v>46295</v>
      </c>
      <c r="AK311" s="24" t="n"/>
    </row>
    <row r="312" ht="42" customHeight="1">
      <c r="A312" s="2" t="n"/>
      <c r="B312" s="27" t="inlineStr">
        <is>
          <t>Lid for 600 × 400 mm dough box</t>
        </is>
      </c>
      <c r="C312" s="27" t="inlineStr">
        <is>
          <t>Austria</t>
        </is>
      </c>
      <c r="D312" s="27" t="inlineStr">
        <is>
          <t>Gastrodax</t>
        </is>
      </c>
      <c r="E312" s="27" t="inlineStr">
        <is>
          <t>Contacto Deckel zu Pizzaballenbehälter 600 x 400 mm</t>
        </is>
      </c>
      <c r="F312" s="102" t="n">
        <v>8</v>
      </c>
      <c r="G312" s="27" t="inlineStr">
        <is>
          <t>EUR</t>
        </is>
      </c>
      <c r="H312" s="102">
        <f>IF(AND(AE312="yes",ISNUMBER(AD312)),AD312,"")</f>
        <v/>
      </c>
      <c r="I312" s="103">
        <f>IF(AND(AE312="yes",ISNUMBER(AD312),ISNUMBER(INDEX('Sources'!$G$7:$G$10,MATCH(AB312,'Sources'!$B$7:$B$10,0)))),AD312/INDEX('Sources'!$G$7:$G$10,MATCH(AB312,'Sources'!$B$7:$B$10,0)),"")</f>
        <v/>
      </c>
      <c r="J312" s="27" t="inlineStr">
        <is>
          <t>EXACT</t>
        </is>
      </c>
      <c r="K312" s="27" t="inlineStr">
        <is>
          <t>2026-09-30</t>
        </is>
      </c>
      <c r="L312" s="71" t="n"/>
      <c r="M312" s="27" t="inlineStr">
        <is>
          <t>HD-polyethylene; sale price, normal 10.00</t>
        </is>
      </c>
      <c r="N312" s="28" t="inlineStr">
        <is>
          <t>https://www.gastrodax.de/contacto-deckel-zu-pizzaballenbehaelter-fuer-2510</t>
        </is>
      </c>
      <c r="O312" s="27" t="inlineStr">
        <is>
          <t>Contacto</t>
        </is>
      </c>
      <c r="P312" s="27" t="inlineStr">
        <is>
          <t>excl.</t>
        </is>
      </c>
      <c r="Q312" s="104" t="n"/>
      <c r="R312" s="27" t="n">
        <v>1</v>
      </c>
      <c r="S312" s="27" t="n"/>
      <c r="T312" s="27" t="inlineStr">
        <is>
          <t>EXACT</t>
        </is>
      </c>
      <c r="U312" s="27" t="inlineStr">
        <is>
          <t>Existing benchmark assignment and match quality retained.</t>
        </is>
      </c>
      <c r="V312" s="102" t="n">
        <v>8</v>
      </c>
      <c r="W312" s="102" t="n"/>
      <c r="X312" s="27" t="inlineStr">
        <is>
          <t>YES Gastro Austria Market Research.xlsx</t>
        </is>
      </c>
      <c r="Y312" s="27" t="n"/>
      <c r="Z312" s="27" t="n"/>
      <c r="AA312" s="27" t="n"/>
      <c r="AB312" s="27" t="inlineStr">
        <is>
          <t>EUR</t>
        </is>
      </c>
      <c r="AC312" s="27" t="inlineStr">
        <is>
          <t>yes</t>
        </is>
      </c>
      <c r="AD312" s="27">
        <f>IF(ISNUMBER(V312),V312,"")</f>
        <v/>
      </c>
      <c r="AE312" s="27">
        <f>IF(AND(AC312="yes",ISNUMBER(F312),IF('Compare'!$H$5="All mapped",TRUE,IF('Compare'!$H$5="EXACT only",J312="EXACT",OR(J312="EXACT",J312="CLOSE")))),"yes","no")</f>
        <v/>
      </c>
      <c r="AF312" s="27">
        <f>IF(ISNUMBER(H312),COUNTIFS($B$7:$B$608,B312,$C$7:$C$608,C312,$H$7:$H$608,"&lt;"&amp;H312,$AH$7:$AH$608,"yes")+COUNTIFS($B$7:B312,B312,$C$7:C312,C312,$H$7:H312,H312,$AH$7:AH312,"yes"),"")</f>
        <v/>
      </c>
      <c r="AG312" s="27">
        <f>IF(ISNUMBER(I312),COUNTIFS($B$7:$B$608,B312,$C$7:$C$608,C312,$I$7:$I$608,"&lt;"&amp;I312,$AI$7:$AI$608,"yes")+COUNTIFS($B$7:B312,B312,$C$7:C312,C312,$I$7:I312,I312,$AI$7:AI312,"yes"),"")</f>
        <v/>
      </c>
      <c r="AH312" s="27">
        <f>IF(ISNUMBER(H312),"yes","no")</f>
        <v/>
      </c>
      <c r="AI312" s="27">
        <f>IF(ISNUMBER(I312),"yes","no")</f>
        <v/>
      </c>
      <c r="AJ312" s="105" t="n">
        <v>46295</v>
      </c>
      <c r="AK312" s="27" t="n"/>
    </row>
    <row r="313" ht="42" customHeight="1">
      <c r="A313" s="2" t="n"/>
      <c r="B313" s="24" t="inlineStr">
        <is>
          <t>Lid for 600 × 400 mm dough box</t>
        </is>
      </c>
      <c r="C313" s="24" t="inlineStr">
        <is>
          <t>Austria</t>
        </is>
      </c>
      <c r="D313" s="24" t="inlineStr">
        <is>
          <t>Gastroladen.at (Harotec GmbH)</t>
        </is>
      </c>
      <c r="E313" s="24" t="inlineStr">
        <is>
          <t>Gastronoble Deckel für stapelbare Pizzateigbehälter 60x40cm</t>
        </is>
      </c>
      <c r="F313" s="98" t="n">
        <v>27.39</v>
      </c>
      <c r="G313" s="24" t="inlineStr">
        <is>
          <t>EUR</t>
        </is>
      </c>
      <c r="H313" s="98">
        <f>IF(AND(AE313="yes",ISNUMBER(AD313)),AD313,"")</f>
        <v/>
      </c>
      <c r="I313" s="99">
        <f>IF(AND(AE313="yes",ISNUMBER(AD313),ISNUMBER(INDEX('Sources'!$G$7:$G$10,MATCH(AB313,'Sources'!$B$7:$B$10,0)))),AD313/INDEX('Sources'!$G$7:$G$10,MATCH(AB313,'Sources'!$B$7:$B$10,0)),"")</f>
        <v/>
      </c>
      <c r="J313" s="24" t="inlineStr">
        <is>
          <t>EXACT</t>
        </is>
      </c>
      <c r="K313" s="24" t="inlineStr">
        <is>
          <t>2026-09-30</t>
        </is>
      </c>
      <c r="L313" s="71" t="n"/>
      <c r="M313" s="24" t="inlineStr">
        <is>
          <t>PE lid</t>
        </is>
      </c>
      <c r="N313" s="25" t="inlineStr">
        <is>
          <t>https://www.gastroladen.at/x1090@GN-GN539/Gastronoble-Deckel-f%C3%BCr-stapelbare-Pizzateigbeh%C3%A4lter-60x40cm.htm</t>
        </is>
      </c>
      <c r="O313" s="24" t="inlineStr">
        <is>
          <t>Gastronoble</t>
        </is>
      </c>
      <c r="P313" s="24" t="inlineStr">
        <is>
          <t>incl.</t>
        </is>
      </c>
      <c r="Q313" s="100" t="n"/>
      <c r="R313" s="24" t="n">
        <v>1</v>
      </c>
      <c r="S313" s="24" t="n"/>
      <c r="T313" s="24" t="inlineStr">
        <is>
          <t>EXACT</t>
        </is>
      </c>
      <c r="U313" s="24" t="inlineStr">
        <is>
          <t>Existing benchmark assignment and match quality retained.</t>
        </is>
      </c>
      <c r="V313" s="98" t="n">
        <v>22.83</v>
      </c>
      <c r="W313" s="98" t="n"/>
      <c r="X313" s="24" t="inlineStr">
        <is>
          <t>YES Gastro Austria Market Research.xlsx</t>
        </is>
      </c>
      <c r="Y313" s="24" t="n"/>
      <c r="Z313" s="24" t="n"/>
      <c r="AA313" s="24" t="n"/>
      <c r="AB313" s="24" t="inlineStr">
        <is>
          <t>EUR</t>
        </is>
      </c>
      <c r="AC313" s="24" t="inlineStr">
        <is>
          <t>yes</t>
        </is>
      </c>
      <c r="AD313" s="24">
        <f>IF(ISNUMBER(V313),V313,"")</f>
        <v/>
      </c>
      <c r="AE313" s="24">
        <f>IF(AND(AC313="yes",ISNUMBER(F313),IF('Compare'!$H$5="All mapped",TRUE,IF('Compare'!$H$5="EXACT only",J313="EXACT",OR(J313="EXACT",J313="CLOSE")))),"yes","no")</f>
        <v/>
      </c>
      <c r="AF313" s="24">
        <f>IF(ISNUMBER(H313),COUNTIFS($B$7:$B$608,B313,$C$7:$C$608,C313,$H$7:$H$608,"&lt;"&amp;H313,$AH$7:$AH$608,"yes")+COUNTIFS($B$7:B313,B313,$C$7:C313,C313,$H$7:H313,H313,$AH$7:AH313,"yes"),"")</f>
        <v/>
      </c>
      <c r="AG313" s="24">
        <f>IF(ISNUMBER(I313),COUNTIFS($B$7:$B$608,B313,$C$7:$C$608,C313,$I$7:$I$608,"&lt;"&amp;I313,$AI$7:$AI$608,"yes")+COUNTIFS($B$7:B313,B313,$C$7:C313,C313,$I$7:I313,I313,$AI$7:AI313,"yes"),"")</f>
        <v/>
      </c>
      <c r="AH313" s="24">
        <f>IF(ISNUMBER(H313),"yes","no")</f>
        <v/>
      </c>
      <c r="AI313" s="24">
        <f>IF(ISNUMBER(I313),"yes","no")</f>
        <v/>
      </c>
      <c r="AJ313" s="101" t="n">
        <v>46295</v>
      </c>
      <c r="AK313" s="24" t="n"/>
    </row>
    <row r="314" ht="42" customHeight="1">
      <c r="A314" s="2" t="n"/>
      <c r="B314" s="27" t="inlineStr">
        <is>
          <t>Lid for 600 × 400 mm dough box</t>
        </is>
      </c>
      <c r="C314" s="27" t="inlineStr">
        <is>
          <t>Austria</t>
        </is>
      </c>
      <c r="D314" s="27" t="inlineStr">
        <is>
          <t>Intergastro (AT shop)</t>
        </is>
      </c>
      <c r="E314" s="27" t="inlineStr">
        <is>
          <t>Deckel für Pizzaballenbehälter, PP, 60 x 40 x 2 cm</t>
        </is>
      </c>
      <c r="F314" s="102" t="n">
        <v>7.95</v>
      </c>
      <c r="G314" s="27" t="inlineStr">
        <is>
          <t>EUR</t>
        </is>
      </c>
      <c r="H314" s="102">
        <f>IF(AND(AE314="yes",ISNUMBER(AD314)),AD314,"")</f>
        <v/>
      </c>
      <c r="I314" s="103">
        <f>IF(AND(AE314="yes",ISNUMBER(AD314),ISNUMBER(INDEX('Sources'!$G$7:$G$10,MATCH(AB314,'Sources'!$B$7:$B$10,0)))),AD314/INDEX('Sources'!$G$7:$G$10,MATCH(AB314,'Sources'!$B$7:$B$10,0)),"")</f>
        <v/>
      </c>
      <c r="J314" s="27" t="inlineStr">
        <is>
          <t>EXACT</t>
        </is>
      </c>
      <c r="K314" s="27" t="inlineStr">
        <is>
          <t>2026-09-30</t>
        </is>
      </c>
      <c r="L314" s="71" t="n"/>
      <c r="M314" s="27" t="inlineStr">
        <is>
          <t>Gross 9.54</t>
        </is>
      </c>
      <c r="N314" s="28" t="inlineStr">
        <is>
          <t>https://www.intergastro.at/deckel-fuer-pizzaballenbehaelter-art-967927-pp-60-x-40-x-2-cm-967928</t>
        </is>
      </c>
      <c r="O314" s="27" t="inlineStr">
        <is>
          <t>WAS Germany</t>
        </is>
      </c>
      <c r="P314" s="27" t="inlineStr">
        <is>
          <t>excl.</t>
        </is>
      </c>
      <c r="Q314" s="104" t="n"/>
      <c r="R314" s="27" t="n">
        <v>1</v>
      </c>
      <c r="S314" s="27" t="n"/>
      <c r="T314" s="27" t="inlineStr">
        <is>
          <t>EXACT</t>
        </is>
      </c>
      <c r="U314" s="27" t="inlineStr">
        <is>
          <t>Existing benchmark assignment and match quality retained.</t>
        </is>
      </c>
      <c r="V314" s="102" t="n">
        <v>7.95</v>
      </c>
      <c r="W314" s="102" t="n"/>
      <c r="X314" s="27" t="inlineStr">
        <is>
          <t>YES Gastro Austria Market Research.xlsx</t>
        </is>
      </c>
      <c r="Y314" s="27" t="n"/>
      <c r="Z314" s="27" t="n"/>
      <c r="AA314" s="27" t="n"/>
      <c r="AB314" s="27" t="inlineStr">
        <is>
          <t>EUR</t>
        </is>
      </c>
      <c r="AC314" s="27" t="inlineStr">
        <is>
          <t>yes</t>
        </is>
      </c>
      <c r="AD314" s="27">
        <f>IF(ISNUMBER(V314),V314,"")</f>
        <v/>
      </c>
      <c r="AE314" s="27">
        <f>IF(AND(AC314="yes",ISNUMBER(F314),IF('Compare'!$H$5="All mapped",TRUE,IF('Compare'!$H$5="EXACT only",J314="EXACT",OR(J314="EXACT",J314="CLOSE")))),"yes","no")</f>
        <v/>
      </c>
      <c r="AF314" s="27">
        <f>IF(ISNUMBER(H314),COUNTIFS($B$7:$B$608,B314,$C$7:$C$608,C314,$H$7:$H$608,"&lt;"&amp;H314,$AH$7:$AH$608,"yes")+COUNTIFS($B$7:B314,B314,$C$7:C314,C314,$H$7:H314,H314,$AH$7:AH314,"yes"),"")</f>
        <v/>
      </c>
      <c r="AG314" s="27">
        <f>IF(ISNUMBER(I314),COUNTIFS($B$7:$B$608,B314,$C$7:$C$608,C314,$I$7:$I$608,"&lt;"&amp;I314,$AI$7:$AI$608,"yes")+COUNTIFS($B$7:B314,B314,$C$7:C314,C314,$I$7:I314,I314,$AI$7:AI314,"yes"),"")</f>
        <v/>
      </c>
      <c r="AH314" s="27">
        <f>IF(ISNUMBER(H314),"yes","no")</f>
        <v/>
      </c>
      <c r="AI314" s="27">
        <f>IF(ISNUMBER(I314),"yes","no")</f>
        <v/>
      </c>
      <c r="AJ314" s="105" t="n">
        <v>46295</v>
      </c>
      <c r="AK314" s="27" t="n"/>
    </row>
    <row r="315" ht="42" customHeight="1">
      <c r="A315" s="2" t="n"/>
      <c r="B315" s="24" t="inlineStr">
        <is>
          <t>Lid for 600 × 400 mm dough box</t>
        </is>
      </c>
      <c r="C315" s="24" t="inlineStr">
        <is>
          <t>Austria</t>
        </is>
      </c>
      <c r="D315" s="24" t="inlineStr">
        <is>
          <t>shopbuero.com</t>
        </is>
      </c>
      <c r="E315" s="24" t="inlineStr">
        <is>
          <t>Deckel - für Teigwanne (202180) - weiß - 60,0 x 40,0 x 3,5 cm - Polypropylen</t>
        </is>
      </c>
      <c r="F315" s="98" t="n">
        <v>16</v>
      </c>
      <c r="G315" s="24" t="inlineStr">
        <is>
          <t>EUR</t>
        </is>
      </c>
      <c r="H315" s="98">
        <f>IF(AND(AE315="yes",ISNUMBER(AD315)),AD315,"")</f>
        <v/>
      </c>
      <c r="I315" s="99">
        <f>IF(AND(AE315="yes",ISNUMBER(AD315),ISNUMBER(INDEX('Sources'!$G$7:$G$10,MATCH(AB315,'Sources'!$B$7:$B$10,0)))),AD315/INDEX('Sources'!$G$7:$G$10,MATCH(AB315,'Sources'!$B$7:$B$10,0)),"")</f>
        <v/>
      </c>
      <c r="J315" s="24" t="inlineStr">
        <is>
          <t>EXACT</t>
        </is>
      </c>
      <c r="K315" s="24" t="inlineStr">
        <is>
          <t>2026-09-30</t>
        </is>
      </c>
      <c r="L315" s="71" t="n"/>
      <c r="M315" s="24" t="inlineStr">
        <is>
          <t>PP lid 600x400; regular price 25.10</t>
        </is>
      </c>
      <c r="N315" s="25" t="inlineStr">
        <is>
          <t>https://shopbuero.com/deckel-fuer-teigwanne-202180-weiss-rechteckig-60-0-x-40-0-x-3-5-cm-polypropylen/202181-C</t>
        </is>
      </c>
      <c r="O315" s="24" t="inlineStr">
        <is>
          <t>Schneider</t>
        </is>
      </c>
      <c r="P315" s="24" t="inlineStr">
        <is>
          <t>excl.</t>
        </is>
      </c>
      <c r="Q315" s="100" t="n"/>
      <c r="R315" s="24" t="n">
        <v>1</v>
      </c>
      <c r="S315" s="24" t="n"/>
      <c r="T315" s="24" t="inlineStr">
        <is>
          <t>EXACT</t>
        </is>
      </c>
      <c r="U315" s="24" t="inlineStr">
        <is>
          <t>Existing benchmark assignment and match quality retained.</t>
        </is>
      </c>
      <c r="V315" s="98" t="n">
        <v>16</v>
      </c>
      <c r="W315" s="98" t="n"/>
      <c r="X315" s="24" t="inlineStr">
        <is>
          <t>YES Gastro Austria Market Research.xlsx</t>
        </is>
      </c>
      <c r="Y315" s="24" t="n"/>
      <c r="Z315" s="24" t="n"/>
      <c r="AA315" s="24" t="n"/>
      <c r="AB315" s="24" t="inlineStr">
        <is>
          <t>EUR</t>
        </is>
      </c>
      <c r="AC315" s="24" t="inlineStr">
        <is>
          <t>yes</t>
        </is>
      </c>
      <c r="AD315" s="24">
        <f>IF(ISNUMBER(V315),V315,"")</f>
        <v/>
      </c>
      <c r="AE315" s="24">
        <f>IF(AND(AC315="yes",ISNUMBER(F315),IF('Compare'!$H$5="All mapped",TRUE,IF('Compare'!$H$5="EXACT only",J315="EXACT",OR(J315="EXACT",J315="CLOSE")))),"yes","no")</f>
        <v/>
      </c>
      <c r="AF315" s="24">
        <f>IF(ISNUMBER(H315),COUNTIFS($B$7:$B$608,B315,$C$7:$C$608,C315,$H$7:$H$608,"&lt;"&amp;H315,$AH$7:$AH$608,"yes")+COUNTIFS($B$7:B315,B315,$C$7:C315,C315,$H$7:H315,H315,$AH$7:AH315,"yes"),"")</f>
        <v/>
      </c>
      <c r="AG315" s="24">
        <f>IF(ISNUMBER(I315),COUNTIFS($B$7:$B$608,B315,$C$7:$C$608,C315,$I$7:$I$608,"&lt;"&amp;I315,$AI$7:$AI$608,"yes")+COUNTIFS($B$7:B315,B315,$C$7:C315,C315,$I$7:I315,I315,$AI$7:AI315,"yes"),"")</f>
        <v/>
      </c>
      <c r="AH315" s="24">
        <f>IF(ISNUMBER(H315),"yes","no")</f>
        <v/>
      </c>
      <c r="AI315" s="24">
        <f>IF(ISNUMBER(I315),"yes","no")</f>
        <v/>
      </c>
      <c r="AJ315" s="101" t="n">
        <v>46295</v>
      </c>
      <c r="AK315" s="24" t="n"/>
    </row>
    <row r="316" ht="42" customHeight="1">
      <c r="A316" s="2" t="n"/>
      <c r="B316" s="27" t="inlineStr">
        <is>
          <t>Lid for 600 × 400 mm dough box</t>
        </is>
      </c>
      <c r="C316" s="27" t="inlineStr">
        <is>
          <t>Germany</t>
        </is>
      </c>
      <c r="D316" s="27" t="inlineStr">
        <is>
          <t>GastroHero</t>
        </is>
      </c>
      <c r="E316" s="27" t="inlineStr">
        <is>
          <t>APS Deckel zu Pizzaballenbehälter</t>
        </is>
      </c>
      <c r="F316" s="102" t="n">
        <v>8.69</v>
      </c>
      <c r="G316" s="27" t="inlineStr">
        <is>
          <t>EUR</t>
        </is>
      </c>
      <c r="H316" s="102">
        <f>IF(AND(AE316="yes",ISNUMBER(AD316)),AD316,"")</f>
        <v/>
      </c>
      <c r="I316" s="103">
        <f>IF(AND(AE316="yes",ISNUMBER(AD316),ISNUMBER(INDEX('Sources'!$G$7:$G$10,MATCH(AB316,'Sources'!$B$7:$B$10,0)))),AD316/INDEX('Sources'!$G$7:$G$10,MATCH(AB316,'Sources'!$B$7:$B$10,0)),"")</f>
        <v/>
      </c>
      <c r="J316" s="27" t="inlineStr">
        <is>
          <t>EXACT</t>
        </is>
      </c>
      <c r="K316" s="27" t="inlineStr">
        <is>
          <t>2026-09-30</t>
        </is>
      </c>
      <c r="L316" s="71" t="n"/>
      <c r="M316" s="27" t="inlineStr">
        <is>
          <t>PE, 600x400x10 mm; min. qty 2</t>
        </is>
      </c>
      <c r="N316" s="28" t="inlineStr">
        <is>
          <t>https://www.gastro-hero.de/products/aps-deckel-zu-pizzaballenbehaelter-aps82441</t>
        </is>
      </c>
      <c r="O316" s="27" t="inlineStr">
        <is>
          <t>APS</t>
        </is>
      </c>
      <c r="P316" s="27" t="inlineStr">
        <is>
          <t>excl.</t>
        </is>
      </c>
      <c r="Q316" s="104" t="n"/>
      <c r="R316" s="27" t="n">
        <v>1</v>
      </c>
      <c r="S316" s="27" t="n"/>
      <c r="T316" s="27" t="inlineStr">
        <is>
          <t>EXACT</t>
        </is>
      </c>
      <c r="U316" s="27" t="inlineStr">
        <is>
          <t>Existing benchmark assignment and match quality retained.</t>
        </is>
      </c>
      <c r="V316" s="102" t="n">
        <v>8.69</v>
      </c>
      <c r="W316" s="102" t="n"/>
      <c r="X316" s="27" t="inlineStr">
        <is>
          <t>YES Gastro Germany Market Research.xlsx</t>
        </is>
      </c>
      <c r="Y316" s="27" t="n"/>
      <c r="Z316" s="27" t="n"/>
      <c r="AA316" s="27" t="n"/>
      <c r="AB316" s="27" t="inlineStr">
        <is>
          <t>EUR</t>
        </is>
      </c>
      <c r="AC316" s="27" t="inlineStr">
        <is>
          <t>yes</t>
        </is>
      </c>
      <c r="AD316" s="27">
        <f>IF(ISNUMBER(V316),V316,"")</f>
        <v/>
      </c>
      <c r="AE316" s="27">
        <f>IF(AND(AC316="yes",ISNUMBER(F316),IF('Compare'!$H$5="All mapped",TRUE,IF('Compare'!$H$5="EXACT only",J316="EXACT",OR(J316="EXACT",J316="CLOSE")))),"yes","no")</f>
        <v/>
      </c>
      <c r="AF316" s="27">
        <f>IF(ISNUMBER(H316),COUNTIFS($B$7:$B$608,B316,$C$7:$C$608,C316,$H$7:$H$608,"&lt;"&amp;H316,$AH$7:$AH$608,"yes")+COUNTIFS($B$7:B316,B316,$C$7:C316,C316,$H$7:H316,H316,$AH$7:AH316,"yes"),"")</f>
        <v/>
      </c>
      <c r="AG316" s="27">
        <f>IF(ISNUMBER(I316),COUNTIFS($B$7:$B$608,B316,$C$7:$C$608,C316,$I$7:$I$608,"&lt;"&amp;I316,$AI$7:$AI$608,"yes")+COUNTIFS($B$7:B316,B316,$C$7:C316,C316,$I$7:I316,I316,$AI$7:AI316,"yes"),"")</f>
        <v/>
      </c>
      <c r="AH316" s="27">
        <f>IF(ISNUMBER(H316),"yes","no")</f>
        <v/>
      </c>
      <c r="AI316" s="27">
        <f>IF(ISNUMBER(I316),"yes","no")</f>
        <v/>
      </c>
      <c r="AJ316" s="105" t="n">
        <v>46295</v>
      </c>
      <c r="AK316" s="27" t="n"/>
    </row>
    <row r="317" ht="42" customHeight="1">
      <c r="A317" s="2" t="n"/>
      <c r="B317" s="24" t="inlineStr">
        <is>
          <t>Lid for 600 × 400 mm dough box</t>
        </is>
      </c>
      <c r="C317" s="24" t="inlineStr">
        <is>
          <t>Germany</t>
        </is>
      </c>
      <c r="D317" s="24" t="inlineStr">
        <is>
          <t>Gastrodax [substitute]</t>
        </is>
      </c>
      <c r="E317" s="24" t="inlineStr">
        <is>
          <t>Contacto Deckel zu Pizzaballenbehälter 600 x 400 mm</t>
        </is>
      </c>
      <c r="F317" s="98" t="n">
        <v>8</v>
      </c>
      <c r="G317" s="24" t="inlineStr">
        <is>
          <t>EUR</t>
        </is>
      </c>
      <c r="H317" s="98">
        <f>IF(AND(AE317="yes",ISNUMBER(AD317)),AD317,"")</f>
        <v/>
      </c>
      <c r="I317" s="99">
        <f>IF(AND(AE317="yes",ISNUMBER(AD317),ISNUMBER(INDEX('Sources'!$G$7:$G$10,MATCH(AB317,'Sources'!$B$7:$B$10,0)))),AD317/INDEX('Sources'!$G$7:$G$10,MATCH(AB317,'Sources'!$B$7:$B$10,0)),"")</f>
        <v/>
      </c>
      <c r="J317" s="24" t="inlineStr">
        <is>
          <t>EXACT</t>
        </is>
      </c>
      <c r="K317" s="24" t="inlineStr">
        <is>
          <t>2026-09-30</t>
        </is>
      </c>
      <c r="L317" s="71" t="n"/>
      <c r="M317" s="24" t="inlineStr">
        <is>
          <t>HD-polyethylene; sale price, normal 10.00</t>
        </is>
      </c>
      <c r="N317" s="25" t="inlineStr">
        <is>
          <t>https://www.gastrodax.de/contacto-deckel-zu-pizzaballenbehaelter-fuer-2510</t>
        </is>
      </c>
      <c r="O317" s="24" t="inlineStr">
        <is>
          <t>Contacto</t>
        </is>
      </c>
      <c r="P317" s="24" t="inlineStr">
        <is>
          <t>excl.</t>
        </is>
      </c>
      <c r="Q317" s="100" t="n"/>
      <c r="R317" s="24" t="n">
        <v>1</v>
      </c>
      <c r="S317" s="24" t="n"/>
      <c r="T317" s="24" t="inlineStr">
        <is>
          <t>EXACT</t>
        </is>
      </c>
      <c r="U317" s="24" t="inlineStr">
        <is>
          <t>Existing benchmark assignment and match quality retained.</t>
        </is>
      </c>
      <c r="V317" s="98" t="n">
        <v>8</v>
      </c>
      <c r="W317" s="98" t="n"/>
      <c r="X317" s="24" t="inlineStr">
        <is>
          <t>YES Gastro Germany Market Research.xlsx</t>
        </is>
      </c>
      <c r="Y317" s="24" t="n"/>
      <c r="Z317" s="24" t="n"/>
      <c r="AA317" s="24" t="n"/>
      <c r="AB317" s="24" t="inlineStr">
        <is>
          <t>EUR</t>
        </is>
      </c>
      <c r="AC317" s="24" t="inlineStr">
        <is>
          <t>yes</t>
        </is>
      </c>
      <c r="AD317" s="24">
        <f>IF(ISNUMBER(V317),V317,"")</f>
        <v/>
      </c>
      <c r="AE317" s="24">
        <f>IF(AND(AC317="yes",ISNUMBER(F317),IF('Compare'!$H$5="All mapped",TRUE,IF('Compare'!$H$5="EXACT only",J317="EXACT",OR(J317="EXACT",J317="CLOSE")))),"yes","no")</f>
        <v/>
      </c>
      <c r="AF317" s="24">
        <f>IF(ISNUMBER(H317),COUNTIFS($B$7:$B$608,B317,$C$7:$C$608,C317,$H$7:$H$608,"&lt;"&amp;H317,$AH$7:$AH$608,"yes")+COUNTIFS($B$7:B317,B317,$C$7:C317,C317,$H$7:H317,H317,$AH$7:AH317,"yes"),"")</f>
        <v/>
      </c>
      <c r="AG317" s="24">
        <f>IF(ISNUMBER(I317),COUNTIFS($B$7:$B$608,B317,$C$7:$C$608,C317,$I$7:$I$608,"&lt;"&amp;I317,$AI$7:$AI$608,"yes")+COUNTIFS($B$7:B317,B317,$C$7:C317,C317,$I$7:I317,I317,$AI$7:AI317,"yes"),"")</f>
        <v/>
      </c>
      <c r="AH317" s="24">
        <f>IF(ISNUMBER(H317),"yes","no")</f>
        <v/>
      </c>
      <c r="AI317" s="24">
        <f>IF(ISNUMBER(I317),"yes","no")</f>
        <v/>
      </c>
      <c r="AJ317" s="101" t="n">
        <v>46295</v>
      </c>
      <c r="AK317" s="24" t="n"/>
    </row>
    <row r="318" ht="42" customHeight="1">
      <c r="A318" s="2" t="n"/>
      <c r="B318" s="27" t="inlineStr">
        <is>
          <t>Lid for 600 × 400 mm dough box</t>
        </is>
      </c>
      <c r="C318" s="27" t="inlineStr">
        <is>
          <t>Germany</t>
        </is>
      </c>
      <c r="D318" s="27" t="inlineStr">
        <is>
          <t>Gastroladen.de (Harotec GmbH) [substitute]</t>
        </is>
      </c>
      <c r="E318" s="27" t="inlineStr">
        <is>
          <t>Gastronoble Deckel für stapelbare Pizzateigbehälter 60x40cm</t>
        </is>
      </c>
      <c r="F318" s="102" t="n">
        <v>27.19</v>
      </c>
      <c r="G318" s="27" t="inlineStr">
        <is>
          <t>EUR</t>
        </is>
      </c>
      <c r="H318" s="102">
        <f>IF(AND(AE318="yes",ISNUMBER(AD318)),AD318,"")</f>
        <v/>
      </c>
      <c r="I318" s="103">
        <f>IF(AND(AE318="yes",ISNUMBER(AD318),ISNUMBER(INDEX('Sources'!$G$7:$G$10,MATCH(AB318,'Sources'!$B$7:$B$10,0)))),AD318/INDEX('Sources'!$G$7:$G$10,MATCH(AB318,'Sources'!$B$7:$B$10,0)),"")</f>
        <v/>
      </c>
      <c r="J318" s="27" t="inlineStr">
        <is>
          <t>EXACT</t>
        </is>
      </c>
      <c r="K318" s="27" t="inlineStr">
        <is>
          <t>2026-09-30</t>
        </is>
      </c>
      <c r="L318" s="71" t="n"/>
      <c r="M318" s="27" t="inlineStr">
        <is>
          <t>PE lid</t>
        </is>
      </c>
      <c r="N318" s="28" t="inlineStr">
        <is>
          <t>https://www.gastroladen.de/x1090@GN-GN539/Gastronoble-Deckel-f%C3%BCr-stapelbare-Pizzateigbeh%C3%A4lter-60x40cm.htm</t>
        </is>
      </c>
      <c r="O318" s="27" t="inlineStr">
        <is>
          <t>Gastronoble</t>
        </is>
      </c>
      <c r="P318" s="27" t="inlineStr">
        <is>
          <t>incl.</t>
        </is>
      </c>
      <c r="Q318" s="104" t="n"/>
      <c r="R318" s="27" t="n">
        <v>1</v>
      </c>
      <c r="S318" s="27" t="n"/>
      <c r="T318" s="27" t="inlineStr">
        <is>
          <t>EXACT</t>
        </is>
      </c>
      <c r="U318" s="27" t="inlineStr">
        <is>
          <t>Existing benchmark assignment and match quality retained.</t>
        </is>
      </c>
      <c r="V318" s="102" t="n">
        <v>22.85</v>
      </c>
      <c r="W318" s="102" t="n"/>
      <c r="X318" s="27" t="inlineStr">
        <is>
          <t>YES Gastro Germany Market Research.xlsx</t>
        </is>
      </c>
      <c r="Y318" s="27" t="n"/>
      <c r="Z318" s="27" t="n"/>
      <c r="AA318" s="27" t="n"/>
      <c r="AB318" s="27" t="inlineStr">
        <is>
          <t>EUR</t>
        </is>
      </c>
      <c r="AC318" s="27" t="inlineStr">
        <is>
          <t>yes</t>
        </is>
      </c>
      <c r="AD318" s="27">
        <f>IF(ISNUMBER(V318),V318,"")</f>
        <v/>
      </c>
      <c r="AE318" s="27">
        <f>IF(AND(AC318="yes",ISNUMBER(F318),IF('Compare'!$H$5="All mapped",TRUE,IF('Compare'!$H$5="EXACT only",J318="EXACT",OR(J318="EXACT",J318="CLOSE")))),"yes","no")</f>
        <v/>
      </c>
      <c r="AF318" s="27">
        <f>IF(ISNUMBER(H318),COUNTIFS($B$7:$B$608,B318,$C$7:$C$608,C318,$H$7:$H$608,"&lt;"&amp;H318,$AH$7:$AH$608,"yes")+COUNTIFS($B$7:B318,B318,$C$7:C318,C318,$H$7:H318,H318,$AH$7:AH318,"yes"),"")</f>
        <v/>
      </c>
      <c r="AG318" s="27">
        <f>IF(ISNUMBER(I318),COUNTIFS($B$7:$B$608,B318,$C$7:$C$608,C318,$I$7:$I$608,"&lt;"&amp;I318,$AI$7:$AI$608,"yes")+COUNTIFS($B$7:B318,B318,$C$7:C318,C318,$I$7:I318,I318,$AI$7:AI318,"yes"),"")</f>
        <v/>
      </c>
      <c r="AH318" s="27">
        <f>IF(ISNUMBER(H318),"yes","no")</f>
        <v/>
      </c>
      <c r="AI318" s="27">
        <f>IF(ISNUMBER(I318),"yes","no")</f>
        <v/>
      </c>
      <c r="AJ318" s="105" t="n">
        <v>46295</v>
      </c>
      <c r="AK318" s="27" t="n"/>
    </row>
    <row r="319" ht="42" customHeight="1">
      <c r="A319" s="2" t="n"/>
      <c r="B319" s="24" t="inlineStr">
        <is>
          <t>Lid for 600 × 400 mm dough box</t>
        </is>
      </c>
      <c r="C319" s="24" t="inlineStr">
        <is>
          <t>Germany</t>
        </is>
      </c>
      <c r="D319" s="24" t="inlineStr">
        <is>
          <t>Intergastro</t>
        </is>
      </c>
      <c r="E319" s="24" t="inlineStr">
        <is>
          <t>Deckel für Pizzaballenbehälter, PP, 60 x 40 x 2 cm</t>
        </is>
      </c>
      <c r="F319" s="98" t="n">
        <v>7.95</v>
      </c>
      <c r="G319" s="24" t="inlineStr">
        <is>
          <t>EUR</t>
        </is>
      </c>
      <c r="H319" s="98">
        <f>IF(AND(AE319="yes",ISNUMBER(AD319)),AD319,"")</f>
        <v/>
      </c>
      <c r="I319" s="99">
        <f>IF(AND(AE319="yes",ISNUMBER(AD319),ISNUMBER(INDEX('Sources'!$G$7:$G$10,MATCH(AB319,'Sources'!$B$7:$B$10,0)))),AD319/INDEX('Sources'!$G$7:$G$10,MATCH(AB319,'Sources'!$B$7:$B$10,0)),"")</f>
        <v/>
      </c>
      <c r="J319" s="24" t="inlineStr">
        <is>
          <t>EXACT</t>
        </is>
      </c>
      <c r="K319" s="24" t="inlineStr">
        <is>
          <t>2026-09-30</t>
        </is>
      </c>
      <c r="L319" s="71" t="n"/>
      <c r="M319" s="24" t="n"/>
      <c r="N319" s="25" t="inlineStr">
        <is>
          <t>https://www.intergastro.de/deckel-fuer-pizzaballenbehaelter-art-967927-pp-60-x-40-x-2-cm-967928</t>
        </is>
      </c>
      <c r="O319" s="24" t="inlineStr">
        <is>
          <t>WAS Germany</t>
        </is>
      </c>
      <c r="P319" s="24" t="inlineStr">
        <is>
          <t>excl.</t>
        </is>
      </c>
      <c r="Q319" s="100" t="n"/>
      <c r="R319" s="24" t="n">
        <v>1</v>
      </c>
      <c r="S319" s="24" t="n"/>
      <c r="T319" s="24" t="inlineStr">
        <is>
          <t>EXACT</t>
        </is>
      </c>
      <c r="U319" s="24" t="inlineStr">
        <is>
          <t>Existing benchmark assignment and match quality retained.</t>
        </is>
      </c>
      <c r="V319" s="98" t="n">
        <v>7.95</v>
      </c>
      <c r="W319" s="98" t="n"/>
      <c r="X319" s="24" t="inlineStr">
        <is>
          <t>YES Gastro Germany Market Research.xlsx</t>
        </is>
      </c>
      <c r="Y319" s="24" t="n"/>
      <c r="Z319" s="24" t="n"/>
      <c r="AA319" s="24" t="n"/>
      <c r="AB319" s="24" t="inlineStr">
        <is>
          <t>EUR</t>
        </is>
      </c>
      <c r="AC319" s="24" t="inlineStr">
        <is>
          <t>yes</t>
        </is>
      </c>
      <c r="AD319" s="24">
        <f>IF(ISNUMBER(V319),V319,"")</f>
        <v/>
      </c>
      <c r="AE319" s="24">
        <f>IF(AND(AC319="yes",ISNUMBER(F319),IF('Compare'!$H$5="All mapped",TRUE,IF('Compare'!$H$5="EXACT only",J319="EXACT",OR(J319="EXACT",J319="CLOSE")))),"yes","no")</f>
        <v/>
      </c>
      <c r="AF319" s="24">
        <f>IF(ISNUMBER(H319),COUNTIFS($B$7:$B$608,B319,$C$7:$C$608,C319,$H$7:$H$608,"&lt;"&amp;H319,$AH$7:$AH$608,"yes")+COUNTIFS($B$7:B319,B319,$C$7:C319,C319,$H$7:H319,H319,$AH$7:AH319,"yes"),"")</f>
        <v/>
      </c>
      <c r="AG319" s="24">
        <f>IF(ISNUMBER(I319),COUNTIFS($B$7:$B$608,B319,$C$7:$C$608,C319,$I$7:$I$608,"&lt;"&amp;I319,$AI$7:$AI$608,"yes")+COUNTIFS($B$7:B319,B319,$C$7:C319,C319,$I$7:I319,I319,$AI$7:AI319,"yes"),"")</f>
        <v/>
      </c>
      <c r="AH319" s="24">
        <f>IF(ISNUMBER(H319),"yes","no")</f>
        <v/>
      </c>
      <c r="AI319" s="24">
        <f>IF(ISNUMBER(I319),"yes","no")</f>
        <v/>
      </c>
      <c r="AJ319" s="101" t="n">
        <v>46295</v>
      </c>
      <c r="AK319" s="24" t="n"/>
    </row>
    <row r="320" ht="42" customHeight="1">
      <c r="A320" s="2" t="n"/>
      <c r="B320" s="27" t="inlineStr">
        <is>
          <t>Lid for 600 × 400 mm dough box</t>
        </is>
      </c>
      <c r="C320" s="27" t="inlineStr">
        <is>
          <t>Germany</t>
        </is>
      </c>
      <c r="D320" s="27" t="inlineStr">
        <is>
          <t>Nisbets</t>
        </is>
      </c>
      <c r="E320" s="27" t="inlineStr">
        <is>
          <t>Deckel für stapelbare Pizzateigbehälter 60x40cm</t>
        </is>
      </c>
      <c r="F320" s="102" t="n">
        <v>16.99</v>
      </c>
      <c r="G320" s="27" t="inlineStr">
        <is>
          <t>EUR</t>
        </is>
      </c>
      <c r="H320" s="102">
        <f>IF(AND(AE320="yes",ISNUMBER(AD320)),AD320,"")</f>
        <v/>
      </c>
      <c r="I320" s="103">
        <f>IF(AND(AE320="yes",ISNUMBER(AD320),ISNUMBER(INDEX('Sources'!$G$7:$G$10,MATCH(AB320,'Sources'!$B$7:$B$10,0)))),AD320/INDEX('Sources'!$G$7:$G$10,MATCH(AB320,'Sources'!$B$7:$B$10,0)),"")</f>
        <v/>
      </c>
      <c r="J320" s="27" t="inlineStr">
        <is>
          <t>EXACT</t>
        </is>
      </c>
      <c r="K320" s="27" t="inlineStr">
        <is>
          <t>2026-09-30</t>
        </is>
      </c>
      <c r="L320" s="71" t="n"/>
      <c r="M320" s="27" t="inlineStr">
        <is>
          <t>PE</t>
        </is>
      </c>
      <c r="N320" s="28" t="inlineStr">
        <is>
          <t>https://www.nisbets.de/deckel-fr-stapelbare-pizzateigbehlter-60x40cm/gn539</t>
        </is>
      </c>
      <c r="O320" s="27" t="inlineStr">
        <is>
          <t>Gastronoble</t>
        </is>
      </c>
      <c r="P320" s="27" t="inlineStr">
        <is>
          <t>excl.</t>
        </is>
      </c>
      <c r="Q320" s="104" t="n"/>
      <c r="R320" s="27" t="n">
        <v>1</v>
      </c>
      <c r="S320" s="27" t="n"/>
      <c r="T320" s="27" t="inlineStr">
        <is>
          <t>EXACT</t>
        </is>
      </c>
      <c r="U320" s="27" t="inlineStr">
        <is>
          <t>Existing benchmark assignment and match quality retained.</t>
        </is>
      </c>
      <c r="V320" s="102" t="n">
        <v>16.99</v>
      </c>
      <c r="W320" s="102" t="n"/>
      <c r="X320" s="27" t="inlineStr">
        <is>
          <t>YES Gastro Germany Market Research.xlsx</t>
        </is>
      </c>
      <c r="Y320" s="27" t="n"/>
      <c r="Z320" s="27" t="n"/>
      <c r="AA320" s="27" t="n"/>
      <c r="AB320" s="27" t="inlineStr">
        <is>
          <t>EUR</t>
        </is>
      </c>
      <c r="AC320" s="27" t="inlineStr">
        <is>
          <t>yes</t>
        </is>
      </c>
      <c r="AD320" s="27">
        <f>IF(ISNUMBER(V320),V320,"")</f>
        <v/>
      </c>
      <c r="AE320" s="27">
        <f>IF(AND(AC320="yes",ISNUMBER(F320),IF('Compare'!$H$5="All mapped",TRUE,IF('Compare'!$H$5="EXACT only",J320="EXACT",OR(J320="EXACT",J320="CLOSE")))),"yes","no")</f>
        <v/>
      </c>
      <c r="AF320" s="27">
        <f>IF(ISNUMBER(H320),COUNTIFS($B$7:$B$608,B320,$C$7:$C$608,C320,$H$7:$H$608,"&lt;"&amp;H320,$AH$7:$AH$608,"yes")+COUNTIFS($B$7:B320,B320,$C$7:C320,C320,$H$7:H320,H320,$AH$7:AH320,"yes"),"")</f>
        <v/>
      </c>
      <c r="AG320" s="27">
        <f>IF(ISNUMBER(I320),COUNTIFS($B$7:$B$608,B320,$C$7:$C$608,C320,$I$7:$I$608,"&lt;"&amp;I320,$AI$7:$AI$608,"yes")+COUNTIFS($B$7:B320,B320,$C$7:C320,C320,$I$7:I320,I320,$AI$7:AI320,"yes"),"")</f>
        <v/>
      </c>
      <c r="AH320" s="27">
        <f>IF(ISNUMBER(H320),"yes","no")</f>
        <v/>
      </c>
      <c r="AI320" s="27">
        <f>IF(ISNUMBER(I320),"yes","no")</f>
        <v/>
      </c>
      <c r="AJ320" s="105" t="n">
        <v>46295</v>
      </c>
      <c r="AK320" s="27" t="n"/>
    </row>
    <row r="321" ht="42" customHeight="1">
      <c r="A321" s="2" t="n"/>
      <c r="B321" s="24" t="inlineStr">
        <is>
          <t>Lid for 600 × 400 mm dough box</t>
        </is>
      </c>
      <c r="C321" s="24" t="inlineStr">
        <is>
          <t>Czech</t>
        </is>
      </c>
      <c r="D321" s="24" t="inlineStr">
        <is>
          <t>Gastromania</t>
        </is>
      </c>
      <c r="E321" s="24" t="inlineStr">
        <is>
          <t>Víko k přepravce na pizzu 60x40 cm | TOM-GAST, ZT-6040-1</t>
        </is>
      </c>
      <c r="F321" s="98" t="n">
        <v>195</v>
      </c>
      <c r="G321" s="24" t="inlineStr">
        <is>
          <t>CZK</t>
        </is>
      </c>
      <c r="H321" s="98">
        <f>IF(AND(AE321="yes",ISNUMBER(AD321)),AD321,"")</f>
        <v/>
      </c>
      <c r="I321" s="99">
        <f>IF(AND(AE321="yes",ISNUMBER(AD321),ISNUMBER(INDEX('Sources'!$G$7:$G$10,MATCH(AB321,'Sources'!$B$7:$B$10,0)))),AD321/INDEX('Sources'!$G$7:$G$10,MATCH(AB321,'Sources'!$B$7:$B$10,0)),"")</f>
        <v/>
      </c>
      <c r="J321" s="24" t="inlineStr">
        <is>
          <t>EXACT</t>
        </is>
      </c>
      <c r="K321" s="24" t="inlineStr">
        <is>
          <t>2026-09-30</t>
        </is>
      </c>
      <c r="L321" s="71" t="n"/>
      <c r="M321" s="24" t="inlineStr">
        <is>
          <t>Lid for 600x400 dough box; 236 CZK incl. (same item/price as tomgast.cz).</t>
        </is>
      </c>
      <c r="N321" s="25" t="inlineStr">
        <is>
          <t>https://www.gastromania.cz/vika-na-kose-na-testo/viko-k-prepravce-na-pizzu-60x40-cm-tom-gast-zt-6040-1</t>
        </is>
      </c>
      <c r="O321" s="24" t="inlineStr">
        <is>
          <t>TOMGAST</t>
        </is>
      </c>
      <c r="P321" s="24" t="inlineStr">
        <is>
          <t>excl.</t>
        </is>
      </c>
      <c r="Q321" s="100" t="n">
        <v>0.21</v>
      </c>
      <c r="R321" s="24" t="n">
        <v>1</v>
      </c>
      <c r="S321" s="24" t="inlineStr">
        <is>
          <t>per piece</t>
        </is>
      </c>
      <c r="T321" s="24" t="inlineStr">
        <is>
          <t>EXACT</t>
        </is>
      </c>
      <c r="U321" s="24" t="inlineStr">
        <is>
          <t>Existing benchmark assignment and match quality retained.</t>
        </is>
      </c>
      <c r="V321" s="98" t="n"/>
      <c r="W321" s="98" t="n"/>
      <c r="X321" s="24" t="inlineStr">
        <is>
          <t>YES Gastro Czech Market Research.xlsx</t>
        </is>
      </c>
      <c r="Y321" s="24" t="n"/>
      <c r="Z321" s="24" t="n"/>
      <c r="AA321" s="24" t="n"/>
      <c r="AB321" s="24" t="inlineStr">
        <is>
          <t>CZK</t>
        </is>
      </c>
      <c r="AC321" s="24" t="inlineStr">
        <is>
          <t>yes</t>
        </is>
      </c>
      <c r="AD321" s="24">
        <f>IF(OR(F321="",Q321="",R321=""),"",ROUND(IF(P321="incl.",F321/(1+Q321),F321)/IF(S321="per pack",R321,1),2))</f>
        <v/>
      </c>
      <c r="AE321" s="24">
        <f>IF(AND(AC321="yes",ISNUMBER(F321),IF('Compare'!$H$5="All mapped",TRUE,IF('Compare'!$H$5="EXACT only",J321="EXACT",OR(J321="EXACT",J321="CLOSE")))),"yes","no")</f>
        <v/>
      </c>
      <c r="AF321" s="24">
        <f>IF(ISNUMBER(H321),COUNTIFS($B$7:$B$608,B321,$C$7:$C$608,C321,$H$7:$H$608,"&lt;"&amp;H321,$AH$7:$AH$608,"yes")+COUNTIFS($B$7:B321,B321,$C$7:C321,C321,$H$7:H321,H321,$AH$7:AH321,"yes"),"")</f>
        <v/>
      </c>
      <c r="AG321" s="24">
        <f>IF(ISNUMBER(I321),COUNTIFS($B$7:$B$608,B321,$C$7:$C$608,C321,$I$7:$I$608,"&lt;"&amp;I321,$AI$7:$AI$608,"yes")+COUNTIFS($B$7:B321,B321,$C$7:C321,C321,$I$7:I321,I321,$AI$7:AI321,"yes"),"")</f>
        <v/>
      </c>
      <c r="AH321" s="24">
        <f>IF(ISNUMBER(H321),"yes","no")</f>
        <v/>
      </c>
      <c r="AI321" s="24">
        <f>IF(ISNUMBER(I321),"yes","no")</f>
        <v/>
      </c>
      <c r="AJ321" s="101" t="n">
        <v>46295</v>
      </c>
      <c r="AK321" s="24" t="n"/>
    </row>
    <row r="322" ht="42" customHeight="1">
      <c r="A322" s="2" t="n"/>
      <c r="B322" s="27" t="inlineStr">
        <is>
          <t>Lid for 600 × 400 mm dough box</t>
        </is>
      </c>
      <c r="C322" s="27" t="inlineStr">
        <is>
          <t>Czech</t>
        </is>
      </c>
      <c r="D322" s="27" t="inlineStr">
        <is>
          <t>Gastrozone</t>
        </is>
      </c>
      <c r="E322" s="27" t="inlineStr">
        <is>
          <t>Araven Víko na pizzabox na těsto PP, polypropylen, délka: 600 mm, šířka: 400 mm</t>
        </is>
      </c>
      <c r="F322" s="102" t="n">
        <v>324</v>
      </c>
      <c r="G322" s="27" t="inlineStr">
        <is>
          <t>CZK</t>
        </is>
      </c>
      <c r="H322" s="102">
        <f>IF(AND(AE322="yes",ISNUMBER(AD322)),AD322,"")</f>
        <v/>
      </c>
      <c r="I322" s="103">
        <f>IF(AND(AE322="yes",ISNUMBER(AD322),ISNUMBER(INDEX('Sources'!$G$7:$G$10,MATCH(AB322,'Sources'!$B$7:$B$10,0)))),AD322/INDEX('Sources'!$G$7:$G$10,MATCH(AB322,'Sources'!$B$7:$B$10,0)),"")</f>
        <v/>
      </c>
      <c r="J322" s="27" t="inlineStr">
        <is>
          <t>EXACT</t>
        </is>
      </c>
      <c r="K322" s="27" t="inlineStr">
        <is>
          <t>2026-09-30</t>
        </is>
      </c>
      <c r="L322" s="71" t="n"/>
      <c r="M322" s="27" t="inlineStr">
        <is>
          <t>268 CZK bez DPH. Cheaper AmerBox 600x400 lid 228 CZK.</t>
        </is>
      </c>
      <c r="N322" s="28" t="inlineStr">
        <is>
          <t>https://www.gastrozone.cz/araven-viko-k-pizzove-krabici-z-pp-delka-600-mm-sirka-400-mm.html</t>
        </is>
      </c>
      <c r="O322" s="27" t="inlineStr">
        <is>
          <t>Araven</t>
        </is>
      </c>
      <c r="P322" s="27" t="inlineStr">
        <is>
          <t>incl.</t>
        </is>
      </c>
      <c r="Q322" s="104" t="n">
        <v>0.21</v>
      </c>
      <c r="R322" s="27" t="n">
        <v>1</v>
      </c>
      <c r="S322" s="27" t="inlineStr">
        <is>
          <t>per piece</t>
        </is>
      </c>
      <c r="T322" s="27" t="inlineStr">
        <is>
          <t>EXACT</t>
        </is>
      </c>
      <c r="U322" s="27" t="inlineStr">
        <is>
          <t>Existing benchmark assignment and match quality retained.</t>
        </is>
      </c>
      <c r="V322" s="102" t="n"/>
      <c r="W322" s="102" t="n"/>
      <c r="X322" s="27" t="inlineStr">
        <is>
          <t>YES Gastro Czech Market Research.xlsx</t>
        </is>
      </c>
      <c r="Y322" s="27" t="n"/>
      <c r="Z322" s="27" t="n"/>
      <c r="AA322" s="27" t="n"/>
      <c r="AB322" s="27" t="inlineStr">
        <is>
          <t>CZK</t>
        </is>
      </c>
      <c r="AC322" s="27" t="inlineStr">
        <is>
          <t>yes</t>
        </is>
      </c>
      <c r="AD322" s="27">
        <f>IF(OR(F322="",Q322="",R322=""),"",ROUND(IF(P322="incl.",F322/(1+Q322),F322)/IF(S322="per pack",R322,1),2))</f>
        <v/>
      </c>
      <c r="AE322" s="27">
        <f>IF(AND(AC322="yes",ISNUMBER(F322),IF('Compare'!$H$5="All mapped",TRUE,IF('Compare'!$H$5="EXACT only",J322="EXACT",OR(J322="EXACT",J322="CLOSE")))),"yes","no")</f>
        <v/>
      </c>
      <c r="AF322" s="27">
        <f>IF(ISNUMBER(H322),COUNTIFS($B$7:$B$608,B322,$C$7:$C$608,C322,$H$7:$H$608,"&lt;"&amp;H322,$AH$7:$AH$608,"yes")+COUNTIFS($B$7:B322,B322,$C$7:C322,C322,$H$7:H322,H322,$AH$7:AH322,"yes"),"")</f>
        <v/>
      </c>
      <c r="AG322" s="27">
        <f>IF(ISNUMBER(I322),COUNTIFS($B$7:$B$608,B322,$C$7:$C$608,C322,$I$7:$I$608,"&lt;"&amp;I322,$AI$7:$AI$608,"yes")+COUNTIFS($B$7:B322,B322,$C$7:C322,C322,$I$7:I322,I322,$AI$7:AI322,"yes"),"")</f>
        <v/>
      </c>
      <c r="AH322" s="27">
        <f>IF(ISNUMBER(H322),"yes","no")</f>
        <v/>
      </c>
      <c r="AI322" s="27">
        <f>IF(ISNUMBER(I322),"yes","no")</f>
        <v/>
      </c>
      <c r="AJ322" s="105" t="n">
        <v>46295</v>
      </c>
      <c r="AK322" s="27" t="n"/>
    </row>
    <row r="323" ht="42" customHeight="1">
      <c r="A323" s="2" t="n"/>
      <c r="B323" s="24" t="inlineStr">
        <is>
          <t>Lid for 600 × 400 mm dough box</t>
        </is>
      </c>
      <c r="C323" s="24" t="inlineStr">
        <is>
          <t>Czech</t>
        </is>
      </c>
      <c r="D323" s="24" t="inlineStr">
        <is>
          <t>TOMGAST</t>
        </is>
      </c>
      <c r="E323" s="24" t="inlineStr">
        <is>
          <t>Víko k přepravce na pizzu 60 × 40 cm</t>
        </is>
      </c>
      <c r="F323" s="98" t="n">
        <v>236</v>
      </c>
      <c r="G323" s="24" t="inlineStr">
        <is>
          <t>CZK</t>
        </is>
      </c>
      <c r="H323" s="98">
        <f>IF(AND(AE323="yes",ISNUMBER(AD323)),AD323,"")</f>
        <v/>
      </c>
      <c r="I323" s="99">
        <f>IF(AND(AE323="yes",ISNUMBER(AD323),ISNUMBER(INDEX('Sources'!$G$7:$G$10,MATCH(AB323,'Sources'!$B$7:$B$10,0)))),AD323/INDEX('Sources'!$G$7:$G$10,MATCH(AB323,'Sources'!$B$7:$B$10,0)),"")</f>
        <v/>
      </c>
      <c r="J323" s="24" t="inlineStr">
        <is>
          <t>EXACT</t>
        </is>
      </c>
      <c r="K323" s="24" t="inlineStr">
        <is>
          <t>2026-09-30</t>
        </is>
      </c>
      <c r="L323" s="71" t="n"/>
      <c r="M323" s="24" t="inlineStr">
        <is>
          <t>Lid for ZT-6040 dough box; material "plast". 195 CZK bez DPH.</t>
        </is>
      </c>
      <c r="N323" s="25" t="inlineStr">
        <is>
          <t>https://www.tomgast.cz/viko-k-prepravce-na-pizzu-60--40-cm/</t>
        </is>
      </c>
      <c r="O323" s="24" t="inlineStr">
        <is>
          <t>TOMGAST</t>
        </is>
      </c>
      <c r="P323" s="24" t="inlineStr">
        <is>
          <t>incl.</t>
        </is>
      </c>
      <c r="Q323" s="100" t="n">
        <v>0.21</v>
      </c>
      <c r="R323" s="24" t="n">
        <v>1</v>
      </c>
      <c r="S323" s="24" t="inlineStr">
        <is>
          <t>per piece</t>
        </is>
      </c>
      <c r="T323" s="24" t="inlineStr">
        <is>
          <t>EXACT</t>
        </is>
      </c>
      <c r="U323" s="24" t="inlineStr">
        <is>
          <t>Existing benchmark assignment and match quality retained.</t>
        </is>
      </c>
      <c r="V323" s="98" t="n"/>
      <c r="W323" s="98" t="n"/>
      <c r="X323" s="24" t="inlineStr">
        <is>
          <t>YES Gastro Czech Market Research.xlsx</t>
        </is>
      </c>
      <c r="Y323" s="24" t="n"/>
      <c r="Z323" s="24" t="n"/>
      <c r="AA323" s="24" t="n"/>
      <c r="AB323" s="24" t="inlineStr">
        <is>
          <t>CZK</t>
        </is>
      </c>
      <c r="AC323" s="24" t="inlineStr">
        <is>
          <t>yes</t>
        </is>
      </c>
      <c r="AD323" s="24">
        <f>IF(OR(F323="",Q323="",R323=""),"",ROUND(IF(P323="incl.",F323/(1+Q323),F323)/IF(S323="per pack",R323,1),2))</f>
        <v/>
      </c>
      <c r="AE323" s="24">
        <f>IF(AND(AC323="yes",ISNUMBER(F323),IF('Compare'!$H$5="All mapped",TRUE,IF('Compare'!$H$5="EXACT only",J323="EXACT",OR(J323="EXACT",J323="CLOSE")))),"yes","no")</f>
        <v/>
      </c>
      <c r="AF323" s="24">
        <f>IF(ISNUMBER(H323),COUNTIFS($B$7:$B$608,B323,$C$7:$C$608,C323,$H$7:$H$608,"&lt;"&amp;H323,$AH$7:$AH$608,"yes")+COUNTIFS($B$7:B323,B323,$C$7:C323,C323,$H$7:H323,H323,$AH$7:AH323,"yes"),"")</f>
        <v/>
      </c>
      <c r="AG323" s="24">
        <f>IF(ISNUMBER(I323),COUNTIFS($B$7:$B$608,B323,$C$7:$C$608,C323,$I$7:$I$608,"&lt;"&amp;I323,$AI$7:$AI$608,"yes")+COUNTIFS($B$7:B323,B323,$C$7:C323,C323,$I$7:I323,I323,$AI$7:AI323,"yes"),"")</f>
        <v/>
      </c>
      <c r="AH323" s="24">
        <f>IF(ISNUMBER(H323),"yes","no")</f>
        <v/>
      </c>
      <c r="AI323" s="24">
        <f>IF(ISNUMBER(I323),"yes","no")</f>
        <v/>
      </c>
      <c r="AJ323" s="101" t="n">
        <v>46295</v>
      </c>
      <c r="AK323" s="24" t="n"/>
    </row>
    <row r="324" ht="42" customHeight="1">
      <c r="A324" s="2" t="n"/>
      <c r="B324" s="27" t="inlineStr">
        <is>
          <t>Lid for 600 × 400 mm dough box</t>
        </is>
      </c>
      <c r="C324" s="27" t="inlineStr">
        <is>
          <t>Slovakia</t>
        </is>
      </c>
      <c r="D324" s="27" t="inlineStr">
        <is>
          <t>Gastromania.sk (GASTROMANIA CZ s.r.o., CZ)</t>
        </is>
      </c>
      <c r="E324" s="27" t="inlineStr">
        <is>
          <t>Veko na nádobu 2510/600 | CONTACTO, 2510/601</t>
        </is>
      </c>
      <c r="F324" s="102" t="n">
        <v>11.7</v>
      </c>
      <c r="G324" s="27" t="inlineStr">
        <is>
          <t>EUR</t>
        </is>
      </c>
      <c r="H324" s="102">
        <f>IF(AND(AE324="yes",ISNUMBER(AD324)),AD324,"")</f>
        <v/>
      </c>
      <c r="I324" s="103">
        <f>IF(AND(AE324="yes",ISNUMBER(AD324),ISNUMBER(INDEX('Sources'!$G$7:$G$10,MATCH(AB324,'Sources'!$B$7:$B$10,0)))),AD324/INDEX('Sources'!$G$7:$G$10,MATCH(AB324,'Sources'!$B$7:$B$10,0)),"")</f>
        <v/>
      </c>
      <c r="J324" s="27" t="inlineStr">
        <is>
          <t>EXACT</t>
        </is>
      </c>
      <c r="K324" s="27" t="inlineStr">
        <is>
          <t>2026-09-30</t>
        </is>
      </c>
      <c r="L324" s="71" t="n"/>
      <c r="M324" s="27" t="inlineStr">
        <is>
          <t>Listed 'Cena bez DPH' 11.70 EUR / 'Cena s DPH' 14.39 EUR. PE lid for Contacto 600x400 dough box. Promo; base 13,00 / 15,99. Availability 30 days.</t>
        </is>
      </c>
      <c r="N324" s="28" t="inlineStr">
        <is>
          <t>https://gastromania.sk/veka-na-nadoby-na-cesto/veko-na-nadobu-2510-600-contacto-2510-601</t>
        </is>
      </c>
      <c r="O324" s="27" t="inlineStr">
        <is>
          <t>Contacto</t>
        </is>
      </c>
      <c r="P324" s="27" t="inlineStr">
        <is>
          <t>excl.</t>
        </is>
      </c>
      <c r="Q324" s="104" t="inlineStr">
        <is>
          <t>n/a</t>
        </is>
      </c>
      <c r="R324" s="27" t="n">
        <v>1</v>
      </c>
      <c r="S324" s="27" t="inlineStr">
        <is>
          <t>per piece</t>
        </is>
      </c>
      <c r="T324" s="27" t="inlineStr">
        <is>
          <t>EXACT</t>
        </is>
      </c>
      <c r="U324" s="27" t="inlineStr">
        <is>
          <t>Existing benchmark assignment and match quality retained.</t>
        </is>
      </c>
      <c r="V324" s="102" t="n">
        <v>11.7</v>
      </c>
      <c r="W324" s="102" t="n"/>
      <c r="X324" s="27" t="inlineStr">
        <is>
          <t>YES Gastro Slovakia Market Research.xlsx</t>
        </is>
      </c>
      <c r="Y324" s="27" t="n"/>
      <c r="Z324" s="27" t="n"/>
      <c r="AA324" s="27" t="n"/>
      <c r="AB324" s="27" t="inlineStr">
        <is>
          <t>EUR</t>
        </is>
      </c>
      <c r="AC324" s="27" t="inlineStr">
        <is>
          <t>yes</t>
        </is>
      </c>
      <c r="AD324" s="27">
        <f>IF(ISNUMBER(V324),V324,"")</f>
        <v/>
      </c>
      <c r="AE324" s="27">
        <f>IF(AND(AC324="yes",ISNUMBER(F324),IF('Compare'!$H$5="All mapped",TRUE,IF('Compare'!$H$5="EXACT only",J324="EXACT",OR(J324="EXACT",J324="CLOSE")))),"yes","no")</f>
        <v/>
      </c>
      <c r="AF324" s="27">
        <f>IF(ISNUMBER(H324),COUNTIFS($B$7:$B$608,B324,$C$7:$C$608,C324,$H$7:$H$608,"&lt;"&amp;H324,$AH$7:$AH$608,"yes")+COUNTIFS($B$7:B324,B324,$C$7:C324,C324,$H$7:H324,H324,$AH$7:AH324,"yes"),"")</f>
        <v/>
      </c>
      <c r="AG324" s="27">
        <f>IF(ISNUMBER(I324),COUNTIFS($B$7:$B$608,B324,$C$7:$C$608,C324,$I$7:$I$608,"&lt;"&amp;I324,$AI$7:$AI$608,"yes")+COUNTIFS($B$7:B324,B324,$C$7:C324,C324,$I$7:I324,I324,$AI$7:AI324,"yes"),"")</f>
        <v/>
      </c>
      <c r="AH324" s="27">
        <f>IF(ISNUMBER(H324),"yes","no")</f>
        <v/>
      </c>
      <c r="AI324" s="27">
        <f>IF(ISNUMBER(I324),"yes","no")</f>
        <v/>
      </c>
      <c r="AJ324" s="105" t="n">
        <v>46295</v>
      </c>
      <c r="AK324" s="27" t="n"/>
    </row>
    <row r="325" ht="42" customHeight="1">
      <c r="A325" s="2" t="n"/>
      <c r="B325" s="24" t="inlineStr">
        <is>
          <t>Lid for 600 × 400 mm dough box</t>
        </is>
      </c>
      <c r="C325" s="24" t="inlineStr">
        <is>
          <t>Slovakia</t>
        </is>
      </c>
      <c r="D325" s="24" t="inlineStr">
        <is>
          <t>Gastrozone.sk (GASTROZONE, spol. s r.o., CZ)</t>
        </is>
      </c>
      <c r="E325" s="24" t="inlineStr">
        <is>
          <t>Araven Veko na pizzabox na cesto PP, 600 x 400 mm</t>
        </is>
      </c>
      <c r="F325" s="98" t="n">
        <v>13.61</v>
      </c>
      <c r="G325" s="24" t="inlineStr">
        <is>
          <t>EUR</t>
        </is>
      </c>
      <c r="H325" s="98">
        <f>IF(AND(AE325="yes",ISNUMBER(AD325)),AD325,"")</f>
        <v/>
      </c>
      <c r="I325" s="99">
        <f>IF(AND(AE325="yes",ISNUMBER(AD325),ISNUMBER(INDEX('Sources'!$G$7:$G$10,MATCH(AB325,'Sources'!$B$7:$B$10,0)))),AD325/INDEX('Sources'!$G$7:$G$10,MATCH(AB325,'Sources'!$B$7:$B$10,0)),"")</f>
        <v/>
      </c>
      <c r="J325" s="24" t="inlineStr">
        <is>
          <t>EXACT</t>
        </is>
      </c>
      <c r="K325" s="24" t="inlineStr">
        <is>
          <t>2026-09-30</t>
        </is>
      </c>
      <c r="L325" s="71" t="n"/>
      <c r="M325" s="24" t="inlineStr">
        <is>
          <t>PP lid for 600x400 dough box. Page shows 13,61 / 11,07 bez DPH. AmerBox PET-box lid 11,50 EUR also listed.</t>
        </is>
      </c>
      <c r="N325" s="25" t="inlineStr">
        <is>
          <t>https://www.gastrozone.sk/araven-viko-k-pizzove-krabici-z-pp-delka-600-mm-sirka-400-mm.html</t>
        </is>
      </c>
      <c r="O325" s="24" t="inlineStr">
        <is>
          <t>Araven</t>
        </is>
      </c>
      <c r="P325" s="24" t="inlineStr">
        <is>
          <t>incl.</t>
        </is>
      </c>
      <c r="Q325" s="100" t="n">
        <v>0.23</v>
      </c>
      <c r="R325" s="24" t="n">
        <v>1</v>
      </c>
      <c r="S325" s="24" t="inlineStr">
        <is>
          <t>per piece</t>
        </is>
      </c>
      <c r="T325" s="24" t="inlineStr">
        <is>
          <t>EXACT</t>
        </is>
      </c>
      <c r="U325" s="24" t="inlineStr">
        <is>
          <t>Existing benchmark assignment and match quality retained.</t>
        </is>
      </c>
      <c r="V325" s="98" t="n">
        <v>11.0650406504065</v>
      </c>
      <c r="W325" s="98" t="n"/>
      <c r="X325" s="24" t="inlineStr">
        <is>
          <t>YES Gastro Slovakia Market Research.xlsx</t>
        </is>
      </c>
      <c r="Y325" s="24" t="n"/>
      <c r="Z325" s="24" t="n"/>
      <c r="AA325" s="24" t="n"/>
      <c r="AB325" s="24" t="inlineStr">
        <is>
          <t>EUR</t>
        </is>
      </c>
      <c r="AC325" s="24" t="inlineStr">
        <is>
          <t>yes</t>
        </is>
      </c>
      <c r="AD325" s="24">
        <f>IF(ISNUMBER(V325),V325,"")</f>
        <v/>
      </c>
      <c r="AE325" s="24">
        <f>IF(AND(AC325="yes",ISNUMBER(F325),IF('Compare'!$H$5="All mapped",TRUE,IF('Compare'!$H$5="EXACT only",J325="EXACT",OR(J325="EXACT",J325="CLOSE")))),"yes","no")</f>
        <v/>
      </c>
      <c r="AF325" s="24">
        <f>IF(ISNUMBER(H325),COUNTIFS($B$7:$B$608,B325,$C$7:$C$608,C325,$H$7:$H$608,"&lt;"&amp;H325,$AH$7:$AH$608,"yes")+COUNTIFS($B$7:B325,B325,$C$7:C325,C325,$H$7:H325,H325,$AH$7:AH325,"yes"),"")</f>
        <v/>
      </c>
      <c r="AG325" s="24">
        <f>IF(ISNUMBER(I325),COUNTIFS($B$7:$B$608,B325,$C$7:$C$608,C325,$I$7:$I$608,"&lt;"&amp;I325,$AI$7:$AI$608,"yes")+COUNTIFS($B$7:B325,B325,$C$7:C325,C325,$I$7:I325,I325,$AI$7:AI325,"yes"),"")</f>
        <v/>
      </c>
      <c r="AH325" s="24">
        <f>IF(ISNUMBER(H325),"yes","no")</f>
        <v/>
      </c>
      <c r="AI325" s="24">
        <f>IF(ISNUMBER(I325),"yes","no")</f>
        <v/>
      </c>
      <c r="AJ325" s="101" t="n">
        <v>46295</v>
      </c>
      <c r="AK325" s="24" t="n"/>
    </row>
    <row r="326" ht="42" customHeight="1">
      <c r="A326" s="2" t="n"/>
      <c r="B326" s="27" t="inlineStr">
        <is>
          <t>PE dough box 600 × 400 × 75 mm</t>
        </is>
      </c>
      <c r="C326" s="27" t="inlineStr">
        <is>
          <t>Hungary</t>
        </is>
      </c>
      <c r="D326" s="27" t="inlineStr">
        <is>
          <t>Attase</t>
        </is>
      </c>
      <c r="E326" s="27" t="inlineStr">
        <is>
          <t>PE Box 600 x 400 x 75 mm</t>
        </is>
      </c>
      <c r="F326" s="102" t="n">
        <v>2480</v>
      </c>
      <c r="G326" s="27" t="inlineStr">
        <is>
          <t>HUF</t>
        </is>
      </c>
      <c r="H326" s="102">
        <f>IF(AND(AE326="yes",ISNUMBER(AD326)),AD326,"")</f>
        <v/>
      </c>
      <c r="I326" s="103">
        <f>IF(AND(AE326="yes",ISNUMBER(AD326),ISNUMBER(INDEX('Sources'!$G$7:$G$10,MATCH(AB326,'Sources'!$B$7:$B$10,0)))),AD326/INDEX('Sources'!$G$7:$G$10,MATCH(AB326,'Sources'!$B$7:$B$10,0)),"")</f>
        <v/>
      </c>
      <c r="J326" s="27" t="inlineStr">
        <is>
          <t>EXACT</t>
        </is>
      </c>
      <c r="K326" s="27" t="inlineStr">
        <is>
          <t>26.06.2026</t>
        </is>
      </c>
      <c r="L326" s="71" t="n"/>
      <c r="M326" s="27" t="inlineStr">
        <is>
          <t>Source sheet: Pizza Dough Boxes &amp; Lids</t>
        </is>
      </c>
      <c r="N326" s="28" t="inlineStr">
        <is>
          <t>https://www.attase.hu/en/pizza-pan?infinite_page=2</t>
        </is>
      </c>
      <c r="O326" s="27" t="n"/>
      <c r="P326" s="27" t="n"/>
      <c r="Q326" s="104" t="n"/>
      <c r="R326" s="27" t="n"/>
      <c r="S326" s="27" t="n"/>
      <c r="T326" s="27" t="n"/>
      <c r="U326" s="27" t="inlineStr">
        <is>
          <t>Dough-box dimensions and PE material agree.</t>
        </is>
      </c>
      <c r="V326" s="102" t="n"/>
      <c r="W326" s="102" t="n">
        <v>2480</v>
      </c>
      <c r="X326" s="27" t="inlineStr">
        <is>
          <t>YES Gastro Hungary Market Research.xlsx</t>
        </is>
      </c>
      <c r="Y326" s="27" t="inlineStr">
        <is>
          <t>Taha</t>
        </is>
      </c>
      <c r="Z326" s="27" t="n"/>
      <c r="AA326" s="27" t="inlineStr">
        <is>
          <t>Direct</t>
        </is>
      </c>
      <c r="AB326" s="27" t="inlineStr">
        <is>
          <t>HUF</t>
        </is>
      </c>
      <c r="AC326" s="27" t="inlineStr">
        <is>
          <t>yes</t>
        </is>
      </c>
      <c r="AD326" s="27">
        <f>IF(ISNUMBER(F326),IF(G326=AB326,F326,IF(AND(ISNUMBER(INDEX('Sources'!$G$7:$G$10,MATCH(G326,'Sources'!$B$7:$B$10,0))),ISNUMBER(INDEX('Sources'!$G$7:$G$10,MATCH(AB326,'Sources'!$B$7:$B$10,0)))),F326/INDEX('Sources'!$G$7:$G$10,MATCH(G326,'Sources'!$B$7:$B$10,0))*INDEX('Sources'!$G$7:$G$10,MATCH(AB326,'Sources'!$B$7:$B$10,0)),"")),"")</f>
        <v/>
      </c>
      <c r="AE326" s="27">
        <f>IF(AND(AC326="yes",ISNUMBER(F326),IF('Compare'!$H$5="All mapped",TRUE,IF('Compare'!$H$5="EXACT only",J326="EXACT",OR(J326="EXACT",J326="CLOSE")))),"yes","no")</f>
        <v/>
      </c>
      <c r="AF326" s="27">
        <f>IF(ISNUMBER(H326),COUNTIFS($B$7:$B$608,B326,$C$7:$C$608,C326,$H$7:$H$608,"&lt;"&amp;H326,$AH$7:$AH$608,"yes")+COUNTIFS($B$7:B326,B326,$C$7:C326,C326,$H$7:H326,H326,$AH$7:AH326,"yes"),"")</f>
        <v/>
      </c>
      <c r="AG326" s="27">
        <f>IF(ISNUMBER(I326),COUNTIFS($B$7:$B$608,B326,$C$7:$C$608,C326,$I$7:$I$608,"&lt;"&amp;I326,$AI$7:$AI$608,"yes")+COUNTIFS($B$7:B326,B326,$C$7:C326,C326,$I$7:I326,I326,$AI$7:AI326,"yes"),"")</f>
        <v/>
      </c>
      <c r="AH326" s="27">
        <f>IF(ISNUMBER(H326),"yes","no")</f>
        <v/>
      </c>
      <c r="AI326" s="27">
        <f>IF(ISNUMBER(I326),"yes","no")</f>
        <v/>
      </c>
      <c r="AJ326" s="105" t="n">
        <v>46199</v>
      </c>
      <c r="AK326" s="27" t="n"/>
    </row>
    <row r="327" ht="42" customHeight="1">
      <c r="A327" s="2" t="n"/>
      <c r="B327" s="24" t="inlineStr">
        <is>
          <t>PE dough box 600 × 400 × 75 mm</t>
        </is>
      </c>
      <c r="C327" s="24" t="inlineStr">
        <is>
          <t>Hungary</t>
        </is>
      </c>
      <c r="D327" s="24" t="inlineStr">
        <is>
          <t>HFSE</t>
        </is>
      </c>
      <c r="E327" s="24" t="inlineStr">
        <is>
          <t>PE Box 600 x 400 x 75 mm</t>
        </is>
      </c>
      <c r="F327" s="98" t="n">
        <v>3614</v>
      </c>
      <c r="G327" s="24" t="inlineStr">
        <is>
          <t>HUF</t>
        </is>
      </c>
      <c r="H327" s="98">
        <f>IF(AND(AE327="yes",ISNUMBER(AD327)),AD327,"")</f>
        <v/>
      </c>
      <c r="I327" s="99">
        <f>IF(AND(AE327="yes",ISNUMBER(AD327),ISNUMBER(INDEX('Sources'!$G$7:$G$10,MATCH(AB327,'Sources'!$B$7:$B$10,0)))),AD327/INDEX('Sources'!$G$7:$G$10,MATCH(AB327,'Sources'!$B$7:$B$10,0)),"")</f>
        <v/>
      </c>
      <c r="J327" s="24" t="inlineStr">
        <is>
          <t>EXACT</t>
        </is>
      </c>
      <c r="K327" s="24" t="inlineStr">
        <is>
          <t>26.06.2026</t>
        </is>
      </c>
      <c r="L327" s="71" t="n"/>
      <c r="M327" s="24" t="inlineStr">
        <is>
          <t>Source sheet: Pizza Dough Boxes &amp; Lids</t>
        </is>
      </c>
      <c r="N327" s="25" t="inlineStr">
        <is>
          <t>https://hfse.hu/?s=pizzat%C3%A9szta+keleszt%C5%91&amp;post_type=product&amp;dgwt_wcas=1</t>
        </is>
      </c>
      <c r="O327" s="24" t="n"/>
      <c r="P327" s="24" t="n"/>
      <c r="Q327" s="100" t="n"/>
      <c r="R327" s="24" t="n"/>
      <c r="S327" s="24" t="n"/>
      <c r="T327" s="24" t="n"/>
      <c r="U327" s="24" t="inlineStr">
        <is>
          <t>Dough-box dimensions and PE material agree.</t>
        </is>
      </c>
      <c r="V327" s="98" t="n"/>
      <c r="W327" s="98" t="n">
        <v>3614</v>
      </c>
      <c r="X327" s="24" t="inlineStr">
        <is>
          <t>YES Gastro Hungary Market Research.xlsx</t>
        </is>
      </c>
      <c r="Y327" s="24" t="inlineStr">
        <is>
          <t>Taha</t>
        </is>
      </c>
      <c r="Z327" s="24" t="n"/>
      <c r="AA327" s="24" t="inlineStr">
        <is>
          <t>Direct</t>
        </is>
      </c>
      <c r="AB327" s="24" t="inlineStr">
        <is>
          <t>HUF</t>
        </is>
      </c>
      <c r="AC327" s="24" t="inlineStr">
        <is>
          <t>yes</t>
        </is>
      </c>
      <c r="AD327" s="24">
        <f>IF(ISNUMBER(F327),IF(G327=AB327,F327,IF(AND(ISNUMBER(INDEX('Sources'!$G$7:$G$10,MATCH(G327,'Sources'!$B$7:$B$10,0))),ISNUMBER(INDEX('Sources'!$G$7:$G$10,MATCH(AB327,'Sources'!$B$7:$B$10,0)))),F327/INDEX('Sources'!$G$7:$G$10,MATCH(G327,'Sources'!$B$7:$B$10,0))*INDEX('Sources'!$G$7:$G$10,MATCH(AB327,'Sources'!$B$7:$B$10,0)),"")),"")</f>
        <v/>
      </c>
      <c r="AE327" s="24">
        <f>IF(AND(AC327="yes",ISNUMBER(F327),IF('Compare'!$H$5="All mapped",TRUE,IF('Compare'!$H$5="EXACT only",J327="EXACT",OR(J327="EXACT",J327="CLOSE")))),"yes","no")</f>
        <v/>
      </c>
      <c r="AF327" s="24">
        <f>IF(ISNUMBER(H327),COUNTIFS($B$7:$B$608,B327,$C$7:$C$608,C327,$H$7:$H$608,"&lt;"&amp;H327,$AH$7:$AH$608,"yes")+COUNTIFS($B$7:B327,B327,$C$7:C327,C327,$H$7:H327,H327,$AH$7:AH327,"yes"),"")</f>
        <v/>
      </c>
      <c r="AG327" s="24">
        <f>IF(ISNUMBER(I327),COUNTIFS($B$7:$B$608,B327,$C$7:$C$608,C327,$I$7:$I$608,"&lt;"&amp;I327,$AI$7:$AI$608,"yes")+COUNTIFS($B$7:B327,B327,$C$7:C327,C327,$I$7:I327,I327,$AI$7:AI327,"yes"),"")</f>
        <v/>
      </c>
      <c r="AH327" s="24">
        <f>IF(ISNUMBER(H327),"yes","no")</f>
        <v/>
      </c>
      <c r="AI327" s="24">
        <f>IF(ISNUMBER(I327),"yes","no")</f>
        <v/>
      </c>
      <c r="AJ327" s="101" t="n">
        <v>46199</v>
      </c>
      <c r="AK327" s="24" t="n"/>
    </row>
    <row r="328" ht="42" customHeight="1">
      <c r="A328" s="2" t="n"/>
      <c r="B328" s="27" t="inlineStr">
        <is>
          <t>PE dough box 600 × 400 × 75 mm</t>
        </is>
      </c>
      <c r="C328" s="27" t="inlineStr">
        <is>
          <t>Hungary</t>
        </is>
      </c>
      <c r="D328" s="27" t="inlineStr">
        <is>
          <t>Hunnia</t>
        </is>
      </c>
      <c r="E328" s="27" t="inlineStr">
        <is>
          <t>PE Contacto Box 600 x 400 x 75 mm</t>
        </is>
      </c>
      <c r="F328" s="102" t="n">
        <v>5105</v>
      </c>
      <c r="G328" s="27" t="inlineStr">
        <is>
          <t>HUF</t>
        </is>
      </c>
      <c r="H328" s="102">
        <f>IF(AND(AE328="yes",ISNUMBER(AD328)),AD328,"")</f>
        <v/>
      </c>
      <c r="I328" s="103">
        <f>IF(AND(AE328="yes",ISNUMBER(AD328),ISNUMBER(INDEX('Sources'!$G$7:$G$10,MATCH(AB328,'Sources'!$B$7:$B$10,0)))),AD328/INDEX('Sources'!$G$7:$G$10,MATCH(AB328,'Sources'!$B$7:$B$10,0)),"")</f>
        <v/>
      </c>
      <c r="J328" s="27" t="inlineStr">
        <is>
          <t>EXACT</t>
        </is>
      </c>
      <c r="K328" s="27" t="inlineStr">
        <is>
          <t>26.06.2026</t>
        </is>
      </c>
      <c r="L328" s="71" t="n"/>
      <c r="M328" s="27" t="inlineStr">
        <is>
          <t>Source sheet: Pizza Dough Boxes &amp; Lids</t>
        </is>
      </c>
      <c r="N328" s="28" t="inlineStr">
        <is>
          <t>https://hunniakristaly.hu/kereses?description=0&amp;search=+Pizza+keleszt%C5%91&amp;keyword=+Pizza+keleszt%C5%91</t>
        </is>
      </c>
      <c r="O328" s="27" t="n"/>
      <c r="P328" s="27" t="n"/>
      <c r="Q328" s="104" t="n"/>
      <c r="R328" s="27" t="n"/>
      <c r="S328" s="27" t="n"/>
      <c r="T328" s="27" t="n"/>
      <c r="U328" s="27" t="inlineStr">
        <is>
          <t>Dough-box dimensions and PE material agree.</t>
        </is>
      </c>
      <c r="V328" s="102" t="n"/>
      <c r="W328" s="102" t="n">
        <v>5105</v>
      </c>
      <c r="X328" s="27" t="inlineStr">
        <is>
          <t>YES Gastro Hungary Market Research.xlsx</t>
        </is>
      </c>
      <c r="Y328" s="27" t="inlineStr">
        <is>
          <t>Taha</t>
        </is>
      </c>
      <c r="Z328" s="27" t="n"/>
      <c r="AA328" s="27" t="inlineStr">
        <is>
          <t>Direct</t>
        </is>
      </c>
      <c r="AB328" s="27" t="inlineStr">
        <is>
          <t>HUF</t>
        </is>
      </c>
      <c r="AC328" s="27" t="inlineStr">
        <is>
          <t>yes</t>
        </is>
      </c>
      <c r="AD328" s="27">
        <f>IF(ISNUMBER(F328),IF(G328=AB328,F328,IF(AND(ISNUMBER(INDEX('Sources'!$G$7:$G$10,MATCH(G328,'Sources'!$B$7:$B$10,0))),ISNUMBER(INDEX('Sources'!$G$7:$G$10,MATCH(AB328,'Sources'!$B$7:$B$10,0)))),F328/INDEX('Sources'!$G$7:$G$10,MATCH(G328,'Sources'!$B$7:$B$10,0))*INDEX('Sources'!$G$7:$G$10,MATCH(AB328,'Sources'!$B$7:$B$10,0)),"")),"")</f>
        <v/>
      </c>
      <c r="AE328" s="27">
        <f>IF(AND(AC328="yes",ISNUMBER(F328),IF('Compare'!$H$5="All mapped",TRUE,IF('Compare'!$H$5="EXACT only",J328="EXACT",OR(J328="EXACT",J328="CLOSE")))),"yes","no")</f>
        <v/>
      </c>
      <c r="AF328" s="27">
        <f>IF(ISNUMBER(H328),COUNTIFS($B$7:$B$608,B328,$C$7:$C$608,C328,$H$7:$H$608,"&lt;"&amp;H328,$AH$7:$AH$608,"yes")+COUNTIFS($B$7:B328,B328,$C$7:C328,C328,$H$7:H328,H328,$AH$7:AH328,"yes"),"")</f>
        <v/>
      </c>
      <c r="AG328" s="27">
        <f>IF(ISNUMBER(I328),COUNTIFS($B$7:$B$608,B328,$C$7:$C$608,C328,$I$7:$I$608,"&lt;"&amp;I328,$AI$7:$AI$608,"yes")+COUNTIFS($B$7:B328,B328,$C$7:C328,C328,$I$7:I328,I328,$AI$7:AI328,"yes"),"")</f>
        <v/>
      </c>
      <c r="AH328" s="27">
        <f>IF(ISNUMBER(H328),"yes","no")</f>
        <v/>
      </c>
      <c r="AI328" s="27">
        <f>IF(ISNUMBER(I328),"yes","no")</f>
        <v/>
      </c>
      <c r="AJ328" s="105" t="n">
        <v>46199</v>
      </c>
      <c r="AK328" s="27" t="n"/>
    </row>
    <row r="329" ht="42" customHeight="1">
      <c r="A329" s="2" t="n"/>
      <c r="B329" s="24" t="inlineStr">
        <is>
          <t>PE dough box 600 × 400 × 75 mm</t>
        </is>
      </c>
      <c r="C329" s="24" t="inlineStr">
        <is>
          <t>Hungary</t>
        </is>
      </c>
      <c r="D329" s="24" t="inlineStr">
        <is>
          <t>Hunnia</t>
        </is>
      </c>
      <c r="E329" s="24" t="inlineStr">
        <is>
          <t>PE Box 600 x 400 x 75 mm</t>
        </is>
      </c>
      <c r="F329" s="98" t="n">
        <v>4518</v>
      </c>
      <c r="G329" s="24" t="inlineStr">
        <is>
          <t>HUF</t>
        </is>
      </c>
      <c r="H329" s="98">
        <f>IF(AND(AE329="yes",ISNUMBER(AD329)),AD329,"")</f>
        <v/>
      </c>
      <c r="I329" s="99">
        <f>IF(AND(AE329="yes",ISNUMBER(AD329),ISNUMBER(INDEX('Sources'!$G$7:$G$10,MATCH(AB329,'Sources'!$B$7:$B$10,0)))),AD329/INDEX('Sources'!$G$7:$G$10,MATCH(AB329,'Sources'!$B$7:$B$10,0)),"")</f>
        <v/>
      </c>
      <c r="J329" s="24" t="inlineStr">
        <is>
          <t>EXACT</t>
        </is>
      </c>
      <c r="K329" s="24" t="inlineStr">
        <is>
          <t>26.06.2026</t>
        </is>
      </c>
      <c r="L329" s="71" t="n"/>
      <c r="M329" s="24" t="inlineStr">
        <is>
          <t>Source sheet: Pizza Dough Boxes &amp; Lids</t>
        </is>
      </c>
      <c r="N329" s="25" t="inlineStr">
        <is>
          <t>https://hunniakristaly.hu/kereses?description=0&amp;search=+Pizza+keleszt%C5%91&amp;keyword=+Pizza+keleszt%C5%91</t>
        </is>
      </c>
      <c r="O329" s="24" t="n"/>
      <c r="P329" s="24" t="n"/>
      <c r="Q329" s="100" t="n"/>
      <c r="R329" s="24" t="n"/>
      <c r="S329" s="24" t="n"/>
      <c r="T329" s="24" t="n"/>
      <c r="U329" s="24" t="inlineStr">
        <is>
          <t>Dough-box dimensions and PE material agree.</t>
        </is>
      </c>
      <c r="V329" s="98" t="n"/>
      <c r="W329" s="98" t="n">
        <v>4518</v>
      </c>
      <c r="X329" s="24" t="inlineStr">
        <is>
          <t>YES Gastro Hungary Market Research.xlsx</t>
        </is>
      </c>
      <c r="Y329" s="24" t="inlineStr">
        <is>
          <t>Taha</t>
        </is>
      </c>
      <c r="Z329" s="24" t="n"/>
      <c r="AA329" s="24" t="inlineStr">
        <is>
          <t>Direct</t>
        </is>
      </c>
      <c r="AB329" s="24" t="inlineStr">
        <is>
          <t>HUF</t>
        </is>
      </c>
      <c r="AC329" s="24" t="inlineStr">
        <is>
          <t>yes</t>
        </is>
      </c>
      <c r="AD329" s="24">
        <f>IF(ISNUMBER(F329),IF(G329=AB329,F329,IF(AND(ISNUMBER(INDEX('Sources'!$G$7:$G$10,MATCH(G329,'Sources'!$B$7:$B$10,0))),ISNUMBER(INDEX('Sources'!$G$7:$G$10,MATCH(AB329,'Sources'!$B$7:$B$10,0)))),F329/INDEX('Sources'!$G$7:$G$10,MATCH(G329,'Sources'!$B$7:$B$10,0))*INDEX('Sources'!$G$7:$G$10,MATCH(AB329,'Sources'!$B$7:$B$10,0)),"")),"")</f>
        <v/>
      </c>
      <c r="AE329" s="24">
        <f>IF(AND(AC329="yes",ISNUMBER(F329),IF('Compare'!$H$5="All mapped",TRUE,IF('Compare'!$H$5="EXACT only",J329="EXACT",OR(J329="EXACT",J329="CLOSE")))),"yes","no")</f>
        <v/>
      </c>
      <c r="AF329" s="24">
        <f>IF(ISNUMBER(H329),COUNTIFS($B$7:$B$608,B329,$C$7:$C$608,C329,$H$7:$H$608,"&lt;"&amp;H329,$AH$7:$AH$608,"yes")+COUNTIFS($B$7:B329,B329,$C$7:C329,C329,$H$7:H329,H329,$AH$7:AH329,"yes"),"")</f>
        <v/>
      </c>
      <c r="AG329" s="24">
        <f>IF(ISNUMBER(I329),COUNTIFS($B$7:$B$608,B329,$C$7:$C$608,C329,$I$7:$I$608,"&lt;"&amp;I329,$AI$7:$AI$608,"yes")+COUNTIFS($B$7:B329,B329,$C$7:C329,C329,$I$7:I329,I329,$AI$7:AI329,"yes"),"")</f>
        <v/>
      </c>
      <c r="AH329" s="24">
        <f>IF(ISNUMBER(H329),"yes","no")</f>
        <v/>
      </c>
      <c r="AI329" s="24">
        <f>IF(ISNUMBER(I329),"yes","no")</f>
        <v/>
      </c>
      <c r="AJ329" s="101" t="n">
        <v>46199</v>
      </c>
      <c r="AK329" s="24" t="n"/>
    </row>
    <row r="330" ht="42" customHeight="1">
      <c r="A330" s="2" t="n"/>
      <c r="B330" s="27" t="inlineStr">
        <is>
          <t>PE dough box 600 × 400 × 75 mm</t>
        </is>
      </c>
      <c r="C330" s="27" t="inlineStr">
        <is>
          <t>Hungary</t>
        </is>
      </c>
      <c r="D330" s="27" t="inlineStr">
        <is>
          <t>Inox-Pláza</t>
        </is>
      </c>
      <c r="E330" s="27" t="inlineStr">
        <is>
          <t>PE Box 600 x 400 x 75 mm</t>
        </is>
      </c>
      <c r="F330" s="102" t="n">
        <v>4000</v>
      </c>
      <c r="G330" s="27" t="inlineStr">
        <is>
          <t>HUF</t>
        </is>
      </c>
      <c r="H330" s="102">
        <f>IF(AND(AE330="yes",ISNUMBER(AD330)),AD330,"")</f>
        <v/>
      </c>
      <c r="I330" s="103">
        <f>IF(AND(AE330="yes",ISNUMBER(AD330),ISNUMBER(INDEX('Sources'!$G$7:$G$10,MATCH(AB330,'Sources'!$B$7:$B$10,0)))),AD330/INDEX('Sources'!$G$7:$G$10,MATCH(AB330,'Sources'!$B$7:$B$10,0)),"")</f>
        <v/>
      </c>
      <c r="J330" s="27" t="inlineStr">
        <is>
          <t>EXACT</t>
        </is>
      </c>
      <c r="K330" s="27" t="inlineStr">
        <is>
          <t>26.06.2026</t>
        </is>
      </c>
      <c r="L330" s="71" t="n"/>
      <c r="M330" s="27" t="inlineStr">
        <is>
          <t>Source sheet: Pizza Dough Boxes &amp; Lids</t>
        </is>
      </c>
      <c r="N330" s="28" t="inlineStr">
        <is>
          <t>https://www.inoxplaza.hu/kereses?description=0&amp;keyword=Pizza+keleszt%C5%91</t>
        </is>
      </c>
      <c r="O330" s="27" t="n"/>
      <c r="P330" s="27" t="n"/>
      <c r="Q330" s="104" t="n"/>
      <c r="R330" s="27" t="n"/>
      <c r="S330" s="27" t="n"/>
      <c r="T330" s="27" t="n"/>
      <c r="U330" s="27" t="inlineStr">
        <is>
          <t>Dough-box dimensions and PE material agree.</t>
        </is>
      </c>
      <c r="V330" s="102" t="n"/>
      <c r="W330" s="102" t="n">
        <v>4000</v>
      </c>
      <c r="X330" s="27" t="inlineStr">
        <is>
          <t>YES Gastro Hungary Market Research.xlsx</t>
        </is>
      </c>
      <c r="Y330" s="27" t="inlineStr">
        <is>
          <t>Taha</t>
        </is>
      </c>
      <c r="Z330" s="27" t="n"/>
      <c r="AA330" s="27" t="inlineStr">
        <is>
          <t>Direct</t>
        </is>
      </c>
      <c r="AB330" s="27" t="inlineStr">
        <is>
          <t>HUF</t>
        </is>
      </c>
      <c r="AC330" s="27" t="inlineStr">
        <is>
          <t>yes</t>
        </is>
      </c>
      <c r="AD330" s="27">
        <f>IF(ISNUMBER(F330),IF(G330=AB330,F330,IF(AND(ISNUMBER(INDEX('Sources'!$G$7:$G$10,MATCH(G330,'Sources'!$B$7:$B$10,0))),ISNUMBER(INDEX('Sources'!$G$7:$G$10,MATCH(AB330,'Sources'!$B$7:$B$10,0)))),F330/INDEX('Sources'!$G$7:$G$10,MATCH(G330,'Sources'!$B$7:$B$10,0))*INDEX('Sources'!$G$7:$G$10,MATCH(AB330,'Sources'!$B$7:$B$10,0)),"")),"")</f>
        <v/>
      </c>
      <c r="AE330" s="27">
        <f>IF(AND(AC330="yes",ISNUMBER(F330),IF('Compare'!$H$5="All mapped",TRUE,IF('Compare'!$H$5="EXACT only",J330="EXACT",OR(J330="EXACT",J330="CLOSE")))),"yes","no")</f>
        <v/>
      </c>
      <c r="AF330" s="27">
        <f>IF(ISNUMBER(H330),COUNTIFS($B$7:$B$608,B330,$C$7:$C$608,C330,$H$7:$H$608,"&lt;"&amp;H330,$AH$7:$AH$608,"yes")+COUNTIFS($B$7:B330,B330,$C$7:C330,C330,$H$7:H330,H330,$AH$7:AH330,"yes"),"")</f>
        <v/>
      </c>
      <c r="AG330" s="27">
        <f>IF(ISNUMBER(I330),COUNTIFS($B$7:$B$608,B330,$C$7:$C$608,C330,$I$7:$I$608,"&lt;"&amp;I330,$AI$7:$AI$608,"yes")+COUNTIFS($B$7:B330,B330,$C$7:C330,C330,$I$7:I330,I330,$AI$7:AI330,"yes"),"")</f>
        <v/>
      </c>
      <c r="AH330" s="27">
        <f>IF(ISNUMBER(H330),"yes","no")</f>
        <v/>
      </c>
      <c r="AI330" s="27">
        <f>IF(ISNUMBER(I330),"yes","no")</f>
        <v/>
      </c>
      <c r="AJ330" s="105" t="n">
        <v>46199</v>
      </c>
      <c r="AK330" s="27" t="n"/>
    </row>
    <row r="331" ht="42" customHeight="1">
      <c r="A331" s="2" t="n"/>
      <c r="B331" s="24" t="inlineStr">
        <is>
          <t>PE dough box 600 × 400 × 75 mm</t>
        </is>
      </c>
      <c r="C331" s="24" t="inlineStr">
        <is>
          <t>Austria</t>
        </is>
      </c>
      <c r="D331" s="24" t="inlineStr">
        <is>
          <t>ALLPAX Österreich</t>
        </is>
      </c>
      <c r="E331" s="24" t="inlineStr">
        <is>
          <t>AmerBox Pizzaballenbox 60 x 40 x 7,5 cm</t>
        </is>
      </c>
      <c r="F331" s="98" t="n">
        <v>12.8</v>
      </c>
      <c r="G331" s="24" t="inlineStr">
        <is>
          <t>EUR</t>
        </is>
      </c>
      <c r="H331" s="98">
        <f>IF(AND(AE331="yes",ISNUMBER(AD331)),AD331,"")</f>
        <v/>
      </c>
      <c r="I331" s="99">
        <f>IF(AND(AE331="yes",ISNUMBER(AD331),ISNUMBER(INDEX('Sources'!$G$7:$G$10,MATCH(AB331,'Sources'!$B$7:$B$10,0)))),AD331/INDEX('Sources'!$G$7:$G$10,MATCH(AB331,'Sources'!$B$7:$B$10,0)),"")</f>
        <v/>
      </c>
      <c r="J331" s="24" t="inlineStr">
        <is>
          <t>EXACT</t>
        </is>
      </c>
      <c r="K331" s="24" t="inlineStr">
        <is>
          <t>2026-09-30</t>
        </is>
      </c>
      <c r="L331" s="71" t="n"/>
      <c r="M331" s="24" t="inlineStr">
        <is>
          <t>Polyethylene, 14 l</t>
        </is>
      </c>
      <c r="N331" s="25" t="inlineStr">
        <is>
          <t>https://www.allpax.at/product_info.php/info/AmerBox-Pizzaballenbox-60-x-40-x-7-5-cm.html</t>
        </is>
      </c>
      <c r="O331" s="24" t="inlineStr">
        <is>
          <t>AmerBox</t>
        </is>
      </c>
      <c r="P331" s="24" t="inlineStr">
        <is>
          <t>excl.</t>
        </is>
      </c>
      <c r="Q331" s="100" t="n"/>
      <c r="R331" s="24" t="n">
        <v>1</v>
      </c>
      <c r="S331" s="24" t="n"/>
      <c r="T331" s="24" t="inlineStr">
        <is>
          <t>EXACT</t>
        </is>
      </c>
      <c r="U331" s="24" t="inlineStr">
        <is>
          <t>Existing benchmark assignment and match quality retained.</t>
        </is>
      </c>
      <c r="V331" s="98" t="n">
        <v>12.8</v>
      </c>
      <c r="W331" s="98" t="n"/>
      <c r="X331" s="24" t="inlineStr">
        <is>
          <t>YES Gastro Austria Market Research.xlsx</t>
        </is>
      </c>
      <c r="Y331" s="24" t="n"/>
      <c r="Z331" s="24" t="n"/>
      <c r="AA331" s="24" t="n"/>
      <c r="AB331" s="24" t="inlineStr">
        <is>
          <t>EUR</t>
        </is>
      </c>
      <c r="AC331" s="24" t="inlineStr">
        <is>
          <t>yes</t>
        </is>
      </c>
      <c r="AD331" s="24">
        <f>IF(ISNUMBER(V331),V331,"")</f>
        <v/>
      </c>
      <c r="AE331" s="24">
        <f>IF(AND(AC331="yes",ISNUMBER(F331),IF('Compare'!$H$5="All mapped",TRUE,IF('Compare'!$H$5="EXACT only",J331="EXACT",OR(J331="EXACT",J331="CLOSE")))),"yes","no")</f>
        <v/>
      </c>
      <c r="AF331" s="24">
        <f>IF(ISNUMBER(H331),COUNTIFS($B$7:$B$608,B331,$C$7:$C$608,C331,$H$7:$H$608,"&lt;"&amp;H331,$AH$7:$AH$608,"yes")+COUNTIFS($B$7:B331,B331,$C$7:C331,C331,$H$7:H331,H331,$AH$7:AH331,"yes"),"")</f>
        <v/>
      </c>
      <c r="AG331" s="24">
        <f>IF(ISNUMBER(I331),COUNTIFS($B$7:$B$608,B331,$C$7:$C$608,C331,$I$7:$I$608,"&lt;"&amp;I331,$AI$7:$AI$608,"yes")+COUNTIFS($B$7:B331,B331,$C$7:C331,C331,$I$7:I331,I331,$AI$7:AI331,"yes"),"")</f>
        <v/>
      </c>
      <c r="AH331" s="24">
        <f>IF(ISNUMBER(H331),"yes","no")</f>
        <v/>
      </c>
      <c r="AI331" s="24">
        <f>IF(ISNUMBER(I331),"yes","no")</f>
        <v/>
      </c>
      <c r="AJ331" s="101" t="n">
        <v>46295</v>
      </c>
      <c r="AK331" s="24" t="n"/>
    </row>
    <row r="332" ht="42" customHeight="1">
      <c r="A332" s="2" t="n"/>
      <c r="B332" s="27" t="inlineStr">
        <is>
          <t>PE dough box 600 × 400 × 75 mm</t>
        </is>
      </c>
      <c r="C332" s="27" t="inlineStr">
        <is>
          <t>Austria</t>
        </is>
      </c>
      <c r="D332" s="27" t="inlineStr">
        <is>
          <t>GastroHero Österreich</t>
        </is>
      </c>
      <c r="E332" s="27" t="inlineStr">
        <is>
          <t>Pizzaballenbehälter, weiß Polyethylen, 60x40x7,5cm</t>
        </is>
      </c>
      <c r="F332" s="102" t="n">
        <v>33.59</v>
      </c>
      <c r="G332" s="27" t="inlineStr">
        <is>
          <t>EUR</t>
        </is>
      </c>
      <c r="H332" s="102">
        <f>IF(AND(AE332="yes",ISNUMBER(AD332)),AD332,"")</f>
        <v/>
      </c>
      <c r="I332" s="103">
        <f>IF(AND(AE332="yes",ISNUMBER(AD332),ISNUMBER(INDEX('Sources'!$G$7:$G$10,MATCH(AB332,'Sources'!$B$7:$B$10,0)))),AD332/INDEX('Sources'!$G$7:$G$10,MATCH(AB332,'Sources'!$B$7:$B$10,0)),"")</f>
        <v/>
      </c>
      <c r="J332" s="27" t="inlineStr">
        <is>
          <t>EXACT</t>
        </is>
      </c>
      <c r="K332" s="27" t="inlineStr">
        <is>
          <t>2026-09-30</t>
        </is>
      </c>
      <c r="L332" s="71" t="n"/>
      <c r="M332" s="27" t="inlineStr">
        <is>
          <t>Sale price (normal 38.09). APS 600x400x75 box (material not stated) 10.79, min. qty 2</t>
        </is>
      </c>
      <c r="N332" s="28" t="inlineStr">
        <is>
          <t>https://www.gastro-hero.at/products/pizzaballenbehaelter-weiss-polyethylen-60x40x75cm-2510600</t>
        </is>
      </c>
      <c r="O332" s="27" t="inlineStr">
        <is>
          <t>Contacto</t>
        </is>
      </c>
      <c r="P332" s="27" t="inlineStr">
        <is>
          <t>excl.</t>
        </is>
      </c>
      <c r="Q332" s="104" t="n"/>
      <c r="R332" s="27" t="n">
        <v>1</v>
      </c>
      <c r="S332" s="27" t="n"/>
      <c r="T332" s="27" t="inlineStr">
        <is>
          <t>EXACT</t>
        </is>
      </c>
      <c r="U332" s="27" t="inlineStr">
        <is>
          <t>Existing benchmark assignment and match quality retained.</t>
        </is>
      </c>
      <c r="V332" s="102" t="n">
        <v>33.59</v>
      </c>
      <c r="W332" s="102" t="n"/>
      <c r="X332" s="27" t="inlineStr">
        <is>
          <t>YES Gastro Austria Market Research.xlsx</t>
        </is>
      </c>
      <c r="Y332" s="27" t="n"/>
      <c r="Z332" s="27" t="n"/>
      <c r="AA332" s="27" t="n"/>
      <c r="AB332" s="27" t="inlineStr">
        <is>
          <t>EUR</t>
        </is>
      </c>
      <c r="AC332" s="27" t="inlineStr">
        <is>
          <t>yes</t>
        </is>
      </c>
      <c r="AD332" s="27">
        <f>IF(ISNUMBER(V332),V332,"")</f>
        <v/>
      </c>
      <c r="AE332" s="27">
        <f>IF(AND(AC332="yes",ISNUMBER(F332),IF('Compare'!$H$5="All mapped",TRUE,IF('Compare'!$H$5="EXACT only",J332="EXACT",OR(J332="EXACT",J332="CLOSE")))),"yes","no")</f>
        <v/>
      </c>
      <c r="AF332" s="27">
        <f>IF(ISNUMBER(H332),COUNTIFS($B$7:$B$608,B332,$C$7:$C$608,C332,$H$7:$H$608,"&lt;"&amp;H332,$AH$7:$AH$608,"yes")+COUNTIFS($B$7:B332,B332,$C$7:C332,C332,$H$7:H332,H332,$AH$7:AH332,"yes"),"")</f>
        <v/>
      </c>
      <c r="AG332" s="27">
        <f>IF(ISNUMBER(I332),COUNTIFS($B$7:$B$608,B332,$C$7:$C$608,C332,$I$7:$I$608,"&lt;"&amp;I332,$AI$7:$AI$608,"yes")+COUNTIFS($B$7:B332,B332,$C$7:C332,C332,$I$7:I332,I332,$AI$7:AI332,"yes"),"")</f>
        <v/>
      </c>
      <c r="AH332" s="27">
        <f>IF(ISNUMBER(H332),"yes","no")</f>
        <v/>
      </c>
      <c r="AI332" s="27">
        <f>IF(ISNUMBER(I332),"yes","no")</f>
        <v/>
      </c>
      <c r="AJ332" s="105" t="n">
        <v>46295</v>
      </c>
      <c r="AK332" s="27" t="n"/>
    </row>
    <row r="333" ht="42" customHeight="1">
      <c r="A333" s="2" t="n"/>
      <c r="B333" s="24" t="inlineStr">
        <is>
          <t>PE dough box 600 × 400 × 75 mm</t>
        </is>
      </c>
      <c r="C333" s="24" t="inlineStr">
        <is>
          <t>Austria</t>
        </is>
      </c>
      <c r="D333" s="24" t="inlineStr">
        <is>
          <t>Gastrodax</t>
        </is>
      </c>
      <c r="E333" s="24" t="inlineStr">
        <is>
          <t>Contacto Pizzaballenbehälter 60 cm / 40 cm (600x400x75 mm)</t>
        </is>
      </c>
      <c r="F333" s="98" t="n">
        <v>9.880000000000001</v>
      </c>
      <c r="G333" s="24" t="inlineStr">
        <is>
          <t>EUR</t>
        </is>
      </c>
      <c r="H333" s="98">
        <f>IF(AND(AE333="yes",ISNUMBER(AD333)),AD333,"")</f>
        <v/>
      </c>
      <c r="I333" s="99">
        <f>IF(AND(AE333="yes",ISNUMBER(AD333),ISNUMBER(INDEX('Sources'!$G$7:$G$10,MATCH(AB333,'Sources'!$B$7:$B$10,0)))),AD333/INDEX('Sources'!$G$7:$G$10,MATCH(AB333,'Sources'!$B$7:$B$10,0)),"")</f>
        <v/>
      </c>
      <c r="J333" s="24" t="inlineStr">
        <is>
          <t>CLOSE</t>
        </is>
      </c>
      <c r="K333" s="24" t="inlineStr">
        <is>
          <t>2026-09-30</t>
        </is>
      </c>
      <c r="L333" s="71" t="n"/>
      <c r="M333" s="24" t="inlineStr">
        <is>
          <t>Polypropylene instead of PE; sale price, normal 12.35. Hendi 600x400x75 (material not stated) 19.43</t>
        </is>
      </c>
      <c r="N333" s="25" t="inlineStr">
        <is>
          <t>https://www.gastrodax.de/contacto-pizzaballenbehaelter-60-cm-40-cm</t>
        </is>
      </c>
      <c r="O333" s="24" t="inlineStr">
        <is>
          <t>Contacto</t>
        </is>
      </c>
      <c r="P333" s="24" t="inlineStr">
        <is>
          <t>excl.</t>
        </is>
      </c>
      <c r="Q333" s="100" t="n"/>
      <c r="R333" s="24" t="n">
        <v>1</v>
      </c>
      <c r="S333" s="24" t="n"/>
      <c r="T333" s="24" t="inlineStr">
        <is>
          <t>CLOSE</t>
        </is>
      </c>
      <c r="U333" s="24" t="inlineStr">
        <is>
          <t>Existing benchmark assignment and match quality retained.</t>
        </is>
      </c>
      <c r="V333" s="98" t="n">
        <v>9.880000000000001</v>
      </c>
      <c r="W333" s="98" t="n"/>
      <c r="X333" s="24" t="inlineStr">
        <is>
          <t>YES Gastro Austria Market Research.xlsx</t>
        </is>
      </c>
      <c r="Y333" s="24" t="n"/>
      <c r="Z333" s="24" t="n"/>
      <c r="AA333" s="24" t="n"/>
      <c r="AB333" s="24" t="inlineStr">
        <is>
          <t>EUR</t>
        </is>
      </c>
      <c r="AC333" s="24" t="inlineStr">
        <is>
          <t>yes</t>
        </is>
      </c>
      <c r="AD333" s="24">
        <f>IF(ISNUMBER(V333),V333,"")</f>
        <v/>
      </c>
      <c r="AE333" s="24">
        <f>IF(AND(AC333="yes",ISNUMBER(F333),IF('Compare'!$H$5="All mapped",TRUE,IF('Compare'!$H$5="EXACT only",J333="EXACT",OR(J333="EXACT",J333="CLOSE")))),"yes","no")</f>
        <v/>
      </c>
      <c r="AF333" s="24">
        <f>IF(ISNUMBER(H333),COUNTIFS($B$7:$B$608,B333,$C$7:$C$608,C333,$H$7:$H$608,"&lt;"&amp;H333,$AH$7:$AH$608,"yes")+COUNTIFS($B$7:B333,B333,$C$7:C333,C333,$H$7:H333,H333,$AH$7:AH333,"yes"),"")</f>
        <v/>
      </c>
      <c r="AG333" s="24">
        <f>IF(ISNUMBER(I333),COUNTIFS($B$7:$B$608,B333,$C$7:$C$608,C333,$I$7:$I$608,"&lt;"&amp;I333,$AI$7:$AI$608,"yes")+COUNTIFS($B$7:B333,B333,$C$7:C333,C333,$I$7:I333,I333,$AI$7:AI333,"yes"),"")</f>
        <v/>
      </c>
      <c r="AH333" s="24">
        <f>IF(ISNUMBER(H333),"yes","no")</f>
        <v/>
      </c>
      <c r="AI333" s="24">
        <f>IF(ISNUMBER(I333),"yes","no")</f>
        <v/>
      </c>
      <c r="AJ333" s="101" t="n">
        <v>46295</v>
      </c>
      <c r="AK333" s="24" t="n"/>
    </row>
    <row r="334" ht="42" customHeight="1">
      <c r="A334" s="2" t="n"/>
      <c r="B334" s="27" t="inlineStr">
        <is>
          <t>PE dough box 600 × 400 × 75 mm</t>
        </is>
      </c>
      <c r="C334" s="27" t="inlineStr">
        <is>
          <t>Austria</t>
        </is>
      </c>
      <c r="D334" s="27" t="inlineStr">
        <is>
          <t>Gastroladen.at (Harotec GmbH)</t>
        </is>
      </c>
      <c r="E334" s="27" t="inlineStr">
        <is>
          <t>Gastronoble Stapelbarer Pizzateigbehälter 7,5cm (60x40)</t>
        </is>
      </c>
      <c r="F334" s="102" t="n">
        <v>31.9</v>
      </c>
      <c r="G334" s="27" t="inlineStr">
        <is>
          <t>EUR</t>
        </is>
      </c>
      <c r="H334" s="102">
        <f>IF(AND(AE334="yes",ISNUMBER(AD334)),AD334,"")</f>
        <v/>
      </c>
      <c r="I334" s="103">
        <f>IF(AND(AE334="yes",ISNUMBER(AD334),ISNUMBER(INDEX('Sources'!$G$7:$G$10,MATCH(AB334,'Sources'!$B$7:$B$10,0)))),AD334/INDEX('Sources'!$G$7:$G$10,MATCH(AB334,'Sources'!$B$7:$B$10,0)),"")</f>
        <v/>
      </c>
      <c r="J334" s="27" t="inlineStr">
        <is>
          <t>EXACT</t>
        </is>
      </c>
      <c r="K334" s="27" t="inlineStr">
        <is>
          <t>2026-09-30</t>
        </is>
      </c>
      <c r="L334" s="71" t="n"/>
      <c r="M334" s="27" t="inlineStr">
        <is>
          <t>PE</t>
        </is>
      </c>
      <c r="N334" s="28" t="inlineStr">
        <is>
          <t>https://www.gastroladen.at/x1090@GN-GN536/Gastronoble-Stapelbarer-Pizzateigbeh%C3%A4lter-7-5cm.htm</t>
        </is>
      </c>
      <c r="O334" s="27" t="inlineStr">
        <is>
          <t>Gastronoble</t>
        </is>
      </c>
      <c r="P334" s="27" t="inlineStr">
        <is>
          <t>incl.</t>
        </is>
      </c>
      <c r="Q334" s="104" t="n"/>
      <c r="R334" s="27" t="n">
        <v>1</v>
      </c>
      <c r="S334" s="27" t="n"/>
      <c r="T334" s="27" t="inlineStr">
        <is>
          <t>EXACT</t>
        </is>
      </c>
      <c r="U334" s="27" t="inlineStr">
        <is>
          <t>Existing benchmark assignment and match quality retained.</t>
        </is>
      </c>
      <c r="V334" s="102" t="n">
        <v>26.58</v>
      </c>
      <c r="W334" s="102" t="n"/>
      <c r="X334" s="27" t="inlineStr">
        <is>
          <t>YES Gastro Austria Market Research.xlsx</t>
        </is>
      </c>
      <c r="Y334" s="27" t="n"/>
      <c r="Z334" s="27" t="n"/>
      <c r="AA334" s="27" t="n"/>
      <c r="AB334" s="27" t="inlineStr">
        <is>
          <t>EUR</t>
        </is>
      </c>
      <c r="AC334" s="27" t="inlineStr">
        <is>
          <t>yes</t>
        </is>
      </c>
      <c r="AD334" s="27">
        <f>IF(ISNUMBER(V334),V334,"")</f>
        <v/>
      </c>
      <c r="AE334" s="27">
        <f>IF(AND(AC334="yes",ISNUMBER(F334),IF('Compare'!$H$5="All mapped",TRUE,IF('Compare'!$H$5="EXACT only",J334="EXACT",OR(J334="EXACT",J334="CLOSE")))),"yes","no")</f>
        <v/>
      </c>
      <c r="AF334" s="27">
        <f>IF(ISNUMBER(H334),COUNTIFS($B$7:$B$608,B334,$C$7:$C$608,C334,$H$7:$H$608,"&lt;"&amp;H334,$AH$7:$AH$608,"yes")+COUNTIFS($B$7:B334,B334,$C$7:C334,C334,$H$7:H334,H334,$AH$7:AH334,"yes"),"")</f>
        <v/>
      </c>
      <c r="AG334" s="27">
        <f>IF(ISNUMBER(I334),COUNTIFS($B$7:$B$608,B334,$C$7:$C$608,C334,$I$7:$I$608,"&lt;"&amp;I334,$AI$7:$AI$608,"yes")+COUNTIFS($B$7:B334,B334,$C$7:C334,C334,$I$7:I334,I334,$AI$7:AI334,"yes"),"")</f>
        <v/>
      </c>
      <c r="AH334" s="27">
        <f>IF(ISNUMBER(H334),"yes","no")</f>
        <v/>
      </c>
      <c r="AI334" s="27">
        <f>IF(ISNUMBER(I334),"yes","no")</f>
        <v/>
      </c>
      <c r="AJ334" s="105" t="n">
        <v>46295</v>
      </c>
      <c r="AK334" s="27" t="n"/>
    </row>
    <row r="335" ht="42" customHeight="1">
      <c r="A335" s="2" t="n"/>
      <c r="B335" s="24" t="inlineStr">
        <is>
          <t>PE dough box 600 × 400 × 75 mm</t>
        </is>
      </c>
      <c r="C335" s="24" t="inlineStr">
        <is>
          <t>Austria</t>
        </is>
      </c>
      <c r="D335" s="24" t="inlineStr">
        <is>
          <t>Intergastro (AT shop)</t>
        </is>
      </c>
      <c r="E335" s="24" t="inlineStr">
        <is>
          <t>Teigbehälter / Pizzaballenbehälter 14 ltr 600 x 400 mm H 75 mm (Polyethylen)</t>
        </is>
      </c>
      <c r="F335" s="98" t="n">
        <v>9.970000000000001</v>
      </c>
      <c r="G335" s="24" t="inlineStr">
        <is>
          <t>EUR</t>
        </is>
      </c>
      <c r="H335" s="98">
        <f>IF(AND(AE335="yes",ISNUMBER(AD335)),AD335,"")</f>
        <v/>
      </c>
      <c r="I335" s="99">
        <f>IF(AND(AE335="yes",ISNUMBER(AD335),ISNUMBER(INDEX('Sources'!$G$7:$G$10,MATCH(AB335,'Sources'!$B$7:$B$10,0)))),AD335/INDEX('Sources'!$G$7:$G$10,MATCH(AB335,'Sources'!$B$7:$B$10,0)),"")</f>
        <v/>
      </c>
      <c r="J335" s="24" t="inlineStr">
        <is>
          <t>EXACT</t>
        </is>
      </c>
      <c r="K335" s="24" t="inlineStr">
        <is>
          <t>2026-09-30</t>
        </is>
      </c>
      <c r="L335" s="71" t="n"/>
      <c r="M335" s="24" t="inlineStr">
        <is>
          <t>Gross 11.96</t>
        </is>
      </c>
      <c r="N335" s="25" t="inlineStr">
        <is>
          <t>https://www.intergastro.at/teigbehaelter-pizzaballenbehaelter-14-ltr-600-mm-x-400-mm-h-75-mm-985534</t>
        </is>
      </c>
      <c r="O335" s="24" t="inlineStr">
        <is>
          <t>APS</t>
        </is>
      </c>
      <c r="P335" s="24" t="inlineStr">
        <is>
          <t>excl.</t>
        </is>
      </c>
      <c r="Q335" s="100" t="n"/>
      <c r="R335" s="24" t="n">
        <v>1</v>
      </c>
      <c r="S335" s="24" t="n"/>
      <c r="T335" s="24" t="inlineStr">
        <is>
          <t>EXACT</t>
        </is>
      </c>
      <c r="U335" s="24" t="inlineStr">
        <is>
          <t>Existing benchmark assignment and match quality retained.</t>
        </is>
      </c>
      <c r="V335" s="98" t="n">
        <v>9.970000000000001</v>
      </c>
      <c r="W335" s="98" t="n"/>
      <c r="X335" s="24" t="inlineStr">
        <is>
          <t>YES Gastro Austria Market Research.xlsx</t>
        </is>
      </c>
      <c r="Y335" s="24" t="n"/>
      <c r="Z335" s="24" t="n"/>
      <c r="AA335" s="24" t="n"/>
      <c r="AB335" s="24" t="inlineStr">
        <is>
          <t>EUR</t>
        </is>
      </c>
      <c r="AC335" s="24" t="inlineStr">
        <is>
          <t>yes</t>
        </is>
      </c>
      <c r="AD335" s="24">
        <f>IF(ISNUMBER(V335),V335,"")</f>
        <v/>
      </c>
      <c r="AE335" s="24">
        <f>IF(AND(AC335="yes",ISNUMBER(F335),IF('Compare'!$H$5="All mapped",TRUE,IF('Compare'!$H$5="EXACT only",J335="EXACT",OR(J335="EXACT",J335="CLOSE")))),"yes","no")</f>
        <v/>
      </c>
      <c r="AF335" s="24">
        <f>IF(ISNUMBER(H335),COUNTIFS($B$7:$B$608,B335,$C$7:$C$608,C335,$H$7:$H$608,"&lt;"&amp;H335,$AH$7:$AH$608,"yes")+COUNTIFS($B$7:B335,B335,$C$7:C335,C335,$H$7:H335,H335,$AH$7:AH335,"yes"),"")</f>
        <v/>
      </c>
      <c r="AG335" s="24">
        <f>IF(ISNUMBER(I335),COUNTIFS($B$7:$B$608,B335,$C$7:$C$608,C335,$I$7:$I$608,"&lt;"&amp;I335,$AI$7:$AI$608,"yes")+COUNTIFS($B$7:B335,B335,$C$7:C335,C335,$I$7:I335,I335,$AI$7:AI335,"yes"),"")</f>
        <v/>
      </c>
      <c r="AH335" s="24">
        <f>IF(ISNUMBER(H335),"yes","no")</f>
        <v/>
      </c>
      <c r="AI335" s="24">
        <f>IF(ISNUMBER(I335),"yes","no")</f>
        <v/>
      </c>
      <c r="AJ335" s="101" t="n">
        <v>46295</v>
      </c>
      <c r="AK335" s="24" t="n"/>
    </row>
    <row r="336" ht="42" customHeight="1">
      <c r="A336" s="2" t="n"/>
      <c r="B336" s="27" t="inlineStr">
        <is>
          <t>PE dough box 600 × 400 × 75 mm</t>
        </is>
      </c>
      <c r="C336" s="27" t="inlineStr">
        <is>
          <t>Austria</t>
        </is>
      </c>
      <c r="D336" s="27" t="inlineStr">
        <is>
          <t>Jungheinrich PROFISHOP Austria</t>
        </is>
      </c>
      <c r="E336" s="27" t="inlineStr">
        <is>
          <t>Stalgast Pizzaballenbehälter aus Polypropylen 600 x 400 x 70 mm</t>
        </is>
      </c>
      <c r="F336" s="102" t="n">
        <v>34.9</v>
      </c>
      <c r="G336" s="27" t="inlineStr">
        <is>
          <t>EUR</t>
        </is>
      </c>
      <c r="H336" s="102">
        <f>IF(AND(AE336="yes",ISNUMBER(AD336)),AD336,"")</f>
        <v/>
      </c>
      <c r="I336" s="103">
        <f>IF(AND(AE336="yes",ISNUMBER(AD336),ISNUMBER(INDEX('Sources'!$G$7:$G$10,MATCH(AB336,'Sources'!$B$7:$B$10,0)))),AD336/INDEX('Sources'!$G$7:$G$10,MATCH(AB336,'Sources'!$B$7:$B$10,0)),"")</f>
        <v/>
      </c>
      <c r="J336" s="27" t="inlineStr">
        <is>
          <t>CLOSE</t>
        </is>
      </c>
      <c r="K336" s="27" t="inlineStr">
        <is>
          <t>2026-09-30</t>
        </is>
      </c>
      <c r="L336" s="71" t="n"/>
      <c r="M336" s="27" t="inlineStr">
        <is>
          <t>70 mm instead of 75 mm; PP per title (spec asks PE)</t>
        </is>
      </c>
      <c r="N336" s="28" t="inlineStr">
        <is>
          <t>https://www.jh-profishop.at/p/stalgast-pizzaballenbehaelter-aus-polypropylen-600-x-400-x-70-mm-bxtxh-929475-349073/</t>
        </is>
      </c>
      <c r="O336" s="27" t="inlineStr">
        <is>
          <t>Stalgast</t>
        </is>
      </c>
      <c r="P336" s="27" t="inlineStr">
        <is>
          <t>excl.</t>
        </is>
      </c>
      <c r="Q336" s="104" t="n"/>
      <c r="R336" s="27" t="n">
        <v>1</v>
      </c>
      <c r="S336" s="27" t="n"/>
      <c r="T336" s="27" t="inlineStr">
        <is>
          <t>CLOSE</t>
        </is>
      </c>
      <c r="U336" s="27" t="inlineStr">
        <is>
          <t>Existing benchmark assignment and match quality retained.</t>
        </is>
      </c>
      <c r="V336" s="102" t="n">
        <v>34.9</v>
      </c>
      <c r="W336" s="102" t="n"/>
      <c r="X336" s="27" t="inlineStr">
        <is>
          <t>YES Gastro Austria Market Research.xlsx</t>
        </is>
      </c>
      <c r="Y336" s="27" t="n"/>
      <c r="Z336" s="27" t="n"/>
      <c r="AA336" s="27" t="n"/>
      <c r="AB336" s="27" t="inlineStr">
        <is>
          <t>EUR</t>
        </is>
      </c>
      <c r="AC336" s="27" t="inlineStr">
        <is>
          <t>yes</t>
        </is>
      </c>
      <c r="AD336" s="27">
        <f>IF(ISNUMBER(V336),V336,"")</f>
        <v/>
      </c>
      <c r="AE336" s="27">
        <f>IF(AND(AC336="yes",ISNUMBER(F336),IF('Compare'!$H$5="All mapped",TRUE,IF('Compare'!$H$5="EXACT only",J336="EXACT",OR(J336="EXACT",J336="CLOSE")))),"yes","no")</f>
        <v/>
      </c>
      <c r="AF336" s="27">
        <f>IF(ISNUMBER(H336),COUNTIFS($B$7:$B$608,B336,$C$7:$C$608,C336,$H$7:$H$608,"&lt;"&amp;H336,$AH$7:$AH$608,"yes")+COUNTIFS($B$7:B336,B336,$C$7:C336,C336,$H$7:H336,H336,$AH$7:AH336,"yes"),"")</f>
        <v/>
      </c>
      <c r="AG336" s="27">
        <f>IF(ISNUMBER(I336),COUNTIFS($B$7:$B$608,B336,$C$7:$C$608,C336,$I$7:$I$608,"&lt;"&amp;I336,$AI$7:$AI$608,"yes")+COUNTIFS($B$7:B336,B336,$C$7:C336,C336,$I$7:I336,I336,$AI$7:AI336,"yes"),"")</f>
        <v/>
      </c>
      <c r="AH336" s="27">
        <f>IF(ISNUMBER(H336),"yes","no")</f>
        <v/>
      </c>
      <c r="AI336" s="27">
        <f>IF(ISNUMBER(I336),"yes","no")</f>
        <v/>
      </c>
      <c r="AJ336" s="105" t="n">
        <v>46295</v>
      </c>
      <c r="AK336" s="27" t="n"/>
    </row>
    <row r="337" ht="42" customHeight="1">
      <c r="A337" s="2" t="n"/>
      <c r="B337" s="24" t="inlineStr">
        <is>
          <t>PE dough box 600 × 400 × 75 mm</t>
        </is>
      </c>
      <c r="C337" s="24" t="inlineStr">
        <is>
          <t>Austria</t>
        </is>
      </c>
      <c r="D337" s="24" t="inlineStr">
        <is>
          <t>shopbuero.com</t>
        </is>
      </c>
      <c r="E337" s="24" t="inlineStr">
        <is>
          <t>Teig- und Pizzaballenbehälter - weiß - 60,0 x 40,0 x 7,5 cm - Inhalt 14 l - Polyethylen</t>
        </is>
      </c>
      <c r="F337" s="98" t="n">
        <v>8.800000000000001</v>
      </c>
      <c r="G337" s="24" t="inlineStr">
        <is>
          <t>EUR</t>
        </is>
      </c>
      <c r="H337" s="98">
        <f>IF(AND(AE337="yes",ISNUMBER(AD337)),AD337,"")</f>
        <v/>
      </c>
      <c r="I337" s="99">
        <f>IF(AND(AE337="yes",ISNUMBER(AD337),ISNUMBER(INDEX('Sources'!$G$7:$G$10,MATCH(AB337,'Sources'!$B$7:$B$10,0)))),AD337/INDEX('Sources'!$G$7:$G$10,MATCH(AB337,'Sources'!$B$7:$B$10,0)),"")</f>
        <v/>
      </c>
      <c r="J337" s="24" t="inlineStr">
        <is>
          <t>EXACT</t>
        </is>
      </c>
      <c r="K337" s="24" t="inlineStr">
        <is>
          <t>2026-09-30</t>
        </is>
      </c>
      <c r="L337" s="71" t="n"/>
      <c r="M337" s="24" t="inlineStr">
        <is>
          <t>Regular price 12.00; Schneider 202170-C same spec 9.50</t>
        </is>
      </c>
      <c r="N337" s="25" t="inlineStr">
        <is>
          <t>https://shopbuero.com/teig-und-pizzaballenbehaelter-weiss-60-0-x-40-0-x-7-5-cm-inhalt-14-l-polyethylen/82440-B</t>
        </is>
      </c>
      <c r="O337" s="24" t="inlineStr">
        <is>
          <t>APS</t>
        </is>
      </c>
      <c r="P337" s="24" t="inlineStr">
        <is>
          <t>excl.</t>
        </is>
      </c>
      <c r="Q337" s="100" t="n"/>
      <c r="R337" s="24" t="n">
        <v>1</v>
      </c>
      <c r="S337" s="24" t="n"/>
      <c r="T337" s="24" t="inlineStr">
        <is>
          <t>EXACT</t>
        </is>
      </c>
      <c r="U337" s="24" t="inlineStr">
        <is>
          <t>Existing benchmark assignment and match quality retained.</t>
        </is>
      </c>
      <c r="V337" s="98" t="n">
        <v>8.800000000000001</v>
      </c>
      <c r="W337" s="98" t="n"/>
      <c r="X337" s="24" t="inlineStr">
        <is>
          <t>YES Gastro Austria Market Research.xlsx</t>
        </is>
      </c>
      <c r="Y337" s="24" t="n"/>
      <c r="Z337" s="24" t="n"/>
      <c r="AA337" s="24" t="n"/>
      <c r="AB337" s="24" t="inlineStr">
        <is>
          <t>EUR</t>
        </is>
      </c>
      <c r="AC337" s="24" t="inlineStr">
        <is>
          <t>yes</t>
        </is>
      </c>
      <c r="AD337" s="24">
        <f>IF(ISNUMBER(V337),V337,"")</f>
        <v/>
      </c>
      <c r="AE337" s="24">
        <f>IF(AND(AC337="yes",ISNUMBER(F337),IF('Compare'!$H$5="All mapped",TRUE,IF('Compare'!$H$5="EXACT only",J337="EXACT",OR(J337="EXACT",J337="CLOSE")))),"yes","no")</f>
        <v/>
      </c>
      <c r="AF337" s="24">
        <f>IF(ISNUMBER(H337),COUNTIFS($B$7:$B$608,B337,$C$7:$C$608,C337,$H$7:$H$608,"&lt;"&amp;H337,$AH$7:$AH$608,"yes")+COUNTIFS($B$7:B337,B337,$C$7:C337,C337,$H$7:H337,H337,$AH$7:AH337,"yes"),"")</f>
        <v/>
      </c>
      <c r="AG337" s="24">
        <f>IF(ISNUMBER(I337),COUNTIFS($B$7:$B$608,B337,$C$7:$C$608,C337,$I$7:$I$608,"&lt;"&amp;I337,$AI$7:$AI$608,"yes")+COUNTIFS($B$7:B337,B337,$C$7:C337,C337,$I$7:I337,I337,$AI$7:AI337,"yes"),"")</f>
        <v/>
      </c>
      <c r="AH337" s="24">
        <f>IF(ISNUMBER(H337),"yes","no")</f>
        <v/>
      </c>
      <c r="AI337" s="24">
        <f>IF(ISNUMBER(I337),"yes","no")</f>
        <v/>
      </c>
      <c r="AJ337" s="101" t="n">
        <v>46295</v>
      </c>
      <c r="AK337" s="24" t="n"/>
    </row>
    <row r="338" ht="42" customHeight="1">
      <c r="A338" s="2" t="n"/>
      <c r="B338" s="27" t="inlineStr">
        <is>
          <t>PE dough box 600 × 400 × 75 mm</t>
        </is>
      </c>
      <c r="C338" s="27" t="inlineStr">
        <is>
          <t>Germany</t>
        </is>
      </c>
      <c r="D338" s="27" t="inlineStr">
        <is>
          <t>ALLPAX</t>
        </is>
      </c>
      <c r="E338" s="27" t="inlineStr">
        <is>
          <t>AmerBox Pizzaballenbox 60 x 40 x 7,5 cm</t>
        </is>
      </c>
      <c r="F338" s="102" t="n">
        <v>12.8</v>
      </c>
      <c r="G338" s="27" t="inlineStr">
        <is>
          <t>EUR</t>
        </is>
      </c>
      <c r="H338" s="102">
        <f>IF(AND(AE338="yes",ISNUMBER(AD338)),AD338,"")</f>
        <v/>
      </c>
      <c r="I338" s="103">
        <f>IF(AND(AE338="yes",ISNUMBER(AD338),ISNUMBER(INDEX('Sources'!$G$7:$G$10,MATCH(AB338,'Sources'!$B$7:$B$10,0)))),AD338/INDEX('Sources'!$G$7:$G$10,MATCH(AB338,'Sources'!$B$7:$B$10,0)),"")</f>
        <v/>
      </c>
      <c r="J338" s="27" t="inlineStr">
        <is>
          <t>EXACT</t>
        </is>
      </c>
      <c r="K338" s="27" t="inlineStr">
        <is>
          <t>2026-09-30</t>
        </is>
      </c>
      <c r="L338" s="71" t="n"/>
      <c r="M338" s="27" t="inlineStr">
        <is>
          <t>Polyethylene, 14 l</t>
        </is>
      </c>
      <c r="N338" s="28" t="inlineStr">
        <is>
          <t>https://www.allpax.de/product_info.php/info/AmerBox-Pizzaballenbox-60-x-40-x-7-5-cm.html</t>
        </is>
      </c>
      <c r="O338" s="27" t="inlineStr">
        <is>
          <t>AmerBox</t>
        </is>
      </c>
      <c r="P338" s="27" t="inlineStr">
        <is>
          <t>excl.</t>
        </is>
      </c>
      <c r="Q338" s="104" t="n"/>
      <c r="R338" s="27" t="n">
        <v>1</v>
      </c>
      <c r="S338" s="27" t="n"/>
      <c r="T338" s="27" t="inlineStr">
        <is>
          <t>EXACT</t>
        </is>
      </c>
      <c r="U338" s="27" t="inlineStr">
        <is>
          <t>Existing benchmark assignment and match quality retained.</t>
        </is>
      </c>
      <c r="V338" s="102" t="n">
        <v>12.8</v>
      </c>
      <c r="W338" s="102" t="n"/>
      <c r="X338" s="27" t="inlineStr">
        <is>
          <t>YES Gastro Germany Market Research.xlsx</t>
        </is>
      </c>
      <c r="Y338" s="27" t="n"/>
      <c r="Z338" s="27" t="n"/>
      <c r="AA338" s="27" t="n"/>
      <c r="AB338" s="27" t="inlineStr">
        <is>
          <t>EUR</t>
        </is>
      </c>
      <c r="AC338" s="27" t="inlineStr">
        <is>
          <t>yes</t>
        </is>
      </c>
      <c r="AD338" s="27">
        <f>IF(ISNUMBER(V338),V338,"")</f>
        <v/>
      </c>
      <c r="AE338" s="27">
        <f>IF(AND(AC338="yes",ISNUMBER(F338),IF('Compare'!$H$5="All mapped",TRUE,IF('Compare'!$H$5="EXACT only",J338="EXACT",OR(J338="EXACT",J338="CLOSE")))),"yes","no")</f>
        <v/>
      </c>
      <c r="AF338" s="27">
        <f>IF(ISNUMBER(H338),COUNTIFS($B$7:$B$608,B338,$C$7:$C$608,C338,$H$7:$H$608,"&lt;"&amp;H338,$AH$7:$AH$608,"yes")+COUNTIFS($B$7:B338,B338,$C$7:C338,C338,$H$7:H338,H338,$AH$7:AH338,"yes"),"")</f>
        <v/>
      </c>
      <c r="AG338" s="27">
        <f>IF(ISNUMBER(I338),COUNTIFS($B$7:$B$608,B338,$C$7:$C$608,C338,$I$7:$I$608,"&lt;"&amp;I338,$AI$7:$AI$608,"yes")+COUNTIFS($B$7:B338,B338,$C$7:C338,C338,$I$7:I338,I338,$AI$7:AI338,"yes"),"")</f>
        <v/>
      </c>
      <c r="AH338" s="27">
        <f>IF(ISNUMBER(H338),"yes","no")</f>
        <v/>
      </c>
      <c r="AI338" s="27">
        <f>IF(ISNUMBER(I338),"yes","no")</f>
        <v/>
      </c>
      <c r="AJ338" s="105" t="n">
        <v>46295</v>
      </c>
      <c r="AK338" s="27" t="n"/>
    </row>
    <row r="339" ht="42" customHeight="1">
      <c r="A339" s="2" t="n"/>
      <c r="B339" s="24" t="inlineStr">
        <is>
          <t>PE dough box 600 × 400 × 75 mm</t>
        </is>
      </c>
      <c r="C339" s="24" t="inlineStr">
        <is>
          <t>Germany</t>
        </is>
      </c>
      <c r="D339" s="24" t="inlineStr">
        <is>
          <t>GGM Gastro</t>
        </is>
      </c>
      <c r="E339" s="24" t="inlineStr">
        <is>
          <t>(8 Stück) Teigbehälter - EN 600x400 - Weiß (70 mm)</t>
        </is>
      </c>
      <c r="F339" s="98" t="n">
        <v>74.98999999999999</v>
      </c>
      <c r="G339" s="24" t="inlineStr">
        <is>
          <t>EUR</t>
        </is>
      </c>
      <c r="H339" s="98">
        <f>IF(AND(AE339="yes",ISNUMBER(AD339)),AD339,"")</f>
        <v/>
      </c>
      <c r="I339" s="99">
        <f>IF(AND(AE339="yes",ISNUMBER(AD339),ISNUMBER(INDEX('Sources'!$G$7:$G$10,MATCH(AB339,'Sources'!$B$7:$B$10,0)))),AD339/INDEX('Sources'!$G$7:$G$10,MATCH(AB339,'Sources'!$B$7:$B$10,0)),"")</f>
        <v/>
      </c>
      <c r="J339" s="24" t="inlineStr">
        <is>
          <t>CLOSE</t>
        </is>
      </c>
      <c r="K339" s="24" t="inlineStr">
        <is>
          <t>2026-09-30</t>
        </is>
      </c>
      <c r="L339" s="71" t="n"/>
      <c r="M339" s="24" t="inlineStr">
        <is>
          <t>70 mm high, polypropylene (vs 75 mm PE)</t>
        </is>
      </c>
      <c r="N339" s="25" t="inlineStr">
        <is>
          <t>https://www.ggmgastro.com/de-de-eur/8-stueck-teigbehaelter-en-600x400-weiss-tbp647</t>
        </is>
      </c>
      <c r="O339" s="24" t="inlineStr">
        <is>
          <t>GGM</t>
        </is>
      </c>
      <c r="P339" s="24" t="inlineStr">
        <is>
          <t>excl.</t>
        </is>
      </c>
      <c r="Q339" s="100" t="n"/>
      <c r="R339" s="24" t="n">
        <v>8</v>
      </c>
      <c r="S339" s="24" t="inlineStr">
        <is>
          <t>set of 8</t>
        </is>
      </c>
      <c r="T339" s="24" t="inlineStr">
        <is>
          <t>CLOSE</t>
        </is>
      </c>
      <c r="U339" s="24" t="inlineStr">
        <is>
          <t>Existing benchmark assignment and match quality retained.</t>
        </is>
      </c>
      <c r="V339" s="98" t="n">
        <v>9.369999999999999</v>
      </c>
      <c r="W339" s="98" t="n"/>
      <c r="X339" s="24" t="inlineStr">
        <is>
          <t>YES Gastro Germany Market Research.xlsx</t>
        </is>
      </c>
      <c r="Y339" s="24" t="n"/>
      <c r="Z339" s="24" t="n"/>
      <c r="AA339" s="24" t="n"/>
      <c r="AB339" s="24" t="inlineStr">
        <is>
          <t>EUR</t>
        </is>
      </c>
      <c r="AC339" s="24" t="inlineStr">
        <is>
          <t>yes</t>
        </is>
      </c>
      <c r="AD339" s="24">
        <f>IF(ISNUMBER(V339),V339,"")</f>
        <v/>
      </c>
      <c r="AE339" s="24">
        <f>IF(AND(AC339="yes",ISNUMBER(F339),IF('Compare'!$H$5="All mapped",TRUE,IF('Compare'!$H$5="EXACT only",J339="EXACT",OR(J339="EXACT",J339="CLOSE")))),"yes","no")</f>
        <v/>
      </c>
      <c r="AF339" s="24">
        <f>IF(ISNUMBER(H339),COUNTIFS($B$7:$B$608,B339,$C$7:$C$608,C339,$H$7:$H$608,"&lt;"&amp;H339,$AH$7:$AH$608,"yes")+COUNTIFS($B$7:B339,B339,$C$7:C339,C339,$H$7:H339,H339,$AH$7:AH339,"yes"),"")</f>
        <v/>
      </c>
      <c r="AG339" s="24">
        <f>IF(ISNUMBER(I339),COUNTIFS($B$7:$B$608,B339,$C$7:$C$608,C339,$I$7:$I$608,"&lt;"&amp;I339,$AI$7:$AI$608,"yes")+COUNTIFS($B$7:B339,B339,$C$7:C339,C339,$I$7:I339,I339,$AI$7:AI339,"yes"),"")</f>
        <v/>
      </c>
      <c r="AH339" s="24">
        <f>IF(ISNUMBER(H339),"yes","no")</f>
        <v/>
      </c>
      <c r="AI339" s="24">
        <f>IF(ISNUMBER(I339),"yes","no")</f>
        <v/>
      </c>
      <c r="AJ339" s="101" t="n">
        <v>46295</v>
      </c>
      <c r="AK339" s="24" t="n"/>
    </row>
    <row r="340" ht="42" customHeight="1">
      <c r="A340" s="2" t="n"/>
      <c r="B340" s="27" t="inlineStr">
        <is>
          <t>PE dough box 600 × 400 × 75 mm</t>
        </is>
      </c>
      <c r="C340" s="27" t="inlineStr">
        <is>
          <t>Germany</t>
        </is>
      </c>
      <c r="D340" s="27" t="inlineStr">
        <is>
          <t>GastroHero</t>
        </is>
      </c>
      <c r="E340" s="27" t="inlineStr">
        <is>
          <t>Pizzaballenbehälter, weiß Polyethylen, 60x40x7,5cm</t>
        </is>
      </c>
      <c r="F340" s="102" t="n">
        <v>9.99</v>
      </c>
      <c r="G340" s="27" t="inlineStr">
        <is>
          <t>EUR</t>
        </is>
      </c>
      <c r="H340" s="102">
        <f>IF(AND(AE340="yes",ISNUMBER(AD340)),AD340,"")</f>
        <v/>
      </c>
      <c r="I340" s="103">
        <f>IF(AND(AE340="yes",ISNUMBER(AD340),ISNUMBER(INDEX('Sources'!$G$7:$G$10,MATCH(AB340,'Sources'!$B$7:$B$10,0)))),AD340/INDEX('Sources'!$G$7:$G$10,MATCH(AB340,'Sources'!$B$7:$B$10,0)),"")</f>
        <v/>
      </c>
      <c r="J340" s="27" t="inlineStr">
        <is>
          <t>EXACT</t>
        </is>
      </c>
      <c r="K340" s="27" t="inlineStr">
        <is>
          <t>2026-09-30</t>
        </is>
      </c>
      <c r="L340" s="71" t="n"/>
      <c r="M340" s="27" t="n"/>
      <c r="N340" s="28" t="inlineStr">
        <is>
          <t>https://www.gastro-hero.de/products/pizzaballenbehaelter-weiss-polyethylen-60x40x75cm-2510600</t>
        </is>
      </c>
      <c r="O340" s="27" t="inlineStr">
        <is>
          <t>Contacto</t>
        </is>
      </c>
      <c r="P340" s="27" t="inlineStr">
        <is>
          <t>excl.</t>
        </is>
      </c>
      <c r="Q340" s="104" t="n"/>
      <c r="R340" s="27" t="n">
        <v>1</v>
      </c>
      <c r="S340" s="27" t="n"/>
      <c r="T340" s="27" t="inlineStr">
        <is>
          <t>EXACT</t>
        </is>
      </c>
      <c r="U340" s="27" t="inlineStr">
        <is>
          <t>Existing benchmark assignment and match quality retained.</t>
        </is>
      </c>
      <c r="V340" s="102" t="n">
        <v>9.99</v>
      </c>
      <c r="W340" s="102" t="n"/>
      <c r="X340" s="27" t="inlineStr">
        <is>
          <t>YES Gastro Germany Market Research.xlsx</t>
        </is>
      </c>
      <c r="Y340" s="27" t="n"/>
      <c r="Z340" s="27" t="n"/>
      <c r="AA340" s="27" t="n"/>
      <c r="AB340" s="27" t="inlineStr">
        <is>
          <t>EUR</t>
        </is>
      </c>
      <c r="AC340" s="27" t="inlineStr">
        <is>
          <t>yes</t>
        </is>
      </c>
      <c r="AD340" s="27">
        <f>IF(ISNUMBER(V340),V340,"")</f>
        <v/>
      </c>
      <c r="AE340" s="27">
        <f>IF(AND(AC340="yes",ISNUMBER(F340),IF('Compare'!$H$5="All mapped",TRUE,IF('Compare'!$H$5="EXACT only",J340="EXACT",OR(J340="EXACT",J340="CLOSE")))),"yes","no")</f>
        <v/>
      </c>
      <c r="AF340" s="27">
        <f>IF(ISNUMBER(H340),COUNTIFS($B$7:$B$608,B340,$C$7:$C$608,C340,$H$7:$H$608,"&lt;"&amp;H340,$AH$7:$AH$608,"yes")+COUNTIFS($B$7:B340,B340,$C$7:C340,C340,$H$7:H340,H340,$AH$7:AH340,"yes"),"")</f>
        <v/>
      </c>
      <c r="AG340" s="27">
        <f>IF(ISNUMBER(I340),COUNTIFS($B$7:$B$608,B340,$C$7:$C$608,C340,$I$7:$I$608,"&lt;"&amp;I340,$AI$7:$AI$608,"yes")+COUNTIFS($B$7:B340,B340,$C$7:C340,C340,$I$7:I340,I340,$AI$7:AI340,"yes"),"")</f>
        <v/>
      </c>
      <c r="AH340" s="27">
        <f>IF(ISNUMBER(H340),"yes","no")</f>
        <v/>
      </c>
      <c r="AI340" s="27">
        <f>IF(ISNUMBER(I340),"yes","no")</f>
        <v/>
      </c>
      <c r="AJ340" s="105" t="n">
        <v>46295</v>
      </c>
      <c r="AK340" s="27" t="n"/>
    </row>
    <row r="341" ht="42" customHeight="1">
      <c r="A341" s="2" t="n"/>
      <c r="B341" s="24" t="inlineStr">
        <is>
          <t>PE dough box 600 × 400 × 75 mm</t>
        </is>
      </c>
      <c r="C341" s="24" t="inlineStr">
        <is>
          <t>Germany</t>
        </is>
      </c>
      <c r="D341" s="24" t="inlineStr">
        <is>
          <t>Gastrodax [substitute]</t>
        </is>
      </c>
      <c r="E341" s="24" t="inlineStr">
        <is>
          <t>Contacto Pizzaballenbehälter 60 cm / 40 cm (600x400x75 mm)</t>
        </is>
      </c>
      <c r="F341" s="98" t="n">
        <v>9.880000000000001</v>
      </c>
      <c r="G341" s="24" t="inlineStr">
        <is>
          <t>EUR</t>
        </is>
      </c>
      <c r="H341" s="98">
        <f>IF(AND(AE341="yes",ISNUMBER(AD341)),AD341,"")</f>
        <v/>
      </c>
      <c r="I341" s="99">
        <f>IF(AND(AE341="yes",ISNUMBER(AD341),ISNUMBER(INDEX('Sources'!$G$7:$G$10,MATCH(AB341,'Sources'!$B$7:$B$10,0)))),AD341/INDEX('Sources'!$G$7:$G$10,MATCH(AB341,'Sources'!$B$7:$B$10,0)),"")</f>
        <v/>
      </c>
      <c r="J341" s="24" t="inlineStr">
        <is>
          <t>CLOSE</t>
        </is>
      </c>
      <c r="K341" s="24" t="inlineStr">
        <is>
          <t>2026-09-30</t>
        </is>
      </c>
      <c r="L341" s="71" t="n"/>
      <c r="M341" s="24" t="inlineStr">
        <is>
          <t>Polypropylene instead of PE; sale price, normal 12.35. Hendi 600x400x75 (material not stated) 19.43</t>
        </is>
      </c>
      <c r="N341" s="25" t="inlineStr">
        <is>
          <t>https://www.gastrodax.de/contacto-pizzaballenbehaelter-60-cm-40-cm</t>
        </is>
      </c>
      <c r="O341" s="24" t="inlineStr">
        <is>
          <t>Contacto</t>
        </is>
      </c>
      <c r="P341" s="24" t="inlineStr">
        <is>
          <t>excl.</t>
        </is>
      </c>
      <c r="Q341" s="100" t="n"/>
      <c r="R341" s="24" t="n">
        <v>1</v>
      </c>
      <c r="S341" s="24" t="n"/>
      <c r="T341" s="24" t="inlineStr">
        <is>
          <t>CLOSE</t>
        </is>
      </c>
      <c r="U341" s="24" t="inlineStr">
        <is>
          <t>Existing benchmark assignment and match quality retained.</t>
        </is>
      </c>
      <c r="V341" s="98" t="n">
        <v>9.880000000000001</v>
      </c>
      <c r="W341" s="98" t="n"/>
      <c r="X341" s="24" t="inlineStr">
        <is>
          <t>YES Gastro Germany Market Research.xlsx</t>
        </is>
      </c>
      <c r="Y341" s="24" t="n"/>
      <c r="Z341" s="24" t="n"/>
      <c r="AA341" s="24" t="n"/>
      <c r="AB341" s="24" t="inlineStr">
        <is>
          <t>EUR</t>
        </is>
      </c>
      <c r="AC341" s="24" t="inlineStr">
        <is>
          <t>yes</t>
        </is>
      </c>
      <c r="AD341" s="24">
        <f>IF(ISNUMBER(V341),V341,"")</f>
        <v/>
      </c>
      <c r="AE341" s="24">
        <f>IF(AND(AC341="yes",ISNUMBER(F341),IF('Compare'!$H$5="All mapped",TRUE,IF('Compare'!$H$5="EXACT only",J341="EXACT",OR(J341="EXACT",J341="CLOSE")))),"yes","no")</f>
        <v/>
      </c>
      <c r="AF341" s="24">
        <f>IF(ISNUMBER(H341),COUNTIFS($B$7:$B$608,B341,$C$7:$C$608,C341,$H$7:$H$608,"&lt;"&amp;H341,$AH$7:$AH$608,"yes")+COUNTIFS($B$7:B341,B341,$C$7:C341,C341,$H$7:H341,H341,$AH$7:AH341,"yes"),"")</f>
        <v/>
      </c>
      <c r="AG341" s="24">
        <f>IF(ISNUMBER(I341),COUNTIFS($B$7:$B$608,B341,$C$7:$C$608,C341,$I$7:$I$608,"&lt;"&amp;I341,$AI$7:$AI$608,"yes")+COUNTIFS($B$7:B341,B341,$C$7:C341,C341,$I$7:I341,I341,$AI$7:AI341,"yes"),"")</f>
        <v/>
      </c>
      <c r="AH341" s="24">
        <f>IF(ISNUMBER(H341),"yes","no")</f>
        <v/>
      </c>
      <c r="AI341" s="24">
        <f>IF(ISNUMBER(I341),"yes","no")</f>
        <v/>
      </c>
      <c r="AJ341" s="101" t="n">
        <v>46295</v>
      </c>
      <c r="AK341" s="24" t="n"/>
    </row>
    <row r="342" ht="42" customHeight="1">
      <c r="A342" s="2" t="n"/>
      <c r="B342" s="27" t="inlineStr">
        <is>
          <t>PE dough box 600 × 400 × 75 mm</t>
        </is>
      </c>
      <c r="C342" s="27" t="inlineStr">
        <is>
          <t>Germany</t>
        </is>
      </c>
      <c r="D342" s="27" t="inlineStr">
        <is>
          <t>Gastroladen.de (Harotec GmbH) [substitute]</t>
        </is>
      </c>
      <c r="E342" s="27" t="inlineStr">
        <is>
          <t>Gastronoble Stapelbarer Pizzateigbehälter 7,5cm (60x40)</t>
        </is>
      </c>
      <c r="F342" s="102" t="n">
        <v>31.9</v>
      </c>
      <c r="G342" s="27" t="inlineStr">
        <is>
          <t>EUR</t>
        </is>
      </c>
      <c r="H342" s="102">
        <f>IF(AND(AE342="yes",ISNUMBER(AD342)),AD342,"")</f>
        <v/>
      </c>
      <c r="I342" s="103">
        <f>IF(AND(AE342="yes",ISNUMBER(AD342),ISNUMBER(INDEX('Sources'!$G$7:$G$10,MATCH(AB342,'Sources'!$B$7:$B$10,0)))),AD342/INDEX('Sources'!$G$7:$G$10,MATCH(AB342,'Sources'!$B$7:$B$10,0)),"")</f>
        <v/>
      </c>
      <c r="J342" s="27" t="inlineStr">
        <is>
          <t>EXACT</t>
        </is>
      </c>
      <c r="K342" s="27" t="inlineStr">
        <is>
          <t>2026-09-30</t>
        </is>
      </c>
      <c r="L342" s="71" t="n"/>
      <c r="M342" s="27" t="inlineStr">
        <is>
          <t>PE</t>
        </is>
      </c>
      <c r="N342" s="28" t="inlineStr">
        <is>
          <t>https://www.gastroladen.de/x1090@GN-GN536/Gastronoble-Stapelbarer-Pizzateigbeh%C3%A4lter-7-5cm.htm</t>
        </is>
      </c>
      <c r="O342" s="27" t="inlineStr">
        <is>
          <t>Gastronoble</t>
        </is>
      </c>
      <c r="P342" s="27" t="inlineStr">
        <is>
          <t>incl.</t>
        </is>
      </c>
      <c r="Q342" s="104" t="n"/>
      <c r="R342" s="27" t="n">
        <v>1</v>
      </c>
      <c r="S342" s="27" t="n"/>
      <c r="T342" s="27" t="inlineStr">
        <is>
          <t>EXACT</t>
        </is>
      </c>
      <c r="U342" s="27" t="inlineStr">
        <is>
          <t>Existing benchmark assignment and match quality retained.</t>
        </is>
      </c>
      <c r="V342" s="102" t="n">
        <v>26.81</v>
      </c>
      <c r="W342" s="102" t="n"/>
      <c r="X342" s="27" t="inlineStr">
        <is>
          <t>YES Gastro Germany Market Research.xlsx</t>
        </is>
      </c>
      <c r="Y342" s="27" t="n"/>
      <c r="Z342" s="27" t="n"/>
      <c r="AA342" s="27" t="n"/>
      <c r="AB342" s="27" t="inlineStr">
        <is>
          <t>EUR</t>
        </is>
      </c>
      <c r="AC342" s="27" t="inlineStr">
        <is>
          <t>yes</t>
        </is>
      </c>
      <c r="AD342" s="27">
        <f>IF(ISNUMBER(V342),V342,"")</f>
        <v/>
      </c>
      <c r="AE342" s="27">
        <f>IF(AND(AC342="yes",ISNUMBER(F342),IF('Compare'!$H$5="All mapped",TRUE,IF('Compare'!$H$5="EXACT only",J342="EXACT",OR(J342="EXACT",J342="CLOSE")))),"yes","no")</f>
        <v/>
      </c>
      <c r="AF342" s="27">
        <f>IF(ISNUMBER(H342),COUNTIFS($B$7:$B$608,B342,$C$7:$C$608,C342,$H$7:$H$608,"&lt;"&amp;H342,$AH$7:$AH$608,"yes")+COUNTIFS($B$7:B342,B342,$C$7:C342,C342,$H$7:H342,H342,$AH$7:AH342,"yes"),"")</f>
        <v/>
      </c>
      <c r="AG342" s="27">
        <f>IF(ISNUMBER(I342),COUNTIFS($B$7:$B$608,B342,$C$7:$C$608,C342,$I$7:$I$608,"&lt;"&amp;I342,$AI$7:$AI$608,"yes")+COUNTIFS($B$7:B342,B342,$C$7:C342,C342,$I$7:I342,I342,$AI$7:AI342,"yes"),"")</f>
        <v/>
      </c>
      <c r="AH342" s="27">
        <f>IF(ISNUMBER(H342),"yes","no")</f>
        <v/>
      </c>
      <c r="AI342" s="27">
        <f>IF(ISNUMBER(I342),"yes","no")</f>
        <v/>
      </c>
      <c r="AJ342" s="105" t="n">
        <v>46295</v>
      </c>
      <c r="AK342" s="27" t="n"/>
    </row>
    <row r="343" ht="42" customHeight="1">
      <c r="A343" s="2" t="n"/>
      <c r="B343" s="24" t="inlineStr">
        <is>
          <t>PE dough box 600 × 400 × 75 mm</t>
        </is>
      </c>
      <c r="C343" s="24" t="inlineStr">
        <is>
          <t>Germany</t>
        </is>
      </c>
      <c r="D343" s="24" t="inlineStr">
        <is>
          <t>Intergastro</t>
        </is>
      </c>
      <c r="E343" s="24" t="inlineStr">
        <is>
          <t>Teigbehälter / Pizzaballenbehälter 14 ltr 600 x 400 mm H 75 mm (Polyethylen)</t>
        </is>
      </c>
      <c r="F343" s="98" t="n">
        <v>9.970000000000001</v>
      </c>
      <c r="G343" s="24" t="inlineStr">
        <is>
          <t>EUR</t>
        </is>
      </c>
      <c r="H343" s="98">
        <f>IF(AND(AE343="yes",ISNUMBER(AD343)),AD343,"")</f>
        <v/>
      </c>
      <c r="I343" s="99">
        <f>IF(AND(AE343="yes",ISNUMBER(AD343),ISNUMBER(INDEX('Sources'!$G$7:$G$10,MATCH(AB343,'Sources'!$B$7:$B$10,0)))),AD343/INDEX('Sources'!$G$7:$G$10,MATCH(AB343,'Sources'!$B$7:$B$10,0)),"")</f>
        <v/>
      </c>
      <c r="J343" s="24" t="inlineStr">
        <is>
          <t>EXACT</t>
        </is>
      </c>
      <c r="K343" s="24" t="inlineStr">
        <is>
          <t>2026-09-30</t>
        </is>
      </c>
      <c r="L343" s="71" t="n"/>
      <c r="M343" s="24" t="n"/>
      <c r="N343" s="25" t="inlineStr">
        <is>
          <t>https://www.intergastro.de/teigbehaelter-pizzaballenbehaelter-14-ltr-600-mm-x-400-mm-h-75-mm-985534</t>
        </is>
      </c>
      <c r="O343" s="24" t="inlineStr">
        <is>
          <t>APS</t>
        </is>
      </c>
      <c r="P343" s="24" t="inlineStr">
        <is>
          <t>excl.</t>
        </is>
      </c>
      <c r="Q343" s="100" t="n"/>
      <c r="R343" s="24" t="n">
        <v>1</v>
      </c>
      <c r="S343" s="24" t="n"/>
      <c r="T343" s="24" t="inlineStr">
        <is>
          <t>EXACT</t>
        </is>
      </c>
      <c r="U343" s="24" t="inlineStr">
        <is>
          <t>Existing benchmark assignment and match quality retained.</t>
        </is>
      </c>
      <c r="V343" s="98" t="n">
        <v>9.970000000000001</v>
      </c>
      <c r="W343" s="98" t="n"/>
      <c r="X343" s="24" t="inlineStr">
        <is>
          <t>YES Gastro Germany Market Research.xlsx</t>
        </is>
      </c>
      <c r="Y343" s="24" t="n"/>
      <c r="Z343" s="24" t="n"/>
      <c r="AA343" s="24" t="n"/>
      <c r="AB343" s="24" t="inlineStr">
        <is>
          <t>EUR</t>
        </is>
      </c>
      <c r="AC343" s="24" t="inlineStr">
        <is>
          <t>yes</t>
        </is>
      </c>
      <c r="AD343" s="24">
        <f>IF(ISNUMBER(V343),V343,"")</f>
        <v/>
      </c>
      <c r="AE343" s="24">
        <f>IF(AND(AC343="yes",ISNUMBER(F343),IF('Compare'!$H$5="All mapped",TRUE,IF('Compare'!$H$5="EXACT only",J343="EXACT",OR(J343="EXACT",J343="CLOSE")))),"yes","no")</f>
        <v/>
      </c>
      <c r="AF343" s="24">
        <f>IF(ISNUMBER(H343),COUNTIFS($B$7:$B$608,B343,$C$7:$C$608,C343,$H$7:$H$608,"&lt;"&amp;H343,$AH$7:$AH$608,"yes")+COUNTIFS($B$7:B343,B343,$C$7:C343,C343,$H$7:H343,H343,$AH$7:AH343,"yes"),"")</f>
        <v/>
      </c>
      <c r="AG343" s="24">
        <f>IF(ISNUMBER(I343),COUNTIFS($B$7:$B$608,B343,$C$7:$C$608,C343,$I$7:$I$608,"&lt;"&amp;I343,$AI$7:$AI$608,"yes")+COUNTIFS($B$7:B343,B343,$C$7:C343,C343,$I$7:I343,I343,$AI$7:AI343,"yes"),"")</f>
        <v/>
      </c>
      <c r="AH343" s="24">
        <f>IF(ISNUMBER(H343),"yes","no")</f>
        <v/>
      </c>
      <c r="AI343" s="24">
        <f>IF(ISNUMBER(I343),"yes","no")</f>
        <v/>
      </c>
      <c r="AJ343" s="101" t="n">
        <v>46295</v>
      </c>
      <c r="AK343" s="24" t="n"/>
    </row>
    <row r="344" ht="42" customHeight="1">
      <c r="A344" s="2" t="n"/>
      <c r="B344" s="27" t="inlineStr">
        <is>
          <t>PE dough box 600 × 400 × 75 mm</t>
        </is>
      </c>
      <c r="C344" s="27" t="inlineStr">
        <is>
          <t>Germany</t>
        </is>
      </c>
      <c r="D344" s="27" t="inlineStr">
        <is>
          <t>Nisbets</t>
        </is>
      </c>
      <c r="E344" s="27" t="inlineStr">
        <is>
          <t>Stapelbehälter 60x40x7,5cm</t>
        </is>
      </c>
      <c r="F344" s="102" t="n">
        <v>25.99</v>
      </c>
      <c r="G344" s="27" t="inlineStr">
        <is>
          <t>EUR</t>
        </is>
      </c>
      <c r="H344" s="102">
        <f>IF(AND(AE344="yes",ISNUMBER(AD344)),AD344,"")</f>
        <v/>
      </c>
      <c r="I344" s="103">
        <f>IF(AND(AE344="yes",ISNUMBER(AD344),ISNUMBER(INDEX('Sources'!$G$7:$G$10,MATCH(AB344,'Sources'!$B$7:$B$10,0)))),AD344/INDEX('Sources'!$G$7:$G$10,MATCH(AB344,'Sources'!$B$7:$B$10,0)),"")</f>
        <v/>
      </c>
      <c r="J344" s="27" t="inlineStr">
        <is>
          <t>EXACT</t>
        </is>
      </c>
      <c r="K344" s="27" t="inlineStr">
        <is>
          <t>2026-09-30</t>
        </is>
      </c>
      <c r="L344" s="71" t="n"/>
      <c r="M344" s="27" t="inlineStr">
        <is>
          <t>Polyethylene</t>
        </is>
      </c>
      <c r="N344" s="28" t="inlineStr">
        <is>
          <t>https://www.nisbets.de/stapelbarer-pizzateigbehlter-75mm/gn536</t>
        </is>
      </c>
      <c r="O344" s="27" t="inlineStr">
        <is>
          <t>Gastronoble</t>
        </is>
      </c>
      <c r="P344" s="27" t="inlineStr">
        <is>
          <t>excl.</t>
        </is>
      </c>
      <c r="Q344" s="104" t="n"/>
      <c r="R344" s="27" t="n">
        <v>1</v>
      </c>
      <c r="S344" s="27" t="n"/>
      <c r="T344" s="27" t="inlineStr">
        <is>
          <t>EXACT</t>
        </is>
      </c>
      <c r="U344" s="27" t="inlineStr">
        <is>
          <t>Existing benchmark assignment and match quality retained.</t>
        </is>
      </c>
      <c r="V344" s="102" t="n">
        <v>25.99</v>
      </c>
      <c r="W344" s="102" t="n"/>
      <c r="X344" s="27" t="inlineStr">
        <is>
          <t>YES Gastro Germany Market Research.xlsx</t>
        </is>
      </c>
      <c r="Y344" s="27" t="n"/>
      <c r="Z344" s="27" t="n"/>
      <c r="AA344" s="27" t="n"/>
      <c r="AB344" s="27" t="inlineStr">
        <is>
          <t>EUR</t>
        </is>
      </c>
      <c r="AC344" s="27" t="inlineStr">
        <is>
          <t>yes</t>
        </is>
      </c>
      <c r="AD344" s="27">
        <f>IF(ISNUMBER(V344),V344,"")</f>
        <v/>
      </c>
      <c r="AE344" s="27">
        <f>IF(AND(AC344="yes",ISNUMBER(F344),IF('Compare'!$H$5="All mapped",TRUE,IF('Compare'!$H$5="EXACT only",J344="EXACT",OR(J344="EXACT",J344="CLOSE")))),"yes","no")</f>
        <v/>
      </c>
      <c r="AF344" s="27">
        <f>IF(ISNUMBER(H344),COUNTIFS($B$7:$B$608,B344,$C$7:$C$608,C344,$H$7:$H$608,"&lt;"&amp;H344,$AH$7:$AH$608,"yes")+COUNTIFS($B$7:B344,B344,$C$7:C344,C344,$H$7:H344,H344,$AH$7:AH344,"yes"),"")</f>
        <v/>
      </c>
      <c r="AG344" s="27">
        <f>IF(ISNUMBER(I344),COUNTIFS($B$7:$B$608,B344,$C$7:$C$608,C344,$I$7:$I$608,"&lt;"&amp;I344,$AI$7:$AI$608,"yes")+COUNTIFS($B$7:B344,B344,$C$7:C344,C344,$I$7:I344,I344,$AI$7:AI344,"yes"),"")</f>
        <v/>
      </c>
      <c r="AH344" s="27">
        <f>IF(ISNUMBER(H344),"yes","no")</f>
        <v/>
      </c>
      <c r="AI344" s="27">
        <f>IF(ISNUMBER(I344),"yes","no")</f>
        <v/>
      </c>
      <c r="AJ344" s="105" t="n">
        <v>46295</v>
      </c>
      <c r="AK344" s="27" t="n"/>
    </row>
    <row r="345" ht="66" customHeight="1">
      <c r="A345" s="2" t="n"/>
      <c r="B345" s="24" t="inlineStr">
        <is>
          <t>PE dough box 600 × 400 × 75 mm</t>
        </is>
      </c>
      <c r="C345" s="24" t="inlineStr">
        <is>
          <t>Czech</t>
        </is>
      </c>
      <c r="D345" s="24" t="inlineStr">
        <is>
          <t>GGM Gastro (CZ storefront)</t>
        </is>
      </c>
      <c r="E345" s="24" t="inlineStr">
        <is>
          <t>(9 tlg) Přepravka na těsto-set - 8 nádob &amp; 1 víko - EN 600x400 - Výška: 75 mm - Polypropylen - bílá</t>
        </is>
      </c>
      <c r="F345" s="98" t="n">
        <v>1752.16</v>
      </c>
      <c r="G345" s="24" t="inlineStr">
        <is>
          <t>CZK</t>
        </is>
      </c>
      <c r="H345" s="98">
        <f>IF(AND(AE345="yes",ISNUMBER(AD345)),AD345,"")</f>
        <v/>
      </c>
      <c r="I345" s="99">
        <f>IF(AND(AE345="yes",ISNUMBER(AD345),ISNUMBER(INDEX('Sources'!$G$7:$G$10,MATCH(AB345,'Sources'!$B$7:$B$10,0)))),AD345/INDEX('Sources'!$G$7:$G$10,MATCH(AB345,'Sources'!$B$7:$B$10,0)),"")</f>
        <v/>
      </c>
      <c r="J345" s="24" t="inlineStr">
        <is>
          <t>CLOSE</t>
        </is>
      </c>
      <c r="K345" s="24" t="inlineStr">
        <is>
          <t>2026-09-30</t>
        </is>
      </c>
      <c r="L345" s="71" t="n"/>
      <c r="M345" s="24" t="inlineStr">
        <is>
          <t>Net CZK price as displayed; page footnote: "* čistá cena | hrubá cena vč. 19% DPH" (German VAT 19% used on the CZ storefront). SKU TBPP647: set of 8 boxes 600x400x75 + 1 lid; polypropylene, not polyethylene; per-piece = set / 8 (includes lid) - flagged. Gross 2,085.07 CZK. Alternative 8-pack TBP647 (70 mm, no lid) 1,873.86 CZK.</t>
        </is>
      </c>
      <c r="N345" s="25" t="inlineStr">
        <is>
          <t>https://www.ggmgastro.com/cs-cz-czk/9-tlg-prepravka-na-testo-set-8-nadob-und-1-viko-en-600x400-vyska-75-mm-polypropylen-bila-tbpp647</t>
        </is>
      </c>
      <c r="O345" s="24" t="inlineStr">
        <is>
          <t>GGM</t>
        </is>
      </c>
      <c r="P345" s="24" t="inlineStr">
        <is>
          <t>excl.</t>
        </is>
      </c>
      <c r="Q345" s="100" t="n">
        <v>0.19</v>
      </c>
      <c r="R345" s="24" t="n">
        <v>8</v>
      </c>
      <c r="S345" s="24" t="inlineStr">
        <is>
          <t>per pack</t>
        </is>
      </c>
      <c r="T345" s="24" t="inlineStr">
        <is>
          <t>CLOSE</t>
        </is>
      </c>
      <c r="U345" s="24" t="inlineStr">
        <is>
          <t>Existing benchmark assignment and match quality retained.</t>
        </is>
      </c>
      <c r="V345" s="98" t="n"/>
      <c r="W345" s="98" t="n"/>
      <c r="X345" s="24" t="inlineStr">
        <is>
          <t>YES Gastro Czech Market Research.xlsx</t>
        </is>
      </c>
      <c r="Y345" s="24" t="n"/>
      <c r="Z345" s="24" t="n"/>
      <c r="AA345" s="24" t="n"/>
      <c r="AB345" s="24" t="inlineStr">
        <is>
          <t>CZK</t>
        </is>
      </c>
      <c r="AC345" s="24" t="inlineStr">
        <is>
          <t>yes</t>
        </is>
      </c>
      <c r="AD345" s="24">
        <f>IF(OR(F345="",Q345="",R345=""),"",ROUND(IF(P345="incl.",F345/(1+Q345),F345)/IF(S345="per pack",R345,1),2))</f>
        <v/>
      </c>
      <c r="AE345" s="24">
        <f>IF(AND(AC345="yes",ISNUMBER(F345),IF('Compare'!$H$5="All mapped",TRUE,IF('Compare'!$H$5="EXACT only",J345="EXACT",OR(J345="EXACT",J345="CLOSE")))),"yes","no")</f>
        <v/>
      </c>
      <c r="AF345" s="24">
        <f>IF(ISNUMBER(H345),COUNTIFS($B$7:$B$608,B345,$C$7:$C$608,C345,$H$7:$H$608,"&lt;"&amp;H345,$AH$7:$AH$608,"yes")+COUNTIFS($B$7:B345,B345,$C$7:C345,C345,$H$7:H345,H345,$AH$7:AH345,"yes"),"")</f>
        <v/>
      </c>
      <c r="AG345" s="24">
        <f>IF(ISNUMBER(I345),COUNTIFS($B$7:$B$608,B345,$C$7:$C$608,C345,$I$7:$I$608,"&lt;"&amp;I345,$AI$7:$AI$608,"yes")+COUNTIFS($B$7:B345,B345,$C$7:C345,C345,$I$7:I345,I345,$AI$7:AI345,"yes"),"")</f>
        <v/>
      </c>
      <c r="AH345" s="24">
        <f>IF(ISNUMBER(H345),"yes","no")</f>
        <v/>
      </c>
      <c r="AI345" s="24">
        <f>IF(ISNUMBER(I345),"yes","no")</f>
        <v/>
      </c>
      <c r="AJ345" s="101" t="n">
        <v>46295</v>
      </c>
      <c r="AK345" s="24" t="n"/>
    </row>
    <row r="346" ht="42" customHeight="1">
      <c r="A346" s="2" t="n"/>
      <c r="B346" s="27" t="inlineStr">
        <is>
          <t>PE dough box 600 × 400 × 75 mm</t>
        </is>
      </c>
      <c r="C346" s="27" t="inlineStr">
        <is>
          <t>Czech</t>
        </is>
      </c>
      <c r="D346" s="27" t="inlineStr">
        <is>
          <t>Gastro Novotný</t>
        </is>
      </c>
      <c r="E346" s="27" t="inlineStr">
        <is>
          <t>Přepravka na pizzu 60x40x9cm</t>
        </is>
      </c>
      <c r="F346" s="102" t="n">
        <v>390</v>
      </c>
      <c r="G346" s="27" t="inlineStr">
        <is>
          <t>CZK</t>
        </is>
      </c>
      <c r="H346" s="102">
        <f>IF(AND(AE346="yes",ISNUMBER(AD346)),AD346,"")</f>
        <v/>
      </c>
      <c r="I346" s="103">
        <f>IF(AND(AE346="yes",ISNUMBER(AD346),ISNUMBER(INDEX('Sources'!$G$7:$G$10,MATCH(AB346,'Sources'!$B$7:$B$10,0)))),AD346/INDEX('Sources'!$G$7:$G$10,MATCH(AB346,'Sources'!$B$7:$B$10,0)),"")</f>
        <v/>
      </c>
      <c r="J346" s="27" t="inlineStr">
        <is>
          <t>APPROX</t>
        </is>
      </c>
      <c r="K346" s="27" t="inlineStr">
        <is>
          <t>2026-09-30</t>
        </is>
      </c>
      <c r="L346" s="71" t="n"/>
      <c r="M346" s="27" t="inlineStr">
        <is>
          <t>90 mm deep instead of 75 mm and material not stated. 471.90 CZK incl. VAT.</t>
        </is>
      </c>
      <c r="N346" s="28" t="inlineStr">
        <is>
          <t>https://eshop.gastronovotny.cz/prepravka-na-pizzu-60x40x9cm--1841762-09/</t>
        </is>
      </c>
      <c r="O346" s="27" t="n"/>
      <c r="P346" s="27" t="inlineStr">
        <is>
          <t>excl.</t>
        </is>
      </c>
      <c r="Q346" s="104" t="n">
        <v>0.21</v>
      </c>
      <c r="R346" s="27" t="n">
        <v>1</v>
      </c>
      <c r="S346" s="27" t="inlineStr">
        <is>
          <t>per piece</t>
        </is>
      </c>
      <c r="T346" s="27" t="inlineStr">
        <is>
          <t>APPROX</t>
        </is>
      </c>
      <c r="U346" s="27" t="inlineStr">
        <is>
          <t>Existing benchmark assignment and match quality retained.</t>
        </is>
      </c>
      <c r="V346" s="102" t="n"/>
      <c r="W346" s="102" t="n"/>
      <c r="X346" s="27" t="inlineStr">
        <is>
          <t>YES Gastro Czech Market Research.xlsx</t>
        </is>
      </c>
      <c r="Y346" s="27" t="n"/>
      <c r="Z346" s="27" t="n"/>
      <c r="AA346" s="27" t="n"/>
      <c r="AB346" s="27" t="inlineStr">
        <is>
          <t>CZK</t>
        </is>
      </c>
      <c r="AC346" s="27" t="inlineStr">
        <is>
          <t>yes</t>
        </is>
      </c>
      <c r="AD346" s="27">
        <f>IF(OR(F346="",Q346="",R346=""),"",ROUND(IF(P346="incl.",F346/(1+Q346),F346)/IF(S346="per pack",R346,1),2))</f>
        <v/>
      </c>
      <c r="AE346" s="27">
        <f>IF(AND(AC346="yes",ISNUMBER(F346),IF('Compare'!$H$5="All mapped",TRUE,IF('Compare'!$H$5="EXACT only",J346="EXACT",OR(J346="EXACT",J346="CLOSE")))),"yes","no")</f>
        <v/>
      </c>
      <c r="AF346" s="27">
        <f>IF(ISNUMBER(H346),COUNTIFS($B$7:$B$608,B346,$C$7:$C$608,C346,$H$7:$H$608,"&lt;"&amp;H346,$AH$7:$AH$608,"yes")+COUNTIFS($B$7:B346,B346,$C$7:C346,C346,$H$7:H346,H346,$AH$7:AH346,"yes"),"")</f>
        <v/>
      </c>
      <c r="AG346" s="27">
        <f>IF(ISNUMBER(I346),COUNTIFS($B$7:$B$608,B346,$C$7:$C$608,C346,$I$7:$I$608,"&lt;"&amp;I346,$AI$7:$AI$608,"yes")+COUNTIFS($B$7:B346,B346,$C$7:C346,C346,$I$7:I346,I346,$AI$7:AI346,"yes"),"")</f>
        <v/>
      </c>
      <c r="AH346" s="27">
        <f>IF(ISNUMBER(H346),"yes","no")</f>
        <v/>
      </c>
      <c r="AI346" s="27">
        <f>IF(ISNUMBER(I346),"yes","no")</f>
        <v/>
      </c>
      <c r="AJ346" s="105" t="n">
        <v>46295</v>
      </c>
      <c r="AK346" s="27" t="n"/>
    </row>
    <row r="347" ht="42" customHeight="1">
      <c r="A347" s="2" t="n"/>
      <c r="B347" s="24" t="inlineStr">
        <is>
          <t>PE dough box 600 × 400 × 75 mm</t>
        </is>
      </c>
      <c r="C347" s="24" t="inlineStr">
        <is>
          <t>Czech</t>
        </is>
      </c>
      <c r="D347" s="24" t="inlineStr">
        <is>
          <t>Gastromania</t>
        </is>
      </c>
      <c r="E347" s="24" t="inlineStr">
        <is>
          <t>Nádoba na pizza těsto 600x400x75 mm | CONTACTO, 2510/600</t>
        </is>
      </c>
      <c r="F347" s="98" t="n">
        <v>391</v>
      </c>
      <c r="G347" s="24" t="inlineStr">
        <is>
          <t>CZK</t>
        </is>
      </c>
      <c r="H347" s="98">
        <f>IF(AND(AE347="yes",ISNUMBER(AD347)),AD347,"")</f>
        <v/>
      </c>
      <c r="I347" s="99">
        <f>IF(AND(AE347="yes",ISNUMBER(AD347),ISNUMBER(INDEX('Sources'!$G$7:$G$10,MATCH(AB347,'Sources'!$B$7:$B$10,0)))),AD347/INDEX('Sources'!$G$7:$G$10,MATCH(AB347,'Sources'!$B$7:$B$10,0)),"")</f>
        <v/>
      </c>
      <c r="J347" s="24" t="inlineStr">
        <is>
          <t>EXACT</t>
        </is>
      </c>
      <c r="K347" s="24" t="inlineStr">
        <is>
          <t>2026-09-30</t>
        </is>
      </c>
      <c r="L347" s="71" t="n"/>
      <c r="M347" s="24" t="inlineStr">
        <is>
          <t>PE, 600 x 400 x 75 mm; 473 CZK incl.; discounted from 434 excl. / 526 incl.; availability 30 days.</t>
        </is>
      </c>
      <c r="N347" s="25" t="inlineStr">
        <is>
          <t>https://www.gastromania.cz/kose-na-pizza-testo/nadoba-na-pizza-testo-600x400x75-mm-contacto-2510-600</t>
        </is>
      </c>
      <c r="O347" s="24" t="inlineStr">
        <is>
          <t>Contacto</t>
        </is>
      </c>
      <c r="P347" s="24" t="inlineStr">
        <is>
          <t>excl.</t>
        </is>
      </c>
      <c r="Q347" s="100" t="n">
        <v>0.21</v>
      </c>
      <c r="R347" s="24" t="n">
        <v>1</v>
      </c>
      <c r="S347" s="24" t="inlineStr">
        <is>
          <t>per piece</t>
        </is>
      </c>
      <c r="T347" s="24" t="inlineStr">
        <is>
          <t>EXACT</t>
        </is>
      </c>
      <c r="U347" s="24" t="inlineStr">
        <is>
          <t>Existing benchmark assignment and match quality retained.</t>
        </is>
      </c>
      <c r="V347" s="98" t="n"/>
      <c r="W347" s="98" t="n"/>
      <c r="X347" s="24" t="inlineStr">
        <is>
          <t>YES Gastro Czech Market Research.xlsx</t>
        </is>
      </c>
      <c r="Y347" s="24" t="n"/>
      <c r="Z347" s="24" t="n"/>
      <c r="AA347" s="24" t="n"/>
      <c r="AB347" s="24" t="inlineStr">
        <is>
          <t>CZK</t>
        </is>
      </c>
      <c r="AC347" s="24" t="inlineStr">
        <is>
          <t>yes</t>
        </is>
      </c>
      <c r="AD347" s="24">
        <f>IF(OR(F347="",Q347="",R347=""),"",ROUND(IF(P347="incl.",F347/(1+Q347),F347)/IF(S347="per pack",R347,1),2))</f>
        <v/>
      </c>
      <c r="AE347" s="24">
        <f>IF(AND(AC347="yes",ISNUMBER(F347),IF('Compare'!$H$5="All mapped",TRUE,IF('Compare'!$H$5="EXACT only",J347="EXACT",OR(J347="EXACT",J347="CLOSE")))),"yes","no")</f>
        <v/>
      </c>
      <c r="AF347" s="24">
        <f>IF(ISNUMBER(H347),COUNTIFS($B$7:$B$608,B347,$C$7:$C$608,C347,$H$7:$H$608,"&lt;"&amp;H347,$AH$7:$AH$608,"yes")+COUNTIFS($B$7:B347,B347,$C$7:C347,C347,$H$7:H347,H347,$AH$7:AH347,"yes"),"")</f>
        <v/>
      </c>
      <c r="AG347" s="24">
        <f>IF(ISNUMBER(I347),COUNTIFS($B$7:$B$608,B347,$C$7:$C$608,C347,$I$7:$I$608,"&lt;"&amp;I347,$AI$7:$AI$608,"yes")+COUNTIFS($B$7:B347,B347,$C$7:C347,C347,$I$7:I347,I347,$AI$7:AI347,"yes"),"")</f>
        <v/>
      </c>
      <c r="AH347" s="24">
        <f>IF(ISNUMBER(H347),"yes","no")</f>
        <v/>
      </c>
      <c r="AI347" s="24">
        <f>IF(ISNUMBER(I347),"yes","no")</f>
        <v/>
      </c>
      <c r="AJ347" s="101" t="n">
        <v>46295</v>
      </c>
      <c r="AK347" s="24" t="n"/>
    </row>
    <row r="348" ht="42" customHeight="1">
      <c r="A348" s="2" t="n"/>
      <c r="B348" s="27" t="inlineStr">
        <is>
          <t>PE dough box 600 × 400 × 75 mm</t>
        </is>
      </c>
      <c r="C348" s="27" t="inlineStr">
        <is>
          <t>Czech</t>
        </is>
      </c>
      <c r="D348" s="27" t="inlineStr">
        <is>
          <t>Gastrozone</t>
        </is>
      </c>
      <c r="E348" s="27" t="inlineStr">
        <is>
          <t>Nádoba AmerBox Kitchen Line na pizza těsto, 600 × 400 mm, 14 l</t>
        </is>
      </c>
      <c r="F348" s="102" t="n">
        <v>285</v>
      </c>
      <c r="G348" s="27" t="inlineStr">
        <is>
          <t>CZK</t>
        </is>
      </c>
      <c r="H348" s="102">
        <f>IF(AND(AE348="yes",ISNUMBER(AD348)),AD348,"")</f>
        <v/>
      </c>
      <c r="I348" s="103">
        <f>IF(AND(AE348="yes",ISNUMBER(AD348),ISNUMBER(INDEX('Sources'!$G$7:$G$10,MATCH(AB348,'Sources'!$B$7:$B$10,0)))),AD348/INDEX('Sources'!$G$7:$G$10,MATCH(AB348,'Sources'!$B$7:$B$10,0)),"")</f>
        <v/>
      </c>
      <c r="J348" s="27" t="inlineStr">
        <is>
          <t>CLOSE</t>
        </is>
      </c>
      <c r="K348" s="27" t="inlineStr">
        <is>
          <t>2026-09-30</t>
        </is>
      </c>
      <c r="L348" s="71" t="n"/>
      <c r="M348" s="27" t="inlineStr">
        <is>
          <t>600 x 400 x 75 mm, 14 l, but PET (polyethylene terephthalate), not PE. 236 CZK bez DPH.</t>
        </is>
      </c>
      <c r="N348" s="28" t="inlineStr">
        <is>
          <t>https://www.gastrozone.cz/nadoba-na-pizza-testo-600x400-amerbox-kitchen-line-14l-600x400x-h-75mm.html</t>
        </is>
      </c>
      <c r="O348" s="27" t="inlineStr">
        <is>
          <t>AmerBox (Hendi)</t>
        </is>
      </c>
      <c r="P348" s="27" t="inlineStr">
        <is>
          <t>incl.</t>
        </is>
      </c>
      <c r="Q348" s="104" t="n">
        <v>0.21</v>
      </c>
      <c r="R348" s="27" t="n">
        <v>1</v>
      </c>
      <c r="S348" s="27" t="inlineStr">
        <is>
          <t>per piece</t>
        </is>
      </c>
      <c r="T348" s="27" t="inlineStr">
        <is>
          <t>CLOSE</t>
        </is>
      </c>
      <c r="U348" s="27" t="inlineStr">
        <is>
          <t>Existing benchmark assignment and match quality retained.</t>
        </is>
      </c>
      <c r="V348" s="102" t="n"/>
      <c r="W348" s="102" t="n"/>
      <c r="X348" s="27" t="inlineStr">
        <is>
          <t>YES Gastro Czech Market Research.xlsx</t>
        </is>
      </c>
      <c r="Y348" s="27" t="n"/>
      <c r="Z348" s="27" t="n"/>
      <c r="AA348" s="27" t="n"/>
      <c r="AB348" s="27" t="inlineStr">
        <is>
          <t>CZK</t>
        </is>
      </c>
      <c r="AC348" s="27" t="inlineStr">
        <is>
          <t>yes</t>
        </is>
      </c>
      <c r="AD348" s="27">
        <f>IF(OR(F348="",Q348="",R348=""),"",ROUND(IF(P348="incl.",F348/(1+Q348),F348)/IF(S348="per pack",R348,1),2))</f>
        <v/>
      </c>
      <c r="AE348" s="27">
        <f>IF(AND(AC348="yes",ISNUMBER(F348),IF('Compare'!$H$5="All mapped",TRUE,IF('Compare'!$H$5="EXACT only",J348="EXACT",OR(J348="EXACT",J348="CLOSE")))),"yes","no")</f>
        <v/>
      </c>
      <c r="AF348" s="27">
        <f>IF(ISNUMBER(H348),COUNTIFS($B$7:$B$608,B348,$C$7:$C$608,C348,$H$7:$H$608,"&lt;"&amp;H348,$AH$7:$AH$608,"yes")+COUNTIFS($B$7:B348,B348,$C$7:C348,C348,$H$7:H348,H348,$AH$7:AH348,"yes"),"")</f>
        <v/>
      </c>
      <c r="AG348" s="27">
        <f>IF(ISNUMBER(I348),COUNTIFS($B$7:$B$608,B348,$C$7:$C$608,C348,$I$7:$I$608,"&lt;"&amp;I348,$AI$7:$AI$608,"yes")+COUNTIFS($B$7:B348,B348,$C$7:C348,C348,$I$7:I348,I348,$AI$7:AI348,"yes"),"")</f>
        <v/>
      </c>
      <c r="AH348" s="27">
        <f>IF(ISNUMBER(H348),"yes","no")</f>
        <v/>
      </c>
      <c r="AI348" s="27">
        <f>IF(ISNUMBER(I348),"yes","no")</f>
        <v/>
      </c>
      <c r="AJ348" s="105" t="n">
        <v>46295</v>
      </c>
      <c r="AK348" s="27" t="n"/>
    </row>
    <row r="349" ht="42" customHeight="1">
      <c r="A349" s="2" t="n"/>
      <c r="B349" s="24" t="inlineStr">
        <is>
          <t>PE dough box 600 × 400 × 75 mm</t>
        </is>
      </c>
      <c r="C349" s="24" t="inlineStr">
        <is>
          <t>Czech</t>
        </is>
      </c>
      <c r="D349" s="24" t="inlineStr">
        <is>
          <t>TOMGAST</t>
        </is>
      </c>
      <c r="E349" s="24" t="inlineStr">
        <is>
          <t>Přepravka na pizzu 60 × 40 × 7,5 cm</t>
        </is>
      </c>
      <c r="F349" s="98" t="n">
        <v>339</v>
      </c>
      <c r="G349" s="24" t="inlineStr">
        <is>
          <t>CZK</t>
        </is>
      </c>
      <c r="H349" s="98">
        <f>IF(AND(AE349="yes",ISNUMBER(AD349)),AD349,"")</f>
        <v/>
      </c>
      <c r="I349" s="99">
        <f>IF(AND(AE349="yes",ISNUMBER(AD349),ISNUMBER(INDEX('Sources'!$G$7:$G$10,MATCH(AB349,'Sources'!$B$7:$B$10,0)))),AD349/INDEX('Sources'!$G$7:$G$10,MATCH(AB349,'Sources'!$B$7:$B$10,0)),"")</f>
        <v/>
      </c>
      <c r="J349" s="24" t="inlineStr">
        <is>
          <t>CLOSE</t>
        </is>
      </c>
      <c r="K349" s="24" t="inlineStr">
        <is>
          <t>2026-09-30</t>
        </is>
      </c>
      <c r="L349" s="71" t="n"/>
      <c r="M349" s="24" t="inlineStr">
        <is>
          <t>600 x 400 x 75 mm but polypropylene, not polyethylene. 280 CZK bez DPH.</t>
        </is>
      </c>
      <c r="N349" s="25" t="inlineStr">
        <is>
          <t>https://www.tomgast.cz/prepravka-na-pizzu-60--40--7-5-cm/</t>
        </is>
      </c>
      <c r="O349" s="24" t="inlineStr">
        <is>
          <t>TOMGAST</t>
        </is>
      </c>
      <c r="P349" s="24" t="inlineStr">
        <is>
          <t>incl.</t>
        </is>
      </c>
      <c r="Q349" s="100" t="n">
        <v>0.21</v>
      </c>
      <c r="R349" s="24" t="n">
        <v>1</v>
      </c>
      <c r="S349" s="24" t="inlineStr">
        <is>
          <t>per piece</t>
        </is>
      </c>
      <c r="T349" s="24" t="inlineStr">
        <is>
          <t>CLOSE</t>
        </is>
      </c>
      <c r="U349" s="24" t="inlineStr">
        <is>
          <t>Existing benchmark assignment and match quality retained.</t>
        </is>
      </c>
      <c r="V349" s="98" t="n"/>
      <c r="W349" s="98" t="n"/>
      <c r="X349" s="24" t="inlineStr">
        <is>
          <t>YES Gastro Czech Market Research.xlsx</t>
        </is>
      </c>
      <c r="Y349" s="24" t="n"/>
      <c r="Z349" s="24" t="n"/>
      <c r="AA349" s="24" t="n"/>
      <c r="AB349" s="24" t="inlineStr">
        <is>
          <t>CZK</t>
        </is>
      </c>
      <c r="AC349" s="24" t="inlineStr">
        <is>
          <t>yes</t>
        </is>
      </c>
      <c r="AD349" s="24">
        <f>IF(OR(F349="",Q349="",R349=""),"",ROUND(IF(P349="incl.",F349/(1+Q349),F349)/IF(S349="per pack",R349,1),2))</f>
        <v/>
      </c>
      <c r="AE349" s="24">
        <f>IF(AND(AC349="yes",ISNUMBER(F349),IF('Compare'!$H$5="All mapped",TRUE,IF('Compare'!$H$5="EXACT only",J349="EXACT",OR(J349="EXACT",J349="CLOSE")))),"yes","no")</f>
        <v/>
      </c>
      <c r="AF349" s="24">
        <f>IF(ISNUMBER(H349),COUNTIFS($B$7:$B$608,B349,$C$7:$C$608,C349,$H$7:$H$608,"&lt;"&amp;H349,$AH$7:$AH$608,"yes")+COUNTIFS($B$7:B349,B349,$C$7:C349,C349,$H$7:H349,H349,$AH$7:AH349,"yes"),"")</f>
        <v/>
      </c>
      <c r="AG349" s="24">
        <f>IF(ISNUMBER(I349),COUNTIFS($B$7:$B$608,B349,$C$7:$C$608,C349,$I$7:$I$608,"&lt;"&amp;I349,$AI$7:$AI$608,"yes")+COUNTIFS($B$7:B349,B349,$C$7:C349,C349,$I$7:I349,I349,$AI$7:AI349,"yes"),"")</f>
        <v/>
      </c>
      <c r="AH349" s="24">
        <f>IF(ISNUMBER(H349),"yes","no")</f>
        <v/>
      </c>
      <c r="AI349" s="24">
        <f>IF(ISNUMBER(I349),"yes","no")</f>
        <v/>
      </c>
      <c r="AJ349" s="101" t="n">
        <v>46295</v>
      </c>
      <c r="AK349" s="24" t="n"/>
    </row>
    <row r="350" ht="42" customHeight="1">
      <c r="A350" s="2" t="n"/>
      <c r="B350" s="27" t="inlineStr">
        <is>
          <t>PE dough box 600 × 400 × 75 mm</t>
        </is>
      </c>
      <c r="C350" s="27" t="inlineStr">
        <is>
          <t>Slovakia</t>
        </is>
      </c>
      <c r="D350" s="27" t="inlineStr">
        <is>
          <t>Gastromania.sk (GASTROMANIA CZ s.r.o., CZ)</t>
        </is>
      </c>
      <c r="E350" s="27" t="inlineStr">
        <is>
          <t>Nádoba na pizza cesto 600x400x75 mm | CONTACTO, 2510/600</t>
        </is>
      </c>
      <c r="F350" s="102" t="n">
        <v>15.21</v>
      </c>
      <c r="G350" s="27" t="inlineStr">
        <is>
          <t>EUR</t>
        </is>
      </c>
      <c r="H350" s="102">
        <f>IF(AND(AE350="yes",ISNUMBER(AD350)),AD350,"")</f>
        <v/>
      </c>
      <c r="I350" s="103">
        <f>IF(AND(AE350="yes",ISNUMBER(AD350),ISNUMBER(INDEX('Sources'!$G$7:$G$10,MATCH(AB350,'Sources'!$B$7:$B$10,0)))),AD350/INDEX('Sources'!$G$7:$G$10,MATCH(AB350,'Sources'!$B$7:$B$10,0)),"")</f>
        <v/>
      </c>
      <c r="J350" s="27" t="inlineStr">
        <is>
          <t>EXACT</t>
        </is>
      </c>
      <c r="K350" s="27" t="inlineStr">
        <is>
          <t>2026-09-30</t>
        </is>
      </c>
      <c r="L350" s="71" t="n"/>
      <c r="M350" s="27" t="inlineStr">
        <is>
          <t>Listed 'Cena bez DPH' 15.21 EUR / 'Cena s DPH' 18.71 EUR. White polyethylene, 600x400x75 mm. Promo; base 16,90 / 20,79. Availability 30 days.</t>
        </is>
      </c>
      <c r="N350" s="28" t="inlineStr">
        <is>
          <t>https://gastromania.sk/nadoby-na-pizza-cesto/nadoba-na-pizza-cesto-600x400x75-mm-contacto-2510-600</t>
        </is>
      </c>
      <c r="O350" s="27" t="inlineStr">
        <is>
          <t>Contacto</t>
        </is>
      </c>
      <c r="P350" s="27" t="inlineStr">
        <is>
          <t>excl.</t>
        </is>
      </c>
      <c r="Q350" s="104" t="inlineStr">
        <is>
          <t>n/a</t>
        </is>
      </c>
      <c r="R350" s="27" t="n">
        <v>1</v>
      </c>
      <c r="S350" s="27" t="inlineStr">
        <is>
          <t>per piece</t>
        </is>
      </c>
      <c r="T350" s="27" t="inlineStr">
        <is>
          <t>EXACT</t>
        </is>
      </c>
      <c r="U350" s="27" t="inlineStr">
        <is>
          <t>Existing benchmark assignment and match quality retained.</t>
        </is>
      </c>
      <c r="V350" s="102" t="n">
        <v>15.21</v>
      </c>
      <c r="W350" s="102" t="n"/>
      <c r="X350" s="27" t="inlineStr">
        <is>
          <t>YES Gastro Slovakia Market Research.xlsx</t>
        </is>
      </c>
      <c r="Y350" s="27" t="n"/>
      <c r="Z350" s="27" t="n"/>
      <c r="AA350" s="27" t="n"/>
      <c r="AB350" s="27" t="inlineStr">
        <is>
          <t>EUR</t>
        </is>
      </c>
      <c r="AC350" s="27" t="inlineStr">
        <is>
          <t>yes</t>
        </is>
      </c>
      <c r="AD350" s="27">
        <f>IF(ISNUMBER(V350),V350,"")</f>
        <v/>
      </c>
      <c r="AE350" s="27">
        <f>IF(AND(AC350="yes",ISNUMBER(F350),IF('Compare'!$H$5="All mapped",TRUE,IF('Compare'!$H$5="EXACT only",J350="EXACT",OR(J350="EXACT",J350="CLOSE")))),"yes","no")</f>
        <v/>
      </c>
      <c r="AF350" s="27">
        <f>IF(ISNUMBER(H350),COUNTIFS($B$7:$B$608,B350,$C$7:$C$608,C350,$H$7:$H$608,"&lt;"&amp;H350,$AH$7:$AH$608,"yes")+COUNTIFS($B$7:B350,B350,$C$7:C350,C350,$H$7:H350,H350,$AH$7:AH350,"yes"),"")</f>
        <v/>
      </c>
      <c r="AG350" s="27">
        <f>IF(ISNUMBER(I350),COUNTIFS($B$7:$B$608,B350,$C$7:$C$608,C350,$I$7:$I$608,"&lt;"&amp;I350,$AI$7:$AI$608,"yes")+COUNTIFS($B$7:B350,B350,$C$7:C350,C350,$I$7:I350,I350,$AI$7:AI350,"yes"),"")</f>
        <v/>
      </c>
      <c r="AH350" s="27">
        <f>IF(ISNUMBER(H350),"yes","no")</f>
        <v/>
      </c>
      <c r="AI350" s="27">
        <f>IF(ISNUMBER(I350),"yes","no")</f>
        <v/>
      </c>
      <c r="AJ350" s="105" t="n">
        <v>46295</v>
      </c>
      <c r="AK350" s="27" t="n"/>
    </row>
    <row r="351" ht="42" customHeight="1">
      <c r="A351" s="2" t="n"/>
      <c r="B351" s="24" t="inlineStr">
        <is>
          <t>PE dough box 600 × 400 × 75 mm</t>
        </is>
      </c>
      <c r="C351" s="24" t="inlineStr">
        <is>
          <t>Slovakia</t>
        </is>
      </c>
      <c r="D351" s="24" t="inlineStr">
        <is>
          <t>Gastrozone.sk (GASTROZONE, spol. s r.o., CZ)</t>
        </is>
      </c>
      <c r="E351" s="24" t="inlineStr">
        <is>
          <t>Nádoba AmerBox Kitchen Line na cesto na pizzu, 600 × 400 mm, 14 l (výška 75 mm)</t>
        </is>
      </c>
      <c r="F351" s="98" t="n">
        <v>12.3</v>
      </c>
      <c r="G351" s="24" t="inlineStr">
        <is>
          <t>EUR</t>
        </is>
      </c>
      <c r="H351" s="98">
        <f>IF(AND(AE351="yes",ISNUMBER(AD351)),AD351,"")</f>
        <v/>
      </c>
      <c r="I351" s="99">
        <f>IF(AND(AE351="yes",ISNUMBER(AD351),ISNUMBER(INDEX('Sources'!$G$7:$G$10,MATCH(AB351,'Sources'!$B$7:$B$10,0)))),AD351/INDEX('Sources'!$G$7:$G$10,MATCH(AB351,'Sources'!$B$7:$B$10,0)),"")</f>
        <v/>
      </c>
      <c r="J351" s="24" t="inlineStr">
        <is>
          <t>APPROX</t>
        </is>
      </c>
      <c r="K351" s="24" t="inlineStr">
        <is>
          <t>2026-09-30</t>
        </is>
      </c>
      <c r="L351" s="71" t="n"/>
      <c r="M351" s="24" t="inlineStr">
        <is>
          <t>600x400x75 mm but PET (polyethylene terephthalate), not PE. Page shows 12,30 / 10,00 bez DPH.</t>
        </is>
      </c>
      <c r="N351" s="25" t="inlineStr">
        <is>
          <t>https://www.gastrozone.sk/nadoba-na-pizza-testo-600x400-amerbox-kitchen-line-14l-600x400x-h-75mm.html</t>
        </is>
      </c>
      <c r="O351" s="24" t="inlineStr">
        <is>
          <t>AmerBox (HENDI)</t>
        </is>
      </c>
      <c r="P351" s="24" t="inlineStr">
        <is>
          <t>incl.</t>
        </is>
      </c>
      <c r="Q351" s="100" t="n">
        <v>0.23</v>
      </c>
      <c r="R351" s="24" t="n">
        <v>1</v>
      </c>
      <c r="S351" s="24" t="inlineStr">
        <is>
          <t>per piece</t>
        </is>
      </c>
      <c r="T351" s="24" t="inlineStr">
        <is>
          <t>APPROX</t>
        </is>
      </c>
      <c r="U351" s="24" t="inlineStr">
        <is>
          <t>Existing benchmark assignment and match quality retained.</t>
        </is>
      </c>
      <c r="V351" s="98" t="n">
        <v>10</v>
      </c>
      <c r="W351" s="98" t="n"/>
      <c r="X351" s="24" t="inlineStr">
        <is>
          <t>YES Gastro Slovakia Market Research.xlsx</t>
        </is>
      </c>
      <c r="Y351" s="24" t="n"/>
      <c r="Z351" s="24" t="n"/>
      <c r="AA351" s="24" t="n"/>
      <c r="AB351" s="24" t="inlineStr">
        <is>
          <t>EUR</t>
        </is>
      </c>
      <c r="AC351" s="24" t="inlineStr">
        <is>
          <t>yes</t>
        </is>
      </c>
      <c r="AD351" s="24">
        <f>IF(ISNUMBER(V351),V351,"")</f>
        <v/>
      </c>
      <c r="AE351" s="24">
        <f>IF(AND(AC351="yes",ISNUMBER(F351),IF('Compare'!$H$5="All mapped",TRUE,IF('Compare'!$H$5="EXACT only",J351="EXACT",OR(J351="EXACT",J351="CLOSE")))),"yes","no")</f>
        <v/>
      </c>
      <c r="AF351" s="24">
        <f>IF(ISNUMBER(H351),COUNTIFS($B$7:$B$608,B351,$C$7:$C$608,C351,$H$7:$H$608,"&lt;"&amp;H351,$AH$7:$AH$608,"yes")+COUNTIFS($B$7:B351,B351,$C$7:C351,C351,$H$7:H351,H351,$AH$7:AH351,"yes"),"")</f>
        <v/>
      </c>
      <c r="AG351" s="24">
        <f>IF(ISNUMBER(I351),COUNTIFS($B$7:$B$608,B351,$C$7:$C$608,C351,$I$7:$I$608,"&lt;"&amp;I351,$AI$7:$AI$608,"yes")+COUNTIFS($B$7:B351,B351,$C$7:C351,C351,$I$7:I351,I351,$AI$7:AI351,"yes"),"")</f>
        <v/>
      </c>
      <c r="AH351" s="24">
        <f>IF(ISNUMBER(H351),"yes","no")</f>
        <v/>
      </c>
      <c r="AI351" s="24">
        <f>IF(ISNUMBER(I351),"yes","no")</f>
        <v/>
      </c>
      <c r="AJ351" s="101" t="n">
        <v>46295</v>
      </c>
      <c r="AK351" s="24" t="n"/>
    </row>
    <row r="352" ht="42" customHeight="1">
      <c r="A352" s="2" t="n"/>
      <c r="B352" s="27" t="inlineStr">
        <is>
          <t>Front-load GN 1/1 thermobox, 80–90 L</t>
        </is>
      </c>
      <c r="C352" s="27" t="inlineStr">
        <is>
          <t>Austria</t>
        </is>
      </c>
      <c r="D352" s="27" t="inlineStr">
        <is>
          <t>ALLPAX Österreich</t>
        </is>
      </c>
      <c r="E352" s="27" t="inlineStr">
        <is>
          <t>Hendi Thermobox für GN 1/1</t>
        </is>
      </c>
      <c r="F352" s="102" t="n">
        <v>284</v>
      </c>
      <c r="G352" s="27" t="inlineStr">
        <is>
          <t>EUR</t>
        </is>
      </c>
      <c r="H352" s="102">
        <f>IF(AND(AE352="yes",ISNUMBER(AD352)),AD352,"")</f>
        <v/>
      </c>
      <c r="I352" s="103">
        <f>IF(AND(AE352="yes",ISNUMBER(AD352),ISNUMBER(INDEX('Sources'!$G$7:$G$10,MATCH(AB352,'Sources'!$B$7:$B$10,0)))),AD352/INDEX('Sources'!$G$7:$G$10,MATCH(AB352,'Sources'!$B$7:$B$10,0)),"")</f>
        <v/>
      </c>
      <c r="J352" s="27" t="inlineStr">
        <is>
          <t>CLOSE</t>
        </is>
      </c>
      <c r="K352" s="27" t="inlineStr">
        <is>
          <t>2026-09-30</t>
        </is>
      </c>
      <c r="L352" s="71" t="n"/>
      <c r="M352" s="27" t="inlineStr">
        <is>
          <t>Front-loading LDPE box with rails, 477x680x620 mm; inner 335x533x590 mm (~105 l, above 80-90 l)</t>
        </is>
      </c>
      <c r="N352" s="28" t="inlineStr">
        <is>
          <t>https://www.allpax.at/product_info.php/info/Hendi-Thermobox-fuer-GN-1-1.html</t>
        </is>
      </c>
      <c r="O352" s="27" t="inlineStr">
        <is>
          <t>Hendi</t>
        </is>
      </c>
      <c r="P352" s="27" t="inlineStr">
        <is>
          <t>excl.</t>
        </is>
      </c>
      <c r="Q352" s="104" t="n"/>
      <c r="R352" s="27" t="n">
        <v>1</v>
      </c>
      <c r="S352" s="27" t="n"/>
      <c r="T352" s="27" t="inlineStr">
        <is>
          <t>CLOSE</t>
        </is>
      </c>
      <c r="U352" s="27" t="inlineStr">
        <is>
          <t>Existing benchmark assignment and match quality retained.</t>
        </is>
      </c>
      <c r="V352" s="102" t="n">
        <v>284</v>
      </c>
      <c r="W352" s="102" t="n"/>
      <c r="X352" s="27" t="inlineStr">
        <is>
          <t>YES Gastro Austria Market Research.xlsx</t>
        </is>
      </c>
      <c r="Y352" s="27" t="n"/>
      <c r="Z352" s="27" t="n"/>
      <c r="AA352" s="27" t="n"/>
      <c r="AB352" s="27" t="inlineStr">
        <is>
          <t>EUR</t>
        </is>
      </c>
      <c r="AC352" s="27" t="inlineStr">
        <is>
          <t>yes</t>
        </is>
      </c>
      <c r="AD352" s="27">
        <f>IF(ISNUMBER(V352),V352,"")</f>
        <v/>
      </c>
      <c r="AE352" s="27">
        <f>IF(AND(AC352="yes",ISNUMBER(F352),IF('Compare'!$H$5="All mapped",TRUE,IF('Compare'!$H$5="EXACT only",J352="EXACT",OR(J352="EXACT",J352="CLOSE")))),"yes","no")</f>
        <v/>
      </c>
      <c r="AF352" s="27">
        <f>IF(ISNUMBER(H352),COUNTIFS($B$7:$B$608,B352,$C$7:$C$608,C352,$H$7:$H$608,"&lt;"&amp;H352,$AH$7:$AH$608,"yes")+COUNTIFS($B$7:B352,B352,$C$7:C352,C352,$H$7:H352,H352,$AH$7:AH352,"yes"),"")</f>
        <v/>
      </c>
      <c r="AG352" s="27">
        <f>IF(ISNUMBER(I352),COUNTIFS($B$7:$B$608,B352,$C$7:$C$608,C352,$I$7:$I$608,"&lt;"&amp;I352,$AI$7:$AI$608,"yes")+COUNTIFS($B$7:B352,B352,$C$7:C352,C352,$I$7:I352,I352,$AI$7:AI352,"yes"),"")</f>
        <v/>
      </c>
      <c r="AH352" s="27">
        <f>IF(ISNUMBER(H352),"yes","no")</f>
        <v/>
      </c>
      <c r="AI352" s="27">
        <f>IF(ISNUMBER(I352),"yes","no")</f>
        <v/>
      </c>
      <c r="AJ352" s="105" t="n">
        <v>46295</v>
      </c>
      <c r="AK352" s="27" t="n"/>
    </row>
    <row r="353" ht="42" customHeight="1">
      <c r="A353" s="2" t="n"/>
      <c r="B353" s="24" t="inlineStr">
        <is>
          <t>Front-load GN 1/1 thermobox, 80–90 L</t>
        </is>
      </c>
      <c r="C353" s="24" t="inlineStr">
        <is>
          <t>Austria</t>
        </is>
      </c>
      <c r="D353" s="24" t="inlineStr">
        <is>
          <t>GastroHero Österreich</t>
        </is>
      </c>
      <c r="E353" s="24" t="inlineStr">
        <is>
          <t>Thermobox ECO GN 1/1 - Frontlader (90 l)</t>
        </is>
      </c>
      <c r="F353" s="98" t="n">
        <v>169.9</v>
      </c>
      <c r="G353" s="24" t="inlineStr">
        <is>
          <t>EUR</t>
        </is>
      </c>
      <c r="H353" s="98">
        <f>IF(AND(AE353="yes",ISNUMBER(AD353)),AD353,"")</f>
        <v/>
      </c>
      <c r="I353" s="99">
        <f>IF(AND(AE353="yes",ISNUMBER(AD353),ISNUMBER(INDEX('Sources'!$G$7:$G$10,MATCH(AB353,'Sources'!$B$7:$B$10,0)))),AD353/INDEX('Sources'!$G$7:$G$10,MATCH(AB353,'Sources'!$B$7:$B$10,0)),"")</f>
        <v/>
      </c>
      <c r="J353" s="24" t="inlineStr">
        <is>
          <t>EXACT</t>
        </is>
      </c>
      <c r="K353" s="24" t="inlineStr">
        <is>
          <t>2026-09-30</t>
        </is>
      </c>
      <c r="L353" s="71" t="n"/>
      <c r="M353" s="24" t="inlineStr">
        <is>
          <t>90 l, 652x445x646 mm; sale price (normal 349.00)</t>
        </is>
      </c>
      <c r="N353" s="25" t="inlineStr">
        <is>
          <t>https://www.gastro-hero.at/products/thermobox-eco-gn-1-1-frontlader-thbe90</t>
        </is>
      </c>
      <c r="O353" s="24" t="inlineStr">
        <is>
          <t>GastroHero</t>
        </is>
      </c>
      <c r="P353" s="24" t="inlineStr">
        <is>
          <t>excl.</t>
        </is>
      </c>
      <c r="Q353" s="100" t="n"/>
      <c r="R353" s="24" t="n">
        <v>1</v>
      </c>
      <c r="S353" s="24" t="n"/>
      <c r="T353" s="24" t="inlineStr">
        <is>
          <t>EXACT</t>
        </is>
      </c>
      <c r="U353" s="24" t="inlineStr">
        <is>
          <t>Existing benchmark assignment and match quality retained.</t>
        </is>
      </c>
      <c r="V353" s="98" t="n">
        <v>169.9</v>
      </c>
      <c r="W353" s="98" t="n"/>
      <c r="X353" s="24" t="inlineStr">
        <is>
          <t>YES Gastro Austria Market Research.xlsx</t>
        </is>
      </c>
      <c r="Y353" s="24" t="n"/>
      <c r="Z353" s="24" t="n"/>
      <c r="AA353" s="24" t="n"/>
      <c r="AB353" s="24" t="inlineStr">
        <is>
          <t>EUR</t>
        </is>
      </c>
      <c r="AC353" s="24" t="inlineStr">
        <is>
          <t>yes</t>
        </is>
      </c>
      <c r="AD353" s="24">
        <f>IF(ISNUMBER(V353),V353,"")</f>
        <v/>
      </c>
      <c r="AE353" s="24">
        <f>IF(AND(AC353="yes",ISNUMBER(F353),IF('Compare'!$H$5="All mapped",TRUE,IF('Compare'!$H$5="EXACT only",J353="EXACT",OR(J353="EXACT",J353="CLOSE")))),"yes","no")</f>
        <v/>
      </c>
      <c r="AF353" s="24">
        <f>IF(ISNUMBER(H353),COUNTIFS($B$7:$B$608,B353,$C$7:$C$608,C353,$H$7:$H$608,"&lt;"&amp;H353,$AH$7:$AH$608,"yes")+COUNTIFS($B$7:B353,B353,$C$7:C353,C353,$H$7:H353,H353,$AH$7:AH353,"yes"),"")</f>
        <v/>
      </c>
      <c r="AG353" s="24">
        <f>IF(ISNUMBER(I353),COUNTIFS($B$7:$B$608,B353,$C$7:$C$608,C353,$I$7:$I$608,"&lt;"&amp;I353,$AI$7:$AI$608,"yes")+COUNTIFS($B$7:B353,B353,$C$7:C353,C353,$I$7:I353,I353,$AI$7:AI353,"yes"),"")</f>
        <v/>
      </c>
      <c r="AH353" s="24">
        <f>IF(ISNUMBER(H353),"yes","no")</f>
        <v/>
      </c>
      <c r="AI353" s="24">
        <f>IF(ISNUMBER(I353),"yes","no")</f>
        <v/>
      </c>
      <c r="AJ353" s="101" t="n">
        <v>46295</v>
      </c>
      <c r="AK353" s="24" t="n"/>
    </row>
    <row r="354" ht="42" customHeight="1">
      <c r="A354" s="2" t="n"/>
      <c r="B354" s="27" t="inlineStr">
        <is>
          <t>Front-load GN 1/1 thermobox, 80–90 L</t>
        </is>
      </c>
      <c r="C354" s="27" t="inlineStr">
        <is>
          <t>Austria</t>
        </is>
      </c>
      <c r="D354" s="27" t="inlineStr">
        <is>
          <t>Gastrodax</t>
        </is>
      </c>
      <c r="E354" s="27" t="inlineStr">
        <is>
          <t>Contacto Thermobox GN 1/1 Frontlader, 12 Auflageschienen</t>
        </is>
      </c>
      <c r="F354" s="102" t="n">
        <v>229.14</v>
      </c>
      <c r="G354" s="27" t="inlineStr">
        <is>
          <t>EUR</t>
        </is>
      </c>
      <c r="H354" s="102">
        <f>IF(AND(AE354="yes",ISNUMBER(AD354)),AD354,"")</f>
        <v/>
      </c>
      <c r="I354" s="103">
        <f>IF(AND(AE354="yes",ISNUMBER(AD354),ISNUMBER(INDEX('Sources'!$G$7:$G$10,MATCH(AB354,'Sources'!$B$7:$B$10,0)))),AD354/INDEX('Sources'!$G$7:$G$10,MATCH(AB354,'Sources'!$B$7:$B$10,0)),"")</f>
        <v/>
      </c>
      <c r="J354" s="27" t="inlineStr">
        <is>
          <t>CLOSE</t>
        </is>
      </c>
      <c r="K354" s="27" t="inlineStr">
        <is>
          <t>2026-09-30</t>
        </is>
      </c>
      <c r="L354" s="71" t="n"/>
      <c r="M354" s="27" t="inlineStr">
        <is>
          <t>Front loader GN 1/1, 495x635x630 mm outside; volume not stated; sale price, normal 342.00</t>
        </is>
      </c>
      <c r="N354" s="28" t="inlineStr">
        <is>
          <t>https://www.gastrodax.de/contacto-thermobox-gn-1-1-1</t>
        </is>
      </c>
      <c r="O354" s="27" t="inlineStr">
        <is>
          <t>Contacto</t>
        </is>
      </c>
      <c r="P354" s="27" t="inlineStr">
        <is>
          <t>excl.</t>
        </is>
      </c>
      <c r="Q354" s="104" t="n"/>
      <c r="R354" s="27" t="n">
        <v>1</v>
      </c>
      <c r="S354" s="27" t="n"/>
      <c r="T354" s="27" t="inlineStr">
        <is>
          <t>CLOSE</t>
        </is>
      </c>
      <c r="U354" s="27" t="inlineStr">
        <is>
          <t>Existing benchmark assignment and match quality retained.</t>
        </is>
      </c>
      <c r="V354" s="102" t="n">
        <v>229.14</v>
      </c>
      <c r="W354" s="102" t="n"/>
      <c r="X354" s="27" t="inlineStr">
        <is>
          <t>YES Gastro Austria Market Research.xlsx</t>
        </is>
      </c>
      <c r="Y354" s="27" t="n"/>
      <c r="Z354" s="27" t="n"/>
      <c r="AA354" s="27" t="n"/>
      <c r="AB354" s="27" t="inlineStr">
        <is>
          <t>EUR</t>
        </is>
      </c>
      <c r="AC354" s="27" t="inlineStr">
        <is>
          <t>yes</t>
        </is>
      </c>
      <c r="AD354" s="27">
        <f>IF(ISNUMBER(V354),V354,"")</f>
        <v/>
      </c>
      <c r="AE354" s="27">
        <f>IF(AND(AC354="yes",ISNUMBER(F354),IF('Compare'!$H$5="All mapped",TRUE,IF('Compare'!$H$5="EXACT only",J354="EXACT",OR(J354="EXACT",J354="CLOSE")))),"yes","no")</f>
        <v/>
      </c>
      <c r="AF354" s="27">
        <f>IF(ISNUMBER(H354),COUNTIFS($B$7:$B$608,B354,$C$7:$C$608,C354,$H$7:$H$608,"&lt;"&amp;H354,$AH$7:$AH$608,"yes")+COUNTIFS($B$7:B354,B354,$C$7:C354,C354,$H$7:H354,H354,$AH$7:AH354,"yes"),"")</f>
        <v/>
      </c>
      <c r="AG354" s="27">
        <f>IF(ISNUMBER(I354),COUNTIFS($B$7:$B$608,B354,$C$7:$C$608,C354,$I$7:$I$608,"&lt;"&amp;I354,$AI$7:$AI$608,"yes")+COUNTIFS($B$7:B354,B354,$C$7:C354,C354,$I$7:I354,I354,$AI$7:AI354,"yes"),"")</f>
        <v/>
      </c>
      <c r="AH354" s="27">
        <f>IF(ISNUMBER(H354),"yes","no")</f>
        <v/>
      </c>
      <c r="AI354" s="27">
        <f>IF(ISNUMBER(I354),"yes","no")</f>
        <v/>
      </c>
      <c r="AJ354" s="105" t="n">
        <v>46295</v>
      </c>
      <c r="AK354" s="27" t="n"/>
    </row>
    <row r="355" ht="42" customHeight="1">
      <c r="A355" s="2" t="n"/>
      <c r="B355" s="24" t="inlineStr">
        <is>
          <t>Front-load GN 1/1 thermobox, 80–90 L</t>
        </is>
      </c>
      <c r="C355" s="24" t="inlineStr">
        <is>
          <t>Austria</t>
        </is>
      </c>
      <c r="D355" s="24" t="inlineStr">
        <is>
          <t>Gastroladen.at (Harotec GmbH)</t>
        </is>
      </c>
      <c r="E355" s="24" t="inlineStr">
        <is>
          <t>Cambro isolierter Frontlader Lebensmitteltransportbehälter 86L</t>
        </is>
      </c>
      <c r="F355" s="98" t="n">
        <v>305.9</v>
      </c>
      <c r="G355" s="24" t="inlineStr">
        <is>
          <t>EUR</t>
        </is>
      </c>
      <c r="H355" s="98">
        <f>IF(AND(AE355="yes",ISNUMBER(AD355)),AD355,"")</f>
        <v/>
      </c>
      <c r="I355" s="99">
        <f>IF(AND(AE355="yes",ISNUMBER(AD355),ISNUMBER(INDEX('Sources'!$G$7:$G$10,MATCH(AB355,'Sources'!$B$7:$B$10,0)))),AD355/INDEX('Sources'!$G$7:$G$10,MATCH(AB355,'Sources'!$B$7:$B$10,0)),"")</f>
        <v/>
      </c>
      <c r="J355" s="24" t="inlineStr">
        <is>
          <t>EXACT</t>
        </is>
      </c>
      <c r="K355" s="24" t="inlineStr">
        <is>
          <t>2026-09-30</t>
        </is>
      </c>
      <c r="L355" s="71" t="n"/>
      <c r="M355" s="24" t="inlineStr">
        <is>
          <t>For 4 x GN 1/1 100 mm; freight 90 EUR; currently out of stock. Thermo Future 93 l front-loader 226.90</t>
        </is>
      </c>
      <c r="N355" s="25" t="inlineStr">
        <is>
          <t>https://www.gastroladen.at/0860@GN-DW565/Cambro-isolierter-Frontlader-Lebensmitteltransportbeh%C3%A4lter-86L.htm</t>
        </is>
      </c>
      <c r="O355" s="24" t="inlineStr">
        <is>
          <t>Cambro</t>
        </is>
      </c>
      <c r="P355" s="24" t="inlineStr">
        <is>
          <t>incl.</t>
        </is>
      </c>
      <c r="Q355" s="100" t="n"/>
      <c r="R355" s="24" t="n">
        <v>1</v>
      </c>
      <c r="S355" s="24" t="n"/>
      <c r="T355" s="24" t="inlineStr">
        <is>
          <t>EXACT</t>
        </is>
      </c>
      <c r="U355" s="24" t="inlineStr">
        <is>
          <t>Existing benchmark assignment and match quality retained.</t>
        </is>
      </c>
      <c r="V355" s="98" t="n">
        <v>254.92</v>
      </c>
      <c r="W355" s="98" t="n"/>
      <c r="X355" s="24" t="inlineStr">
        <is>
          <t>YES Gastro Austria Market Research.xlsx</t>
        </is>
      </c>
      <c r="Y355" s="24" t="n"/>
      <c r="Z355" s="24" t="n"/>
      <c r="AA355" s="24" t="n"/>
      <c r="AB355" s="24" t="inlineStr">
        <is>
          <t>EUR</t>
        </is>
      </c>
      <c r="AC355" s="24" t="inlineStr">
        <is>
          <t>yes</t>
        </is>
      </c>
      <c r="AD355" s="24">
        <f>IF(ISNUMBER(V355),V355,"")</f>
        <v/>
      </c>
      <c r="AE355" s="24">
        <f>IF(AND(AC355="yes",ISNUMBER(F355),IF('Compare'!$H$5="All mapped",TRUE,IF('Compare'!$H$5="EXACT only",J355="EXACT",OR(J355="EXACT",J355="CLOSE")))),"yes","no")</f>
        <v/>
      </c>
      <c r="AF355" s="24">
        <f>IF(ISNUMBER(H355),COUNTIFS($B$7:$B$608,B355,$C$7:$C$608,C355,$H$7:$H$608,"&lt;"&amp;H355,$AH$7:$AH$608,"yes")+COUNTIFS($B$7:B355,B355,$C$7:C355,C355,$H$7:H355,H355,$AH$7:AH355,"yes"),"")</f>
        <v/>
      </c>
      <c r="AG355" s="24">
        <f>IF(ISNUMBER(I355),COUNTIFS($B$7:$B$608,B355,$C$7:$C$608,C355,$I$7:$I$608,"&lt;"&amp;I355,$AI$7:$AI$608,"yes")+COUNTIFS($B$7:B355,B355,$C$7:C355,C355,$I$7:I355,I355,$AI$7:AI355,"yes"),"")</f>
        <v/>
      </c>
      <c r="AH355" s="24">
        <f>IF(ISNUMBER(H355),"yes","no")</f>
        <v/>
      </c>
      <c r="AI355" s="24">
        <f>IF(ISNUMBER(I355),"yes","no")</f>
        <v/>
      </c>
      <c r="AJ355" s="101" t="n">
        <v>46295</v>
      </c>
      <c r="AK355" s="24" t="n"/>
    </row>
    <row r="356" ht="42" customHeight="1">
      <c r="A356" s="2" t="n"/>
      <c r="B356" s="27" t="inlineStr">
        <is>
          <t>Front-load GN 1/1 thermobox, 80–90 L</t>
        </is>
      </c>
      <c r="C356" s="27" t="inlineStr">
        <is>
          <t>Austria</t>
        </is>
      </c>
      <c r="D356" s="27" t="inlineStr">
        <is>
          <t>Intergastro (AT shop)</t>
        </is>
      </c>
      <c r="E356" s="27" t="inlineStr">
        <is>
          <t>Box COMBI schwarz, 12 Einschübe, 83 ltr, 630 x 500 x 580 mm</t>
        </is>
      </c>
      <c r="F356" s="102" t="n">
        <v>265.95</v>
      </c>
      <c r="G356" s="27" t="inlineStr">
        <is>
          <t>EUR</t>
        </is>
      </c>
      <c r="H356" s="102">
        <f>IF(AND(AE356="yes",ISNUMBER(AD356)),AD356,"")</f>
        <v/>
      </c>
      <c r="I356" s="103">
        <f>IF(AND(AE356="yes",ISNUMBER(AD356),ISNUMBER(INDEX('Sources'!$G$7:$G$10,MATCH(AB356,'Sources'!$B$7:$B$10,0)))),AD356/INDEX('Sources'!$G$7:$G$10,MATCH(AB356,'Sources'!$B$7:$B$10,0)),"")</f>
        <v/>
      </c>
      <c r="J356" s="27" t="inlineStr">
        <is>
          <t>EXACT</t>
        </is>
      </c>
      <c r="K356" s="27" t="inlineStr">
        <is>
          <t>2026-09-30</t>
        </is>
      </c>
      <c r="L356" s="71" t="n"/>
      <c r="M356" s="27" t="inlineStr">
        <is>
          <t>Front-loader category; also Schneider Front-Box GN 1/1 91 l at 218.07 net</t>
        </is>
      </c>
      <c r="N356" s="28" t="inlineStr">
        <is>
          <t>https://www.intergastro.at/box-combi-schwarz-12-einschuebe-83-ltr-630-mm-x-500-mm-h-580-mm-305715</t>
        </is>
      </c>
      <c r="O356" s="27" t="inlineStr">
        <is>
          <t>Thermohauser</t>
        </is>
      </c>
      <c r="P356" s="27" t="inlineStr">
        <is>
          <t>excl.</t>
        </is>
      </c>
      <c r="Q356" s="104" t="n"/>
      <c r="R356" s="27" t="n">
        <v>1</v>
      </c>
      <c r="S356" s="27" t="n"/>
      <c r="T356" s="27" t="inlineStr">
        <is>
          <t>EXACT</t>
        </is>
      </c>
      <c r="U356" s="27" t="inlineStr">
        <is>
          <t>Existing benchmark assignment and match quality retained.</t>
        </is>
      </c>
      <c r="V356" s="102" t="n">
        <v>265.95</v>
      </c>
      <c r="W356" s="102" t="n"/>
      <c r="X356" s="27" t="inlineStr">
        <is>
          <t>YES Gastro Austria Market Research.xlsx</t>
        </is>
      </c>
      <c r="Y356" s="27" t="n"/>
      <c r="Z356" s="27" t="n"/>
      <c r="AA356" s="27" t="n"/>
      <c r="AB356" s="27" t="inlineStr">
        <is>
          <t>EUR</t>
        </is>
      </c>
      <c r="AC356" s="27" t="inlineStr">
        <is>
          <t>yes</t>
        </is>
      </c>
      <c r="AD356" s="27">
        <f>IF(ISNUMBER(V356),V356,"")</f>
        <v/>
      </c>
      <c r="AE356" s="27">
        <f>IF(AND(AC356="yes",ISNUMBER(F356),IF('Compare'!$H$5="All mapped",TRUE,IF('Compare'!$H$5="EXACT only",J356="EXACT",OR(J356="EXACT",J356="CLOSE")))),"yes","no")</f>
        <v/>
      </c>
      <c r="AF356" s="27">
        <f>IF(ISNUMBER(H356),COUNTIFS($B$7:$B$608,B356,$C$7:$C$608,C356,$H$7:$H$608,"&lt;"&amp;H356,$AH$7:$AH$608,"yes")+COUNTIFS($B$7:B356,B356,$C$7:C356,C356,$H$7:H356,H356,$AH$7:AH356,"yes"),"")</f>
        <v/>
      </c>
      <c r="AG356" s="27">
        <f>IF(ISNUMBER(I356),COUNTIFS($B$7:$B$608,B356,$C$7:$C$608,C356,$I$7:$I$608,"&lt;"&amp;I356,$AI$7:$AI$608,"yes")+COUNTIFS($B$7:B356,B356,$C$7:C356,C356,$I$7:I356,I356,$AI$7:AI356,"yes"),"")</f>
        <v/>
      </c>
      <c r="AH356" s="27">
        <f>IF(ISNUMBER(H356),"yes","no")</f>
        <v/>
      </c>
      <c r="AI356" s="27">
        <f>IF(ISNUMBER(I356),"yes","no")</f>
        <v/>
      </c>
      <c r="AJ356" s="105" t="n">
        <v>46295</v>
      </c>
      <c r="AK356" s="27" t="n"/>
    </row>
    <row r="357" ht="42" customHeight="1">
      <c r="A357" s="2" t="n"/>
      <c r="B357" s="24" t="inlineStr">
        <is>
          <t>Front-load GN 1/1 thermobox, 80–90 L</t>
        </is>
      </c>
      <c r="C357" s="24" t="inlineStr">
        <is>
          <t>Austria</t>
        </is>
      </c>
      <c r="D357" s="24" t="inlineStr">
        <is>
          <t>shopbuero.com</t>
        </is>
      </c>
      <c r="E357" s="24" t="inlineStr">
        <is>
          <t>FRONT-BOX - 62,8 x 44,5 x 62,5 cm - Inhalt 91 l - GN 1/1 - EPP</t>
        </is>
      </c>
      <c r="F357" s="98" t="n">
        <v>196</v>
      </c>
      <c r="G357" s="24" t="inlineStr">
        <is>
          <t>EUR</t>
        </is>
      </c>
      <c r="H357" s="98">
        <f>IF(AND(AE357="yes",ISNUMBER(AD357)),AD357,"")</f>
        <v/>
      </c>
      <c r="I357" s="99">
        <f>IF(AND(AE357="yes",ISNUMBER(AD357),ISNUMBER(INDEX('Sources'!$G$7:$G$10,MATCH(AB357,'Sources'!$B$7:$B$10,0)))),AD357/INDEX('Sources'!$G$7:$G$10,MATCH(AB357,'Sources'!$B$7:$B$10,0)),"")</f>
        <v/>
      </c>
      <c r="J357" s="24" t="inlineStr">
        <is>
          <t>CLOSE</t>
        </is>
      </c>
      <c r="K357" s="24" t="inlineStr">
        <is>
          <t>2026-09-30</t>
        </is>
      </c>
      <c r="L357" s="71" t="n"/>
      <c r="M357" s="24" t="inlineStr">
        <is>
          <t>91 l (slightly above 80-90 l), EPP front loader; regular price 318.75</t>
        </is>
      </c>
      <c r="N357" s="25" t="inlineStr">
        <is>
          <t>https://shopbuero.com/front-box-62-8-x-44-5-x-62-5-cm-inhalt-91-l-gn-1-1-epp/620660-C</t>
        </is>
      </c>
      <c r="O357" s="24" t="inlineStr">
        <is>
          <t>Schneider</t>
        </is>
      </c>
      <c r="P357" s="24" t="inlineStr">
        <is>
          <t>excl.</t>
        </is>
      </c>
      <c r="Q357" s="100" t="n"/>
      <c r="R357" s="24" t="n">
        <v>1</v>
      </c>
      <c r="S357" s="24" t="n"/>
      <c r="T357" s="24" t="inlineStr">
        <is>
          <t>CLOSE</t>
        </is>
      </c>
      <c r="U357" s="24" t="inlineStr">
        <is>
          <t>Existing benchmark assignment and match quality retained.</t>
        </is>
      </c>
      <c r="V357" s="98" t="n">
        <v>196</v>
      </c>
      <c r="W357" s="98" t="n"/>
      <c r="X357" s="24" t="inlineStr">
        <is>
          <t>YES Gastro Austria Market Research.xlsx</t>
        </is>
      </c>
      <c r="Y357" s="24" t="n"/>
      <c r="Z357" s="24" t="n"/>
      <c r="AA357" s="24" t="n"/>
      <c r="AB357" s="24" t="inlineStr">
        <is>
          <t>EUR</t>
        </is>
      </c>
      <c r="AC357" s="24" t="inlineStr">
        <is>
          <t>yes</t>
        </is>
      </c>
      <c r="AD357" s="24">
        <f>IF(ISNUMBER(V357),V357,"")</f>
        <v/>
      </c>
      <c r="AE357" s="24">
        <f>IF(AND(AC357="yes",ISNUMBER(F357),IF('Compare'!$H$5="All mapped",TRUE,IF('Compare'!$H$5="EXACT only",J357="EXACT",OR(J357="EXACT",J357="CLOSE")))),"yes","no")</f>
        <v/>
      </c>
      <c r="AF357" s="24">
        <f>IF(ISNUMBER(H357),COUNTIFS($B$7:$B$608,B357,$C$7:$C$608,C357,$H$7:$H$608,"&lt;"&amp;H357,$AH$7:$AH$608,"yes")+COUNTIFS($B$7:B357,B357,$C$7:C357,C357,$H$7:H357,H357,$AH$7:AH357,"yes"),"")</f>
        <v/>
      </c>
      <c r="AG357" s="24">
        <f>IF(ISNUMBER(I357),COUNTIFS($B$7:$B$608,B357,$C$7:$C$608,C357,$I$7:$I$608,"&lt;"&amp;I357,$AI$7:$AI$608,"yes")+COUNTIFS($B$7:B357,B357,$C$7:C357,C357,$I$7:I357,I357,$AI$7:AI357,"yes"),"")</f>
        <v/>
      </c>
      <c r="AH357" s="24">
        <f>IF(ISNUMBER(H357),"yes","no")</f>
        <v/>
      </c>
      <c r="AI357" s="24">
        <f>IF(ISNUMBER(I357),"yes","no")</f>
        <v/>
      </c>
      <c r="AJ357" s="101" t="n">
        <v>46295</v>
      </c>
      <c r="AK357" s="24" t="n"/>
    </row>
    <row r="358" ht="42" customHeight="1">
      <c r="A358" s="2" t="n"/>
      <c r="B358" s="27" t="inlineStr">
        <is>
          <t>Front-load GN 1/1 thermobox, 80–90 L</t>
        </is>
      </c>
      <c r="C358" s="27" t="inlineStr">
        <is>
          <t>Germany</t>
        </is>
      </c>
      <c r="D358" s="27" t="inlineStr">
        <is>
          <t>ALLPAX</t>
        </is>
      </c>
      <c r="E358" s="27" t="inlineStr">
        <is>
          <t>Hendi Thermobox für GN 1/1</t>
        </is>
      </c>
      <c r="F358" s="102" t="n">
        <v>284</v>
      </c>
      <c r="G358" s="27" t="inlineStr">
        <is>
          <t>EUR</t>
        </is>
      </c>
      <c r="H358" s="102">
        <f>IF(AND(AE358="yes",ISNUMBER(AD358)),AD358,"")</f>
        <v/>
      </c>
      <c r="I358" s="103">
        <f>IF(AND(AE358="yes",ISNUMBER(AD358),ISNUMBER(INDEX('Sources'!$G$7:$G$10,MATCH(AB358,'Sources'!$B$7:$B$10,0)))),AD358/INDEX('Sources'!$G$7:$G$10,MATCH(AB358,'Sources'!$B$7:$B$10,0)),"")</f>
        <v/>
      </c>
      <c r="J358" s="27" t="inlineStr">
        <is>
          <t>CLOSE</t>
        </is>
      </c>
      <c r="K358" s="27" t="inlineStr">
        <is>
          <t>2026-09-30</t>
        </is>
      </c>
      <c r="L358" s="71" t="n"/>
      <c r="M358" s="27" t="inlineStr">
        <is>
          <t>Front-loading LDPE box with rails, 477x680x620 mm; inner 335x533x590 mm (~105 l, above 80-90 l)</t>
        </is>
      </c>
      <c r="N358" s="28" t="inlineStr">
        <is>
          <t>https://www.allpax.de/product_info.php/info/Hendi-Thermobox-fuer-GN-1-1.html</t>
        </is>
      </c>
      <c r="O358" s="27" t="inlineStr">
        <is>
          <t>Hendi</t>
        </is>
      </c>
      <c r="P358" s="27" t="inlineStr">
        <is>
          <t>excl.</t>
        </is>
      </c>
      <c r="Q358" s="104" t="n"/>
      <c r="R358" s="27" t="n">
        <v>1</v>
      </c>
      <c r="S358" s="27" t="n"/>
      <c r="T358" s="27" t="inlineStr">
        <is>
          <t>CLOSE</t>
        </is>
      </c>
      <c r="U358" s="27" t="inlineStr">
        <is>
          <t>Existing benchmark assignment and match quality retained.</t>
        </is>
      </c>
      <c r="V358" s="102" t="n">
        <v>284</v>
      </c>
      <c r="W358" s="102" t="n"/>
      <c r="X358" s="27" t="inlineStr">
        <is>
          <t>YES Gastro Germany Market Research.xlsx</t>
        </is>
      </c>
      <c r="Y358" s="27" t="n"/>
      <c r="Z358" s="27" t="n"/>
      <c r="AA358" s="27" t="n"/>
      <c r="AB358" s="27" t="inlineStr">
        <is>
          <t>EUR</t>
        </is>
      </c>
      <c r="AC358" s="27" t="inlineStr">
        <is>
          <t>yes</t>
        </is>
      </c>
      <c r="AD358" s="27">
        <f>IF(ISNUMBER(V358),V358,"")</f>
        <v/>
      </c>
      <c r="AE358" s="27">
        <f>IF(AND(AC358="yes",ISNUMBER(F358),IF('Compare'!$H$5="All mapped",TRUE,IF('Compare'!$H$5="EXACT only",J358="EXACT",OR(J358="EXACT",J358="CLOSE")))),"yes","no")</f>
        <v/>
      </c>
      <c r="AF358" s="27">
        <f>IF(ISNUMBER(H358),COUNTIFS($B$7:$B$608,B358,$C$7:$C$608,C358,$H$7:$H$608,"&lt;"&amp;H358,$AH$7:$AH$608,"yes")+COUNTIFS($B$7:B358,B358,$C$7:C358,C358,$H$7:H358,H358,$AH$7:AH358,"yes"),"")</f>
        <v/>
      </c>
      <c r="AG358" s="27">
        <f>IF(ISNUMBER(I358),COUNTIFS($B$7:$B$608,B358,$C$7:$C$608,C358,$I$7:$I$608,"&lt;"&amp;I358,$AI$7:$AI$608,"yes")+COUNTIFS($B$7:B358,B358,$C$7:C358,C358,$I$7:I358,I358,$AI$7:AI358,"yes"),"")</f>
        <v/>
      </c>
      <c r="AH358" s="27">
        <f>IF(ISNUMBER(H358),"yes","no")</f>
        <v/>
      </c>
      <c r="AI358" s="27">
        <f>IF(ISNUMBER(I358),"yes","no")</f>
        <v/>
      </c>
      <c r="AJ358" s="105" t="n">
        <v>46295</v>
      </c>
      <c r="AK358" s="27" t="n"/>
    </row>
    <row r="359" ht="42" customHeight="1">
      <c r="A359" s="2" t="n"/>
      <c r="B359" s="24" t="inlineStr">
        <is>
          <t>Front-load GN 1/1 thermobox, 80–90 L</t>
        </is>
      </c>
      <c r="C359" s="24" t="inlineStr">
        <is>
          <t>Germany</t>
        </is>
      </c>
      <c r="D359" s="24" t="inlineStr">
        <is>
          <t>GGM Gastro</t>
        </is>
      </c>
      <c r="E359" s="24" t="inlineStr">
        <is>
          <t>Porter - Frontlader - 83 Liter - für 12x GN 1/1</t>
        </is>
      </c>
      <c r="F359" s="98" t="n">
        <v>274.99</v>
      </c>
      <c r="G359" s="24" t="inlineStr">
        <is>
          <t>EUR</t>
        </is>
      </c>
      <c r="H359" s="98">
        <f>IF(AND(AE359="yes",ISNUMBER(AD359)),AD359,"")</f>
        <v/>
      </c>
      <c r="I359" s="99">
        <f>IF(AND(AE359="yes",ISNUMBER(AD359),ISNUMBER(INDEX('Sources'!$G$7:$G$10,MATCH(AB359,'Sources'!$B$7:$B$10,0)))),AD359/INDEX('Sources'!$G$7:$G$10,MATCH(AB359,'Sources'!$B$7:$B$10,0)),"")</f>
        <v/>
      </c>
      <c r="J359" s="24" t="inlineStr">
        <is>
          <t>EXACT</t>
        </is>
      </c>
      <c r="K359" s="24" t="inlineStr">
        <is>
          <t>2026-09-30</t>
        </is>
      </c>
      <c r="L359" s="71" t="n"/>
      <c r="M359" s="24" t="inlineStr">
        <is>
          <t>PP, 83 l. Cheaper PU 'Thermobox Frontlader 92 l' (tpbe92): 115.99 net</t>
        </is>
      </c>
      <c r="N359" s="25" t="inlineStr">
        <is>
          <t>https://www.ggmgastro.com/de-de-eur/porter-frontlader-83-liter-fuer-12x-gn-1-1-plb-300</t>
        </is>
      </c>
      <c r="O359" s="24" t="inlineStr">
        <is>
          <t>GGM</t>
        </is>
      </c>
      <c r="P359" s="24" t="inlineStr">
        <is>
          <t>excl.</t>
        </is>
      </c>
      <c r="Q359" s="100" t="n"/>
      <c r="R359" s="24" t="n">
        <v>1</v>
      </c>
      <c r="S359" s="24" t="n"/>
      <c r="T359" s="24" t="inlineStr">
        <is>
          <t>EXACT</t>
        </is>
      </c>
      <c r="U359" s="24" t="inlineStr">
        <is>
          <t>Existing benchmark assignment and match quality retained.</t>
        </is>
      </c>
      <c r="V359" s="98" t="n">
        <v>274.99</v>
      </c>
      <c r="W359" s="98" t="n"/>
      <c r="X359" s="24" t="inlineStr">
        <is>
          <t>YES Gastro Germany Market Research.xlsx</t>
        </is>
      </c>
      <c r="Y359" s="24" t="n"/>
      <c r="Z359" s="24" t="n"/>
      <c r="AA359" s="24" t="n"/>
      <c r="AB359" s="24" t="inlineStr">
        <is>
          <t>EUR</t>
        </is>
      </c>
      <c r="AC359" s="24" t="inlineStr">
        <is>
          <t>yes</t>
        </is>
      </c>
      <c r="AD359" s="24">
        <f>IF(ISNUMBER(V359),V359,"")</f>
        <v/>
      </c>
      <c r="AE359" s="24">
        <f>IF(AND(AC359="yes",ISNUMBER(F359),IF('Compare'!$H$5="All mapped",TRUE,IF('Compare'!$H$5="EXACT only",J359="EXACT",OR(J359="EXACT",J359="CLOSE")))),"yes","no")</f>
        <v/>
      </c>
      <c r="AF359" s="24">
        <f>IF(ISNUMBER(H359),COUNTIFS($B$7:$B$608,B359,$C$7:$C$608,C359,$H$7:$H$608,"&lt;"&amp;H359,$AH$7:$AH$608,"yes")+COUNTIFS($B$7:B359,B359,$C$7:C359,C359,$H$7:H359,H359,$AH$7:AH359,"yes"),"")</f>
        <v/>
      </c>
      <c r="AG359" s="24">
        <f>IF(ISNUMBER(I359),COUNTIFS($B$7:$B$608,B359,$C$7:$C$608,C359,$I$7:$I$608,"&lt;"&amp;I359,$AI$7:$AI$608,"yes")+COUNTIFS($B$7:B359,B359,$C$7:C359,C359,$I$7:I359,I359,$AI$7:AI359,"yes"),"")</f>
        <v/>
      </c>
      <c r="AH359" s="24">
        <f>IF(ISNUMBER(H359),"yes","no")</f>
        <v/>
      </c>
      <c r="AI359" s="24">
        <f>IF(ISNUMBER(I359),"yes","no")</f>
        <v/>
      </c>
      <c r="AJ359" s="101" t="n">
        <v>46295</v>
      </c>
      <c r="AK359" s="24" t="n"/>
    </row>
    <row r="360" ht="42" customHeight="1">
      <c r="A360" s="2" t="n"/>
      <c r="B360" s="27" t="inlineStr">
        <is>
          <t>Front-load GN 1/1 thermobox, 80–90 L</t>
        </is>
      </c>
      <c r="C360" s="27" t="inlineStr">
        <is>
          <t>Germany</t>
        </is>
      </c>
      <c r="D360" s="27" t="inlineStr">
        <is>
          <t>GastroHero</t>
        </is>
      </c>
      <c r="E360" s="27" t="inlineStr">
        <is>
          <t>Thermobox ECO GN 1/1 - Frontlader (90 l)</t>
        </is>
      </c>
      <c r="F360" s="102" t="n">
        <v>169.9</v>
      </c>
      <c r="G360" s="27" t="inlineStr">
        <is>
          <t>EUR</t>
        </is>
      </c>
      <c r="H360" s="102">
        <f>IF(AND(AE360="yes",ISNUMBER(AD360)),AD360,"")</f>
        <v/>
      </c>
      <c r="I360" s="103">
        <f>IF(AND(AE360="yes",ISNUMBER(AD360),ISNUMBER(INDEX('Sources'!$G$7:$G$10,MATCH(AB360,'Sources'!$B$7:$B$10,0)))),AD360/INDEX('Sources'!$G$7:$G$10,MATCH(AB360,'Sources'!$B$7:$B$10,0)),"")</f>
        <v/>
      </c>
      <c r="J360" s="27" t="inlineStr">
        <is>
          <t>EXACT</t>
        </is>
      </c>
      <c r="K360" s="27" t="inlineStr">
        <is>
          <t>2026-09-30</t>
        </is>
      </c>
      <c r="L360" s="71" t="n"/>
      <c r="M360" s="27" t="inlineStr">
        <is>
          <t>90 l; sale price (normal 349.00 net)</t>
        </is>
      </c>
      <c r="N360" s="28" t="inlineStr">
        <is>
          <t>https://www.gastro-hero.de/products/thermobox-eco-gn-1-1-frontlader-thbe90</t>
        </is>
      </c>
      <c r="O360" s="27" t="inlineStr">
        <is>
          <t>GastroHero</t>
        </is>
      </c>
      <c r="P360" s="27" t="inlineStr">
        <is>
          <t>excl.</t>
        </is>
      </c>
      <c r="Q360" s="104" t="n"/>
      <c r="R360" s="27" t="n">
        <v>1</v>
      </c>
      <c r="S360" s="27" t="n"/>
      <c r="T360" s="27" t="inlineStr">
        <is>
          <t>EXACT</t>
        </is>
      </c>
      <c r="U360" s="27" t="inlineStr">
        <is>
          <t>Existing benchmark assignment and match quality retained.</t>
        </is>
      </c>
      <c r="V360" s="102" t="n">
        <v>169.9</v>
      </c>
      <c r="W360" s="102" t="n"/>
      <c r="X360" s="27" t="inlineStr">
        <is>
          <t>YES Gastro Germany Market Research.xlsx</t>
        </is>
      </c>
      <c r="Y360" s="27" t="n"/>
      <c r="Z360" s="27" t="n"/>
      <c r="AA360" s="27" t="n"/>
      <c r="AB360" s="27" t="inlineStr">
        <is>
          <t>EUR</t>
        </is>
      </c>
      <c r="AC360" s="27" t="inlineStr">
        <is>
          <t>yes</t>
        </is>
      </c>
      <c r="AD360" s="27">
        <f>IF(ISNUMBER(V360),V360,"")</f>
        <v/>
      </c>
      <c r="AE360" s="27">
        <f>IF(AND(AC360="yes",ISNUMBER(F360),IF('Compare'!$H$5="All mapped",TRUE,IF('Compare'!$H$5="EXACT only",J360="EXACT",OR(J360="EXACT",J360="CLOSE")))),"yes","no")</f>
        <v/>
      </c>
      <c r="AF360" s="27">
        <f>IF(ISNUMBER(H360),COUNTIFS($B$7:$B$608,B360,$C$7:$C$608,C360,$H$7:$H$608,"&lt;"&amp;H360,$AH$7:$AH$608,"yes")+COUNTIFS($B$7:B360,B360,$C$7:C360,C360,$H$7:H360,H360,$AH$7:AH360,"yes"),"")</f>
        <v/>
      </c>
      <c r="AG360" s="27">
        <f>IF(ISNUMBER(I360),COUNTIFS($B$7:$B$608,B360,$C$7:$C$608,C360,$I$7:$I$608,"&lt;"&amp;I360,$AI$7:$AI$608,"yes")+COUNTIFS($B$7:B360,B360,$C$7:C360,C360,$I$7:I360,I360,$AI$7:AI360,"yes"),"")</f>
        <v/>
      </c>
      <c r="AH360" s="27">
        <f>IF(ISNUMBER(H360),"yes","no")</f>
        <v/>
      </c>
      <c r="AI360" s="27">
        <f>IF(ISNUMBER(I360),"yes","no")</f>
        <v/>
      </c>
      <c r="AJ360" s="105" t="n">
        <v>46295</v>
      </c>
      <c r="AK360" s="27" t="n"/>
    </row>
    <row r="361" ht="42" customHeight="1">
      <c r="A361" s="2" t="n"/>
      <c r="B361" s="24" t="inlineStr">
        <is>
          <t>Front-load GN 1/1 thermobox, 80–90 L</t>
        </is>
      </c>
      <c r="C361" s="24" t="inlineStr">
        <is>
          <t>Germany</t>
        </is>
      </c>
      <c r="D361" s="24" t="inlineStr">
        <is>
          <t>Gastrodax [substitute]</t>
        </is>
      </c>
      <c r="E361" s="24" t="inlineStr">
        <is>
          <t>Contacto Thermobox GN 1/1 Frontlader, 12 Auflageschienen</t>
        </is>
      </c>
      <c r="F361" s="98" t="n">
        <v>229.14</v>
      </c>
      <c r="G361" s="24" t="inlineStr">
        <is>
          <t>EUR</t>
        </is>
      </c>
      <c r="H361" s="98">
        <f>IF(AND(AE361="yes",ISNUMBER(AD361)),AD361,"")</f>
        <v/>
      </c>
      <c r="I361" s="99">
        <f>IF(AND(AE361="yes",ISNUMBER(AD361),ISNUMBER(INDEX('Sources'!$G$7:$G$10,MATCH(AB361,'Sources'!$B$7:$B$10,0)))),AD361/INDEX('Sources'!$G$7:$G$10,MATCH(AB361,'Sources'!$B$7:$B$10,0)),"")</f>
        <v/>
      </c>
      <c r="J361" s="24" t="inlineStr">
        <is>
          <t>CLOSE</t>
        </is>
      </c>
      <c r="K361" s="24" t="inlineStr">
        <is>
          <t>2026-09-30</t>
        </is>
      </c>
      <c r="L361" s="71" t="n"/>
      <c r="M361" s="24" t="inlineStr">
        <is>
          <t>Front loader GN 1/1, 495x635x630 mm outside; volume not stated; sale price, normal 342.00</t>
        </is>
      </c>
      <c r="N361" s="25" t="inlineStr">
        <is>
          <t>https://www.gastrodax.de/contacto-thermobox-gn-1-1-1</t>
        </is>
      </c>
      <c r="O361" s="24" t="inlineStr">
        <is>
          <t>Contacto</t>
        </is>
      </c>
      <c r="P361" s="24" t="inlineStr">
        <is>
          <t>excl.</t>
        </is>
      </c>
      <c r="Q361" s="100" t="n"/>
      <c r="R361" s="24" t="n">
        <v>1</v>
      </c>
      <c r="S361" s="24" t="n"/>
      <c r="T361" s="24" t="inlineStr">
        <is>
          <t>CLOSE</t>
        </is>
      </c>
      <c r="U361" s="24" t="inlineStr">
        <is>
          <t>Existing benchmark assignment and match quality retained.</t>
        </is>
      </c>
      <c r="V361" s="98" t="n">
        <v>229.14</v>
      </c>
      <c r="W361" s="98" t="n"/>
      <c r="X361" s="24" t="inlineStr">
        <is>
          <t>YES Gastro Germany Market Research.xlsx</t>
        </is>
      </c>
      <c r="Y361" s="24" t="n"/>
      <c r="Z361" s="24" t="n"/>
      <c r="AA361" s="24" t="n"/>
      <c r="AB361" s="24" t="inlineStr">
        <is>
          <t>EUR</t>
        </is>
      </c>
      <c r="AC361" s="24" t="inlineStr">
        <is>
          <t>yes</t>
        </is>
      </c>
      <c r="AD361" s="24">
        <f>IF(ISNUMBER(V361),V361,"")</f>
        <v/>
      </c>
      <c r="AE361" s="24">
        <f>IF(AND(AC361="yes",ISNUMBER(F361),IF('Compare'!$H$5="All mapped",TRUE,IF('Compare'!$H$5="EXACT only",J361="EXACT",OR(J361="EXACT",J361="CLOSE")))),"yes","no")</f>
        <v/>
      </c>
      <c r="AF361" s="24">
        <f>IF(ISNUMBER(H361),COUNTIFS($B$7:$B$608,B361,$C$7:$C$608,C361,$H$7:$H$608,"&lt;"&amp;H361,$AH$7:$AH$608,"yes")+COUNTIFS($B$7:B361,B361,$C$7:C361,C361,$H$7:H361,H361,$AH$7:AH361,"yes"),"")</f>
        <v/>
      </c>
      <c r="AG361" s="24">
        <f>IF(ISNUMBER(I361),COUNTIFS($B$7:$B$608,B361,$C$7:$C$608,C361,$I$7:$I$608,"&lt;"&amp;I361,$AI$7:$AI$608,"yes")+COUNTIFS($B$7:B361,B361,$C$7:C361,C361,$I$7:I361,I361,$AI$7:AI361,"yes"),"")</f>
        <v/>
      </c>
      <c r="AH361" s="24">
        <f>IF(ISNUMBER(H361),"yes","no")</f>
        <v/>
      </c>
      <c r="AI361" s="24">
        <f>IF(ISNUMBER(I361),"yes","no")</f>
        <v/>
      </c>
      <c r="AJ361" s="101" t="n">
        <v>46295</v>
      </c>
      <c r="AK361" s="24" t="n"/>
    </row>
    <row r="362" ht="42" customHeight="1">
      <c r="A362" s="2" t="n"/>
      <c r="B362" s="27" t="inlineStr">
        <is>
          <t>Front-load GN 1/1 thermobox, 80–90 L</t>
        </is>
      </c>
      <c r="C362" s="27" t="inlineStr">
        <is>
          <t>Germany</t>
        </is>
      </c>
      <c r="D362" s="27" t="inlineStr">
        <is>
          <t>Gastroladen.de (Harotec GmbH) [substitute]</t>
        </is>
      </c>
      <c r="E362" s="27" t="inlineStr">
        <is>
          <t>Cambro isolierter Frontlader Lebensmitteltransportbehälter 86L</t>
        </is>
      </c>
      <c r="F362" s="102" t="n">
        <v>324.9</v>
      </c>
      <c r="G362" s="27" t="inlineStr">
        <is>
          <t>EUR</t>
        </is>
      </c>
      <c r="H362" s="102">
        <f>IF(AND(AE362="yes",ISNUMBER(AD362)),AD362,"")</f>
        <v/>
      </c>
      <c r="I362" s="103">
        <f>IF(AND(AE362="yes",ISNUMBER(AD362),ISNUMBER(INDEX('Sources'!$G$7:$G$10,MATCH(AB362,'Sources'!$B$7:$B$10,0)))),AD362/INDEX('Sources'!$G$7:$G$10,MATCH(AB362,'Sources'!$B$7:$B$10,0)),"")</f>
        <v/>
      </c>
      <c r="J362" s="27" t="inlineStr">
        <is>
          <t>EXACT</t>
        </is>
      </c>
      <c r="K362" s="27" t="inlineStr">
        <is>
          <t>2026-09-30</t>
        </is>
      </c>
      <c r="L362" s="71" t="n"/>
      <c r="M362" s="27" t="inlineStr">
        <is>
          <t>For 4 x GN 1/1 100 mm; bulky item</t>
        </is>
      </c>
      <c r="N362" s="28" t="inlineStr">
        <is>
          <t>https://www.gastroladen.de/0860@GN-DW565/Cambro-isolierter-Frontlader-Lebensmitteltransportbeh%C3%A4lter-86L.htm</t>
        </is>
      </c>
      <c r="O362" s="27" t="inlineStr">
        <is>
          <t>Cambro</t>
        </is>
      </c>
      <c r="P362" s="27" t="inlineStr">
        <is>
          <t>incl.</t>
        </is>
      </c>
      <c r="Q362" s="104" t="n"/>
      <c r="R362" s="27" t="n">
        <v>1</v>
      </c>
      <c r="S362" s="27" t="n"/>
      <c r="T362" s="27" t="inlineStr">
        <is>
          <t>EXACT</t>
        </is>
      </c>
      <c r="U362" s="27" t="inlineStr">
        <is>
          <t>Existing benchmark assignment and match quality retained.</t>
        </is>
      </c>
      <c r="V362" s="102" t="n">
        <v>273.03</v>
      </c>
      <c r="W362" s="102" t="n"/>
      <c r="X362" s="27" t="inlineStr">
        <is>
          <t>YES Gastro Germany Market Research.xlsx</t>
        </is>
      </c>
      <c r="Y362" s="27" t="n"/>
      <c r="Z362" s="27" t="n"/>
      <c r="AA362" s="27" t="n"/>
      <c r="AB362" s="27" t="inlineStr">
        <is>
          <t>EUR</t>
        </is>
      </c>
      <c r="AC362" s="27" t="inlineStr">
        <is>
          <t>yes</t>
        </is>
      </c>
      <c r="AD362" s="27">
        <f>IF(ISNUMBER(V362),V362,"")</f>
        <v/>
      </c>
      <c r="AE362" s="27">
        <f>IF(AND(AC362="yes",ISNUMBER(F362),IF('Compare'!$H$5="All mapped",TRUE,IF('Compare'!$H$5="EXACT only",J362="EXACT",OR(J362="EXACT",J362="CLOSE")))),"yes","no")</f>
        <v/>
      </c>
      <c r="AF362" s="27">
        <f>IF(ISNUMBER(H362),COUNTIFS($B$7:$B$608,B362,$C$7:$C$608,C362,$H$7:$H$608,"&lt;"&amp;H362,$AH$7:$AH$608,"yes")+COUNTIFS($B$7:B362,B362,$C$7:C362,C362,$H$7:H362,H362,$AH$7:AH362,"yes"),"")</f>
        <v/>
      </c>
      <c r="AG362" s="27">
        <f>IF(ISNUMBER(I362),COUNTIFS($B$7:$B$608,B362,$C$7:$C$608,C362,$I$7:$I$608,"&lt;"&amp;I362,$AI$7:$AI$608,"yes")+COUNTIFS($B$7:B362,B362,$C$7:C362,C362,$I$7:I362,I362,$AI$7:AI362,"yes"),"")</f>
        <v/>
      </c>
      <c r="AH362" s="27">
        <f>IF(ISNUMBER(H362),"yes","no")</f>
        <v/>
      </c>
      <c r="AI362" s="27">
        <f>IF(ISNUMBER(I362),"yes","no")</f>
        <v/>
      </c>
      <c r="AJ362" s="105" t="n">
        <v>46295</v>
      </c>
      <c r="AK362" s="27" t="n"/>
    </row>
    <row r="363" ht="42" customHeight="1">
      <c r="A363" s="2" t="n"/>
      <c r="B363" s="24" t="inlineStr">
        <is>
          <t>Front-load GN 1/1 thermobox, 80–90 L</t>
        </is>
      </c>
      <c r="C363" s="24" t="inlineStr">
        <is>
          <t>Germany</t>
        </is>
      </c>
      <c r="D363" s="24" t="inlineStr">
        <is>
          <t>Intergastro</t>
        </is>
      </c>
      <c r="E363" s="24" t="inlineStr">
        <is>
          <t>Box COMBI schwarz, 12 Einschübe, 83 ltr, 630 x 500 x 580 mm</t>
        </is>
      </c>
      <c r="F363" s="98" t="n">
        <v>265.95</v>
      </c>
      <c r="G363" s="24" t="inlineStr">
        <is>
          <t>EUR</t>
        </is>
      </c>
      <c r="H363" s="98">
        <f>IF(AND(AE363="yes",ISNUMBER(AD363)),AD363,"")</f>
        <v/>
      </c>
      <c r="I363" s="99">
        <f>IF(AND(AE363="yes",ISNUMBER(AD363),ISNUMBER(INDEX('Sources'!$G$7:$G$10,MATCH(AB363,'Sources'!$B$7:$B$10,0)))),AD363/INDEX('Sources'!$G$7:$G$10,MATCH(AB363,'Sources'!$B$7:$B$10,0)),"")</f>
        <v/>
      </c>
      <c r="J363" s="24" t="inlineStr">
        <is>
          <t>EXACT</t>
        </is>
      </c>
      <c r="K363" s="24" t="inlineStr">
        <is>
          <t>2026-09-30</t>
        </is>
      </c>
      <c r="L363" s="71" t="n"/>
      <c r="M363" s="24" t="inlineStr">
        <is>
          <t>Front-loader category; also Schneider Front-Box GN 1/1 91 l at 218.07 net</t>
        </is>
      </c>
      <c r="N363" s="25" t="inlineStr">
        <is>
          <t>https://www.intergastro.de/box-combi-schwarz-12-einschuebe-83-ltr-630-mm-x-500-mm-h-580-mm-305715</t>
        </is>
      </c>
      <c r="O363" s="24" t="inlineStr">
        <is>
          <t>Thermohauser</t>
        </is>
      </c>
      <c r="P363" s="24" t="inlineStr">
        <is>
          <t>excl.</t>
        </is>
      </c>
      <c r="Q363" s="100" t="n"/>
      <c r="R363" s="24" t="n">
        <v>1</v>
      </c>
      <c r="S363" s="24" t="n"/>
      <c r="T363" s="24" t="inlineStr">
        <is>
          <t>EXACT</t>
        </is>
      </c>
      <c r="U363" s="24" t="inlineStr">
        <is>
          <t>Existing benchmark assignment and match quality retained.</t>
        </is>
      </c>
      <c r="V363" s="98" t="n">
        <v>265.95</v>
      </c>
      <c r="W363" s="98" t="n"/>
      <c r="X363" s="24" t="inlineStr">
        <is>
          <t>YES Gastro Germany Market Research.xlsx</t>
        </is>
      </c>
      <c r="Y363" s="24" t="n"/>
      <c r="Z363" s="24" t="n"/>
      <c r="AA363" s="24" t="n"/>
      <c r="AB363" s="24" t="inlineStr">
        <is>
          <t>EUR</t>
        </is>
      </c>
      <c r="AC363" s="24" t="inlineStr">
        <is>
          <t>yes</t>
        </is>
      </c>
      <c r="AD363" s="24">
        <f>IF(ISNUMBER(V363),V363,"")</f>
        <v/>
      </c>
      <c r="AE363" s="24">
        <f>IF(AND(AC363="yes",ISNUMBER(F363),IF('Compare'!$H$5="All mapped",TRUE,IF('Compare'!$H$5="EXACT only",J363="EXACT",OR(J363="EXACT",J363="CLOSE")))),"yes","no")</f>
        <v/>
      </c>
      <c r="AF363" s="24">
        <f>IF(ISNUMBER(H363),COUNTIFS($B$7:$B$608,B363,$C$7:$C$608,C363,$H$7:$H$608,"&lt;"&amp;H363,$AH$7:$AH$608,"yes")+COUNTIFS($B$7:B363,B363,$C$7:C363,C363,$H$7:H363,H363,$AH$7:AH363,"yes"),"")</f>
        <v/>
      </c>
      <c r="AG363" s="24">
        <f>IF(ISNUMBER(I363),COUNTIFS($B$7:$B$608,B363,$C$7:$C$608,C363,$I$7:$I$608,"&lt;"&amp;I363,$AI$7:$AI$608,"yes")+COUNTIFS($B$7:B363,B363,$C$7:C363,C363,$I$7:I363,I363,$AI$7:AI363,"yes"),"")</f>
        <v/>
      </c>
      <c r="AH363" s="24">
        <f>IF(ISNUMBER(H363),"yes","no")</f>
        <v/>
      </c>
      <c r="AI363" s="24">
        <f>IF(ISNUMBER(I363),"yes","no")</f>
        <v/>
      </c>
      <c r="AJ363" s="101" t="n">
        <v>46295</v>
      </c>
      <c r="AK363" s="24" t="n"/>
    </row>
    <row r="364" ht="42" customHeight="1">
      <c r="A364" s="2" t="n"/>
      <c r="B364" s="27" t="inlineStr">
        <is>
          <t>Front-load GN 1/1 thermobox, 80–90 L</t>
        </is>
      </c>
      <c r="C364" s="27" t="inlineStr">
        <is>
          <t>Germany</t>
        </is>
      </c>
      <c r="D364" s="27" t="inlineStr">
        <is>
          <t>Nisbets</t>
        </is>
      </c>
      <c r="E364" s="27" t="inlineStr">
        <is>
          <t>Cambro isolierter Frontlader Lebensmitteltransportbehälter 86Ltr</t>
        </is>
      </c>
      <c r="F364" s="102" t="n">
        <v>239.99</v>
      </c>
      <c r="G364" s="27" t="inlineStr">
        <is>
          <t>EUR</t>
        </is>
      </c>
      <c r="H364" s="102">
        <f>IF(AND(AE364="yes",ISNUMBER(AD364)),AD364,"")</f>
        <v/>
      </c>
      <c r="I364" s="103">
        <f>IF(AND(AE364="yes",ISNUMBER(AD364),ISNUMBER(INDEX('Sources'!$G$7:$G$10,MATCH(AB364,'Sources'!$B$7:$B$10,0)))),AD364/INDEX('Sources'!$G$7:$G$10,MATCH(AB364,'Sources'!$B$7:$B$10,0)),"")</f>
        <v/>
      </c>
      <c r="J364" s="27" t="inlineStr">
        <is>
          <t>EXACT</t>
        </is>
      </c>
      <c r="K364" s="27" t="inlineStr">
        <is>
          <t>2026-09-30</t>
        </is>
      </c>
      <c r="L364" s="71" t="n"/>
      <c r="M364" s="27" t="inlineStr">
        <is>
          <t>For 4 x GN 1/1 100 mm, PP; out of stock; UVP 264.99. Thermo Future 93 l front-loader (DL990) 209.99</t>
        </is>
      </c>
      <c r="N364" s="28" t="inlineStr">
        <is>
          <t>https://www.nisbets.de/cambro-isolierter-frontlader-lebensmitteltransportbehaelter-86ltr/dw565</t>
        </is>
      </c>
      <c r="O364" s="27" t="inlineStr">
        <is>
          <t>Cambro</t>
        </is>
      </c>
      <c r="P364" s="27" t="inlineStr">
        <is>
          <t>excl.</t>
        </is>
      </c>
      <c r="Q364" s="104" t="n"/>
      <c r="R364" s="27" t="n">
        <v>1</v>
      </c>
      <c r="S364" s="27" t="n"/>
      <c r="T364" s="27" t="inlineStr">
        <is>
          <t>EXACT</t>
        </is>
      </c>
      <c r="U364" s="27" t="inlineStr">
        <is>
          <t>Existing benchmark assignment and match quality retained.</t>
        </is>
      </c>
      <c r="V364" s="102" t="n">
        <v>239.99</v>
      </c>
      <c r="W364" s="102" t="n"/>
      <c r="X364" s="27" t="inlineStr">
        <is>
          <t>YES Gastro Germany Market Research.xlsx</t>
        </is>
      </c>
      <c r="Y364" s="27" t="n"/>
      <c r="Z364" s="27" t="n"/>
      <c r="AA364" s="27" t="n"/>
      <c r="AB364" s="27" t="inlineStr">
        <is>
          <t>EUR</t>
        </is>
      </c>
      <c r="AC364" s="27" t="inlineStr">
        <is>
          <t>yes</t>
        </is>
      </c>
      <c r="AD364" s="27">
        <f>IF(ISNUMBER(V364),V364,"")</f>
        <v/>
      </c>
      <c r="AE364" s="27">
        <f>IF(AND(AC364="yes",ISNUMBER(F364),IF('Compare'!$H$5="All mapped",TRUE,IF('Compare'!$H$5="EXACT only",J364="EXACT",OR(J364="EXACT",J364="CLOSE")))),"yes","no")</f>
        <v/>
      </c>
      <c r="AF364" s="27">
        <f>IF(ISNUMBER(H364),COUNTIFS($B$7:$B$608,B364,$C$7:$C$608,C364,$H$7:$H$608,"&lt;"&amp;H364,$AH$7:$AH$608,"yes")+COUNTIFS($B$7:B364,B364,$C$7:C364,C364,$H$7:H364,H364,$AH$7:AH364,"yes"),"")</f>
        <v/>
      </c>
      <c r="AG364" s="27">
        <f>IF(ISNUMBER(I364),COUNTIFS($B$7:$B$608,B364,$C$7:$C$608,C364,$I$7:$I$608,"&lt;"&amp;I364,$AI$7:$AI$608,"yes")+COUNTIFS($B$7:B364,B364,$C$7:C364,C364,$I$7:I364,I364,$AI$7:AI364,"yes"),"")</f>
        <v/>
      </c>
      <c r="AH364" s="27">
        <f>IF(ISNUMBER(H364),"yes","no")</f>
        <v/>
      </c>
      <c r="AI364" s="27">
        <f>IF(ISNUMBER(I364),"yes","no")</f>
        <v/>
      </c>
      <c r="AJ364" s="105" t="n">
        <v>46295</v>
      </c>
      <c r="AK364" s="27" t="n"/>
    </row>
    <row r="365" ht="52" customHeight="1">
      <c r="A365" s="2" t="n"/>
      <c r="B365" s="24" t="inlineStr">
        <is>
          <t>Front-load GN 1/1 thermobox, 80–90 L</t>
        </is>
      </c>
      <c r="C365" s="24" t="inlineStr">
        <is>
          <t>Czech</t>
        </is>
      </c>
      <c r="D365" s="24" t="inlineStr">
        <is>
          <t>GGM Gastro (CZ storefront)</t>
        </is>
      </c>
      <c r="E365" s="24" t="inlineStr">
        <is>
          <t>CAMBRO | CAM GOBOX - Termobox - Frontloader s předním plněním GN 1/1 - černý</t>
        </is>
      </c>
      <c r="F365" s="98" t="n">
        <v>4088.71</v>
      </c>
      <c r="G365" s="24" t="inlineStr">
        <is>
          <t>CZK</t>
        </is>
      </c>
      <c r="H365" s="98">
        <f>IF(AND(AE365="yes",ISNUMBER(AD365)),AD365,"")</f>
        <v/>
      </c>
      <c r="I365" s="99">
        <f>IF(AND(AE365="yes",ISNUMBER(AD365),ISNUMBER(INDEX('Sources'!$G$7:$G$10,MATCH(AB365,'Sources'!$B$7:$B$10,0)))),AD365/INDEX('Sources'!$G$7:$G$10,MATCH(AB365,'Sources'!$B$7:$B$10,0)),"")</f>
        <v/>
      </c>
      <c r="J365" s="24" t="inlineStr">
        <is>
          <t>EXACT</t>
        </is>
      </c>
      <c r="K365" s="24" t="inlineStr">
        <is>
          <t>2026-09-30</t>
        </is>
      </c>
      <c r="L365" s="71" t="n"/>
      <c r="M365" s="24" t="inlineStr">
        <is>
          <t>Net CZK price as displayed; page footnote: "* čistá cena | hrubá cena vč. 19% DPH" (German VAT 19% used on the CZ storefront). SKU EPP400110, EPP, 86 l, front loading. Gross 4,865.56 CZK; in stock 3-5 days. Alternative Porter PLB-300 83 l: 6,936.37 CZK.</t>
        </is>
      </c>
      <c r="N365" s="25" t="inlineStr">
        <is>
          <t>https://www.ggmgastro.com/cs-cz-czk/cambro-cam-gobox-r-termobox-frontloader-s-prednim-plnenim-gn-1-1-cerny-epp400110</t>
        </is>
      </c>
      <c r="O365" s="24" t="inlineStr">
        <is>
          <t>Cambro</t>
        </is>
      </c>
      <c r="P365" s="24" t="inlineStr">
        <is>
          <t>excl.</t>
        </is>
      </c>
      <c r="Q365" s="100" t="n">
        <v>0.19</v>
      </c>
      <c r="R365" s="24" t="n">
        <v>1</v>
      </c>
      <c r="S365" s="24" t="inlineStr">
        <is>
          <t>per piece</t>
        </is>
      </c>
      <c r="T365" s="24" t="inlineStr">
        <is>
          <t>EXACT</t>
        </is>
      </c>
      <c r="U365" s="24" t="inlineStr">
        <is>
          <t>Existing benchmark assignment and match quality retained.</t>
        </is>
      </c>
      <c r="V365" s="98" t="n"/>
      <c r="W365" s="98" t="n"/>
      <c r="X365" s="24" t="inlineStr">
        <is>
          <t>YES Gastro Czech Market Research.xlsx</t>
        </is>
      </c>
      <c r="Y365" s="24" t="n"/>
      <c r="Z365" s="24" t="n"/>
      <c r="AA365" s="24" t="n"/>
      <c r="AB365" s="24" t="inlineStr">
        <is>
          <t>CZK</t>
        </is>
      </c>
      <c r="AC365" s="24" t="inlineStr">
        <is>
          <t>yes</t>
        </is>
      </c>
      <c r="AD365" s="24">
        <f>IF(OR(F365="",Q365="",R365=""),"",ROUND(IF(P365="incl.",F365/(1+Q365),F365)/IF(S365="per pack",R365,1),2))</f>
        <v/>
      </c>
      <c r="AE365" s="24">
        <f>IF(AND(AC365="yes",ISNUMBER(F365),IF('Compare'!$H$5="All mapped",TRUE,IF('Compare'!$H$5="EXACT only",J365="EXACT",OR(J365="EXACT",J365="CLOSE")))),"yes","no")</f>
        <v/>
      </c>
      <c r="AF365" s="24">
        <f>IF(ISNUMBER(H365),COUNTIFS($B$7:$B$608,B365,$C$7:$C$608,C365,$H$7:$H$608,"&lt;"&amp;H365,$AH$7:$AH$608,"yes")+COUNTIFS($B$7:B365,B365,$C$7:C365,C365,$H$7:H365,H365,$AH$7:AH365,"yes"),"")</f>
        <v/>
      </c>
      <c r="AG365" s="24">
        <f>IF(ISNUMBER(I365),COUNTIFS($B$7:$B$608,B365,$C$7:$C$608,C365,$I$7:$I$608,"&lt;"&amp;I365,$AI$7:$AI$608,"yes")+COUNTIFS($B$7:B365,B365,$C$7:C365,C365,$I$7:I365,I365,$AI$7:AI365,"yes"),"")</f>
        <v/>
      </c>
      <c r="AH365" s="24">
        <f>IF(ISNUMBER(H365),"yes","no")</f>
        <v/>
      </c>
      <c r="AI365" s="24">
        <f>IF(ISNUMBER(I365),"yes","no")</f>
        <v/>
      </c>
      <c r="AJ365" s="101" t="n">
        <v>46295</v>
      </c>
      <c r="AK365" s="24" t="n"/>
    </row>
    <row r="366" ht="52" customHeight="1">
      <c r="A366" s="2" t="n"/>
      <c r="B366" s="27" t="inlineStr">
        <is>
          <t>Front-load GN 1/1 thermobox, 80–90 L</t>
        </is>
      </c>
      <c r="C366" s="27" t="inlineStr">
        <is>
          <t>Czech</t>
        </is>
      </c>
      <c r="D366" s="27" t="inlineStr">
        <is>
          <t>Gastro Novotný</t>
        </is>
      </c>
      <c r="E366" s="27" t="inlineStr">
        <is>
          <t>Termoport přední plnění 6xGN1/1 65</t>
        </is>
      </c>
      <c r="F366" s="102" t="n">
        <v>5900</v>
      </c>
      <c r="G366" s="27" t="inlineStr">
        <is>
          <t>CZK</t>
        </is>
      </c>
      <c r="H366" s="102">
        <f>IF(AND(AE366="yes",ISNUMBER(AD366)),AD366,"")</f>
        <v/>
      </c>
      <c r="I366" s="103">
        <f>IF(AND(AE366="yes",ISNUMBER(AD366),ISNUMBER(INDEX('Sources'!$G$7:$G$10,MATCH(AB366,'Sources'!$B$7:$B$10,0)))),AD366/INDEX('Sources'!$G$7:$G$10,MATCH(AB366,'Sources'!$B$7:$B$10,0)),"")</f>
        <v/>
      </c>
      <c r="J366" s="27" t="inlineStr">
        <is>
          <t>CLOSE</t>
        </is>
      </c>
      <c r="K366" s="27" t="inlineStr">
        <is>
          <t>2026-09-30</t>
        </is>
      </c>
      <c r="L366" s="71" t="n"/>
      <c r="M366" s="27" t="inlineStr">
        <is>
          <t>Front-loading, polypropylene, holds 6 x GN 1/1 65 mm; volume in litres NOT stated (flagged). 7,139 CZK incl. VAT. Availability "Na dotaz". Alternative: Termoport GN 1/1 Front 20-TERMOP-F 7,089.26 CZK excl. (smaller: 3 x GN 1/1 65).</t>
        </is>
      </c>
      <c r="N366" s="28" t="inlineStr">
        <is>
          <t>https://eshop.gastronovotny.cz/termoport-predni-plneni-6xgn1-1-65--403191201/</t>
        </is>
      </c>
      <c r="O366" s="27" t="inlineStr">
        <is>
          <t>Thermo Case P-600M</t>
        </is>
      </c>
      <c r="P366" s="27" t="inlineStr">
        <is>
          <t>excl.</t>
        </is>
      </c>
      <c r="Q366" s="104" t="n">
        <v>0.21</v>
      </c>
      <c r="R366" s="27" t="n">
        <v>1</v>
      </c>
      <c r="S366" s="27" t="inlineStr">
        <is>
          <t>per piece</t>
        </is>
      </c>
      <c r="T366" s="27" t="inlineStr">
        <is>
          <t>CLOSE</t>
        </is>
      </c>
      <c r="U366" s="27" t="inlineStr">
        <is>
          <t>Existing benchmark assignment and match quality retained.</t>
        </is>
      </c>
      <c r="V366" s="102" t="n"/>
      <c r="W366" s="102" t="n"/>
      <c r="X366" s="27" t="inlineStr">
        <is>
          <t>YES Gastro Czech Market Research.xlsx</t>
        </is>
      </c>
      <c r="Y366" s="27" t="n"/>
      <c r="Z366" s="27" t="n"/>
      <c r="AA366" s="27" t="n"/>
      <c r="AB366" s="27" t="inlineStr">
        <is>
          <t>CZK</t>
        </is>
      </c>
      <c r="AC366" s="27" t="inlineStr">
        <is>
          <t>yes</t>
        </is>
      </c>
      <c r="AD366" s="27">
        <f>IF(OR(F366="",Q366="",R366=""),"",ROUND(IF(P366="incl.",F366/(1+Q366),F366)/IF(S366="per pack",R366,1),2))</f>
        <v/>
      </c>
      <c r="AE366" s="27">
        <f>IF(AND(AC366="yes",ISNUMBER(F366),IF('Compare'!$H$5="All mapped",TRUE,IF('Compare'!$H$5="EXACT only",J366="EXACT",OR(J366="EXACT",J366="CLOSE")))),"yes","no")</f>
        <v/>
      </c>
      <c r="AF366" s="27">
        <f>IF(ISNUMBER(H366),COUNTIFS($B$7:$B$608,B366,$C$7:$C$608,C366,$H$7:$H$608,"&lt;"&amp;H366,$AH$7:$AH$608,"yes")+COUNTIFS($B$7:B366,B366,$C$7:C366,C366,$H$7:H366,H366,$AH$7:AH366,"yes"),"")</f>
        <v/>
      </c>
      <c r="AG366" s="27">
        <f>IF(ISNUMBER(I366),COUNTIFS($B$7:$B$608,B366,$C$7:$C$608,C366,$I$7:$I$608,"&lt;"&amp;I366,$AI$7:$AI$608,"yes")+COUNTIFS($B$7:B366,B366,$C$7:C366,C366,$I$7:I366,I366,$AI$7:AI366,"yes"),"")</f>
        <v/>
      </c>
      <c r="AH366" s="27">
        <f>IF(ISNUMBER(H366),"yes","no")</f>
        <v/>
      </c>
      <c r="AI366" s="27">
        <f>IF(ISNUMBER(I366),"yes","no")</f>
        <v/>
      </c>
      <c r="AJ366" s="105" t="n">
        <v>46295</v>
      </c>
      <c r="AK366" s="27" t="n"/>
    </row>
    <row r="367" ht="42" customHeight="1">
      <c r="A367" s="2" t="n"/>
      <c r="B367" s="24" t="inlineStr">
        <is>
          <t>Front-load GN 1/1 thermobox, 80–90 L</t>
        </is>
      </c>
      <c r="C367" s="24" t="inlineStr">
        <is>
          <t>Czech</t>
        </is>
      </c>
      <c r="D367" s="24" t="inlineStr">
        <is>
          <t>Gastromania</t>
        </is>
      </c>
      <c r="E367" s="24" t="inlineStr">
        <is>
          <t>Termobox s předním plněním pro GN | CAMBRO, R-EPP400</t>
        </is>
      </c>
      <c r="F367" s="98" t="n">
        <v>5706</v>
      </c>
      <c r="G367" s="24" t="inlineStr">
        <is>
          <t>CZK</t>
        </is>
      </c>
      <c r="H367" s="98">
        <f>IF(AND(AE367="yes",ISNUMBER(AD367)),AD367,"")</f>
        <v/>
      </c>
      <c r="I367" s="99">
        <f>IF(AND(AE367="yes",ISNUMBER(AD367),ISNUMBER(INDEX('Sources'!$G$7:$G$10,MATCH(AB367,'Sources'!$B$7:$B$10,0)))),AD367/INDEX('Sources'!$G$7:$G$10,MATCH(AB367,'Sources'!$B$7:$B$10,0)),"")</f>
        <v/>
      </c>
      <c r="J367" s="24" t="inlineStr">
        <is>
          <t>EXACT</t>
        </is>
      </c>
      <c r="K367" s="24" t="inlineStr">
        <is>
          <t>2026-09-30</t>
        </is>
      </c>
      <c r="L367" s="71" t="n"/>
      <c r="M367" s="24" t="inlineStr">
        <is>
          <t>Same Cambro EPP400 front-loader (86 l) as TOMGAST, same price; 6,904 CZK incl.; in stock.</t>
        </is>
      </c>
      <c r="N367" s="25" t="inlineStr">
        <is>
          <t>https://www.gastromania.cz/termoizolacni/termobox-s-prednim-plnenim-pro-gn-cambro-r-epp400</t>
        </is>
      </c>
      <c r="O367" s="24" t="inlineStr">
        <is>
          <t>Cambro</t>
        </is>
      </c>
      <c r="P367" s="24" t="inlineStr">
        <is>
          <t>excl.</t>
        </is>
      </c>
      <c r="Q367" s="100" t="n">
        <v>0.21</v>
      </c>
      <c r="R367" s="24" t="n">
        <v>1</v>
      </c>
      <c r="S367" s="24" t="inlineStr">
        <is>
          <t>per piece</t>
        </is>
      </c>
      <c r="T367" s="24" t="inlineStr">
        <is>
          <t>EXACT</t>
        </is>
      </c>
      <c r="U367" s="24" t="inlineStr">
        <is>
          <t>Existing benchmark assignment and match quality retained.</t>
        </is>
      </c>
      <c r="V367" s="98" t="n"/>
      <c r="W367" s="98" t="n"/>
      <c r="X367" s="24" t="inlineStr">
        <is>
          <t>YES Gastro Czech Market Research.xlsx</t>
        </is>
      </c>
      <c r="Y367" s="24" t="n"/>
      <c r="Z367" s="24" t="n"/>
      <c r="AA367" s="24" t="n"/>
      <c r="AB367" s="24" t="inlineStr">
        <is>
          <t>CZK</t>
        </is>
      </c>
      <c r="AC367" s="24" t="inlineStr">
        <is>
          <t>yes</t>
        </is>
      </c>
      <c r="AD367" s="24">
        <f>IF(OR(F367="",Q367="",R367=""),"",ROUND(IF(P367="incl.",F367/(1+Q367),F367)/IF(S367="per pack",R367,1),2))</f>
        <v/>
      </c>
      <c r="AE367" s="24">
        <f>IF(AND(AC367="yes",ISNUMBER(F367),IF('Compare'!$H$5="All mapped",TRUE,IF('Compare'!$H$5="EXACT only",J367="EXACT",OR(J367="EXACT",J367="CLOSE")))),"yes","no")</f>
        <v/>
      </c>
      <c r="AF367" s="24">
        <f>IF(ISNUMBER(H367),COUNTIFS($B$7:$B$608,B367,$C$7:$C$608,C367,$H$7:$H$608,"&lt;"&amp;H367,$AH$7:$AH$608,"yes")+COUNTIFS($B$7:B367,B367,$C$7:C367,C367,$H$7:H367,H367,$AH$7:AH367,"yes"),"")</f>
        <v/>
      </c>
      <c r="AG367" s="24">
        <f>IF(ISNUMBER(I367),COUNTIFS($B$7:$B$608,B367,$C$7:$C$608,C367,$I$7:$I$608,"&lt;"&amp;I367,$AI$7:$AI$608,"yes")+COUNTIFS($B$7:B367,B367,$C$7:C367,C367,$I$7:I367,I367,$AI$7:AI367,"yes"),"")</f>
        <v/>
      </c>
      <c r="AH367" s="24">
        <f>IF(ISNUMBER(H367),"yes","no")</f>
        <v/>
      </c>
      <c r="AI367" s="24">
        <f>IF(ISNUMBER(I367),"yes","no")</f>
        <v/>
      </c>
      <c r="AJ367" s="101" t="n">
        <v>46295</v>
      </c>
      <c r="AK367" s="24" t="n"/>
    </row>
    <row r="368" ht="66" customHeight="1">
      <c r="A368" s="2" t="n"/>
      <c r="B368" s="27" t="inlineStr">
        <is>
          <t>Front-load GN 1/1 thermobox, 80–90 L</t>
        </is>
      </c>
      <c r="C368" s="27" t="inlineStr">
        <is>
          <t>Czech</t>
        </is>
      </c>
      <c r="D368" s="27" t="inlineStr">
        <is>
          <t>Gastrozone</t>
        </is>
      </c>
      <c r="E368" s="27" t="inlineStr">
        <is>
          <t>Termoizolační box Cambro Cam GoBox s horním plněním, GN 1/1, 86 l, černý</t>
        </is>
      </c>
      <c r="F368" s="102" t="n">
        <v>5446</v>
      </c>
      <c r="G368" s="27" t="inlineStr">
        <is>
          <t>CZK</t>
        </is>
      </c>
      <c r="H368" s="102">
        <f>IF(AND(AE368="yes",ISNUMBER(AD368)),AD368,"")</f>
        <v/>
      </c>
      <c r="I368" s="103">
        <f>IF(AND(AE368="yes",ISNUMBER(AD368),ISNUMBER(INDEX('Sources'!$G$7:$G$10,MATCH(AB368,'Sources'!$B$7:$B$10,0)))),AD368/INDEX('Sources'!$G$7:$G$10,MATCH(AB368,'Sources'!$B$7:$B$10,0)),"")</f>
        <v/>
      </c>
      <c r="J368" s="27" t="inlineStr">
        <is>
          <t>CLOSE</t>
        </is>
      </c>
      <c r="K368" s="27" t="inlineStr">
        <is>
          <t>2026-09-30</t>
        </is>
      </c>
      <c r="L368" s="71" t="n"/>
      <c r="M368" s="27" t="inlineStr">
        <is>
          <t>86 l, GN 1/1, EPP; product title says "s horním plněním" (top loading) but description and URL say side/front loading ("boční plnění", door) - conflicting, flagged. Promotional price (-42%, was 9,455 CZK). 4,501 CZK bez DPH. Alternative: Cambro Ultra Pan Carrier front-loading GN 1/1 (PE) 6,536 CZK, volume not stated.</t>
        </is>
      </c>
      <c r="N368" s="28" t="inlineStr">
        <is>
          <t>https://www.gastrozone.cz/cambro-termoport-86-l-bocni-plneni.html</t>
        </is>
      </c>
      <c r="O368" s="27" t="inlineStr">
        <is>
          <t>Cambro</t>
        </is>
      </c>
      <c r="P368" s="27" t="inlineStr">
        <is>
          <t>incl.</t>
        </is>
      </c>
      <c r="Q368" s="104" t="n">
        <v>0.21</v>
      </c>
      <c r="R368" s="27" t="n">
        <v>1</v>
      </c>
      <c r="S368" s="27" t="inlineStr">
        <is>
          <t>per piece</t>
        </is>
      </c>
      <c r="T368" s="27" t="inlineStr">
        <is>
          <t>CLOSE</t>
        </is>
      </c>
      <c r="U368" s="27" t="inlineStr">
        <is>
          <t>Existing benchmark assignment and match quality retained.</t>
        </is>
      </c>
      <c r="V368" s="102" t="n"/>
      <c r="W368" s="102" t="n"/>
      <c r="X368" s="27" t="inlineStr">
        <is>
          <t>YES Gastro Czech Market Research.xlsx</t>
        </is>
      </c>
      <c r="Y368" s="27" t="n"/>
      <c r="Z368" s="27" t="n"/>
      <c r="AA368" s="27" t="n"/>
      <c r="AB368" s="27" t="inlineStr">
        <is>
          <t>CZK</t>
        </is>
      </c>
      <c r="AC368" s="27" t="inlineStr">
        <is>
          <t>yes</t>
        </is>
      </c>
      <c r="AD368" s="27">
        <f>IF(OR(F368="",Q368="",R368=""),"",ROUND(IF(P368="incl.",F368/(1+Q368),F368)/IF(S368="per pack",R368,1),2))</f>
        <v/>
      </c>
      <c r="AE368" s="27">
        <f>IF(AND(AC368="yes",ISNUMBER(F368),IF('Compare'!$H$5="All mapped",TRUE,IF('Compare'!$H$5="EXACT only",J368="EXACT",OR(J368="EXACT",J368="CLOSE")))),"yes","no")</f>
        <v/>
      </c>
      <c r="AF368" s="27">
        <f>IF(ISNUMBER(H368),COUNTIFS($B$7:$B$608,B368,$C$7:$C$608,C368,$H$7:$H$608,"&lt;"&amp;H368,$AH$7:$AH$608,"yes")+COUNTIFS($B$7:B368,B368,$C$7:C368,C368,$H$7:H368,H368,$AH$7:AH368,"yes"),"")</f>
        <v/>
      </c>
      <c r="AG368" s="27">
        <f>IF(ISNUMBER(I368),COUNTIFS($B$7:$B$608,B368,$C$7:$C$608,C368,$I$7:$I$608,"&lt;"&amp;I368,$AI$7:$AI$608,"yes")+COUNTIFS($B$7:B368,B368,$C$7:C368,C368,$I$7:I368,I368,$AI$7:AI368,"yes"),"")</f>
        <v/>
      </c>
      <c r="AH368" s="27">
        <f>IF(ISNUMBER(H368),"yes","no")</f>
        <v/>
      </c>
      <c r="AI368" s="27">
        <f>IF(ISNUMBER(I368),"yes","no")</f>
        <v/>
      </c>
      <c r="AJ368" s="105" t="n">
        <v>46295</v>
      </c>
      <c r="AK368" s="27" t="n"/>
    </row>
    <row r="369" ht="42" customHeight="1">
      <c r="A369" s="2" t="n"/>
      <c r="B369" s="24" t="inlineStr">
        <is>
          <t>Front-load GN 1/1 thermobox, 80–90 L</t>
        </is>
      </c>
      <c r="C369" s="24" t="inlineStr">
        <is>
          <t>Czech</t>
        </is>
      </c>
      <c r="D369" s="24" t="inlineStr">
        <is>
          <t>TOMGAST</t>
        </is>
      </c>
      <c r="E369" s="24" t="inlineStr">
        <is>
          <t>Termobox s předním plněním pro GN</t>
        </is>
      </c>
      <c r="F369" s="98" t="n">
        <v>6904</v>
      </c>
      <c r="G369" s="24" t="inlineStr">
        <is>
          <t>CZK</t>
        </is>
      </c>
      <c r="H369" s="98">
        <f>IF(AND(AE369="yes",ISNUMBER(AD369)),AD369,"")</f>
        <v/>
      </c>
      <c r="I369" s="99">
        <f>IF(AND(AE369="yes",ISNUMBER(AD369),ISNUMBER(INDEX('Sources'!$G$7:$G$10,MATCH(AB369,'Sources'!$B$7:$B$10,0)))),AD369/INDEX('Sources'!$G$7:$G$10,MATCH(AB369,'Sources'!$B$7:$B$10,0)),"")</f>
        <v/>
      </c>
      <c r="J369" s="24" t="inlineStr">
        <is>
          <t>EXACT</t>
        </is>
      </c>
      <c r="K369" s="24" t="inlineStr">
        <is>
          <t>2026-09-30</t>
        </is>
      </c>
      <c r="L369" s="71" t="n"/>
      <c r="M369" s="24" t="inlineStr">
        <is>
          <t>Code R-EPP400, EPP, front loading, 86 l, GN 1/1, 12 fixed rails. 5,706 CZK bez DPH.</t>
        </is>
      </c>
      <c r="N369" s="25" t="inlineStr">
        <is>
          <t>https://www.tomgast.cz/termobox-s-prednim-plnenim-pro-gn/</t>
        </is>
      </c>
      <c r="O369" s="24" t="inlineStr">
        <is>
          <t>Cambro</t>
        </is>
      </c>
      <c r="P369" s="24" t="inlineStr">
        <is>
          <t>incl.</t>
        </is>
      </c>
      <c r="Q369" s="100" t="n">
        <v>0.21</v>
      </c>
      <c r="R369" s="24" t="n">
        <v>1</v>
      </c>
      <c r="S369" s="24" t="inlineStr">
        <is>
          <t>per piece</t>
        </is>
      </c>
      <c r="T369" s="24" t="inlineStr">
        <is>
          <t>EXACT</t>
        </is>
      </c>
      <c r="U369" s="24" t="inlineStr">
        <is>
          <t>Existing benchmark assignment and match quality retained.</t>
        </is>
      </c>
      <c r="V369" s="98" t="n"/>
      <c r="W369" s="98" t="n"/>
      <c r="X369" s="24" t="inlineStr">
        <is>
          <t>YES Gastro Czech Market Research.xlsx</t>
        </is>
      </c>
      <c r="Y369" s="24" t="n"/>
      <c r="Z369" s="24" t="n"/>
      <c r="AA369" s="24" t="n"/>
      <c r="AB369" s="24" t="inlineStr">
        <is>
          <t>CZK</t>
        </is>
      </c>
      <c r="AC369" s="24" t="inlineStr">
        <is>
          <t>yes</t>
        </is>
      </c>
      <c r="AD369" s="24">
        <f>IF(OR(F369="",Q369="",R369=""),"",ROUND(IF(P369="incl.",F369/(1+Q369),F369)/IF(S369="per pack",R369,1),2))</f>
        <v/>
      </c>
      <c r="AE369" s="24">
        <f>IF(AND(AC369="yes",ISNUMBER(F369),IF('Compare'!$H$5="All mapped",TRUE,IF('Compare'!$H$5="EXACT only",J369="EXACT",OR(J369="EXACT",J369="CLOSE")))),"yes","no")</f>
        <v/>
      </c>
      <c r="AF369" s="24">
        <f>IF(ISNUMBER(H369),COUNTIFS($B$7:$B$608,B369,$C$7:$C$608,C369,$H$7:$H$608,"&lt;"&amp;H369,$AH$7:$AH$608,"yes")+COUNTIFS($B$7:B369,B369,$C$7:C369,C369,$H$7:H369,H369,$AH$7:AH369,"yes"),"")</f>
        <v/>
      </c>
      <c r="AG369" s="24">
        <f>IF(ISNUMBER(I369),COUNTIFS($B$7:$B$608,B369,$C$7:$C$608,C369,$I$7:$I$608,"&lt;"&amp;I369,$AI$7:$AI$608,"yes")+COUNTIFS($B$7:B369,B369,$C$7:C369,C369,$I$7:I369,I369,$AI$7:AI369,"yes"),"")</f>
        <v/>
      </c>
      <c r="AH369" s="24">
        <f>IF(ISNUMBER(H369),"yes","no")</f>
        <v/>
      </c>
      <c r="AI369" s="24">
        <f>IF(ISNUMBER(I369),"yes","no")</f>
        <v/>
      </c>
      <c r="AJ369" s="101" t="n">
        <v>46295</v>
      </c>
      <c r="AK369" s="24" t="n"/>
    </row>
    <row r="370" ht="42" customHeight="1">
      <c r="A370" s="2" t="n"/>
      <c r="B370" s="27" t="inlineStr">
        <is>
          <t>Front-load GN 1/1 thermobox, 80–90 L</t>
        </is>
      </c>
      <c r="C370" s="27" t="inlineStr">
        <is>
          <t>Slovakia</t>
        </is>
      </c>
      <c r="D370" s="27" t="inlineStr">
        <is>
          <t>Gastromania.sk (GASTROMANIA CZ s.r.o., CZ)</t>
        </is>
      </c>
      <c r="E370" s="27" t="inlineStr">
        <is>
          <t>Termobox s predným plnením pre GN | CAMBRO, R-EPP400</t>
        </is>
      </c>
      <c r="F370" s="102" t="n">
        <v>228.24</v>
      </c>
      <c r="G370" s="27" t="inlineStr">
        <is>
          <t>EUR</t>
        </is>
      </c>
      <c r="H370" s="102">
        <f>IF(AND(AE370="yes",ISNUMBER(AD370)),AD370,"")</f>
        <v/>
      </c>
      <c r="I370" s="103">
        <f>IF(AND(AE370="yes",ISNUMBER(AD370),ISNUMBER(INDEX('Sources'!$G$7:$G$10,MATCH(AB370,'Sources'!$B$7:$B$10,0)))),AD370/INDEX('Sources'!$G$7:$G$10,MATCH(AB370,'Sources'!$B$7:$B$10,0)),"")</f>
        <v/>
      </c>
      <c r="J370" s="27" t="inlineStr">
        <is>
          <t>EXACT</t>
        </is>
      </c>
      <c r="K370" s="27" t="inlineStr">
        <is>
          <t>2026-09-30</t>
        </is>
      </c>
      <c r="L370" s="71" t="n"/>
      <c r="M370" s="27" t="inlineStr">
        <is>
          <t>Listed 'Cena bez DPH' 228.24 EUR / 'Cena s DPH' 280.74 EUR. Front-loading, GN 1/1, 86 l, expanded polypropylene. In stock 5-9 pcs.</t>
        </is>
      </c>
      <c r="N370" s="28" t="inlineStr">
        <is>
          <t>https://gastromania.sk/termoizolacne/termobox-s-prednym-plnenim-pre-gn-cambro-r-epp400</t>
        </is>
      </c>
      <c r="O370" s="27" t="inlineStr">
        <is>
          <t>Cambro</t>
        </is>
      </c>
      <c r="P370" s="27" t="inlineStr">
        <is>
          <t>excl.</t>
        </is>
      </c>
      <c r="Q370" s="104" t="inlineStr">
        <is>
          <t>n/a</t>
        </is>
      </c>
      <c r="R370" s="27" t="n">
        <v>1</v>
      </c>
      <c r="S370" s="27" t="inlineStr">
        <is>
          <t>per piece</t>
        </is>
      </c>
      <c r="T370" s="27" t="inlineStr">
        <is>
          <t>EXACT</t>
        </is>
      </c>
      <c r="U370" s="27" t="inlineStr">
        <is>
          <t>Existing benchmark assignment and match quality retained.</t>
        </is>
      </c>
      <c r="V370" s="102" t="n">
        <v>228.24</v>
      </c>
      <c r="W370" s="102" t="n"/>
      <c r="X370" s="27" t="inlineStr">
        <is>
          <t>YES Gastro Slovakia Market Research.xlsx</t>
        </is>
      </c>
      <c r="Y370" s="27" t="n"/>
      <c r="Z370" s="27" t="n"/>
      <c r="AA370" s="27" t="n"/>
      <c r="AB370" s="27" t="inlineStr">
        <is>
          <t>EUR</t>
        </is>
      </c>
      <c r="AC370" s="27" t="inlineStr">
        <is>
          <t>yes</t>
        </is>
      </c>
      <c r="AD370" s="27">
        <f>IF(ISNUMBER(V370),V370,"")</f>
        <v/>
      </c>
      <c r="AE370" s="27">
        <f>IF(AND(AC370="yes",ISNUMBER(F370),IF('Compare'!$H$5="All mapped",TRUE,IF('Compare'!$H$5="EXACT only",J370="EXACT",OR(J370="EXACT",J370="CLOSE")))),"yes","no")</f>
        <v/>
      </c>
      <c r="AF370" s="27">
        <f>IF(ISNUMBER(H370),COUNTIFS($B$7:$B$608,B370,$C$7:$C$608,C370,$H$7:$H$608,"&lt;"&amp;H370,$AH$7:$AH$608,"yes")+COUNTIFS($B$7:B370,B370,$C$7:C370,C370,$H$7:H370,H370,$AH$7:AH370,"yes"),"")</f>
        <v/>
      </c>
      <c r="AG370" s="27">
        <f>IF(ISNUMBER(I370),COUNTIFS($B$7:$B$608,B370,$C$7:$C$608,C370,$I$7:$I$608,"&lt;"&amp;I370,$AI$7:$AI$608,"yes")+COUNTIFS($B$7:B370,B370,$C$7:C370,C370,$I$7:I370,I370,$AI$7:AI370,"yes"),"")</f>
        <v/>
      </c>
      <c r="AH370" s="27">
        <f>IF(ISNUMBER(H370),"yes","no")</f>
        <v/>
      </c>
      <c r="AI370" s="27">
        <f>IF(ISNUMBER(I370),"yes","no")</f>
        <v/>
      </c>
      <c r="AJ370" s="105" t="n">
        <v>46295</v>
      </c>
      <c r="AK370" s="27" t="n"/>
    </row>
    <row r="371" ht="52" customHeight="1">
      <c r="A371" s="2" t="n"/>
      <c r="B371" s="24" t="inlineStr">
        <is>
          <t>Front-load GN 1/1 thermobox, 80–90 L</t>
        </is>
      </c>
      <c r="C371" s="24" t="inlineStr">
        <is>
          <t>Slovakia</t>
        </is>
      </c>
      <c r="D371" s="24" t="inlineStr">
        <is>
          <t>Gastrozone.sk (GASTROZONE, spol. s r.o., CZ)</t>
        </is>
      </c>
      <c r="E371" s="24" t="inlineStr">
        <is>
          <t>Termoizolačný box Cambro Cam GoBox, GN 1/1, 86 l, čierny</t>
        </is>
      </c>
      <c r="F371" s="98" t="n">
        <v>228.78</v>
      </c>
      <c r="G371" s="24" t="inlineStr">
        <is>
          <t>EUR</t>
        </is>
      </c>
      <c r="H371" s="98">
        <f>IF(AND(AE371="yes",ISNUMBER(AD371)),AD371,"")</f>
        <v/>
      </c>
      <c r="I371" s="99">
        <f>IF(AND(AE371="yes",ISNUMBER(AD371),ISNUMBER(INDEX('Sources'!$G$7:$G$10,MATCH(AB371,'Sources'!$B$7:$B$10,0)))),AD371/INDEX('Sources'!$G$7:$G$10,MATCH(AB371,'Sources'!$B$7:$B$10,0)),"")</f>
        <v/>
      </c>
      <c r="J371" s="24" t="inlineStr">
        <is>
          <t>CLOSE</t>
        </is>
      </c>
      <c r="K371" s="24" t="inlineStr">
        <is>
          <t>2026-09-30</t>
        </is>
      </c>
      <c r="L371" s="71" t="n"/>
      <c r="M371" s="24" t="inlineStr">
        <is>
          <t>86 l GN 1/1, EPP. Listing inconsistent: title says 's horným plnením' (top-loading) but URL and description say front loading with 270° door. Page shows 228,78 / 186,00 bez DPH. Cambro Ultra Pan Carrier front-loader (PE) 271,83 EUR, volume not stated.</t>
        </is>
      </c>
      <c r="N371" s="25" t="inlineStr">
        <is>
          <t>https://www.gastrozone.sk/cambro-termoport-86-l-bocni-plneni.html</t>
        </is>
      </c>
      <c r="O371" s="24" t="inlineStr">
        <is>
          <t>Cambro</t>
        </is>
      </c>
      <c r="P371" s="24" t="inlineStr">
        <is>
          <t>incl.</t>
        </is>
      </c>
      <c r="Q371" s="100" t="n">
        <v>0.23</v>
      </c>
      <c r="R371" s="24" t="n">
        <v>1</v>
      </c>
      <c r="S371" s="24" t="inlineStr">
        <is>
          <t>per piece</t>
        </is>
      </c>
      <c r="T371" s="24" t="inlineStr">
        <is>
          <t>CLOSE</t>
        </is>
      </c>
      <c r="U371" s="24" t="inlineStr">
        <is>
          <t>Existing benchmark assignment and match quality retained.</t>
        </is>
      </c>
      <c r="V371" s="98" t="n">
        <v>186</v>
      </c>
      <c r="W371" s="98" t="n"/>
      <c r="X371" s="24" t="inlineStr">
        <is>
          <t>YES Gastro Slovakia Market Research.xlsx</t>
        </is>
      </c>
      <c r="Y371" s="24" t="n"/>
      <c r="Z371" s="24" t="n"/>
      <c r="AA371" s="24" t="n"/>
      <c r="AB371" s="24" t="inlineStr">
        <is>
          <t>EUR</t>
        </is>
      </c>
      <c r="AC371" s="24" t="inlineStr">
        <is>
          <t>yes</t>
        </is>
      </c>
      <c r="AD371" s="24">
        <f>IF(ISNUMBER(V371),V371,"")</f>
        <v/>
      </c>
      <c r="AE371" s="24">
        <f>IF(AND(AC371="yes",ISNUMBER(F371),IF('Compare'!$H$5="All mapped",TRUE,IF('Compare'!$H$5="EXACT only",J371="EXACT",OR(J371="EXACT",J371="CLOSE")))),"yes","no")</f>
        <v/>
      </c>
      <c r="AF371" s="24">
        <f>IF(ISNUMBER(H371),COUNTIFS($B$7:$B$608,B371,$C$7:$C$608,C371,$H$7:$H$608,"&lt;"&amp;H371,$AH$7:$AH$608,"yes")+COUNTIFS($B$7:B371,B371,$C$7:C371,C371,$H$7:H371,H371,$AH$7:AH371,"yes"),"")</f>
        <v/>
      </c>
      <c r="AG371" s="24">
        <f>IF(ISNUMBER(I371),COUNTIFS($B$7:$B$608,B371,$C$7:$C$608,C371,$I$7:$I$608,"&lt;"&amp;I371,$AI$7:$AI$608,"yes")+COUNTIFS($B$7:B371,B371,$C$7:C371,C371,$I$7:I371,I371,$AI$7:AI371,"yes"),"")</f>
        <v/>
      </c>
      <c r="AH371" s="24">
        <f>IF(ISNUMBER(H371),"yes","no")</f>
        <v/>
      </c>
      <c r="AI371" s="24">
        <f>IF(ISNUMBER(I371),"yes","no")</f>
        <v/>
      </c>
      <c r="AJ371" s="101" t="n">
        <v>46295</v>
      </c>
      <c r="AK371" s="24" t="n"/>
    </row>
    <row r="372" ht="42" customHeight="1">
      <c r="A372" s="2" t="n"/>
      <c r="B372" s="27" t="inlineStr">
        <is>
          <t>Service tray approx. 370 × 530 mm</t>
        </is>
      </c>
      <c r="C372" s="27" t="inlineStr">
        <is>
          <t>Hungary</t>
        </is>
      </c>
      <c r="D372" s="27" t="inlineStr">
        <is>
          <t>Hunnia</t>
        </is>
      </c>
      <c r="E372" s="27" t="inlineStr">
        <is>
          <t>Tray 530 x 370 mm</t>
        </is>
      </c>
      <c r="F372" s="102" t="n">
        <v>2020</v>
      </c>
      <c r="G372" s="27" t="inlineStr">
        <is>
          <t>HUF</t>
        </is>
      </c>
      <c r="H372" s="102">
        <f>IF(AND(AE372="yes",ISNUMBER(AD372)),AD372,"")</f>
        <v/>
      </c>
      <c r="I372" s="103">
        <f>IF(AND(AE372="yes",ISNUMBER(AD372),ISNUMBER(INDEX('Sources'!$G$7:$G$10,MATCH(AB372,'Sources'!$B$7:$B$10,0)))),AD372/INDEX('Sources'!$G$7:$G$10,MATCH(AB372,'Sources'!$B$7:$B$10,0)),"")</f>
        <v/>
      </c>
      <c r="J372" s="27" t="inlineStr">
        <is>
          <t>INCOMPLETE</t>
        </is>
      </c>
      <c r="K372" s="27" t="inlineStr">
        <is>
          <t>27.06.2026</t>
        </is>
      </c>
      <c r="L372" s="71" t="n"/>
      <c r="M372" s="27" t="inlineStr">
        <is>
          <t>Source sheet: Trays</t>
        </is>
      </c>
      <c r="N372" s="28" t="inlineStr">
        <is>
          <t>https://hunniakristaly.hu/kereses?description=0&amp;keyword=%C3%96nkiszolg%C3%A1l%C3%B3+t%C3%A1lca</t>
        </is>
      </c>
      <c r="O372" s="27" t="n"/>
      <c r="P372" s="27" t="n"/>
      <c r="Q372" s="104" t="n"/>
      <c r="R372" s="27" t="n"/>
      <c r="S372" s="27" t="n"/>
      <c r="T372" s="27" t="n"/>
      <c r="U372" s="27" t="inlineStr">
        <is>
          <t>Service-tray dimensions agree after rotating orientation. ABS/PP material is not stated.</t>
        </is>
      </c>
      <c r="V372" s="102" t="n"/>
      <c r="W372" s="102" t="n">
        <v>2020</v>
      </c>
      <c r="X372" s="27" t="inlineStr">
        <is>
          <t>YES Gastro Hungary Market Research.xlsx</t>
        </is>
      </c>
      <c r="Y372" s="27" t="inlineStr">
        <is>
          <t>Taha</t>
        </is>
      </c>
      <c r="Z372" s="27" t="n"/>
      <c r="AA372" s="27" t="inlineStr">
        <is>
          <t>Direct</t>
        </is>
      </c>
      <c r="AB372" s="27" t="inlineStr">
        <is>
          <t>HUF</t>
        </is>
      </c>
      <c r="AC372" s="27" t="inlineStr">
        <is>
          <t>yes</t>
        </is>
      </c>
      <c r="AD372" s="27">
        <f>IF(ISNUMBER(F372),IF(G372=AB372,F372,IF(AND(ISNUMBER(INDEX('Sources'!$G$7:$G$10,MATCH(G372,'Sources'!$B$7:$B$10,0))),ISNUMBER(INDEX('Sources'!$G$7:$G$10,MATCH(AB372,'Sources'!$B$7:$B$10,0)))),F372/INDEX('Sources'!$G$7:$G$10,MATCH(G372,'Sources'!$B$7:$B$10,0))*INDEX('Sources'!$G$7:$G$10,MATCH(AB372,'Sources'!$B$7:$B$10,0)),"")),"")</f>
        <v/>
      </c>
      <c r="AE372" s="27">
        <f>IF(AND(AC372="yes",ISNUMBER(F372),IF('Compare'!$H$5="All mapped",TRUE,IF('Compare'!$H$5="EXACT only",J372="EXACT",OR(J372="EXACT",J372="CLOSE")))),"yes","no")</f>
        <v/>
      </c>
      <c r="AF372" s="27">
        <f>IF(ISNUMBER(H372),COUNTIFS($B$7:$B$608,B372,$C$7:$C$608,C372,$H$7:$H$608,"&lt;"&amp;H372,$AH$7:$AH$608,"yes")+COUNTIFS($B$7:B372,B372,$C$7:C372,C372,$H$7:H372,H372,$AH$7:AH372,"yes"),"")</f>
        <v/>
      </c>
      <c r="AG372" s="27">
        <f>IF(ISNUMBER(I372),COUNTIFS($B$7:$B$608,B372,$C$7:$C$608,C372,$I$7:$I$608,"&lt;"&amp;I372,$AI$7:$AI$608,"yes")+COUNTIFS($B$7:B372,B372,$C$7:C372,C372,$I$7:I372,I372,$AI$7:AI372,"yes"),"")</f>
        <v/>
      </c>
      <c r="AH372" s="27">
        <f>IF(ISNUMBER(H372),"yes","no")</f>
        <v/>
      </c>
      <c r="AI372" s="27">
        <f>IF(ISNUMBER(I372),"yes","no")</f>
        <v/>
      </c>
      <c r="AJ372" s="105" t="n">
        <v>46200</v>
      </c>
      <c r="AK372" s="27" t="n"/>
    </row>
    <row r="373" ht="42" customHeight="1">
      <c r="A373" s="2" t="n"/>
      <c r="B373" s="24" t="inlineStr">
        <is>
          <t>Service tray approx. 370 × 530 mm</t>
        </is>
      </c>
      <c r="C373" s="24" t="inlineStr">
        <is>
          <t>Austria</t>
        </is>
      </c>
      <c r="D373" s="24" t="inlineStr">
        <is>
          <t>ALLPAX Österreich</t>
        </is>
      </c>
      <c r="E373" s="24" t="inlineStr">
        <is>
          <t>EN Tablett, Serie Tray 97, 53x37 cm</t>
        </is>
      </c>
      <c r="F373" s="98" t="n">
        <v>19.22</v>
      </c>
      <c r="G373" s="24" t="inlineStr">
        <is>
          <t>EUR</t>
        </is>
      </c>
      <c r="H373" s="98">
        <f>IF(AND(AE373="yes",ISNUMBER(AD373)),AD373,"")</f>
        <v/>
      </c>
      <c r="I373" s="99">
        <f>IF(AND(AE373="yes",ISNUMBER(AD373),ISNUMBER(INDEX('Sources'!$G$7:$G$10,MATCH(AB373,'Sources'!$B$7:$B$10,0)))),AD373/INDEX('Sources'!$G$7:$G$10,MATCH(AB373,'Sources'!$B$7:$B$10,0)),"")</f>
        <v/>
      </c>
      <c r="J373" s="24" t="inlineStr">
        <is>
          <t>APPROX</t>
        </is>
      </c>
      <c r="K373" s="24" t="inlineStr">
        <is>
          <t>2026-09-30</t>
        </is>
      </c>
      <c r="L373" s="71" t="n"/>
      <c r="M373" s="24" t="inlineStr">
        <is>
          <t>Right size but fibreglass-reinforced polyester, not ABS/PP</t>
        </is>
      </c>
      <c r="N373" s="25" t="inlineStr">
        <is>
          <t>https://www.allpax.at/product_info.php/info/EN-Tablett.html</t>
        </is>
      </c>
      <c r="O373" s="24" t="n"/>
      <c r="P373" s="24" t="inlineStr">
        <is>
          <t>excl.</t>
        </is>
      </c>
      <c r="Q373" s="100" t="n"/>
      <c r="R373" s="24" t="n">
        <v>1</v>
      </c>
      <c r="S373" s="24" t="n"/>
      <c r="T373" s="24" t="inlineStr">
        <is>
          <t>APPROX</t>
        </is>
      </c>
      <c r="U373" s="24" t="inlineStr">
        <is>
          <t>Existing benchmark assignment and match quality retained.</t>
        </is>
      </c>
      <c r="V373" s="98" t="n">
        <v>19.22</v>
      </c>
      <c r="W373" s="98" t="n"/>
      <c r="X373" s="24" t="inlineStr">
        <is>
          <t>YES Gastro Austria Market Research.xlsx</t>
        </is>
      </c>
      <c r="Y373" s="24" t="n"/>
      <c r="Z373" s="24" t="n"/>
      <c r="AA373" s="24" t="n"/>
      <c r="AB373" s="24" t="inlineStr">
        <is>
          <t>EUR</t>
        </is>
      </c>
      <c r="AC373" s="24" t="inlineStr">
        <is>
          <t>yes</t>
        </is>
      </c>
      <c r="AD373" s="24">
        <f>IF(ISNUMBER(V373),V373,"")</f>
        <v/>
      </c>
      <c r="AE373" s="24">
        <f>IF(AND(AC373="yes",ISNUMBER(F373),IF('Compare'!$H$5="All mapped",TRUE,IF('Compare'!$H$5="EXACT only",J373="EXACT",OR(J373="EXACT",J373="CLOSE")))),"yes","no")</f>
        <v/>
      </c>
      <c r="AF373" s="24">
        <f>IF(ISNUMBER(H373),COUNTIFS($B$7:$B$608,B373,$C$7:$C$608,C373,$H$7:$H$608,"&lt;"&amp;H373,$AH$7:$AH$608,"yes")+COUNTIFS($B$7:B373,B373,$C$7:C373,C373,$H$7:H373,H373,$AH$7:AH373,"yes"),"")</f>
        <v/>
      </c>
      <c r="AG373" s="24">
        <f>IF(ISNUMBER(I373),COUNTIFS($B$7:$B$608,B373,$C$7:$C$608,C373,$I$7:$I$608,"&lt;"&amp;I373,$AI$7:$AI$608,"yes")+COUNTIFS($B$7:B373,B373,$C$7:C373,C373,$I$7:I373,I373,$AI$7:AI373,"yes"),"")</f>
        <v/>
      </c>
      <c r="AH373" s="24">
        <f>IF(ISNUMBER(H373),"yes","no")</f>
        <v/>
      </c>
      <c r="AI373" s="24">
        <f>IF(ISNUMBER(I373),"yes","no")</f>
        <v/>
      </c>
      <c r="AJ373" s="101" t="n">
        <v>46295</v>
      </c>
      <c r="AK373" s="24" t="n"/>
    </row>
    <row r="374" ht="42" customHeight="1">
      <c r="A374" s="2" t="n"/>
      <c r="B374" s="27" t="inlineStr">
        <is>
          <t>Service tray approx. 370 × 530 mm</t>
        </is>
      </c>
      <c r="C374" s="27" t="inlineStr">
        <is>
          <t>Austria</t>
        </is>
      </c>
      <c r="D374" s="27" t="inlineStr">
        <is>
          <t>GastroHero Österreich</t>
        </is>
      </c>
      <c r="E374" s="27" t="inlineStr">
        <is>
          <t>WAS Germany Tablett PP - GN 1/1, lichtgrau</t>
        </is>
      </c>
      <c r="F374" s="102" t="n">
        <v>6.79</v>
      </c>
      <c r="G374" s="27" t="inlineStr">
        <is>
          <t>EUR</t>
        </is>
      </c>
      <c r="H374" s="102">
        <f>IF(AND(AE374="yes",ISNUMBER(AD374)),AD374,"")</f>
        <v/>
      </c>
      <c r="I374" s="103">
        <f>IF(AND(AE374="yes",ISNUMBER(AD374),ISNUMBER(INDEX('Sources'!$G$7:$G$10,MATCH(AB374,'Sources'!$B$7:$B$10,0)))),AD374/INDEX('Sources'!$G$7:$G$10,MATCH(AB374,'Sources'!$B$7:$B$10,0)),"")</f>
        <v/>
      </c>
      <c r="J374" s="27" t="inlineStr">
        <is>
          <t>APPROX</t>
        </is>
      </c>
      <c r="K374" s="27" t="inlineStr">
        <is>
          <t>2026-09-30</t>
        </is>
      </c>
      <c r="L374" s="71" t="n"/>
      <c r="M374" s="27" t="inlineStr">
        <is>
          <t>PP but GN 1/1 size 530x325 (not 370x530); sale price (normal 7.39). WAS polyester EN 53x37 tray 12.29</t>
        </is>
      </c>
      <c r="N374" s="28" t="inlineStr">
        <is>
          <t>https://www.gastro-hero.at/products/was-germany-tablett-pp-gn-11-lichtgrau-9283530</t>
        </is>
      </c>
      <c r="O374" s="27" t="inlineStr">
        <is>
          <t>WAS Germany</t>
        </is>
      </c>
      <c r="P374" s="27" t="inlineStr">
        <is>
          <t>excl.</t>
        </is>
      </c>
      <c r="Q374" s="104" t="n"/>
      <c r="R374" s="27" t="n">
        <v>1</v>
      </c>
      <c r="S374" s="27" t="n"/>
      <c r="T374" s="27" t="inlineStr">
        <is>
          <t>APPROX</t>
        </is>
      </c>
      <c r="U374" s="27" t="inlineStr">
        <is>
          <t>Existing benchmark assignment and match quality retained.</t>
        </is>
      </c>
      <c r="V374" s="102" t="n">
        <v>6.79</v>
      </c>
      <c r="W374" s="102" t="n"/>
      <c r="X374" s="27" t="inlineStr">
        <is>
          <t>YES Gastro Austria Market Research.xlsx</t>
        </is>
      </c>
      <c r="Y374" s="27" t="n"/>
      <c r="Z374" s="27" t="n"/>
      <c r="AA374" s="27" t="n"/>
      <c r="AB374" s="27" t="inlineStr">
        <is>
          <t>EUR</t>
        </is>
      </c>
      <c r="AC374" s="27" t="inlineStr">
        <is>
          <t>yes</t>
        </is>
      </c>
      <c r="AD374" s="27">
        <f>IF(ISNUMBER(V374),V374,"")</f>
        <v/>
      </c>
      <c r="AE374" s="27">
        <f>IF(AND(AC374="yes",ISNUMBER(F374),IF('Compare'!$H$5="All mapped",TRUE,IF('Compare'!$H$5="EXACT only",J374="EXACT",OR(J374="EXACT",J374="CLOSE")))),"yes","no")</f>
        <v/>
      </c>
      <c r="AF374" s="27">
        <f>IF(ISNUMBER(H374),COUNTIFS($B$7:$B$608,B374,$C$7:$C$608,C374,$H$7:$H$608,"&lt;"&amp;H374,$AH$7:$AH$608,"yes")+COUNTIFS($B$7:B374,B374,$C$7:C374,C374,$H$7:H374,H374,$AH$7:AH374,"yes"),"")</f>
        <v/>
      </c>
      <c r="AG374" s="27">
        <f>IF(ISNUMBER(I374),COUNTIFS($B$7:$B$608,B374,$C$7:$C$608,C374,$I$7:$I$608,"&lt;"&amp;I374,$AI$7:$AI$608,"yes")+COUNTIFS($B$7:B374,B374,$C$7:C374,C374,$I$7:I374,I374,$AI$7:AI374,"yes"),"")</f>
        <v/>
      </c>
      <c r="AH374" s="27">
        <f>IF(ISNUMBER(H374),"yes","no")</f>
        <v/>
      </c>
      <c r="AI374" s="27">
        <f>IF(ISNUMBER(I374),"yes","no")</f>
        <v/>
      </c>
      <c r="AJ374" s="105" t="n">
        <v>46295</v>
      </c>
      <c r="AK374" s="27" t="n"/>
    </row>
    <row r="375" ht="42" customHeight="1">
      <c r="A375" s="2" t="n"/>
      <c r="B375" s="24" t="inlineStr">
        <is>
          <t>Service tray approx. 370 × 530 mm</t>
        </is>
      </c>
      <c r="C375" s="24" t="inlineStr">
        <is>
          <t>Austria</t>
        </is>
      </c>
      <c r="D375" s="24" t="inlineStr">
        <is>
          <t>Gastrodax</t>
        </is>
      </c>
      <c r="E375" s="24" t="inlineStr">
        <is>
          <t>Hendi Serviertablett, rechteckig, Euronorm, 370x530mm</t>
        </is>
      </c>
      <c r="F375" s="98" t="n">
        <v>15.25</v>
      </c>
      <c r="G375" s="24" t="inlineStr">
        <is>
          <t>EUR</t>
        </is>
      </c>
      <c r="H375" s="98">
        <f>IF(AND(AE375="yes",ISNUMBER(AD375)),AD375,"")</f>
        <v/>
      </c>
      <c r="I375" s="99">
        <f>IF(AND(AE375="yes",ISNUMBER(AD375),ISNUMBER(INDEX('Sources'!$G$7:$G$10,MATCH(AB375,'Sources'!$B$7:$B$10,0)))),AD375/INDEX('Sources'!$G$7:$G$10,MATCH(AB375,'Sources'!$B$7:$B$10,0)),"")</f>
        <v/>
      </c>
      <c r="J375" s="24" t="inlineStr">
        <is>
          <t>CLOSE</t>
        </is>
      </c>
      <c r="K375" s="24" t="inlineStr">
        <is>
          <t>2026-09-30</t>
        </is>
      </c>
      <c r="L375" s="71" t="n"/>
      <c r="M375" s="24" t="inlineStr">
        <is>
          <t>Exact size; material not stated on page</t>
        </is>
      </c>
      <c r="N375" s="25" t="inlineStr">
        <is>
          <t>https://www.gastrodax.de/hendi-serviertablett-rechteckig-euronorm-370-x-530-mm</t>
        </is>
      </c>
      <c r="O375" s="24" t="inlineStr">
        <is>
          <t>Hendi</t>
        </is>
      </c>
      <c r="P375" s="24" t="inlineStr">
        <is>
          <t>excl.</t>
        </is>
      </c>
      <c r="Q375" s="100" t="n"/>
      <c r="R375" s="24" t="n">
        <v>1</v>
      </c>
      <c r="S375" s="24" t="n"/>
      <c r="T375" s="24" t="inlineStr">
        <is>
          <t>CLOSE</t>
        </is>
      </c>
      <c r="U375" s="24" t="inlineStr">
        <is>
          <t>Existing benchmark assignment and match quality retained.</t>
        </is>
      </c>
      <c r="V375" s="98" t="n">
        <v>15.25</v>
      </c>
      <c r="W375" s="98" t="n"/>
      <c r="X375" s="24" t="inlineStr">
        <is>
          <t>YES Gastro Austria Market Research.xlsx</t>
        </is>
      </c>
      <c r="Y375" s="24" t="n"/>
      <c r="Z375" s="24" t="n"/>
      <c r="AA375" s="24" t="n"/>
      <c r="AB375" s="24" t="inlineStr">
        <is>
          <t>EUR</t>
        </is>
      </c>
      <c r="AC375" s="24" t="inlineStr">
        <is>
          <t>yes</t>
        </is>
      </c>
      <c r="AD375" s="24">
        <f>IF(ISNUMBER(V375),V375,"")</f>
        <v/>
      </c>
      <c r="AE375" s="24">
        <f>IF(AND(AC375="yes",ISNUMBER(F375),IF('Compare'!$H$5="All mapped",TRUE,IF('Compare'!$H$5="EXACT only",J375="EXACT",OR(J375="EXACT",J375="CLOSE")))),"yes","no")</f>
        <v/>
      </c>
      <c r="AF375" s="24">
        <f>IF(ISNUMBER(H375),COUNTIFS($B$7:$B$608,B375,$C$7:$C$608,C375,$H$7:$H$608,"&lt;"&amp;H375,$AH$7:$AH$608,"yes")+COUNTIFS($B$7:B375,B375,$C$7:C375,C375,$H$7:H375,H375,$AH$7:AH375,"yes"),"")</f>
        <v/>
      </c>
      <c r="AG375" s="24">
        <f>IF(ISNUMBER(I375),COUNTIFS($B$7:$B$608,B375,$C$7:$C$608,C375,$I$7:$I$608,"&lt;"&amp;I375,$AI$7:$AI$608,"yes")+COUNTIFS($B$7:B375,B375,$C$7:C375,C375,$I$7:I375,I375,$AI$7:AI375,"yes"),"")</f>
        <v/>
      </c>
      <c r="AH375" s="24">
        <f>IF(ISNUMBER(H375),"yes","no")</f>
        <v/>
      </c>
      <c r="AI375" s="24">
        <f>IF(ISNUMBER(I375),"yes","no")</f>
        <v/>
      </c>
      <c r="AJ375" s="101" t="n">
        <v>46295</v>
      </c>
      <c r="AK375" s="24" t="n"/>
    </row>
    <row r="376" ht="42" customHeight="1">
      <c r="A376" s="2" t="n"/>
      <c r="B376" s="27" t="inlineStr">
        <is>
          <t>Service tray approx. 370 × 530 mm</t>
        </is>
      </c>
      <c r="C376" s="27" t="inlineStr">
        <is>
          <t>Austria</t>
        </is>
      </c>
      <c r="D376" s="27" t="inlineStr">
        <is>
          <t>Gastroladen.at (Harotec GmbH)</t>
        </is>
      </c>
      <c r="E376" s="27" t="inlineStr">
        <is>
          <t>Kristallon Serviertablett antirutsch 51 x 38cm</t>
        </is>
      </c>
      <c r="F376" s="102" t="n">
        <v>8.98</v>
      </c>
      <c r="G376" s="27" t="inlineStr">
        <is>
          <t>EUR</t>
        </is>
      </c>
      <c r="H376" s="102">
        <f>IF(AND(AE376="yes",ISNUMBER(AD376)),AD376,"")</f>
        <v/>
      </c>
      <c r="I376" s="103">
        <f>IF(AND(AE376="yes",ISNUMBER(AD376),ISNUMBER(INDEX('Sources'!$G$7:$G$10,MATCH(AB376,'Sources'!$B$7:$B$10,0)))),AD376/INDEX('Sources'!$G$7:$G$10,MATCH(AB376,'Sources'!$B$7:$B$10,0)),"")</f>
        <v/>
      </c>
      <c r="J376" s="27" t="inlineStr">
        <is>
          <t>CLOSE</t>
        </is>
      </c>
      <c r="K376" s="27" t="inlineStr">
        <is>
          <t>2026-09-30</t>
        </is>
      </c>
      <c r="L376" s="71" t="n"/>
      <c r="M376" s="27" t="inlineStr">
        <is>
          <t>510x380 mm, plastic (type not specified), non-slip</t>
        </is>
      </c>
      <c r="N376" s="28" t="inlineStr">
        <is>
          <t>https://www.gastroladen.at/G16801@GN-C560/Kristallon-Serviertablett-antirutsch-51-x-38cm.htm</t>
        </is>
      </c>
      <c r="O376" s="27" t="inlineStr">
        <is>
          <t>Kristallon</t>
        </is>
      </c>
      <c r="P376" s="27" t="inlineStr">
        <is>
          <t>incl.</t>
        </is>
      </c>
      <c r="Q376" s="104" t="n"/>
      <c r="R376" s="27" t="n">
        <v>1</v>
      </c>
      <c r="S376" s="27" t="n"/>
      <c r="T376" s="27" t="inlineStr">
        <is>
          <t>CLOSE</t>
        </is>
      </c>
      <c r="U376" s="27" t="inlineStr">
        <is>
          <t>Existing benchmark assignment and match quality retained.</t>
        </is>
      </c>
      <c r="V376" s="102" t="n">
        <v>7.48</v>
      </c>
      <c r="W376" s="102" t="n"/>
      <c r="X376" s="27" t="inlineStr">
        <is>
          <t>YES Gastro Austria Market Research.xlsx</t>
        </is>
      </c>
      <c r="Y376" s="27" t="n"/>
      <c r="Z376" s="27" t="n"/>
      <c r="AA376" s="27" t="n"/>
      <c r="AB376" s="27" t="inlineStr">
        <is>
          <t>EUR</t>
        </is>
      </c>
      <c r="AC376" s="27" t="inlineStr">
        <is>
          <t>yes</t>
        </is>
      </c>
      <c r="AD376" s="27">
        <f>IF(ISNUMBER(V376),V376,"")</f>
        <v/>
      </c>
      <c r="AE376" s="27">
        <f>IF(AND(AC376="yes",ISNUMBER(F376),IF('Compare'!$H$5="All mapped",TRUE,IF('Compare'!$H$5="EXACT only",J376="EXACT",OR(J376="EXACT",J376="CLOSE")))),"yes","no")</f>
        <v/>
      </c>
      <c r="AF376" s="27">
        <f>IF(ISNUMBER(H376),COUNTIFS($B$7:$B$608,B376,$C$7:$C$608,C376,$H$7:$H$608,"&lt;"&amp;H376,$AH$7:$AH$608,"yes")+COUNTIFS($B$7:B376,B376,$C$7:C376,C376,$H$7:H376,H376,$AH$7:AH376,"yes"),"")</f>
        <v/>
      </c>
      <c r="AG376" s="27">
        <f>IF(ISNUMBER(I376),COUNTIFS($B$7:$B$608,B376,$C$7:$C$608,C376,$I$7:$I$608,"&lt;"&amp;I376,$AI$7:$AI$608,"yes")+COUNTIFS($B$7:B376,B376,$C$7:C376,C376,$I$7:I376,I376,$AI$7:AI376,"yes"),"")</f>
        <v/>
      </c>
      <c r="AH376" s="27">
        <f>IF(ISNUMBER(H376),"yes","no")</f>
        <v/>
      </c>
      <c r="AI376" s="27">
        <f>IF(ISNUMBER(I376),"yes","no")</f>
        <v/>
      </c>
      <c r="AJ376" s="105" t="n">
        <v>46295</v>
      </c>
      <c r="AK376" s="27" t="n"/>
    </row>
    <row r="377" ht="42" customHeight="1">
      <c r="A377" s="2" t="n"/>
      <c r="B377" s="24" t="inlineStr">
        <is>
          <t>Service tray approx. 370 × 530 mm</t>
        </is>
      </c>
      <c r="C377" s="24" t="inlineStr">
        <is>
          <t>Austria</t>
        </is>
      </c>
      <c r="D377" s="24" t="inlineStr">
        <is>
          <t>Intergastro (AT shop)</t>
        </is>
      </c>
      <c r="E377" s="24" t="inlineStr">
        <is>
          <t>Tablett Polyester titanfarben rechteckig 530 x 370 mm</t>
        </is>
      </c>
      <c r="F377" s="98" t="n">
        <v>18.19</v>
      </c>
      <c r="G377" s="24" t="inlineStr">
        <is>
          <t>EUR</t>
        </is>
      </c>
      <c r="H377" s="98">
        <f>IF(AND(AE377="yes",ISNUMBER(AD377)),AD377,"")</f>
        <v/>
      </c>
      <c r="I377" s="99">
        <f>IF(AND(AE377="yes",ISNUMBER(AD377),ISNUMBER(INDEX('Sources'!$G$7:$G$10,MATCH(AB377,'Sources'!$B$7:$B$10,0)))),AD377/INDEX('Sources'!$G$7:$G$10,MATCH(AB377,'Sources'!$B$7:$B$10,0)),"")</f>
        <v/>
      </c>
      <c r="J377" s="24" t="inlineStr">
        <is>
          <t>APPROX</t>
        </is>
      </c>
      <c r="K377" s="24" t="inlineStr">
        <is>
          <t>2026-09-30</t>
        </is>
      </c>
      <c r="L377" s="71" t="n"/>
      <c r="M377" s="24" t="inlineStr">
        <is>
          <t>Right size but polyester/fibreglass, not ABS/PP; no ABS/PP tray of this size found</t>
        </is>
      </c>
      <c r="N377" s="25" t="inlineStr">
        <is>
          <t>https://www.intergastro.at/tablett-polyester-titanfarben-rechteckig-530-mm-x-370-mm-396106</t>
        </is>
      </c>
      <c r="O377" s="24" t="inlineStr">
        <is>
          <t>Cambro</t>
        </is>
      </c>
      <c r="P377" s="24" t="inlineStr">
        <is>
          <t>excl.</t>
        </is>
      </c>
      <c r="Q377" s="100" t="n"/>
      <c r="R377" s="24" t="n">
        <v>1</v>
      </c>
      <c r="S377" s="24" t="n"/>
      <c r="T377" s="24" t="inlineStr">
        <is>
          <t>APPROX</t>
        </is>
      </c>
      <c r="U377" s="24" t="inlineStr">
        <is>
          <t>Existing benchmark assignment and match quality retained.</t>
        </is>
      </c>
      <c r="V377" s="98" t="n">
        <v>18.19</v>
      </c>
      <c r="W377" s="98" t="n"/>
      <c r="X377" s="24" t="inlineStr">
        <is>
          <t>YES Gastro Austria Market Research.xlsx</t>
        </is>
      </c>
      <c r="Y377" s="24" t="n"/>
      <c r="Z377" s="24" t="n"/>
      <c r="AA377" s="24" t="n"/>
      <c r="AB377" s="24" t="inlineStr">
        <is>
          <t>EUR</t>
        </is>
      </c>
      <c r="AC377" s="24" t="inlineStr">
        <is>
          <t>yes</t>
        </is>
      </c>
      <c r="AD377" s="24">
        <f>IF(ISNUMBER(V377),V377,"")</f>
        <v/>
      </c>
      <c r="AE377" s="24">
        <f>IF(AND(AC377="yes",ISNUMBER(F377),IF('Compare'!$H$5="All mapped",TRUE,IF('Compare'!$H$5="EXACT only",J377="EXACT",OR(J377="EXACT",J377="CLOSE")))),"yes","no")</f>
        <v/>
      </c>
      <c r="AF377" s="24">
        <f>IF(ISNUMBER(H377),COUNTIFS($B$7:$B$608,B377,$C$7:$C$608,C377,$H$7:$H$608,"&lt;"&amp;H377,$AH$7:$AH$608,"yes")+COUNTIFS($B$7:B377,B377,$C$7:C377,C377,$H$7:H377,H377,$AH$7:AH377,"yes"),"")</f>
        <v/>
      </c>
      <c r="AG377" s="24">
        <f>IF(ISNUMBER(I377),COUNTIFS($B$7:$B$608,B377,$C$7:$C$608,C377,$I$7:$I$608,"&lt;"&amp;I377,$AI$7:$AI$608,"yes")+COUNTIFS($B$7:B377,B377,$C$7:C377,C377,$I$7:I377,I377,$AI$7:AI377,"yes"),"")</f>
        <v/>
      </c>
      <c r="AH377" s="24">
        <f>IF(ISNUMBER(H377),"yes","no")</f>
        <v/>
      </c>
      <c r="AI377" s="24">
        <f>IF(ISNUMBER(I377),"yes","no")</f>
        <v/>
      </c>
      <c r="AJ377" s="101" t="n">
        <v>46295</v>
      </c>
      <c r="AK377" s="24" t="n"/>
    </row>
    <row r="378" ht="42" customHeight="1">
      <c r="A378" s="2" t="n"/>
      <c r="B378" s="27" t="inlineStr">
        <is>
          <t>Service tray approx. 370 × 530 mm</t>
        </is>
      </c>
      <c r="C378" s="27" t="inlineStr">
        <is>
          <t>Austria</t>
        </is>
      </c>
      <c r="D378" s="27" t="inlineStr">
        <is>
          <t>shopbuero.com</t>
        </is>
      </c>
      <c r="E378" s="27" t="inlineStr">
        <is>
          <t>Euronorm-Tablett - Stapelnocken - Serie 9605 - lichtgrau - 53 x 37 cm - Polyester</t>
        </is>
      </c>
      <c r="F378" s="102" t="n">
        <v>11.9</v>
      </c>
      <c r="G378" s="27" t="inlineStr">
        <is>
          <t>EUR</t>
        </is>
      </c>
      <c r="H378" s="102">
        <f>IF(AND(AE378="yes",ISNUMBER(AD378)),AD378,"")</f>
        <v/>
      </c>
      <c r="I378" s="103">
        <f>IF(AND(AE378="yes",ISNUMBER(AD378),ISNUMBER(INDEX('Sources'!$G$7:$G$10,MATCH(AB378,'Sources'!$B$7:$B$10,0)))),AD378/INDEX('Sources'!$G$7:$G$10,MATCH(AB378,'Sources'!$B$7:$B$10,0)),"")</f>
        <v/>
      </c>
      <c r="J378" s="27" t="inlineStr">
        <is>
          <t>APPROX</t>
        </is>
      </c>
      <c r="K378" s="27" t="inlineStr">
        <is>
          <t>2026-09-30</t>
        </is>
      </c>
      <c r="L378" s="71" t="n"/>
      <c r="M378" s="27" t="inlineStr">
        <is>
          <t>Right size but polyester (not ABS/PP); PP non-slip tray 46x36 cm 6.10; regular price 17.50</t>
        </is>
      </c>
      <c r="N378" s="28" t="inlineStr">
        <is>
          <t>https://shopbuero.com/euronorm-tablett-stapelnocken-serie-9605-lichtgrau-53-x-37-cm-polyester/9605531-A</t>
        </is>
      </c>
      <c r="O378" s="27" t="inlineStr">
        <is>
          <t>WAS Germany</t>
        </is>
      </c>
      <c r="P378" s="27" t="inlineStr">
        <is>
          <t>excl.</t>
        </is>
      </c>
      <c r="Q378" s="104" t="n"/>
      <c r="R378" s="27" t="n">
        <v>1</v>
      </c>
      <c r="S378" s="27" t="n"/>
      <c r="T378" s="27" t="inlineStr">
        <is>
          <t>APPROX</t>
        </is>
      </c>
      <c r="U378" s="27" t="inlineStr">
        <is>
          <t>Existing benchmark assignment and match quality retained.</t>
        </is>
      </c>
      <c r="V378" s="102" t="n">
        <v>11.9</v>
      </c>
      <c r="W378" s="102" t="n"/>
      <c r="X378" s="27" t="inlineStr">
        <is>
          <t>YES Gastro Austria Market Research.xlsx</t>
        </is>
      </c>
      <c r="Y378" s="27" t="n"/>
      <c r="Z378" s="27" t="n"/>
      <c r="AA378" s="27" t="n"/>
      <c r="AB378" s="27" t="inlineStr">
        <is>
          <t>EUR</t>
        </is>
      </c>
      <c r="AC378" s="27" t="inlineStr">
        <is>
          <t>yes</t>
        </is>
      </c>
      <c r="AD378" s="27">
        <f>IF(ISNUMBER(V378),V378,"")</f>
        <v/>
      </c>
      <c r="AE378" s="27">
        <f>IF(AND(AC378="yes",ISNUMBER(F378),IF('Compare'!$H$5="All mapped",TRUE,IF('Compare'!$H$5="EXACT only",J378="EXACT",OR(J378="EXACT",J378="CLOSE")))),"yes","no")</f>
        <v/>
      </c>
      <c r="AF378" s="27">
        <f>IF(ISNUMBER(H378),COUNTIFS($B$7:$B$608,B378,$C$7:$C$608,C378,$H$7:$H$608,"&lt;"&amp;H378,$AH$7:$AH$608,"yes")+COUNTIFS($B$7:B378,B378,$C$7:C378,C378,$H$7:H378,H378,$AH$7:AH378,"yes"),"")</f>
        <v/>
      </c>
      <c r="AG378" s="27">
        <f>IF(ISNUMBER(I378),COUNTIFS($B$7:$B$608,B378,$C$7:$C$608,C378,$I$7:$I$608,"&lt;"&amp;I378,$AI$7:$AI$608,"yes")+COUNTIFS($B$7:B378,B378,$C$7:C378,C378,$I$7:I378,I378,$AI$7:AI378,"yes"),"")</f>
        <v/>
      </c>
      <c r="AH378" s="27">
        <f>IF(ISNUMBER(H378),"yes","no")</f>
        <v/>
      </c>
      <c r="AI378" s="27">
        <f>IF(ISNUMBER(I378),"yes","no")</f>
        <v/>
      </c>
      <c r="AJ378" s="105" t="n">
        <v>46295</v>
      </c>
      <c r="AK378" s="27" t="n"/>
    </row>
    <row r="379" ht="42" customHeight="1">
      <c r="A379" s="2" t="n"/>
      <c r="B379" s="24" t="inlineStr">
        <is>
          <t>Service tray approx. 370 × 530 mm</t>
        </is>
      </c>
      <c r="C379" s="24" t="inlineStr">
        <is>
          <t>Germany</t>
        </is>
      </c>
      <c r="D379" s="24" t="inlineStr">
        <is>
          <t>ALLPAX</t>
        </is>
      </c>
      <c r="E379" s="24" t="inlineStr">
        <is>
          <t>EN Tablett, Serie Tray 97, 53x37 cm</t>
        </is>
      </c>
      <c r="F379" s="98" t="n">
        <v>19.22</v>
      </c>
      <c r="G379" s="24" t="inlineStr">
        <is>
          <t>EUR</t>
        </is>
      </c>
      <c r="H379" s="98">
        <f>IF(AND(AE379="yes",ISNUMBER(AD379)),AD379,"")</f>
        <v/>
      </c>
      <c r="I379" s="99">
        <f>IF(AND(AE379="yes",ISNUMBER(AD379),ISNUMBER(INDEX('Sources'!$G$7:$G$10,MATCH(AB379,'Sources'!$B$7:$B$10,0)))),AD379/INDEX('Sources'!$G$7:$G$10,MATCH(AB379,'Sources'!$B$7:$B$10,0)),"")</f>
        <v/>
      </c>
      <c r="J379" s="24" t="inlineStr">
        <is>
          <t>APPROX</t>
        </is>
      </c>
      <c r="K379" s="24" t="inlineStr">
        <is>
          <t>2026-09-30</t>
        </is>
      </c>
      <c r="L379" s="71" t="n"/>
      <c r="M379" s="24" t="inlineStr">
        <is>
          <t>Right size but fibreglass-reinforced polyester, not ABS/PP</t>
        </is>
      </c>
      <c r="N379" s="25" t="inlineStr">
        <is>
          <t>https://www.allpax.de/product_info.php/info/EN-Tablett.html</t>
        </is>
      </c>
      <c r="O379" s="24" t="n"/>
      <c r="P379" s="24" t="inlineStr">
        <is>
          <t>excl.</t>
        </is>
      </c>
      <c r="Q379" s="100" t="n"/>
      <c r="R379" s="24" t="n">
        <v>1</v>
      </c>
      <c r="S379" s="24" t="n"/>
      <c r="T379" s="24" t="inlineStr">
        <is>
          <t>APPROX</t>
        </is>
      </c>
      <c r="U379" s="24" t="inlineStr">
        <is>
          <t>Existing benchmark assignment and match quality retained.</t>
        </is>
      </c>
      <c r="V379" s="98" t="n">
        <v>19.22</v>
      </c>
      <c r="W379" s="98" t="n"/>
      <c r="X379" s="24" t="inlineStr">
        <is>
          <t>YES Gastro Germany Market Research.xlsx</t>
        </is>
      </c>
      <c r="Y379" s="24" t="n"/>
      <c r="Z379" s="24" t="n"/>
      <c r="AA379" s="24" t="n"/>
      <c r="AB379" s="24" t="inlineStr">
        <is>
          <t>EUR</t>
        </is>
      </c>
      <c r="AC379" s="24" t="inlineStr">
        <is>
          <t>yes</t>
        </is>
      </c>
      <c r="AD379" s="24">
        <f>IF(ISNUMBER(V379),V379,"")</f>
        <v/>
      </c>
      <c r="AE379" s="24">
        <f>IF(AND(AC379="yes",ISNUMBER(F379),IF('Compare'!$H$5="All mapped",TRUE,IF('Compare'!$H$5="EXACT only",J379="EXACT",OR(J379="EXACT",J379="CLOSE")))),"yes","no")</f>
        <v/>
      </c>
      <c r="AF379" s="24">
        <f>IF(ISNUMBER(H379),COUNTIFS($B$7:$B$608,B379,$C$7:$C$608,C379,$H$7:$H$608,"&lt;"&amp;H379,$AH$7:$AH$608,"yes")+COUNTIFS($B$7:B379,B379,$C$7:C379,C379,$H$7:H379,H379,$AH$7:AH379,"yes"),"")</f>
        <v/>
      </c>
      <c r="AG379" s="24">
        <f>IF(ISNUMBER(I379),COUNTIFS($B$7:$B$608,B379,$C$7:$C$608,C379,$I$7:$I$608,"&lt;"&amp;I379,$AI$7:$AI$608,"yes")+COUNTIFS($B$7:B379,B379,$C$7:C379,C379,$I$7:I379,I379,$AI$7:AI379,"yes"),"")</f>
        <v/>
      </c>
      <c r="AH379" s="24">
        <f>IF(ISNUMBER(H379),"yes","no")</f>
        <v/>
      </c>
      <c r="AI379" s="24">
        <f>IF(ISNUMBER(I379),"yes","no")</f>
        <v/>
      </c>
      <c r="AJ379" s="101" t="n">
        <v>46295</v>
      </c>
      <c r="AK379" s="24" t="n"/>
    </row>
    <row r="380" ht="42" customHeight="1">
      <c r="A380" s="2" t="n"/>
      <c r="B380" s="27" t="inlineStr">
        <is>
          <t>Service tray approx. 370 × 530 mm</t>
        </is>
      </c>
      <c r="C380" s="27" t="inlineStr">
        <is>
          <t>Germany</t>
        </is>
      </c>
      <c r="D380" s="27" t="inlineStr">
        <is>
          <t>GGM Gastro</t>
        </is>
      </c>
      <c r="E380" s="27" t="inlineStr">
        <is>
          <t>(6 Stück) FAST FOOD Tablett - GN 1/1 - Polypropylen - Höhe 20mm - Schwarz</t>
        </is>
      </c>
      <c r="F380" s="102" t="n">
        <v>34.99</v>
      </c>
      <c r="G380" s="27" t="inlineStr">
        <is>
          <t>EUR</t>
        </is>
      </c>
      <c r="H380" s="102">
        <f>IF(AND(AE380="yes",ISNUMBER(AD380)),AD380,"")</f>
        <v/>
      </c>
      <c r="I380" s="103">
        <f>IF(AND(AE380="yes",ISNUMBER(AD380),ISNUMBER(INDEX('Sources'!$G$7:$G$10,MATCH(AB380,'Sources'!$B$7:$B$10,0)))),AD380/INDEX('Sources'!$G$7:$G$10,MATCH(AB380,'Sources'!$B$7:$B$10,0)),"")</f>
        <v/>
      </c>
      <c r="J380" s="27" t="inlineStr">
        <is>
          <t>APPROX</t>
        </is>
      </c>
      <c r="K380" s="27" t="inlineStr">
        <is>
          <t>2026-09-30</t>
        </is>
      </c>
      <c r="L380" s="71" t="n"/>
      <c r="M380" s="27" t="inlineStr">
        <is>
          <t>PP but GN 1/1 size (530x325), not 530x370</t>
        </is>
      </c>
      <c r="N380" s="28" t="inlineStr">
        <is>
          <t>https://www.ggmgastro.com/de-de-eur/6-stueck-fast-food-tablett-gn-1-1-polypropylen-hoehe-20mm-schwarz-00553-6</t>
        </is>
      </c>
      <c r="O380" s="27" t="inlineStr">
        <is>
          <t>GGM</t>
        </is>
      </c>
      <c r="P380" s="27" t="inlineStr">
        <is>
          <t>excl.</t>
        </is>
      </c>
      <c r="Q380" s="104" t="n"/>
      <c r="R380" s="27" t="n">
        <v>6</v>
      </c>
      <c r="S380" s="27" t="inlineStr">
        <is>
          <t>set of 6</t>
        </is>
      </c>
      <c r="T380" s="27" t="inlineStr">
        <is>
          <t>APPROX</t>
        </is>
      </c>
      <c r="U380" s="27" t="inlineStr">
        <is>
          <t>Existing benchmark assignment and match quality retained.</t>
        </is>
      </c>
      <c r="V380" s="102" t="n">
        <v>5.83</v>
      </c>
      <c r="W380" s="102" t="n"/>
      <c r="X380" s="27" t="inlineStr">
        <is>
          <t>YES Gastro Germany Market Research.xlsx</t>
        </is>
      </c>
      <c r="Y380" s="27" t="n"/>
      <c r="Z380" s="27" t="n"/>
      <c r="AA380" s="27" t="n"/>
      <c r="AB380" s="27" t="inlineStr">
        <is>
          <t>EUR</t>
        </is>
      </c>
      <c r="AC380" s="27" t="inlineStr">
        <is>
          <t>yes</t>
        </is>
      </c>
      <c r="AD380" s="27">
        <f>IF(ISNUMBER(V380),V380,"")</f>
        <v/>
      </c>
      <c r="AE380" s="27">
        <f>IF(AND(AC380="yes",ISNUMBER(F380),IF('Compare'!$H$5="All mapped",TRUE,IF('Compare'!$H$5="EXACT only",J380="EXACT",OR(J380="EXACT",J380="CLOSE")))),"yes","no")</f>
        <v/>
      </c>
      <c r="AF380" s="27">
        <f>IF(ISNUMBER(H380),COUNTIFS($B$7:$B$608,B380,$C$7:$C$608,C380,$H$7:$H$608,"&lt;"&amp;H380,$AH$7:$AH$608,"yes")+COUNTIFS($B$7:B380,B380,$C$7:C380,C380,$H$7:H380,H380,$AH$7:AH380,"yes"),"")</f>
        <v/>
      </c>
      <c r="AG380" s="27">
        <f>IF(ISNUMBER(I380),COUNTIFS($B$7:$B$608,B380,$C$7:$C$608,C380,$I$7:$I$608,"&lt;"&amp;I380,$AI$7:$AI$608,"yes")+COUNTIFS($B$7:B380,B380,$C$7:C380,C380,$I$7:I380,I380,$AI$7:AI380,"yes"),"")</f>
        <v/>
      </c>
      <c r="AH380" s="27">
        <f>IF(ISNUMBER(H380),"yes","no")</f>
        <v/>
      </c>
      <c r="AI380" s="27">
        <f>IF(ISNUMBER(I380),"yes","no")</f>
        <v/>
      </c>
      <c r="AJ380" s="105" t="n">
        <v>46295</v>
      </c>
      <c r="AK380" s="27" t="n"/>
    </row>
    <row r="381" ht="42" customHeight="1">
      <c r="A381" s="2" t="n"/>
      <c r="B381" s="24" t="inlineStr">
        <is>
          <t>Service tray approx. 370 × 530 mm</t>
        </is>
      </c>
      <c r="C381" s="24" t="inlineStr">
        <is>
          <t>Germany</t>
        </is>
      </c>
      <c r="D381" s="24" t="inlineStr">
        <is>
          <t>GastroHero</t>
        </is>
      </c>
      <c r="E381" s="24" t="inlineStr">
        <is>
          <t>WAS Germany Tablett PP - GN 1/1, lichtgrau</t>
        </is>
      </c>
      <c r="F381" s="98" t="n">
        <v>6.59</v>
      </c>
      <c r="G381" s="24" t="inlineStr">
        <is>
          <t>EUR</t>
        </is>
      </c>
      <c r="H381" s="98">
        <f>IF(AND(AE381="yes",ISNUMBER(AD381)),AD381,"")</f>
        <v/>
      </c>
      <c r="I381" s="99">
        <f>IF(AND(AE381="yes",ISNUMBER(AD381),ISNUMBER(INDEX('Sources'!$G$7:$G$10,MATCH(AB381,'Sources'!$B$7:$B$10,0)))),AD381/INDEX('Sources'!$G$7:$G$10,MATCH(AB381,'Sources'!$B$7:$B$10,0)),"")</f>
        <v/>
      </c>
      <c r="J381" s="24" t="inlineStr">
        <is>
          <t>APPROX</t>
        </is>
      </c>
      <c r="K381" s="24" t="inlineStr">
        <is>
          <t>2026-09-30</t>
        </is>
      </c>
      <c r="L381" s="71" t="n"/>
      <c r="M381" s="24" t="inlineStr">
        <is>
          <t>PP but GN 1/1 size (530x325), not 370x530</t>
        </is>
      </c>
      <c r="N381" s="25" t="inlineStr">
        <is>
          <t>https://www.gastro-hero.de/products/was-germany-tablett-pp-gn-11-lichtgrau-9283530</t>
        </is>
      </c>
      <c r="O381" s="24" t="inlineStr">
        <is>
          <t>WAS Germany</t>
        </is>
      </c>
      <c r="P381" s="24" t="inlineStr">
        <is>
          <t>excl.</t>
        </is>
      </c>
      <c r="Q381" s="100" t="n"/>
      <c r="R381" s="24" t="n">
        <v>1</v>
      </c>
      <c r="S381" s="24" t="n"/>
      <c r="T381" s="24" t="inlineStr">
        <is>
          <t>APPROX</t>
        </is>
      </c>
      <c r="U381" s="24" t="inlineStr">
        <is>
          <t>Existing benchmark assignment and match quality retained.</t>
        </is>
      </c>
      <c r="V381" s="98" t="n">
        <v>6.59</v>
      </c>
      <c r="W381" s="98" t="n"/>
      <c r="X381" s="24" t="inlineStr">
        <is>
          <t>YES Gastro Germany Market Research.xlsx</t>
        </is>
      </c>
      <c r="Y381" s="24" t="n"/>
      <c r="Z381" s="24" t="n"/>
      <c r="AA381" s="24" t="n"/>
      <c r="AB381" s="24" t="inlineStr">
        <is>
          <t>EUR</t>
        </is>
      </c>
      <c r="AC381" s="24" t="inlineStr">
        <is>
          <t>yes</t>
        </is>
      </c>
      <c r="AD381" s="24">
        <f>IF(ISNUMBER(V381),V381,"")</f>
        <v/>
      </c>
      <c r="AE381" s="24">
        <f>IF(AND(AC381="yes",ISNUMBER(F381),IF('Compare'!$H$5="All mapped",TRUE,IF('Compare'!$H$5="EXACT only",J381="EXACT",OR(J381="EXACT",J381="CLOSE")))),"yes","no")</f>
        <v/>
      </c>
      <c r="AF381" s="24">
        <f>IF(ISNUMBER(H381),COUNTIFS($B$7:$B$608,B381,$C$7:$C$608,C381,$H$7:$H$608,"&lt;"&amp;H381,$AH$7:$AH$608,"yes")+COUNTIFS($B$7:B381,B381,$C$7:C381,C381,$H$7:H381,H381,$AH$7:AH381,"yes"),"")</f>
        <v/>
      </c>
      <c r="AG381" s="24">
        <f>IF(ISNUMBER(I381),COUNTIFS($B$7:$B$608,B381,$C$7:$C$608,C381,$I$7:$I$608,"&lt;"&amp;I381,$AI$7:$AI$608,"yes")+COUNTIFS($B$7:B381,B381,$C$7:C381,C381,$I$7:I381,I381,$AI$7:AI381,"yes"),"")</f>
        <v/>
      </c>
      <c r="AH381" s="24">
        <f>IF(ISNUMBER(H381),"yes","no")</f>
        <v/>
      </c>
      <c r="AI381" s="24">
        <f>IF(ISNUMBER(I381),"yes","no")</f>
        <v/>
      </c>
      <c r="AJ381" s="101" t="n">
        <v>46295</v>
      </c>
      <c r="AK381" s="24" t="n"/>
    </row>
    <row r="382" ht="42" customHeight="1">
      <c r="A382" s="2" t="n"/>
      <c r="B382" s="27" t="inlineStr">
        <is>
          <t>Service tray approx. 370 × 530 mm</t>
        </is>
      </c>
      <c r="C382" s="27" t="inlineStr">
        <is>
          <t>Germany</t>
        </is>
      </c>
      <c r="D382" s="27" t="inlineStr">
        <is>
          <t>Gastrodax [substitute]</t>
        </is>
      </c>
      <c r="E382" s="27" t="inlineStr">
        <is>
          <t>Hendi Serviertablett, rechteckig, Euronorm, 370x530mm</t>
        </is>
      </c>
      <c r="F382" s="102" t="n">
        <v>15.25</v>
      </c>
      <c r="G382" s="27" t="inlineStr">
        <is>
          <t>EUR</t>
        </is>
      </c>
      <c r="H382" s="102">
        <f>IF(AND(AE382="yes",ISNUMBER(AD382)),AD382,"")</f>
        <v/>
      </c>
      <c r="I382" s="103">
        <f>IF(AND(AE382="yes",ISNUMBER(AD382),ISNUMBER(INDEX('Sources'!$G$7:$G$10,MATCH(AB382,'Sources'!$B$7:$B$10,0)))),AD382/INDEX('Sources'!$G$7:$G$10,MATCH(AB382,'Sources'!$B$7:$B$10,0)),"")</f>
        <v/>
      </c>
      <c r="J382" s="27" t="inlineStr">
        <is>
          <t>CLOSE</t>
        </is>
      </c>
      <c r="K382" s="27" t="inlineStr">
        <is>
          <t>2026-09-30</t>
        </is>
      </c>
      <c r="L382" s="71" t="n"/>
      <c r="M382" s="27" t="inlineStr">
        <is>
          <t>Exact size; material not stated on page</t>
        </is>
      </c>
      <c r="N382" s="28" t="inlineStr">
        <is>
          <t>https://www.gastrodax.de/hendi-serviertablett-rechteckig-euronorm-370-x-530-mm</t>
        </is>
      </c>
      <c r="O382" s="27" t="inlineStr">
        <is>
          <t>Hendi</t>
        </is>
      </c>
      <c r="P382" s="27" t="inlineStr">
        <is>
          <t>excl.</t>
        </is>
      </c>
      <c r="Q382" s="104" t="n"/>
      <c r="R382" s="27" t="n">
        <v>1</v>
      </c>
      <c r="S382" s="27" t="n"/>
      <c r="T382" s="27" t="inlineStr">
        <is>
          <t>CLOSE</t>
        </is>
      </c>
      <c r="U382" s="27" t="inlineStr">
        <is>
          <t>Existing benchmark assignment and match quality retained.</t>
        </is>
      </c>
      <c r="V382" s="102" t="n">
        <v>15.25</v>
      </c>
      <c r="W382" s="102" t="n"/>
      <c r="X382" s="27" t="inlineStr">
        <is>
          <t>YES Gastro Germany Market Research.xlsx</t>
        </is>
      </c>
      <c r="Y382" s="27" t="n"/>
      <c r="Z382" s="27" t="n"/>
      <c r="AA382" s="27" t="n"/>
      <c r="AB382" s="27" t="inlineStr">
        <is>
          <t>EUR</t>
        </is>
      </c>
      <c r="AC382" s="27" t="inlineStr">
        <is>
          <t>yes</t>
        </is>
      </c>
      <c r="AD382" s="27">
        <f>IF(ISNUMBER(V382),V382,"")</f>
        <v/>
      </c>
      <c r="AE382" s="27">
        <f>IF(AND(AC382="yes",ISNUMBER(F382),IF('Compare'!$H$5="All mapped",TRUE,IF('Compare'!$H$5="EXACT only",J382="EXACT",OR(J382="EXACT",J382="CLOSE")))),"yes","no")</f>
        <v/>
      </c>
      <c r="AF382" s="27">
        <f>IF(ISNUMBER(H382),COUNTIFS($B$7:$B$608,B382,$C$7:$C$608,C382,$H$7:$H$608,"&lt;"&amp;H382,$AH$7:$AH$608,"yes")+COUNTIFS($B$7:B382,B382,$C$7:C382,C382,$H$7:H382,H382,$AH$7:AH382,"yes"),"")</f>
        <v/>
      </c>
      <c r="AG382" s="27">
        <f>IF(ISNUMBER(I382),COUNTIFS($B$7:$B$608,B382,$C$7:$C$608,C382,$I$7:$I$608,"&lt;"&amp;I382,$AI$7:$AI$608,"yes")+COUNTIFS($B$7:B382,B382,$C$7:C382,C382,$I$7:I382,I382,$AI$7:AI382,"yes"),"")</f>
        <v/>
      </c>
      <c r="AH382" s="27">
        <f>IF(ISNUMBER(H382),"yes","no")</f>
        <v/>
      </c>
      <c r="AI382" s="27">
        <f>IF(ISNUMBER(I382),"yes","no")</f>
        <v/>
      </c>
      <c r="AJ382" s="105" t="n">
        <v>46295</v>
      </c>
      <c r="AK382" s="27" t="n"/>
    </row>
    <row r="383" ht="42" customHeight="1">
      <c r="A383" s="2" t="n"/>
      <c r="B383" s="24" t="inlineStr">
        <is>
          <t>Service tray approx. 370 × 530 mm</t>
        </is>
      </c>
      <c r="C383" s="24" t="inlineStr">
        <is>
          <t>Germany</t>
        </is>
      </c>
      <c r="D383" s="24" t="inlineStr">
        <is>
          <t>Gastroladen.de (Harotec GmbH) [substitute]</t>
        </is>
      </c>
      <c r="E383" s="24" t="inlineStr">
        <is>
          <t>Kristallon Serviertablett antirutsch 51 x 38cm</t>
        </is>
      </c>
      <c r="F383" s="98" t="n">
        <v>8.890000000000001</v>
      </c>
      <c r="G383" s="24" t="inlineStr">
        <is>
          <t>EUR</t>
        </is>
      </c>
      <c r="H383" s="98">
        <f>IF(AND(AE383="yes",ISNUMBER(AD383)),AD383,"")</f>
        <v/>
      </c>
      <c r="I383" s="99">
        <f>IF(AND(AE383="yes",ISNUMBER(AD383),ISNUMBER(INDEX('Sources'!$G$7:$G$10,MATCH(AB383,'Sources'!$B$7:$B$10,0)))),AD383/INDEX('Sources'!$G$7:$G$10,MATCH(AB383,'Sources'!$B$7:$B$10,0)),"")</f>
        <v/>
      </c>
      <c r="J383" s="24" t="inlineStr">
        <is>
          <t>CLOSE</t>
        </is>
      </c>
      <c r="K383" s="24" t="inlineStr">
        <is>
          <t>2026-09-30</t>
        </is>
      </c>
      <c r="L383" s="71" t="n"/>
      <c r="M383" s="24" t="inlineStr">
        <is>
          <t>510x380 mm, plastic (type not specified), non-slip</t>
        </is>
      </c>
      <c r="N383" s="25" t="inlineStr">
        <is>
          <t>https://www.gastroladen.de/G16801@GN-C560/Kristallon-Serviertablett-antirutsch-51-x-38cm.htm</t>
        </is>
      </c>
      <c r="O383" s="24" t="inlineStr">
        <is>
          <t>Kristallon</t>
        </is>
      </c>
      <c r="P383" s="24" t="inlineStr">
        <is>
          <t>incl.</t>
        </is>
      </c>
      <c r="Q383" s="100" t="n"/>
      <c r="R383" s="24" t="n">
        <v>1</v>
      </c>
      <c r="S383" s="24" t="n"/>
      <c r="T383" s="24" t="inlineStr">
        <is>
          <t>CLOSE</t>
        </is>
      </c>
      <c r="U383" s="24" t="inlineStr">
        <is>
          <t>Existing benchmark assignment and match quality retained.</t>
        </is>
      </c>
      <c r="V383" s="98" t="n">
        <v>7.47</v>
      </c>
      <c r="W383" s="98" t="n"/>
      <c r="X383" s="24" t="inlineStr">
        <is>
          <t>YES Gastro Germany Market Research.xlsx</t>
        </is>
      </c>
      <c r="Y383" s="24" t="n"/>
      <c r="Z383" s="24" t="n"/>
      <c r="AA383" s="24" t="n"/>
      <c r="AB383" s="24" t="inlineStr">
        <is>
          <t>EUR</t>
        </is>
      </c>
      <c r="AC383" s="24" t="inlineStr">
        <is>
          <t>yes</t>
        </is>
      </c>
      <c r="AD383" s="24">
        <f>IF(ISNUMBER(V383),V383,"")</f>
        <v/>
      </c>
      <c r="AE383" s="24">
        <f>IF(AND(AC383="yes",ISNUMBER(F383),IF('Compare'!$H$5="All mapped",TRUE,IF('Compare'!$H$5="EXACT only",J383="EXACT",OR(J383="EXACT",J383="CLOSE")))),"yes","no")</f>
        <v/>
      </c>
      <c r="AF383" s="24">
        <f>IF(ISNUMBER(H383),COUNTIFS($B$7:$B$608,B383,$C$7:$C$608,C383,$H$7:$H$608,"&lt;"&amp;H383,$AH$7:$AH$608,"yes")+COUNTIFS($B$7:B383,B383,$C$7:C383,C383,$H$7:H383,H383,$AH$7:AH383,"yes"),"")</f>
        <v/>
      </c>
      <c r="AG383" s="24">
        <f>IF(ISNUMBER(I383),COUNTIFS($B$7:$B$608,B383,$C$7:$C$608,C383,$I$7:$I$608,"&lt;"&amp;I383,$AI$7:$AI$608,"yes")+COUNTIFS($B$7:B383,B383,$C$7:C383,C383,$I$7:I383,I383,$AI$7:AI383,"yes"),"")</f>
        <v/>
      </c>
      <c r="AH383" s="24">
        <f>IF(ISNUMBER(H383),"yes","no")</f>
        <v/>
      </c>
      <c r="AI383" s="24">
        <f>IF(ISNUMBER(I383),"yes","no")</f>
        <v/>
      </c>
      <c r="AJ383" s="101" t="n">
        <v>46295</v>
      </c>
      <c r="AK383" s="24" t="n"/>
    </row>
    <row r="384" ht="42" customHeight="1">
      <c r="A384" s="2" t="n"/>
      <c r="B384" s="27" t="inlineStr">
        <is>
          <t>Service tray approx. 370 × 530 mm</t>
        </is>
      </c>
      <c r="C384" s="27" t="inlineStr">
        <is>
          <t>Germany</t>
        </is>
      </c>
      <c r="D384" s="27" t="inlineStr">
        <is>
          <t>Intergastro</t>
        </is>
      </c>
      <c r="E384" s="27" t="inlineStr">
        <is>
          <t>Tablett Polyester titanfarben rechteckig 530 x 370 mm</t>
        </is>
      </c>
      <c r="F384" s="102" t="n">
        <v>18.19</v>
      </c>
      <c r="G384" s="27" t="inlineStr">
        <is>
          <t>EUR</t>
        </is>
      </c>
      <c r="H384" s="102">
        <f>IF(AND(AE384="yes",ISNUMBER(AD384)),AD384,"")</f>
        <v/>
      </c>
      <c r="I384" s="103">
        <f>IF(AND(AE384="yes",ISNUMBER(AD384),ISNUMBER(INDEX('Sources'!$G$7:$G$10,MATCH(AB384,'Sources'!$B$7:$B$10,0)))),AD384/INDEX('Sources'!$G$7:$G$10,MATCH(AB384,'Sources'!$B$7:$B$10,0)),"")</f>
        <v/>
      </c>
      <c r="J384" s="27" t="inlineStr">
        <is>
          <t>APPROX</t>
        </is>
      </c>
      <c r="K384" s="27" t="inlineStr">
        <is>
          <t>2026-09-30</t>
        </is>
      </c>
      <c r="L384" s="71" t="n"/>
      <c r="M384" s="27" t="inlineStr">
        <is>
          <t>Right size but polyester/fibreglass, not ABS/PP; no ABS/PP tray of this size found</t>
        </is>
      </c>
      <c r="N384" s="28" t="inlineStr">
        <is>
          <t>https://www.intergastro.de/tablett-polyester-titanfarben-rechteckig-530-mm-x-370-mm-396106</t>
        </is>
      </c>
      <c r="O384" s="27" t="inlineStr">
        <is>
          <t>Cambro</t>
        </is>
      </c>
      <c r="P384" s="27" t="inlineStr">
        <is>
          <t>excl.</t>
        </is>
      </c>
      <c r="Q384" s="104" t="n"/>
      <c r="R384" s="27" t="n">
        <v>1</v>
      </c>
      <c r="S384" s="27" t="n"/>
      <c r="T384" s="27" t="inlineStr">
        <is>
          <t>APPROX</t>
        </is>
      </c>
      <c r="U384" s="27" t="inlineStr">
        <is>
          <t>Existing benchmark assignment and match quality retained.</t>
        </is>
      </c>
      <c r="V384" s="102" t="n">
        <v>18.19</v>
      </c>
      <c r="W384" s="102" t="n"/>
      <c r="X384" s="27" t="inlineStr">
        <is>
          <t>YES Gastro Germany Market Research.xlsx</t>
        </is>
      </c>
      <c r="Y384" s="27" t="n"/>
      <c r="Z384" s="27" t="n"/>
      <c r="AA384" s="27" t="n"/>
      <c r="AB384" s="27" t="inlineStr">
        <is>
          <t>EUR</t>
        </is>
      </c>
      <c r="AC384" s="27" t="inlineStr">
        <is>
          <t>yes</t>
        </is>
      </c>
      <c r="AD384" s="27">
        <f>IF(ISNUMBER(V384),V384,"")</f>
        <v/>
      </c>
      <c r="AE384" s="27">
        <f>IF(AND(AC384="yes",ISNUMBER(F384),IF('Compare'!$H$5="All mapped",TRUE,IF('Compare'!$H$5="EXACT only",J384="EXACT",OR(J384="EXACT",J384="CLOSE")))),"yes","no")</f>
        <v/>
      </c>
      <c r="AF384" s="27">
        <f>IF(ISNUMBER(H384),COUNTIFS($B$7:$B$608,B384,$C$7:$C$608,C384,$H$7:$H$608,"&lt;"&amp;H384,$AH$7:$AH$608,"yes")+COUNTIFS($B$7:B384,B384,$C$7:C384,C384,$H$7:H384,H384,$AH$7:AH384,"yes"),"")</f>
        <v/>
      </c>
      <c r="AG384" s="27">
        <f>IF(ISNUMBER(I384),COUNTIFS($B$7:$B$608,B384,$C$7:$C$608,C384,$I$7:$I$608,"&lt;"&amp;I384,$AI$7:$AI$608,"yes")+COUNTIFS($B$7:B384,B384,$C$7:C384,C384,$I$7:I384,I384,$AI$7:AI384,"yes"),"")</f>
        <v/>
      </c>
      <c r="AH384" s="27">
        <f>IF(ISNUMBER(H384),"yes","no")</f>
        <v/>
      </c>
      <c r="AI384" s="27">
        <f>IF(ISNUMBER(I384),"yes","no")</f>
        <v/>
      </c>
      <c r="AJ384" s="105" t="n">
        <v>46295</v>
      </c>
      <c r="AK384" s="27" t="n"/>
    </row>
    <row r="385" ht="42" customHeight="1">
      <c r="A385" s="2" t="n"/>
      <c r="B385" s="24" t="inlineStr">
        <is>
          <t>Service tray approx. 370 × 530 mm</t>
        </is>
      </c>
      <c r="C385" s="24" t="inlineStr">
        <is>
          <t>Germany</t>
        </is>
      </c>
      <c r="D385" s="24" t="inlineStr">
        <is>
          <t>Nisbets</t>
        </is>
      </c>
      <c r="E385" s="24" t="inlineStr">
        <is>
          <t>Olympia Kristallon Serviertablett antirutsch 51 x 38cm</t>
        </is>
      </c>
      <c r="F385" s="98" t="n">
        <v>5.09</v>
      </c>
      <c r="G385" s="24" t="inlineStr">
        <is>
          <t>EUR</t>
        </is>
      </c>
      <c r="H385" s="98">
        <f>IF(AND(AE385="yes",ISNUMBER(AD385)),AD385,"")</f>
        <v/>
      </c>
      <c r="I385" s="99">
        <f>IF(AND(AE385="yes",ISNUMBER(AD385),ISNUMBER(INDEX('Sources'!$G$7:$G$10,MATCH(AB385,'Sources'!$B$7:$B$10,0)))),AD385/INDEX('Sources'!$G$7:$G$10,MATCH(AB385,'Sources'!$B$7:$B$10,0)),"")</f>
        <v/>
      </c>
      <c r="J385" s="24" t="inlineStr">
        <is>
          <t>CLOSE</t>
        </is>
      </c>
      <c r="K385" s="24" t="inlineStr">
        <is>
          <t>2026-09-30</t>
        </is>
      </c>
      <c r="L385" s="71" t="n"/>
      <c r="M385" s="24" t="inlineStr">
        <is>
          <t>510x380 mm, plastic (type not specified), non-slip; 4.49 each from 3 pcs</t>
        </is>
      </c>
      <c r="N385" s="25" t="inlineStr">
        <is>
          <t>https://www.nisbets.de/kristallon-anti-rutsch-serviertablett-rechteckig-51cm/c560</t>
        </is>
      </c>
      <c r="O385" s="24" t="inlineStr">
        <is>
          <t>Olympia Kristallon</t>
        </is>
      </c>
      <c r="P385" s="24" t="inlineStr">
        <is>
          <t>excl.</t>
        </is>
      </c>
      <c r="Q385" s="100" t="n"/>
      <c r="R385" s="24" t="n">
        <v>1</v>
      </c>
      <c r="S385" s="24" t="n"/>
      <c r="T385" s="24" t="inlineStr">
        <is>
          <t>CLOSE</t>
        </is>
      </c>
      <c r="U385" s="24" t="inlineStr">
        <is>
          <t>Existing benchmark assignment and match quality retained.</t>
        </is>
      </c>
      <c r="V385" s="98" t="n">
        <v>5.09</v>
      </c>
      <c r="W385" s="98" t="n"/>
      <c r="X385" s="24" t="inlineStr">
        <is>
          <t>YES Gastro Germany Market Research.xlsx</t>
        </is>
      </c>
      <c r="Y385" s="24" t="n"/>
      <c r="Z385" s="24" t="n"/>
      <c r="AA385" s="24" t="n"/>
      <c r="AB385" s="24" t="inlineStr">
        <is>
          <t>EUR</t>
        </is>
      </c>
      <c r="AC385" s="24" t="inlineStr">
        <is>
          <t>yes</t>
        </is>
      </c>
      <c r="AD385" s="24">
        <f>IF(ISNUMBER(V385),V385,"")</f>
        <v/>
      </c>
      <c r="AE385" s="24">
        <f>IF(AND(AC385="yes",ISNUMBER(F385),IF('Compare'!$H$5="All mapped",TRUE,IF('Compare'!$H$5="EXACT only",J385="EXACT",OR(J385="EXACT",J385="CLOSE")))),"yes","no")</f>
        <v/>
      </c>
      <c r="AF385" s="24">
        <f>IF(ISNUMBER(H385),COUNTIFS($B$7:$B$608,B385,$C$7:$C$608,C385,$H$7:$H$608,"&lt;"&amp;H385,$AH$7:$AH$608,"yes")+COUNTIFS($B$7:B385,B385,$C$7:C385,C385,$H$7:H385,H385,$AH$7:AH385,"yes"),"")</f>
        <v/>
      </c>
      <c r="AG385" s="24">
        <f>IF(ISNUMBER(I385),COUNTIFS($B$7:$B$608,B385,$C$7:$C$608,C385,$I$7:$I$608,"&lt;"&amp;I385,$AI$7:$AI$608,"yes")+COUNTIFS($B$7:B385,B385,$C$7:C385,C385,$I$7:I385,I385,$AI$7:AI385,"yes"),"")</f>
        <v/>
      </c>
      <c r="AH385" s="24">
        <f>IF(ISNUMBER(H385),"yes","no")</f>
        <v/>
      </c>
      <c r="AI385" s="24">
        <f>IF(ISNUMBER(I385),"yes","no")</f>
        <v/>
      </c>
      <c r="AJ385" s="101" t="n">
        <v>46295</v>
      </c>
      <c r="AK385" s="24" t="n"/>
    </row>
    <row r="386" ht="52" customHeight="1">
      <c r="A386" s="2" t="n"/>
      <c r="B386" s="27" t="inlineStr">
        <is>
          <t>Service tray approx. 370 × 530 mm</t>
        </is>
      </c>
      <c r="C386" s="27" t="inlineStr">
        <is>
          <t>Czech</t>
        </is>
      </c>
      <c r="D386" s="27" t="inlineStr">
        <is>
          <t>GGM Gastro (CZ storefront)</t>
        </is>
      </c>
      <c r="E386" s="27" t="inlineStr">
        <is>
          <t>(10 ks) Jídelní podnos - ABS plast - 370x530 mm - Hnědý</t>
        </is>
      </c>
      <c r="F386" s="102" t="n">
        <v>1825.18</v>
      </c>
      <c r="G386" s="27" t="inlineStr">
        <is>
          <t>CZK</t>
        </is>
      </c>
      <c r="H386" s="102">
        <f>IF(AND(AE386="yes",ISNUMBER(AD386)),AD386,"")</f>
        <v/>
      </c>
      <c r="I386" s="103">
        <f>IF(AND(AE386="yes",ISNUMBER(AD386),ISNUMBER(INDEX('Sources'!$G$7:$G$10,MATCH(AB386,'Sources'!$B$7:$B$10,0)))),AD386/INDEX('Sources'!$G$7:$G$10,MATCH(AB386,'Sources'!$B$7:$B$10,0)),"")</f>
        <v/>
      </c>
      <c r="J386" s="27" t="inlineStr">
        <is>
          <t>EXACT</t>
        </is>
      </c>
      <c r="K386" s="27" t="inlineStr">
        <is>
          <t>2026-09-30</t>
        </is>
      </c>
      <c r="L386" s="71" t="n"/>
      <c r="M386" s="27" t="inlineStr">
        <is>
          <t>Net CZK price as displayed; page footnote: "* čistá cena | hrubá cena vč. 19% DPH" (German VAT 19% used on the CZ storefront). SKU GST3753#10, ABS, 370 x 530 mm, pack of 10. Gross 2,171.96 CZK.</t>
        </is>
      </c>
      <c r="N386" s="28" t="inlineStr">
        <is>
          <t>https://www.ggmgastro.com/cs-cz-czk/10-ks-jidelni-podnos-abs-plast-370x530-mm-hnedy-gst3753-10</t>
        </is>
      </c>
      <c r="O386" s="27" t="inlineStr">
        <is>
          <t>GGM</t>
        </is>
      </c>
      <c r="P386" s="27" t="inlineStr">
        <is>
          <t>excl.</t>
        </is>
      </c>
      <c r="Q386" s="104" t="n">
        <v>0.19</v>
      </c>
      <c r="R386" s="27" t="n">
        <v>10</v>
      </c>
      <c r="S386" s="27" t="inlineStr">
        <is>
          <t>per pack</t>
        </is>
      </c>
      <c r="T386" s="27" t="inlineStr">
        <is>
          <t>EXACT</t>
        </is>
      </c>
      <c r="U386" s="27" t="inlineStr">
        <is>
          <t>Existing benchmark assignment and match quality retained.</t>
        </is>
      </c>
      <c r="V386" s="102" t="n"/>
      <c r="W386" s="102" t="n"/>
      <c r="X386" s="27" t="inlineStr">
        <is>
          <t>YES Gastro Czech Market Research.xlsx</t>
        </is>
      </c>
      <c r="Y386" s="27" t="n"/>
      <c r="Z386" s="27" t="n"/>
      <c r="AA386" s="27" t="n"/>
      <c r="AB386" s="27" t="inlineStr">
        <is>
          <t>CZK</t>
        </is>
      </c>
      <c r="AC386" s="27" t="inlineStr">
        <is>
          <t>yes</t>
        </is>
      </c>
      <c r="AD386" s="27">
        <f>IF(OR(F386="",Q386="",R386=""),"",ROUND(IF(P386="incl.",F386/(1+Q386),F386)/IF(S386="per pack",R386,1),2))</f>
        <v/>
      </c>
      <c r="AE386" s="27">
        <f>IF(AND(AC386="yes",ISNUMBER(F386),IF('Compare'!$H$5="All mapped",TRUE,IF('Compare'!$H$5="EXACT only",J386="EXACT",OR(J386="EXACT",J386="CLOSE")))),"yes","no")</f>
        <v/>
      </c>
      <c r="AF386" s="27">
        <f>IF(ISNUMBER(H386),COUNTIFS($B$7:$B$608,B386,$C$7:$C$608,C386,$H$7:$H$608,"&lt;"&amp;H386,$AH$7:$AH$608,"yes")+COUNTIFS($B$7:B386,B386,$C$7:C386,C386,$H$7:H386,H386,$AH$7:AH386,"yes"),"")</f>
        <v/>
      </c>
      <c r="AG386" s="27">
        <f>IF(ISNUMBER(I386),COUNTIFS($B$7:$B$608,B386,$C$7:$C$608,C386,$I$7:$I$608,"&lt;"&amp;I386,$AI$7:$AI$608,"yes")+COUNTIFS($B$7:B386,B386,$C$7:C386,C386,$I$7:I386,I386,$AI$7:AI386,"yes"),"")</f>
        <v/>
      </c>
      <c r="AH386" s="27">
        <f>IF(ISNUMBER(H386),"yes","no")</f>
        <v/>
      </c>
      <c r="AI386" s="27">
        <f>IF(ISNUMBER(I386),"yes","no")</f>
        <v/>
      </c>
      <c r="AJ386" s="105" t="n">
        <v>46295</v>
      </c>
      <c r="AK386" s="27" t="n"/>
    </row>
    <row r="387" ht="52" customHeight="1">
      <c r="A387" s="2" t="n"/>
      <c r="B387" s="24" t="inlineStr">
        <is>
          <t>Service tray approx. 370 × 530 mm</t>
        </is>
      </c>
      <c r="C387" s="24" t="inlineStr">
        <is>
          <t>Czech</t>
        </is>
      </c>
      <c r="D387" s="24" t="inlineStr">
        <is>
          <t>Gastro Novotný</t>
        </is>
      </c>
      <c r="E387" s="24" t="inlineStr">
        <is>
          <t>Podnos EURONORM 530x370mm</t>
        </is>
      </c>
      <c r="F387" s="98" t="n">
        <v>300</v>
      </c>
      <c r="G387" s="24" t="inlineStr">
        <is>
          <t>CZK</t>
        </is>
      </c>
      <c r="H387" s="98">
        <f>IF(AND(AE387="yes",ISNUMBER(AD387)),AD387,"")</f>
        <v/>
      </c>
      <c r="I387" s="99">
        <f>IF(AND(AE387="yes",ISNUMBER(AD387),ISNUMBER(INDEX('Sources'!$G$7:$G$10,MATCH(AB387,'Sources'!$B$7:$B$10,0)))),AD387/INDEX('Sources'!$G$7:$G$10,MATCH(AB387,'Sources'!$B$7:$B$10,0)),"")</f>
        <v/>
      </c>
      <c r="J387" s="24" t="inlineStr">
        <is>
          <t>EXACT</t>
        </is>
      </c>
      <c r="K387" s="24" t="inlineStr">
        <is>
          <t>2026-09-30</t>
        </is>
      </c>
      <c r="L387" s="71" t="n"/>
      <c r="M387" s="24" t="inlineStr">
        <is>
          <t>100% PP, 530 x 370 mm, 30 colours; 363 CZK incl. VAT. Description mentions "balení 20ks" (carton of 20) but price/stock are shown per piece ("ks") - treated as per piece. Availability "Na dotaz".</t>
        </is>
      </c>
      <c r="N387" s="25" t="inlineStr">
        <is>
          <t>https://eshop.gastronovotny.cz/podnos-euronorm-530x370mm--14100503/</t>
        </is>
      </c>
      <c r="O387" s="24" t="n"/>
      <c r="P387" s="24" t="inlineStr">
        <is>
          <t>excl.</t>
        </is>
      </c>
      <c r="Q387" s="100" t="n">
        <v>0.21</v>
      </c>
      <c r="R387" s="24" t="n">
        <v>1</v>
      </c>
      <c r="S387" s="24" t="inlineStr">
        <is>
          <t>per piece</t>
        </is>
      </c>
      <c r="T387" s="24" t="inlineStr">
        <is>
          <t>EXACT</t>
        </is>
      </c>
      <c r="U387" s="24" t="inlineStr">
        <is>
          <t>Existing benchmark assignment and match quality retained.</t>
        </is>
      </c>
      <c r="V387" s="98" t="n"/>
      <c r="W387" s="98" t="n"/>
      <c r="X387" s="24" t="inlineStr">
        <is>
          <t>YES Gastro Czech Market Research.xlsx</t>
        </is>
      </c>
      <c r="Y387" s="24" t="n"/>
      <c r="Z387" s="24" t="n"/>
      <c r="AA387" s="24" t="n"/>
      <c r="AB387" s="24" t="inlineStr">
        <is>
          <t>CZK</t>
        </is>
      </c>
      <c r="AC387" s="24" t="inlineStr">
        <is>
          <t>yes</t>
        </is>
      </c>
      <c r="AD387" s="24">
        <f>IF(OR(F387="",Q387="",R387=""),"",ROUND(IF(P387="incl.",F387/(1+Q387),F387)/IF(S387="per pack",R387,1),2))</f>
        <v/>
      </c>
      <c r="AE387" s="24">
        <f>IF(AND(AC387="yes",ISNUMBER(F387),IF('Compare'!$H$5="All mapped",TRUE,IF('Compare'!$H$5="EXACT only",J387="EXACT",OR(J387="EXACT",J387="CLOSE")))),"yes","no")</f>
        <v/>
      </c>
      <c r="AF387" s="24">
        <f>IF(ISNUMBER(H387),COUNTIFS($B$7:$B$608,B387,$C$7:$C$608,C387,$H$7:$H$608,"&lt;"&amp;H387,$AH$7:$AH$608,"yes")+COUNTIFS($B$7:B387,B387,$C$7:C387,C387,$H$7:H387,H387,$AH$7:AH387,"yes"),"")</f>
        <v/>
      </c>
      <c r="AG387" s="24">
        <f>IF(ISNUMBER(I387),COUNTIFS($B$7:$B$608,B387,$C$7:$C$608,C387,$I$7:$I$608,"&lt;"&amp;I387,$AI$7:$AI$608,"yes")+COUNTIFS($B$7:B387,B387,$C$7:C387,C387,$I$7:I387,I387,$AI$7:AI387,"yes"),"")</f>
        <v/>
      </c>
      <c r="AH387" s="24">
        <f>IF(ISNUMBER(H387),"yes","no")</f>
        <v/>
      </c>
      <c r="AI387" s="24">
        <f>IF(ISNUMBER(I387),"yes","no")</f>
        <v/>
      </c>
      <c r="AJ387" s="101" t="n">
        <v>46295</v>
      </c>
      <c r="AK387" s="24" t="n"/>
    </row>
    <row r="388" ht="42" customHeight="1">
      <c r="A388" s="2" t="n"/>
      <c r="B388" s="27" t="inlineStr">
        <is>
          <t>Service tray approx. 370 × 530 mm</t>
        </is>
      </c>
      <c r="C388" s="27" t="inlineStr">
        <is>
          <t>Czech</t>
        </is>
      </c>
      <c r="D388" s="27" t="inlineStr">
        <is>
          <t>Gastromania</t>
        </is>
      </c>
      <c r="E388" s="27" t="inlineStr">
        <is>
          <t>Podnos jídelní 37x53 cm, šedá | CAMBRO, Versa</t>
        </is>
      </c>
      <c r="F388" s="102" t="n">
        <v>239</v>
      </c>
      <c r="G388" s="27" t="inlineStr">
        <is>
          <t>CZK</t>
        </is>
      </c>
      <c r="H388" s="102">
        <f>IF(AND(AE388="yes",ISNUMBER(AD388)),AD388,"")</f>
        <v/>
      </c>
      <c r="I388" s="103">
        <f>IF(AND(AE388="yes",ISNUMBER(AD388),ISNUMBER(INDEX('Sources'!$G$7:$G$10,MATCH(AB388,'Sources'!$B$7:$B$10,0)))),AD388/INDEX('Sources'!$G$7:$G$10,MATCH(AB388,'Sources'!$B$7:$B$10,0)),"")</f>
        <v/>
      </c>
      <c r="J388" s="27" t="inlineStr">
        <is>
          <t>APPROX</t>
        </is>
      </c>
      <c r="K388" s="27" t="inlineStr">
        <is>
          <t>2026-09-30</t>
        </is>
      </c>
      <c r="L388" s="71" t="n"/>
      <c r="M388" s="27" t="inlineStr">
        <is>
          <t>370 x 530 mm but polyester/fibreglass, not ABS/PP. 289 CZK incl. PP trays listed only up to 350 x 450 mm and GN 1/1 530 x 325.</t>
        </is>
      </c>
      <c r="N388" s="28" t="inlineStr">
        <is>
          <t>https://www.gastromania.cz/obdelnikove-jidelni-podnosy/podnos-jidelni-37x53-cm-seda-cambro-versa</t>
        </is>
      </c>
      <c r="O388" s="27" t="inlineStr">
        <is>
          <t>Cambro</t>
        </is>
      </c>
      <c r="P388" s="27" t="inlineStr">
        <is>
          <t>excl.</t>
        </is>
      </c>
      <c r="Q388" s="104" t="n">
        <v>0.21</v>
      </c>
      <c r="R388" s="27" t="n">
        <v>1</v>
      </c>
      <c r="S388" s="27" t="inlineStr">
        <is>
          <t>per piece</t>
        </is>
      </c>
      <c r="T388" s="27" t="inlineStr">
        <is>
          <t>APPROX</t>
        </is>
      </c>
      <c r="U388" s="27" t="inlineStr">
        <is>
          <t>Existing benchmark assignment and match quality retained.</t>
        </is>
      </c>
      <c r="V388" s="102" t="n"/>
      <c r="W388" s="102" t="n"/>
      <c r="X388" s="27" t="inlineStr">
        <is>
          <t>YES Gastro Czech Market Research.xlsx</t>
        </is>
      </c>
      <c r="Y388" s="27" t="n"/>
      <c r="Z388" s="27" t="n"/>
      <c r="AA388" s="27" t="n"/>
      <c r="AB388" s="27" t="inlineStr">
        <is>
          <t>CZK</t>
        </is>
      </c>
      <c r="AC388" s="27" t="inlineStr">
        <is>
          <t>yes</t>
        </is>
      </c>
      <c r="AD388" s="27">
        <f>IF(OR(F388="",Q388="",R388=""),"",ROUND(IF(P388="incl.",F388/(1+Q388),F388)/IF(S388="per pack",R388,1),2))</f>
        <v/>
      </c>
      <c r="AE388" s="27">
        <f>IF(AND(AC388="yes",ISNUMBER(F388),IF('Compare'!$H$5="All mapped",TRUE,IF('Compare'!$H$5="EXACT only",J388="EXACT",OR(J388="EXACT",J388="CLOSE")))),"yes","no")</f>
        <v/>
      </c>
      <c r="AF388" s="27">
        <f>IF(ISNUMBER(H388),COUNTIFS($B$7:$B$608,B388,$C$7:$C$608,C388,$H$7:$H$608,"&lt;"&amp;H388,$AH$7:$AH$608,"yes")+COUNTIFS($B$7:B388,B388,$C$7:C388,C388,$H$7:H388,H388,$AH$7:AH388,"yes"),"")</f>
        <v/>
      </c>
      <c r="AG388" s="27">
        <f>IF(ISNUMBER(I388),COUNTIFS($B$7:$B$608,B388,$C$7:$C$608,C388,$I$7:$I$608,"&lt;"&amp;I388,$AI$7:$AI$608,"yes")+COUNTIFS($B$7:B388,B388,$C$7:C388,C388,$I$7:I388,I388,$AI$7:AI388,"yes"),"")</f>
        <v/>
      </c>
      <c r="AH388" s="27">
        <f>IF(ISNUMBER(H388),"yes","no")</f>
        <v/>
      </c>
      <c r="AI388" s="27">
        <f>IF(ISNUMBER(I388),"yes","no")</f>
        <v/>
      </c>
      <c r="AJ388" s="105" t="n">
        <v>46295</v>
      </c>
      <c r="AK388" s="27" t="n"/>
    </row>
    <row r="389" ht="52" customHeight="1">
      <c r="A389" s="2" t="n"/>
      <c r="B389" s="24" t="inlineStr">
        <is>
          <t>Service tray approx. 370 × 530 mm</t>
        </is>
      </c>
      <c r="C389" s="24" t="inlineStr">
        <is>
          <t>Czech</t>
        </is>
      </c>
      <c r="D389" s="24" t="inlineStr">
        <is>
          <t>Gastrozone</t>
        </is>
      </c>
      <c r="E389" s="24" t="inlineStr">
        <is>
          <t>CAMBRO Versa Podnos ze sklolaminátu 53 x 37 cm, černý</t>
        </is>
      </c>
      <c r="F389" s="98" t="n">
        <v>575</v>
      </c>
      <c r="G389" s="24" t="inlineStr">
        <is>
          <t>CZK</t>
        </is>
      </c>
      <c r="H389" s="98">
        <f>IF(AND(AE389="yes",ISNUMBER(AD389)),AD389,"")</f>
        <v/>
      </c>
      <c r="I389" s="99">
        <f>IF(AND(AE389="yes",ISNUMBER(AD389),ISNUMBER(INDEX('Sources'!$G$7:$G$10,MATCH(AB389,'Sources'!$B$7:$B$10,0)))),AD389/INDEX('Sources'!$G$7:$G$10,MATCH(AB389,'Sources'!$B$7:$B$10,0)),"")</f>
        <v/>
      </c>
      <c r="J389" s="24" t="inlineStr">
        <is>
          <t>APPROX</t>
        </is>
      </c>
      <c r="K389" s="24" t="inlineStr">
        <is>
          <t>2026-09-30</t>
        </is>
      </c>
      <c r="L389" s="71" t="n"/>
      <c r="M389" s="24" t="inlineStr">
        <is>
          <t>530 x 370 mm but fibreglass-reinforced polyester, not ABS/PP (parameter table inconsistently shows width 265 mm). 475 CZK bez DPH. PP fast-food trays only up to 530 x 325 / 450 x 355 mm.</t>
        </is>
      </c>
      <c r="N389" s="25" t="inlineStr">
        <is>
          <t>https://www.gastrozone.cz/versa-1.html</t>
        </is>
      </c>
      <c r="O389" s="24" t="inlineStr">
        <is>
          <t>Cambro</t>
        </is>
      </c>
      <c r="P389" s="24" t="inlineStr">
        <is>
          <t>incl.</t>
        </is>
      </c>
      <c r="Q389" s="100" t="n">
        <v>0.21</v>
      </c>
      <c r="R389" s="24" t="n">
        <v>1</v>
      </c>
      <c r="S389" s="24" t="inlineStr">
        <is>
          <t>per piece</t>
        </is>
      </c>
      <c r="T389" s="24" t="inlineStr">
        <is>
          <t>APPROX</t>
        </is>
      </c>
      <c r="U389" s="24" t="inlineStr">
        <is>
          <t>Existing benchmark assignment and match quality retained.</t>
        </is>
      </c>
      <c r="V389" s="98" t="n"/>
      <c r="W389" s="98" t="n"/>
      <c r="X389" s="24" t="inlineStr">
        <is>
          <t>YES Gastro Czech Market Research.xlsx</t>
        </is>
      </c>
      <c r="Y389" s="24" t="n"/>
      <c r="Z389" s="24" t="n"/>
      <c r="AA389" s="24" t="n"/>
      <c r="AB389" s="24" t="inlineStr">
        <is>
          <t>CZK</t>
        </is>
      </c>
      <c r="AC389" s="24" t="inlineStr">
        <is>
          <t>yes</t>
        </is>
      </c>
      <c r="AD389" s="24">
        <f>IF(OR(F389="",Q389="",R389=""),"",ROUND(IF(P389="incl.",F389/(1+Q389),F389)/IF(S389="per pack",R389,1),2))</f>
        <v/>
      </c>
      <c r="AE389" s="24">
        <f>IF(AND(AC389="yes",ISNUMBER(F389),IF('Compare'!$H$5="All mapped",TRUE,IF('Compare'!$H$5="EXACT only",J389="EXACT",OR(J389="EXACT",J389="CLOSE")))),"yes","no")</f>
        <v/>
      </c>
      <c r="AF389" s="24">
        <f>IF(ISNUMBER(H389),COUNTIFS($B$7:$B$608,B389,$C$7:$C$608,C389,$H$7:$H$608,"&lt;"&amp;H389,$AH$7:$AH$608,"yes")+COUNTIFS($B$7:B389,B389,$C$7:C389,C389,$H$7:H389,H389,$AH$7:AH389,"yes"),"")</f>
        <v/>
      </c>
      <c r="AG389" s="24">
        <f>IF(ISNUMBER(I389),COUNTIFS($B$7:$B$608,B389,$C$7:$C$608,C389,$I$7:$I$608,"&lt;"&amp;I389,$AI$7:$AI$608,"yes")+COUNTIFS($B$7:B389,B389,$C$7:C389,C389,$I$7:I389,I389,$AI$7:AI389,"yes"),"")</f>
        <v/>
      </c>
      <c r="AH389" s="24">
        <f>IF(ISNUMBER(H389),"yes","no")</f>
        <v/>
      </c>
      <c r="AI389" s="24">
        <f>IF(ISNUMBER(I389),"yes","no")</f>
        <v/>
      </c>
      <c r="AJ389" s="101" t="n">
        <v>46295</v>
      </c>
      <c r="AK389" s="24" t="n"/>
    </row>
    <row r="390" ht="42" customHeight="1">
      <c r="A390" s="2" t="n"/>
      <c r="B390" s="27" t="inlineStr">
        <is>
          <t>Service tray approx. 370 × 530 mm</t>
        </is>
      </c>
      <c r="C390" s="27" t="inlineStr">
        <is>
          <t>Czech</t>
        </is>
      </c>
      <c r="D390" s="27" t="inlineStr">
        <is>
          <t>TOMGAST</t>
        </is>
      </c>
      <c r="E390" s="27" t="inlineStr">
        <is>
          <t>Versa podnos jídelní 37 × 53 cm, šedá</t>
        </is>
      </c>
      <c r="F390" s="102" t="n">
        <v>289</v>
      </c>
      <c r="G390" s="27" t="inlineStr">
        <is>
          <t>CZK</t>
        </is>
      </c>
      <c r="H390" s="102">
        <f>IF(AND(AE390="yes",ISNUMBER(AD390)),AD390,"")</f>
        <v/>
      </c>
      <c r="I390" s="103">
        <f>IF(AND(AE390="yes",ISNUMBER(AD390),ISNUMBER(INDEX('Sources'!$G$7:$G$10,MATCH(AB390,'Sources'!$B$7:$B$10,0)))),AD390/INDEX('Sources'!$G$7:$G$10,MATCH(AB390,'Sources'!$B$7:$B$10,0)),"")</f>
        <v/>
      </c>
      <c r="J390" s="27" t="inlineStr">
        <is>
          <t>APPROX</t>
        </is>
      </c>
      <c r="K390" s="27" t="inlineStr">
        <is>
          <t>2026-09-30</t>
        </is>
      </c>
      <c r="L390" s="71" t="n"/>
      <c r="M390" s="27" t="inlineStr">
        <is>
          <t>370 x 530 mm but polyester + fibreglass, not ABS/PP. 239 CZK bez DPH. No ABS/PP 37 x 53 tray listed.</t>
        </is>
      </c>
      <c r="N390" s="28" t="inlineStr">
        <is>
          <t>https://www.tomgast.cz/versa-podnos-jidelni-37--53-cm--seda/</t>
        </is>
      </c>
      <c r="O390" s="27" t="inlineStr">
        <is>
          <t>Cambro</t>
        </is>
      </c>
      <c r="P390" s="27" t="inlineStr">
        <is>
          <t>incl.</t>
        </is>
      </c>
      <c r="Q390" s="104" t="n">
        <v>0.21</v>
      </c>
      <c r="R390" s="27" t="n">
        <v>1</v>
      </c>
      <c r="S390" s="27" t="inlineStr">
        <is>
          <t>per piece</t>
        </is>
      </c>
      <c r="T390" s="27" t="inlineStr">
        <is>
          <t>APPROX</t>
        </is>
      </c>
      <c r="U390" s="27" t="inlineStr">
        <is>
          <t>Existing benchmark assignment and match quality retained.</t>
        </is>
      </c>
      <c r="V390" s="102" t="n"/>
      <c r="W390" s="102" t="n"/>
      <c r="X390" s="27" t="inlineStr">
        <is>
          <t>YES Gastro Czech Market Research.xlsx</t>
        </is>
      </c>
      <c r="Y390" s="27" t="n"/>
      <c r="Z390" s="27" t="n"/>
      <c r="AA390" s="27" t="n"/>
      <c r="AB390" s="27" t="inlineStr">
        <is>
          <t>CZK</t>
        </is>
      </c>
      <c r="AC390" s="27" t="inlineStr">
        <is>
          <t>yes</t>
        </is>
      </c>
      <c r="AD390" s="27">
        <f>IF(OR(F390="",Q390="",R390=""),"",ROUND(IF(P390="incl.",F390/(1+Q390),F390)/IF(S390="per pack",R390,1),2))</f>
        <v/>
      </c>
      <c r="AE390" s="27">
        <f>IF(AND(AC390="yes",ISNUMBER(F390),IF('Compare'!$H$5="All mapped",TRUE,IF('Compare'!$H$5="EXACT only",J390="EXACT",OR(J390="EXACT",J390="CLOSE")))),"yes","no")</f>
        <v/>
      </c>
      <c r="AF390" s="27">
        <f>IF(ISNUMBER(H390),COUNTIFS($B$7:$B$608,B390,$C$7:$C$608,C390,$H$7:$H$608,"&lt;"&amp;H390,$AH$7:$AH$608,"yes")+COUNTIFS($B$7:B390,B390,$C$7:C390,C390,$H$7:H390,H390,$AH$7:AH390,"yes"),"")</f>
        <v/>
      </c>
      <c r="AG390" s="27">
        <f>IF(ISNUMBER(I390),COUNTIFS($B$7:$B$608,B390,$C$7:$C$608,C390,$I$7:$I$608,"&lt;"&amp;I390,$AI$7:$AI$608,"yes")+COUNTIFS($B$7:B390,B390,$C$7:C390,C390,$I$7:I390,I390,$AI$7:AI390,"yes"),"")</f>
        <v/>
      </c>
      <c r="AH390" s="27">
        <f>IF(ISNUMBER(H390),"yes","no")</f>
        <v/>
      </c>
      <c r="AI390" s="27">
        <f>IF(ISNUMBER(I390),"yes","no")</f>
        <v/>
      </c>
      <c r="AJ390" s="105" t="n">
        <v>46295</v>
      </c>
      <c r="AK390" s="27" t="n"/>
    </row>
    <row r="391" ht="52" customHeight="1">
      <c r="A391" s="2" t="n"/>
      <c r="B391" s="24" t="inlineStr">
        <is>
          <t>Service tray approx. 370 × 530 mm</t>
        </is>
      </c>
      <c r="C391" s="24" t="inlineStr">
        <is>
          <t>Slovakia</t>
        </is>
      </c>
      <c r="D391" s="24" t="inlineStr">
        <is>
          <t>Gastromania.sk (GASTROMANIA CZ s.r.o., CZ)</t>
        </is>
      </c>
      <c r="E391" s="24" t="inlineStr">
        <is>
          <t>Tácka z polypropylénu Fast Food 350x450 mm šedá | HENDI, 878804</t>
        </is>
      </c>
      <c r="F391" s="98" t="n">
        <v>4.88</v>
      </c>
      <c r="G391" s="24" t="inlineStr">
        <is>
          <t>EUR</t>
        </is>
      </c>
      <c r="H391" s="98">
        <f>IF(AND(AE391="yes",ISNUMBER(AD391)),AD391,"")</f>
        <v/>
      </c>
      <c r="I391" s="99">
        <f>IF(AND(AE391="yes",ISNUMBER(AD391),ISNUMBER(INDEX('Sources'!$G$7:$G$10,MATCH(AB391,'Sources'!$B$7:$B$10,0)))),AD391/INDEX('Sources'!$G$7:$G$10,MATCH(AB391,'Sources'!$B$7:$B$10,0)),"")</f>
        <v/>
      </c>
      <c r="J391" s="24" t="inlineStr">
        <is>
          <t>APPROX</t>
        </is>
      </c>
      <c r="K391" s="24" t="inlineStr">
        <is>
          <t>2026-09-30</t>
        </is>
      </c>
      <c r="L391" s="71" t="n"/>
      <c r="M391" s="24" t="inlineStr">
        <is>
          <t>Listed 'Cena bez DPH' 4.88 EUR / 'Cena s DPH' 6.00 EUR. PP, but 350x450 mm instead of approx. 370x530 mm. 530x370 trays found are polyester/laminate/laminated wood (e.g. Contacto 4411 polyester EN 1/1, HENDI 507117 laminated wood 18,70 bez DPH).</t>
        </is>
      </c>
      <c r="N391" s="25" t="inlineStr">
        <is>
          <t>https://gastromania.sk/obdlznikove-jedalne-podnosy/tacka-z-polypropylenu-fast-food-350x450-mm-seda-hendi-878804</t>
        </is>
      </c>
      <c r="O391" s="24" t="inlineStr">
        <is>
          <t>Hendi</t>
        </is>
      </c>
      <c r="P391" s="24" t="inlineStr">
        <is>
          <t>excl.</t>
        </is>
      </c>
      <c r="Q391" s="100" t="inlineStr">
        <is>
          <t>n/a</t>
        </is>
      </c>
      <c r="R391" s="24" t="n">
        <v>1</v>
      </c>
      <c r="S391" s="24" t="inlineStr">
        <is>
          <t>per piece</t>
        </is>
      </c>
      <c r="T391" s="24" t="inlineStr">
        <is>
          <t>APPROX</t>
        </is>
      </c>
      <c r="U391" s="24" t="inlineStr">
        <is>
          <t>Existing benchmark assignment and match quality retained.</t>
        </is>
      </c>
      <c r="V391" s="98" t="n">
        <v>4.88</v>
      </c>
      <c r="W391" s="98" t="n"/>
      <c r="X391" s="24" t="inlineStr">
        <is>
          <t>YES Gastro Slovakia Market Research.xlsx</t>
        </is>
      </c>
      <c r="Y391" s="24" t="n"/>
      <c r="Z391" s="24" t="n"/>
      <c r="AA391" s="24" t="n"/>
      <c r="AB391" s="24" t="inlineStr">
        <is>
          <t>EUR</t>
        </is>
      </c>
      <c r="AC391" s="24" t="inlineStr">
        <is>
          <t>yes</t>
        </is>
      </c>
      <c r="AD391" s="24">
        <f>IF(ISNUMBER(V391),V391,"")</f>
        <v/>
      </c>
      <c r="AE391" s="24">
        <f>IF(AND(AC391="yes",ISNUMBER(F391),IF('Compare'!$H$5="All mapped",TRUE,IF('Compare'!$H$5="EXACT only",J391="EXACT",OR(J391="EXACT",J391="CLOSE")))),"yes","no")</f>
        <v/>
      </c>
      <c r="AF391" s="24">
        <f>IF(ISNUMBER(H391),COUNTIFS($B$7:$B$608,B391,$C$7:$C$608,C391,$H$7:$H$608,"&lt;"&amp;H391,$AH$7:$AH$608,"yes")+COUNTIFS($B$7:B391,B391,$C$7:C391,C391,$H$7:H391,H391,$AH$7:AH391,"yes"),"")</f>
        <v/>
      </c>
      <c r="AG391" s="24">
        <f>IF(ISNUMBER(I391),COUNTIFS($B$7:$B$608,B391,$C$7:$C$608,C391,$I$7:$I$608,"&lt;"&amp;I391,$AI$7:$AI$608,"yes")+COUNTIFS($B$7:B391,B391,$C$7:C391,C391,$I$7:I391,I391,$AI$7:AI391,"yes"),"")</f>
        <v/>
      </c>
      <c r="AH391" s="24">
        <f>IF(ISNUMBER(H391),"yes","no")</f>
        <v/>
      </c>
      <c r="AI391" s="24">
        <f>IF(ISNUMBER(I391),"yes","no")</f>
        <v/>
      </c>
      <c r="AJ391" s="101" t="n">
        <v>46295</v>
      </c>
      <c r="AK391" s="24" t="n"/>
    </row>
    <row r="392" ht="52" customHeight="1">
      <c r="A392" s="2" t="n"/>
      <c r="B392" s="27" t="inlineStr">
        <is>
          <t>Service tray approx. 370 × 530 mm</t>
        </is>
      </c>
      <c r="C392" s="27" t="inlineStr">
        <is>
          <t>Slovakia</t>
        </is>
      </c>
      <c r="D392" s="27" t="inlineStr">
        <is>
          <t>Gastrozone.sk (GASTROZONE, spol. s r.o., CZ)</t>
        </is>
      </c>
      <c r="E392" s="27" t="inlineStr">
        <is>
          <t>APS Fast Food podnos, GN 1/1, hnedý, 530 x 325 x 20 mm</t>
        </is>
      </c>
      <c r="F392" s="102" t="n">
        <v>11.47</v>
      </c>
      <c r="G392" s="27" t="inlineStr">
        <is>
          <t>EUR</t>
        </is>
      </c>
      <c r="H392" s="102">
        <f>IF(AND(AE392="yes",ISNUMBER(AD392)),AD392,"")</f>
        <v/>
      </c>
      <c r="I392" s="103">
        <f>IF(AND(AE392="yes",ISNUMBER(AD392),ISNUMBER(INDEX('Sources'!$G$7:$G$10,MATCH(AB392,'Sources'!$B$7:$B$10,0)))),AD392/INDEX('Sources'!$G$7:$G$10,MATCH(AB392,'Sources'!$B$7:$B$10,0)),"")</f>
        <v/>
      </c>
      <c r="J392" s="27" t="inlineStr">
        <is>
          <t>APPROX</t>
        </is>
      </c>
      <c r="K392" s="27" t="inlineStr">
        <is>
          <t>2026-09-30</t>
        </is>
      </c>
      <c r="L392" s="71" t="n"/>
      <c r="M392" s="27" t="inlineStr">
        <is>
          <t>PP, but 530x325 mm (GN 1/1) instead of approx. 530x370 mm. 530x370 trays found are other plastics: Roltex PYE (polyethylene) 40,32 EUR, Cambro fibreglass 35,31 EUR. To order (3-5 weeks).</t>
        </is>
      </c>
      <c r="N392" s="28" t="inlineStr">
        <is>
          <t>https://www.gastrozone.sk/aps-fast-food-tablett-gn-1-1-hnede-vyska-20-mm-delka-530-mm-sirka-325-mm.html</t>
        </is>
      </c>
      <c r="O392" s="27" t="inlineStr">
        <is>
          <t>APS</t>
        </is>
      </c>
      <c r="P392" s="27" t="inlineStr">
        <is>
          <t>incl.</t>
        </is>
      </c>
      <c r="Q392" s="104" t="n">
        <v>0.23</v>
      </c>
      <c r="R392" s="27" t="n">
        <v>1</v>
      </c>
      <c r="S392" s="27" t="inlineStr">
        <is>
          <t>per piece</t>
        </is>
      </c>
      <c r="T392" s="27" t="inlineStr">
        <is>
          <t>APPROX</t>
        </is>
      </c>
      <c r="U392" s="27" t="inlineStr">
        <is>
          <t>Existing benchmark assignment and match quality retained.</t>
        </is>
      </c>
      <c r="V392" s="102" t="n">
        <v>9.325203252032519</v>
      </c>
      <c r="W392" s="102" t="n"/>
      <c r="X392" s="27" t="inlineStr">
        <is>
          <t>YES Gastro Slovakia Market Research.xlsx</t>
        </is>
      </c>
      <c r="Y392" s="27" t="n"/>
      <c r="Z392" s="27" t="n"/>
      <c r="AA392" s="27" t="n"/>
      <c r="AB392" s="27" t="inlineStr">
        <is>
          <t>EUR</t>
        </is>
      </c>
      <c r="AC392" s="27" t="inlineStr">
        <is>
          <t>yes</t>
        </is>
      </c>
      <c r="AD392" s="27">
        <f>IF(ISNUMBER(V392),V392,"")</f>
        <v/>
      </c>
      <c r="AE392" s="27">
        <f>IF(AND(AC392="yes",ISNUMBER(F392),IF('Compare'!$H$5="All mapped",TRUE,IF('Compare'!$H$5="EXACT only",J392="EXACT",OR(J392="EXACT",J392="CLOSE")))),"yes","no")</f>
        <v/>
      </c>
      <c r="AF392" s="27">
        <f>IF(ISNUMBER(H392),COUNTIFS($B$7:$B$608,B392,$C$7:$C$608,C392,$H$7:$H$608,"&lt;"&amp;H392,$AH$7:$AH$608,"yes")+COUNTIFS($B$7:B392,B392,$C$7:C392,C392,$H$7:H392,H392,$AH$7:AH392,"yes"),"")</f>
        <v/>
      </c>
      <c r="AG392" s="27">
        <f>IF(ISNUMBER(I392),COUNTIFS($B$7:$B$608,B392,$C$7:$C$608,C392,$I$7:$I$608,"&lt;"&amp;I392,$AI$7:$AI$608,"yes")+COUNTIFS($B$7:B392,B392,$C$7:C392,C392,$I$7:I392,I392,$AI$7:AI392,"yes"),"")</f>
        <v/>
      </c>
      <c r="AH392" s="27">
        <f>IF(ISNUMBER(H392),"yes","no")</f>
        <v/>
      </c>
      <c r="AI392" s="27">
        <f>IF(ISNUMBER(I392),"yes","no")</f>
        <v/>
      </c>
      <c r="AJ392" s="105" t="n">
        <v>46295</v>
      </c>
      <c r="AK392" s="27" t="n"/>
    </row>
    <row r="393" ht="42" customHeight="1">
      <c r="A393" s="2" t="n"/>
      <c r="B393" s="24" t="inlineStr">
        <is>
          <t>Thermo tray + lid, 5–6 compartments</t>
        </is>
      </c>
      <c r="C393" s="24" t="inlineStr">
        <is>
          <t>Hungary</t>
        </is>
      </c>
      <c r="D393" s="24" t="inlineStr">
        <is>
          <t>Attase</t>
        </is>
      </c>
      <c r="E393" s="24" t="inlineStr">
        <is>
          <t>Thermo Tray 5 elements 540 x 380 x 120 mm</t>
        </is>
      </c>
      <c r="F393" s="98" t="n">
        <v>17250</v>
      </c>
      <c r="G393" s="24" t="inlineStr">
        <is>
          <t>HUF</t>
        </is>
      </c>
      <c r="H393" s="98">
        <f>IF(AND(AE393="yes",ISNUMBER(AD393)),AD393,"")</f>
        <v/>
      </c>
      <c r="I393" s="99">
        <f>IF(AND(AE393="yes",ISNUMBER(AD393),ISNUMBER(INDEX('Sources'!$G$7:$G$10,MATCH(AB393,'Sources'!$B$7:$B$10,0)))),AD393/INDEX('Sources'!$G$7:$G$10,MATCH(AB393,'Sources'!$B$7:$B$10,0)),"")</f>
        <v/>
      </c>
      <c r="J393" s="24" t="inlineStr">
        <is>
          <t>INCOMPLETE</t>
        </is>
      </c>
      <c r="K393" s="24" t="inlineStr">
        <is>
          <t>28.06.2026</t>
        </is>
      </c>
      <c r="L393" s="71" t="n"/>
      <c r="M393" s="24" t="inlineStr">
        <is>
          <t>Source sheet: Thermoboxes and Thermo Trays</t>
        </is>
      </c>
      <c r="N393" s="25" t="inlineStr">
        <is>
          <t>https://www.attase.hu/shop_search.php?search=Thermobox</t>
        </is>
      </c>
      <c r="O393" s="24" t="n"/>
      <c r="P393" s="24" t="n"/>
      <c r="Q393" s="100" t="n"/>
      <c r="R393" s="24" t="n"/>
      <c r="S393" s="24" t="n"/>
      <c r="T393" s="24" t="n"/>
      <c r="U393" s="24" t="inlineStr">
        <is>
          <t>Thermo-tray type and 5–6 elements agree. Lid and interpretation as compartments are not explicit.</t>
        </is>
      </c>
      <c r="V393" s="98" t="n"/>
      <c r="W393" s="98" t="n">
        <v>17250</v>
      </c>
      <c r="X393" s="24" t="inlineStr">
        <is>
          <t>YES Gastro Hungary Market Research.xlsx</t>
        </is>
      </c>
      <c r="Y393" s="24" t="inlineStr">
        <is>
          <t>Taha</t>
        </is>
      </c>
      <c r="Z393" s="24" t="n"/>
      <c r="AA393" s="24" t="inlineStr">
        <is>
          <t>Direct</t>
        </is>
      </c>
      <c r="AB393" s="24" t="inlineStr">
        <is>
          <t>HUF</t>
        </is>
      </c>
      <c r="AC393" s="24" t="inlineStr">
        <is>
          <t>yes</t>
        </is>
      </c>
      <c r="AD393" s="24">
        <f>IF(ISNUMBER(F393),IF(G393=AB393,F393,IF(AND(ISNUMBER(INDEX('Sources'!$G$7:$G$10,MATCH(G393,'Sources'!$B$7:$B$10,0))),ISNUMBER(INDEX('Sources'!$G$7:$G$10,MATCH(AB393,'Sources'!$B$7:$B$10,0)))),F393/INDEX('Sources'!$G$7:$G$10,MATCH(G393,'Sources'!$B$7:$B$10,0))*INDEX('Sources'!$G$7:$G$10,MATCH(AB393,'Sources'!$B$7:$B$10,0)),"")),"")</f>
        <v/>
      </c>
      <c r="AE393" s="24">
        <f>IF(AND(AC393="yes",ISNUMBER(F393),IF('Compare'!$H$5="All mapped",TRUE,IF('Compare'!$H$5="EXACT only",J393="EXACT",OR(J393="EXACT",J393="CLOSE")))),"yes","no")</f>
        <v/>
      </c>
      <c r="AF393" s="24">
        <f>IF(ISNUMBER(H393),COUNTIFS($B$7:$B$608,B393,$C$7:$C$608,C393,$H$7:$H$608,"&lt;"&amp;H393,$AH$7:$AH$608,"yes")+COUNTIFS($B$7:B393,B393,$C$7:C393,C393,$H$7:H393,H393,$AH$7:AH393,"yes"),"")</f>
        <v/>
      </c>
      <c r="AG393" s="24">
        <f>IF(ISNUMBER(I393),COUNTIFS($B$7:$B$608,B393,$C$7:$C$608,C393,$I$7:$I$608,"&lt;"&amp;I393,$AI$7:$AI$608,"yes")+COUNTIFS($B$7:B393,B393,$C$7:C393,C393,$I$7:I393,I393,$AI$7:AI393,"yes"),"")</f>
        <v/>
      </c>
      <c r="AH393" s="24">
        <f>IF(ISNUMBER(H393),"yes","no")</f>
        <v/>
      </c>
      <c r="AI393" s="24">
        <f>IF(ISNUMBER(I393),"yes","no")</f>
        <v/>
      </c>
      <c r="AJ393" s="101" t="n">
        <v>46201</v>
      </c>
      <c r="AK393" s="24" t="n"/>
    </row>
    <row r="394" ht="42" customHeight="1">
      <c r="A394" s="2" t="n"/>
      <c r="B394" s="27" t="inlineStr">
        <is>
          <t>Thermo tray + lid, 5–6 compartments</t>
        </is>
      </c>
      <c r="C394" s="27" t="inlineStr">
        <is>
          <t>Hungary</t>
        </is>
      </c>
      <c r="D394" s="27" t="inlineStr">
        <is>
          <t>Attase</t>
        </is>
      </c>
      <c r="E394" s="27" t="inlineStr">
        <is>
          <t>Thermo Tray 6 elements 540 x 380 x 120 mm</t>
        </is>
      </c>
      <c r="F394" s="102" t="n">
        <v>16100</v>
      </c>
      <c r="G394" s="27" t="inlineStr">
        <is>
          <t>HUF</t>
        </is>
      </c>
      <c r="H394" s="102">
        <f>IF(AND(AE394="yes",ISNUMBER(AD394)),AD394,"")</f>
        <v/>
      </c>
      <c r="I394" s="103">
        <f>IF(AND(AE394="yes",ISNUMBER(AD394),ISNUMBER(INDEX('Sources'!$G$7:$G$10,MATCH(AB394,'Sources'!$B$7:$B$10,0)))),AD394/INDEX('Sources'!$G$7:$G$10,MATCH(AB394,'Sources'!$B$7:$B$10,0)),"")</f>
        <v/>
      </c>
      <c r="J394" s="27" t="inlineStr">
        <is>
          <t>INCOMPLETE</t>
        </is>
      </c>
      <c r="K394" s="27" t="inlineStr">
        <is>
          <t>28.06.2026</t>
        </is>
      </c>
      <c r="L394" s="71" t="n"/>
      <c r="M394" s="27" t="inlineStr">
        <is>
          <t>Source sheet: Thermoboxes and Thermo Trays</t>
        </is>
      </c>
      <c r="N394" s="28" t="inlineStr">
        <is>
          <t>https://www.attase.hu/shop_search.php?search=Thermobox</t>
        </is>
      </c>
      <c r="O394" s="27" t="n"/>
      <c r="P394" s="27" t="n"/>
      <c r="Q394" s="104" t="n"/>
      <c r="R394" s="27" t="n"/>
      <c r="S394" s="27" t="n"/>
      <c r="T394" s="27" t="n"/>
      <c r="U394" s="27" t="inlineStr">
        <is>
          <t>Thermo-tray type and 5–6 elements agree. Lid and interpretation as compartments are not explicit.</t>
        </is>
      </c>
      <c r="V394" s="102" t="n"/>
      <c r="W394" s="102" t="n">
        <v>16100</v>
      </c>
      <c r="X394" s="27" t="inlineStr">
        <is>
          <t>YES Gastro Hungary Market Research.xlsx</t>
        </is>
      </c>
      <c r="Y394" s="27" t="inlineStr">
        <is>
          <t>Taha</t>
        </is>
      </c>
      <c r="Z394" s="27" t="n"/>
      <c r="AA394" s="27" t="inlineStr">
        <is>
          <t>Direct</t>
        </is>
      </c>
      <c r="AB394" s="27" t="inlineStr">
        <is>
          <t>HUF</t>
        </is>
      </c>
      <c r="AC394" s="27" t="inlineStr">
        <is>
          <t>yes</t>
        </is>
      </c>
      <c r="AD394" s="27">
        <f>IF(ISNUMBER(F394),IF(G394=AB394,F394,IF(AND(ISNUMBER(INDEX('Sources'!$G$7:$G$10,MATCH(G394,'Sources'!$B$7:$B$10,0))),ISNUMBER(INDEX('Sources'!$G$7:$G$10,MATCH(AB394,'Sources'!$B$7:$B$10,0)))),F394/INDEX('Sources'!$G$7:$G$10,MATCH(G394,'Sources'!$B$7:$B$10,0))*INDEX('Sources'!$G$7:$G$10,MATCH(AB394,'Sources'!$B$7:$B$10,0)),"")),"")</f>
        <v/>
      </c>
      <c r="AE394" s="27">
        <f>IF(AND(AC394="yes",ISNUMBER(F394),IF('Compare'!$H$5="All mapped",TRUE,IF('Compare'!$H$5="EXACT only",J394="EXACT",OR(J394="EXACT",J394="CLOSE")))),"yes","no")</f>
        <v/>
      </c>
      <c r="AF394" s="27">
        <f>IF(ISNUMBER(H394),COUNTIFS($B$7:$B$608,B394,$C$7:$C$608,C394,$H$7:$H$608,"&lt;"&amp;H394,$AH$7:$AH$608,"yes")+COUNTIFS($B$7:B394,B394,$C$7:C394,C394,$H$7:H394,H394,$AH$7:AH394,"yes"),"")</f>
        <v/>
      </c>
      <c r="AG394" s="27">
        <f>IF(ISNUMBER(I394),COUNTIFS($B$7:$B$608,B394,$C$7:$C$608,C394,$I$7:$I$608,"&lt;"&amp;I394,$AI$7:$AI$608,"yes")+COUNTIFS($B$7:B394,B394,$C$7:C394,C394,$I$7:I394,I394,$AI$7:AI394,"yes"),"")</f>
        <v/>
      </c>
      <c r="AH394" s="27">
        <f>IF(ISNUMBER(H394),"yes","no")</f>
        <v/>
      </c>
      <c r="AI394" s="27">
        <f>IF(ISNUMBER(I394),"yes","no")</f>
        <v/>
      </c>
      <c r="AJ394" s="105" t="n">
        <v>46201</v>
      </c>
      <c r="AK394" s="27" t="n"/>
    </row>
    <row r="395" ht="42" customHeight="1">
      <c r="A395" s="2" t="n"/>
      <c r="B395" s="24" t="inlineStr">
        <is>
          <t>Thermo tray + lid, 5–6 compartments</t>
        </is>
      </c>
      <c r="C395" s="24" t="inlineStr">
        <is>
          <t>Hungary</t>
        </is>
      </c>
      <c r="D395" s="24" t="inlineStr">
        <is>
          <t>Gasztronagyker</t>
        </is>
      </c>
      <c r="E395" s="24" t="inlineStr">
        <is>
          <t>Thermo Tray 5 elements 540 x 380 x 120 mm</t>
        </is>
      </c>
      <c r="F395" s="98" t="n">
        <v>59685</v>
      </c>
      <c r="G395" s="24" t="inlineStr">
        <is>
          <t>HUF</t>
        </is>
      </c>
      <c r="H395" s="98">
        <f>IF(AND(AE395="yes",ISNUMBER(AD395)),AD395,"")</f>
        <v/>
      </c>
      <c r="I395" s="99">
        <f>IF(AND(AE395="yes",ISNUMBER(AD395),ISNUMBER(INDEX('Sources'!$G$7:$G$10,MATCH(AB395,'Sources'!$B$7:$B$10,0)))),AD395/INDEX('Sources'!$G$7:$G$10,MATCH(AB395,'Sources'!$B$7:$B$10,0)),"")</f>
        <v/>
      </c>
      <c r="J395" s="24" t="inlineStr">
        <is>
          <t>INCOMPLETE</t>
        </is>
      </c>
      <c r="K395" s="24" t="inlineStr">
        <is>
          <t>28.06.2026</t>
        </is>
      </c>
      <c r="L395" s="71" t="n"/>
      <c r="M395" s="24" t="inlineStr">
        <is>
          <t>Source sheet: Thermoboxes and Thermo Trays</t>
        </is>
      </c>
      <c r="N395" s="25" t="inlineStr">
        <is>
          <t>https://www.gasztronagyker.hu/shop_search.php?search=thermo</t>
        </is>
      </c>
      <c r="O395" s="24" t="n"/>
      <c r="P395" s="24" t="n"/>
      <c r="Q395" s="100" t="n"/>
      <c r="R395" s="24" t="n"/>
      <c r="S395" s="24" t="n"/>
      <c r="T395" s="24" t="n"/>
      <c r="U395" s="24" t="inlineStr">
        <is>
          <t>Thermo-tray type and 5–6 elements agree. Lid and interpretation as compartments are not explicit.</t>
        </is>
      </c>
      <c r="V395" s="98" t="n"/>
      <c r="W395" s="98" t="n">
        <v>59685</v>
      </c>
      <c r="X395" s="24" t="inlineStr">
        <is>
          <t>YES Gastro Hungary Market Research.xlsx</t>
        </is>
      </c>
      <c r="Y395" s="24" t="inlineStr">
        <is>
          <t>Taha</t>
        </is>
      </c>
      <c r="Z395" s="24" t="n"/>
      <c r="AA395" s="24" t="inlineStr">
        <is>
          <t>Direct</t>
        </is>
      </c>
      <c r="AB395" s="24" t="inlineStr">
        <is>
          <t>HUF</t>
        </is>
      </c>
      <c r="AC395" s="24" t="inlineStr">
        <is>
          <t>yes</t>
        </is>
      </c>
      <c r="AD395" s="24">
        <f>IF(ISNUMBER(F395),IF(G395=AB395,F395,IF(AND(ISNUMBER(INDEX('Sources'!$G$7:$G$10,MATCH(G395,'Sources'!$B$7:$B$10,0))),ISNUMBER(INDEX('Sources'!$G$7:$G$10,MATCH(AB395,'Sources'!$B$7:$B$10,0)))),F395/INDEX('Sources'!$G$7:$G$10,MATCH(G395,'Sources'!$B$7:$B$10,0))*INDEX('Sources'!$G$7:$G$10,MATCH(AB395,'Sources'!$B$7:$B$10,0)),"")),"")</f>
        <v/>
      </c>
      <c r="AE395" s="24">
        <f>IF(AND(AC395="yes",ISNUMBER(F395),IF('Compare'!$H$5="All mapped",TRUE,IF('Compare'!$H$5="EXACT only",J395="EXACT",OR(J395="EXACT",J395="CLOSE")))),"yes","no")</f>
        <v/>
      </c>
      <c r="AF395" s="24">
        <f>IF(ISNUMBER(H395),COUNTIFS($B$7:$B$608,B395,$C$7:$C$608,C395,$H$7:$H$608,"&lt;"&amp;H395,$AH$7:$AH$608,"yes")+COUNTIFS($B$7:B395,B395,$C$7:C395,C395,$H$7:H395,H395,$AH$7:AH395,"yes"),"")</f>
        <v/>
      </c>
      <c r="AG395" s="24">
        <f>IF(ISNUMBER(I395),COUNTIFS($B$7:$B$608,B395,$C$7:$C$608,C395,$I$7:$I$608,"&lt;"&amp;I395,$AI$7:$AI$608,"yes")+COUNTIFS($B$7:B395,B395,$C$7:C395,C395,$I$7:I395,I395,$AI$7:AI395,"yes"),"")</f>
        <v/>
      </c>
      <c r="AH395" s="24">
        <f>IF(ISNUMBER(H395),"yes","no")</f>
        <v/>
      </c>
      <c r="AI395" s="24">
        <f>IF(ISNUMBER(I395),"yes","no")</f>
        <v/>
      </c>
      <c r="AJ395" s="101" t="n">
        <v>46201</v>
      </c>
      <c r="AK395" s="24" t="n"/>
    </row>
    <row r="396" ht="42" customHeight="1">
      <c r="A396" s="2" t="n"/>
      <c r="B396" s="27" t="inlineStr">
        <is>
          <t>Thermo tray + lid, 5–6 compartments</t>
        </is>
      </c>
      <c r="C396" s="27" t="inlineStr">
        <is>
          <t>Hungary</t>
        </is>
      </c>
      <c r="D396" s="27" t="inlineStr">
        <is>
          <t>Hunnia</t>
        </is>
      </c>
      <c r="E396" s="27" t="inlineStr">
        <is>
          <t>Thermo Tray 5 elements 540 x 380 x 120 mm</t>
        </is>
      </c>
      <c r="F396" s="102" t="n">
        <v>30494</v>
      </c>
      <c r="G396" s="27" t="inlineStr">
        <is>
          <t>HUF</t>
        </is>
      </c>
      <c r="H396" s="102">
        <f>IF(AND(AE396="yes",ISNUMBER(AD396)),AD396,"")</f>
        <v/>
      </c>
      <c r="I396" s="103">
        <f>IF(AND(AE396="yes",ISNUMBER(AD396),ISNUMBER(INDEX('Sources'!$G$7:$G$10,MATCH(AB396,'Sources'!$B$7:$B$10,0)))),AD396/INDEX('Sources'!$G$7:$G$10,MATCH(AB396,'Sources'!$B$7:$B$10,0)),"")</f>
        <v/>
      </c>
      <c r="J396" s="27" t="inlineStr">
        <is>
          <t>INCOMPLETE</t>
        </is>
      </c>
      <c r="K396" s="27" t="inlineStr">
        <is>
          <t>28.06.2026</t>
        </is>
      </c>
      <c r="L396" s="71" t="n"/>
      <c r="M396" s="27" t="inlineStr">
        <is>
          <t>Source sheet: Thermoboxes and Thermo Trays</t>
        </is>
      </c>
      <c r="N396" s="28" t="inlineStr">
        <is>
          <t>https://hunniakristaly.hu/etel-es-ital-szallitas-badelakkal-thermoladakkal/thermolada-termolada</t>
        </is>
      </c>
      <c r="O396" s="27" t="n"/>
      <c r="P396" s="27" t="n"/>
      <c r="Q396" s="104" t="n"/>
      <c r="R396" s="27" t="n"/>
      <c r="S396" s="27" t="n"/>
      <c r="T396" s="27" t="n"/>
      <c r="U396" s="27" t="inlineStr">
        <is>
          <t>Thermo-tray type and 5–6 elements agree. Lid and interpretation as compartments are not explicit.</t>
        </is>
      </c>
      <c r="V396" s="102" t="n"/>
      <c r="W396" s="102" t="n">
        <v>30494</v>
      </c>
      <c r="X396" s="27" t="inlineStr">
        <is>
          <t>YES Gastro Hungary Market Research.xlsx</t>
        </is>
      </c>
      <c r="Y396" s="27" t="inlineStr">
        <is>
          <t>Taha</t>
        </is>
      </c>
      <c r="Z396" s="27" t="n"/>
      <c r="AA396" s="27" t="inlineStr">
        <is>
          <t>Direct</t>
        </is>
      </c>
      <c r="AB396" s="27" t="inlineStr">
        <is>
          <t>HUF</t>
        </is>
      </c>
      <c r="AC396" s="27" t="inlineStr">
        <is>
          <t>yes</t>
        </is>
      </c>
      <c r="AD396" s="27">
        <f>IF(ISNUMBER(F396),IF(G396=AB396,F396,IF(AND(ISNUMBER(INDEX('Sources'!$G$7:$G$10,MATCH(G396,'Sources'!$B$7:$B$10,0))),ISNUMBER(INDEX('Sources'!$G$7:$G$10,MATCH(AB396,'Sources'!$B$7:$B$10,0)))),F396/INDEX('Sources'!$G$7:$G$10,MATCH(G396,'Sources'!$B$7:$B$10,0))*INDEX('Sources'!$G$7:$G$10,MATCH(AB396,'Sources'!$B$7:$B$10,0)),"")),"")</f>
        <v/>
      </c>
      <c r="AE396" s="27">
        <f>IF(AND(AC396="yes",ISNUMBER(F396),IF('Compare'!$H$5="All mapped",TRUE,IF('Compare'!$H$5="EXACT only",J396="EXACT",OR(J396="EXACT",J396="CLOSE")))),"yes","no")</f>
        <v/>
      </c>
      <c r="AF396" s="27">
        <f>IF(ISNUMBER(H396),COUNTIFS($B$7:$B$608,B396,$C$7:$C$608,C396,$H$7:$H$608,"&lt;"&amp;H396,$AH$7:$AH$608,"yes")+COUNTIFS($B$7:B396,B396,$C$7:C396,C396,$H$7:H396,H396,$AH$7:AH396,"yes"),"")</f>
        <v/>
      </c>
      <c r="AG396" s="27">
        <f>IF(ISNUMBER(I396),COUNTIFS($B$7:$B$608,B396,$C$7:$C$608,C396,$I$7:$I$608,"&lt;"&amp;I396,$AI$7:$AI$608,"yes")+COUNTIFS($B$7:B396,B396,$C$7:C396,C396,$I$7:I396,I396,$AI$7:AI396,"yes"),"")</f>
        <v/>
      </c>
      <c r="AH396" s="27">
        <f>IF(ISNUMBER(H396),"yes","no")</f>
        <v/>
      </c>
      <c r="AI396" s="27">
        <f>IF(ISNUMBER(I396),"yes","no")</f>
        <v/>
      </c>
      <c r="AJ396" s="105" t="n">
        <v>46201</v>
      </c>
      <c r="AK396" s="27" t="n"/>
    </row>
    <row r="397" ht="42" customHeight="1">
      <c r="A397" s="2" t="n"/>
      <c r="B397" s="24" t="inlineStr">
        <is>
          <t>Thermo tray + lid, 5–6 compartments</t>
        </is>
      </c>
      <c r="C397" s="24" t="inlineStr">
        <is>
          <t>Austria</t>
        </is>
      </c>
      <c r="D397" s="24" t="inlineStr">
        <is>
          <t>ALLPAX Österreich</t>
        </is>
      </c>
      <c r="E397" s="24" t="inlineStr">
        <is>
          <t>Thermo-Tablett rechteckig 5-teilig 430x290x(H)150 mm</t>
        </is>
      </c>
      <c r="F397" s="98" t="n">
        <v>36.09</v>
      </c>
      <c r="G397" s="24" t="inlineStr">
        <is>
          <t>EUR</t>
        </is>
      </c>
      <c r="H397" s="98">
        <f>IF(AND(AE397="yes",ISNUMBER(AD397)),AD397,"")</f>
        <v/>
      </c>
      <c r="I397" s="99">
        <f>IF(AND(AE397="yes",ISNUMBER(AD397),ISNUMBER(INDEX('Sources'!$G$7:$G$10,MATCH(AB397,'Sources'!$B$7:$B$10,0)))),AD397/INDEX('Sources'!$G$7:$G$10,MATCH(AB397,'Sources'!$B$7:$B$10,0)),"")</f>
        <v/>
      </c>
      <c r="J397" s="24" t="inlineStr">
        <is>
          <t>CLOSE</t>
        </is>
      </c>
      <c r="K397" s="24" t="inlineStr">
        <is>
          <t>2026-09-30</t>
        </is>
      </c>
      <c r="L397" s="71" t="n"/>
      <c r="M397" s="24" t="inlineStr">
        <is>
          <t>5-piece set (ABS base, stainless tray, transparent hood, 2 cooling packs); 5 parts rather than 5 compartments</t>
        </is>
      </c>
      <c r="N397" s="25" t="inlineStr">
        <is>
          <t>https://www.allpax.at/product_info.php/info/Thermo-Tablett-rechteckig.html</t>
        </is>
      </c>
      <c r="O397" s="24" t="inlineStr">
        <is>
          <t>Hendi</t>
        </is>
      </c>
      <c r="P397" s="24" t="inlineStr">
        <is>
          <t>excl.</t>
        </is>
      </c>
      <c r="Q397" s="100" t="n"/>
      <c r="R397" s="24" t="n">
        <v>1</v>
      </c>
      <c r="S397" s="24" t="n"/>
      <c r="T397" s="24" t="inlineStr">
        <is>
          <t>CLOSE</t>
        </is>
      </c>
      <c r="U397" s="24" t="inlineStr">
        <is>
          <t>Existing benchmark assignment and match quality retained.</t>
        </is>
      </c>
      <c r="V397" s="98" t="n">
        <v>36.09</v>
      </c>
      <c r="W397" s="98" t="n"/>
      <c r="X397" s="24" t="inlineStr">
        <is>
          <t>YES Gastro Austria Market Research.xlsx</t>
        </is>
      </c>
      <c r="Y397" s="24" t="n"/>
      <c r="Z397" s="24" t="n"/>
      <c r="AA397" s="24" t="n"/>
      <c r="AB397" s="24" t="inlineStr">
        <is>
          <t>EUR</t>
        </is>
      </c>
      <c r="AC397" s="24" t="inlineStr">
        <is>
          <t>yes</t>
        </is>
      </c>
      <c r="AD397" s="24">
        <f>IF(ISNUMBER(V397),V397,"")</f>
        <v/>
      </c>
      <c r="AE397" s="24">
        <f>IF(AND(AC397="yes",ISNUMBER(F397),IF('Compare'!$H$5="All mapped",TRUE,IF('Compare'!$H$5="EXACT only",J397="EXACT",OR(J397="EXACT",J397="CLOSE")))),"yes","no")</f>
        <v/>
      </c>
      <c r="AF397" s="24">
        <f>IF(ISNUMBER(H397),COUNTIFS($B$7:$B$608,B397,$C$7:$C$608,C397,$H$7:$H$608,"&lt;"&amp;H397,$AH$7:$AH$608,"yes")+COUNTIFS($B$7:B397,B397,$C$7:C397,C397,$H$7:H397,H397,$AH$7:AH397,"yes"),"")</f>
        <v/>
      </c>
      <c r="AG397" s="24">
        <f>IF(ISNUMBER(I397),COUNTIFS($B$7:$B$608,B397,$C$7:$C$608,C397,$I$7:$I$608,"&lt;"&amp;I397,$AI$7:$AI$608,"yes")+COUNTIFS($B$7:B397,B397,$C$7:C397,C397,$I$7:I397,I397,$AI$7:AI397,"yes"),"")</f>
        <v/>
      </c>
      <c r="AH397" s="24">
        <f>IF(ISNUMBER(H397),"yes","no")</f>
        <v/>
      </c>
      <c r="AI397" s="24">
        <f>IF(ISNUMBER(I397),"yes","no")</f>
        <v/>
      </c>
      <c r="AJ397" s="101" t="n">
        <v>46295</v>
      </c>
      <c r="AK397" s="24" t="n"/>
    </row>
    <row r="398" ht="42" customHeight="1">
      <c r="A398" s="2" t="n"/>
      <c r="B398" s="27" t="inlineStr">
        <is>
          <t>Thermo tray + lid, 5–6 compartments</t>
        </is>
      </c>
      <c r="C398" s="27" t="inlineStr">
        <is>
          <t>Austria</t>
        </is>
      </c>
      <c r="D398" s="27" t="inlineStr">
        <is>
          <t>GastroHero Österreich</t>
        </is>
      </c>
      <c r="E398" s="27" t="inlineStr">
        <is>
          <t>APS Thermo-Set 5-tlg. ca. Ø 38 cm, Höhe 24 cm</t>
        </is>
      </c>
      <c r="F398" s="102" t="n">
        <v>46.9</v>
      </c>
      <c r="G398" s="27" t="inlineStr">
        <is>
          <t>EUR</t>
        </is>
      </c>
      <c r="H398" s="102">
        <f>IF(AND(AE398="yes",ISNUMBER(AD398)),AD398,"")</f>
        <v/>
      </c>
      <c r="I398" s="103">
        <f>IF(AND(AE398="yes",ISNUMBER(AD398),ISNUMBER(INDEX('Sources'!$G$7:$G$10,MATCH(AB398,'Sources'!$B$7:$B$10,0)))),AD398/INDEX('Sources'!$G$7:$G$10,MATCH(AB398,'Sources'!$B$7:$B$10,0)),"")</f>
        <v/>
      </c>
      <c r="J398" s="27" t="inlineStr">
        <is>
          <t>APPROX</t>
        </is>
      </c>
      <c r="K398" s="27" t="inlineStr">
        <is>
          <t>2026-09-30</t>
        </is>
      </c>
      <c r="L398" s="71" t="n"/>
      <c r="M398" s="27" t="inlineStr">
        <is>
          <t>Round 5-piece set (stainless bowl, tray, roll-top hood, 2 cooling packs); not a compartment tray; min. qty 2</t>
        </is>
      </c>
      <c r="N398" s="28" t="inlineStr">
        <is>
          <t>https://www.gastro-hero.at/products/aps-thermo-set-5-tlg-ca-38-cm-hoehe-24-cm-aps09082</t>
        </is>
      </c>
      <c r="O398" s="27" t="inlineStr">
        <is>
          <t>APS</t>
        </is>
      </c>
      <c r="P398" s="27" t="inlineStr">
        <is>
          <t>excl.</t>
        </is>
      </c>
      <c r="Q398" s="104" t="n"/>
      <c r="R398" s="27" t="n">
        <v>1</v>
      </c>
      <c r="S398" s="27" t="n"/>
      <c r="T398" s="27" t="inlineStr">
        <is>
          <t>APPROX</t>
        </is>
      </c>
      <c r="U398" s="27" t="inlineStr">
        <is>
          <t>Existing benchmark assignment and match quality retained.</t>
        </is>
      </c>
      <c r="V398" s="102" t="n">
        <v>46.9</v>
      </c>
      <c r="W398" s="102" t="n"/>
      <c r="X398" s="27" t="inlineStr">
        <is>
          <t>YES Gastro Austria Market Research.xlsx</t>
        </is>
      </c>
      <c r="Y398" s="27" t="n"/>
      <c r="Z398" s="27" t="n"/>
      <c r="AA398" s="27" t="n"/>
      <c r="AB398" s="27" t="inlineStr">
        <is>
          <t>EUR</t>
        </is>
      </c>
      <c r="AC398" s="27" t="inlineStr">
        <is>
          <t>yes</t>
        </is>
      </c>
      <c r="AD398" s="27">
        <f>IF(ISNUMBER(V398),V398,"")</f>
        <v/>
      </c>
      <c r="AE398" s="27">
        <f>IF(AND(AC398="yes",ISNUMBER(F398),IF('Compare'!$H$5="All mapped",TRUE,IF('Compare'!$H$5="EXACT only",J398="EXACT",OR(J398="EXACT",J398="CLOSE")))),"yes","no")</f>
        <v/>
      </c>
      <c r="AF398" s="27">
        <f>IF(ISNUMBER(H398),COUNTIFS($B$7:$B$608,B398,$C$7:$C$608,C398,$H$7:$H$608,"&lt;"&amp;H398,$AH$7:$AH$608,"yes")+COUNTIFS($B$7:B398,B398,$C$7:C398,C398,$H$7:H398,H398,$AH$7:AH398,"yes"),"")</f>
        <v/>
      </c>
      <c r="AG398" s="27">
        <f>IF(ISNUMBER(I398),COUNTIFS($B$7:$B$608,B398,$C$7:$C$608,C398,$I$7:$I$608,"&lt;"&amp;I398,$AI$7:$AI$608,"yes")+COUNTIFS($B$7:B398,B398,$C$7:C398,C398,$I$7:I398,I398,$AI$7:AI398,"yes"),"")</f>
        <v/>
      </c>
      <c r="AH398" s="27">
        <f>IF(ISNUMBER(H398),"yes","no")</f>
        <v/>
      </c>
      <c r="AI398" s="27">
        <f>IF(ISNUMBER(I398),"yes","no")</f>
        <v/>
      </c>
      <c r="AJ398" s="105" t="n">
        <v>46295</v>
      </c>
      <c r="AK398" s="27" t="n"/>
    </row>
    <row r="399" ht="42" customHeight="1">
      <c r="A399" s="2" t="n"/>
      <c r="B399" s="24" t="inlineStr">
        <is>
          <t>Thermo tray + lid, 5–6 compartments</t>
        </is>
      </c>
      <c r="C399" s="24" t="inlineStr">
        <is>
          <t>Austria</t>
        </is>
      </c>
      <c r="D399" s="24" t="inlineStr">
        <is>
          <t>Gastrodax</t>
        </is>
      </c>
      <c r="E399" s="24" t="inlineStr">
        <is>
          <t>APS Thermo Tablett Set rechteckig (5-teilig)</t>
        </is>
      </c>
      <c r="F399" s="98" t="n">
        <v>26.19</v>
      </c>
      <c r="G399" s="24" t="inlineStr">
        <is>
          <t>EUR</t>
        </is>
      </c>
      <c r="H399" s="98">
        <f>IF(AND(AE399="yes",ISNUMBER(AD399)),AD399,"")</f>
        <v/>
      </c>
      <c r="I399" s="99">
        <f>IF(AND(AE399="yes",ISNUMBER(AD399),ISNUMBER(INDEX('Sources'!$G$7:$G$10,MATCH(AB399,'Sources'!$B$7:$B$10,0)))),AD399/INDEX('Sources'!$G$7:$G$10,MATCH(AB399,'Sources'!$B$7:$B$10,0)),"")</f>
        <v/>
      </c>
      <c r="J399" s="24" t="inlineStr">
        <is>
          <t>CLOSE</t>
        </is>
      </c>
      <c r="K399" s="24" t="inlineStr">
        <is>
          <t>2026-09-30</t>
        </is>
      </c>
      <c r="L399" s="71" t="n"/>
      <c r="M399" s="24" t="inlineStr">
        <is>
          <t>5-piece set: insulated plastic base, stainless tray, PS lid, 2 cooling packs; 430x290x140 mm; 5 parts rather than 5 compartments</t>
        </is>
      </c>
      <c r="N399" s="25" t="inlineStr">
        <is>
          <t>https://www.gastrodax.de/aps-thermo-tablett-set-rechteckig</t>
        </is>
      </c>
      <c r="O399" s="24" t="inlineStr">
        <is>
          <t>APS</t>
        </is>
      </c>
      <c r="P399" s="24" t="inlineStr">
        <is>
          <t>excl.</t>
        </is>
      </c>
      <c r="Q399" s="100" t="n"/>
      <c r="R399" s="24" t="n">
        <v>1</v>
      </c>
      <c r="S399" s="24" t="n"/>
      <c r="T399" s="24" t="inlineStr">
        <is>
          <t>CLOSE</t>
        </is>
      </c>
      <c r="U399" s="24" t="inlineStr">
        <is>
          <t>Existing benchmark assignment and match quality retained.</t>
        </is>
      </c>
      <c r="V399" s="98" t="n">
        <v>26.19</v>
      </c>
      <c r="W399" s="98" t="n"/>
      <c r="X399" s="24" t="inlineStr">
        <is>
          <t>YES Gastro Austria Market Research.xlsx</t>
        </is>
      </c>
      <c r="Y399" s="24" t="n"/>
      <c r="Z399" s="24" t="n"/>
      <c r="AA399" s="24" t="n"/>
      <c r="AB399" s="24" t="inlineStr">
        <is>
          <t>EUR</t>
        </is>
      </c>
      <c r="AC399" s="24" t="inlineStr">
        <is>
          <t>yes</t>
        </is>
      </c>
      <c r="AD399" s="24">
        <f>IF(ISNUMBER(V399),V399,"")</f>
        <v/>
      </c>
      <c r="AE399" s="24">
        <f>IF(AND(AC399="yes",ISNUMBER(F399),IF('Compare'!$H$5="All mapped",TRUE,IF('Compare'!$H$5="EXACT only",J399="EXACT",OR(J399="EXACT",J399="CLOSE")))),"yes","no")</f>
        <v/>
      </c>
      <c r="AF399" s="24">
        <f>IF(ISNUMBER(H399),COUNTIFS($B$7:$B$608,B399,$C$7:$C$608,C399,$H$7:$H$608,"&lt;"&amp;H399,$AH$7:$AH$608,"yes")+COUNTIFS($B$7:B399,B399,$C$7:C399,C399,$H$7:H399,H399,$AH$7:AH399,"yes"),"")</f>
        <v/>
      </c>
      <c r="AG399" s="24">
        <f>IF(ISNUMBER(I399),COUNTIFS($B$7:$B$608,B399,$C$7:$C$608,C399,$I$7:$I$608,"&lt;"&amp;I399,$AI$7:$AI$608,"yes")+COUNTIFS($B$7:B399,B399,$C$7:C399,C399,$I$7:I399,I399,$AI$7:AI399,"yes"),"")</f>
        <v/>
      </c>
      <c r="AH399" s="24">
        <f>IF(ISNUMBER(H399),"yes","no")</f>
        <v/>
      </c>
      <c r="AI399" s="24">
        <f>IF(ISNUMBER(I399),"yes","no")</f>
        <v/>
      </c>
      <c r="AJ399" s="101" t="n">
        <v>46295</v>
      </c>
      <c r="AK399" s="24" t="n"/>
    </row>
    <row r="400" ht="42" customHeight="1">
      <c r="A400" s="2" t="n"/>
      <c r="B400" s="27" t="inlineStr">
        <is>
          <t>Thermo tray + lid, 5–6 compartments</t>
        </is>
      </c>
      <c r="C400" s="27" t="inlineStr">
        <is>
          <t>Austria</t>
        </is>
      </c>
      <c r="D400" s="27" t="inlineStr">
        <is>
          <t>Gastroladen.at (Harotec GmbH)</t>
        </is>
      </c>
      <c r="E400" s="27" t="inlineStr">
        <is>
          <t>Cambro Tablotherm Isolierte Schale mit Porzellantellern 37 x 53 x 10,5 cm</t>
        </is>
      </c>
      <c r="F400" s="102" t="n">
        <v>256.9</v>
      </c>
      <c r="G400" s="27" t="inlineStr">
        <is>
          <t>EUR</t>
        </is>
      </c>
      <c r="H400" s="102">
        <f>IF(AND(AE400="yes",ISNUMBER(AD400)),AD400,"")</f>
        <v/>
      </c>
      <c r="I400" s="103">
        <f>IF(AND(AE400="yes",ISNUMBER(AD400),ISNUMBER(INDEX('Sources'!$G$7:$G$10,MATCH(AB400,'Sources'!$B$7:$B$10,0)))),AD400/INDEX('Sources'!$G$7:$G$10,MATCH(AB400,'Sources'!$B$7:$B$10,0)),"")</f>
        <v/>
      </c>
      <c r="J400" s="27" t="inlineStr">
        <is>
          <t>APPROX</t>
        </is>
      </c>
      <c r="K400" s="27" t="inlineStr">
        <is>
          <t>2026-09-30</t>
        </is>
      </c>
      <c r="L400" s="71" t="n"/>
      <c r="M400" s="27" t="inlineStr">
        <is>
          <t>Insulated tray with porcelain 2-compartment plate + 3 bowls with lids; not a simple 5-6 compartment thermo tray</t>
        </is>
      </c>
      <c r="N400" s="28" t="inlineStr">
        <is>
          <t>https://www.gastroladen.at/0860@GN-CJ645/Cambro-Tablotherm-Isolierte-Schale-mit-Porzellantellern-37-x-53-x-10-5-cm.htm</t>
        </is>
      </c>
      <c r="O400" s="27" t="inlineStr">
        <is>
          <t>Cambro</t>
        </is>
      </c>
      <c r="P400" s="27" t="inlineStr">
        <is>
          <t>incl.</t>
        </is>
      </c>
      <c r="Q400" s="104" t="n"/>
      <c r="R400" s="27" t="n">
        <v>1</v>
      </c>
      <c r="S400" s="27" t="n"/>
      <c r="T400" s="27" t="inlineStr">
        <is>
          <t>APPROX</t>
        </is>
      </c>
      <c r="U400" s="27" t="inlineStr">
        <is>
          <t>Existing benchmark assignment and match quality retained.</t>
        </is>
      </c>
      <c r="V400" s="102" t="n">
        <v>214.08</v>
      </c>
      <c r="W400" s="102" t="n"/>
      <c r="X400" s="27" t="inlineStr">
        <is>
          <t>YES Gastro Austria Market Research.xlsx</t>
        </is>
      </c>
      <c r="Y400" s="27" t="n"/>
      <c r="Z400" s="27" t="n"/>
      <c r="AA400" s="27" t="n"/>
      <c r="AB400" s="27" t="inlineStr">
        <is>
          <t>EUR</t>
        </is>
      </c>
      <c r="AC400" s="27" t="inlineStr">
        <is>
          <t>yes</t>
        </is>
      </c>
      <c r="AD400" s="27">
        <f>IF(ISNUMBER(V400),V400,"")</f>
        <v/>
      </c>
      <c r="AE400" s="27">
        <f>IF(AND(AC400="yes",ISNUMBER(F400),IF('Compare'!$H$5="All mapped",TRUE,IF('Compare'!$H$5="EXACT only",J400="EXACT",OR(J400="EXACT",J400="CLOSE")))),"yes","no")</f>
        <v/>
      </c>
      <c r="AF400" s="27">
        <f>IF(ISNUMBER(H400),COUNTIFS($B$7:$B$608,B400,$C$7:$C$608,C400,$H$7:$H$608,"&lt;"&amp;H400,$AH$7:$AH$608,"yes")+COUNTIFS($B$7:B400,B400,$C$7:C400,C400,$H$7:H400,H400,$AH$7:AH400,"yes"),"")</f>
        <v/>
      </c>
      <c r="AG400" s="27">
        <f>IF(ISNUMBER(I400),COUNTIFS($B$7:$B$608,B400,$C$7:$C$608,C400,$I$7:$I$608,"&lt;"&amp;I400,$AI$7:$AI$608,"yes")+COUNTIFS($B$7:B400,B400,$C$7:C400,C400,$I$7:I400,I400,$AI$7:AI400,"yes"),"")</f>
        <v/>
      </c>
      <c r="AH400" s="27">
        <f>IF(ISNUMBER(H400),"yes","no")</f>
        <v/>
      </c>
      <c r="AI400" s="27">
        <f>IF(ISNUMBER(I400),"yes","no")</f>
        <v/>
      </c>
      <c r="AJ400" s="105" t="n">
        <v>46295</v>
      </c>
      <c r="AK400" s="27" t="n"/>
    </row>
    <row r="401" ht="42" customHeight="1">
      <c r="A401" s="2" t="n"/>
      <c r="B401" s="24" t="inlineStr">
        <is>
          <t>Thermo tray + lid, 5–6 compartments</t>
        </is>
      </c>
      <c r="C401" s="24" t="inlineStr">
        <is>
          <t>Austria</t>
        </is>
      </c>
      <c r="D401" s="24" t="inlineStr">
        <is>
          <t>Intergastro (AT shop)</t>
        </is>
      </c>
      <c r="E401" s="24" t="inlineStr">
        <is>
          <t>Tablett TABLOTHERM EURONORM isoliert mit Geschirr, Deckel, Pellet</t>
        </is>
      </c>
      <c r="F401" s="98" t="n">
        <v>176.33</v>
      </c>
      <c r="G401" s="24" t="inlineStr">
        <is>
          <t>EUR</t>
        </is>
      </c>
      <c r="H401" s="98">
        <f>IF(AND(AE401="yes",ISNUMBER(AD401)),AD401,"")</f>
        <v/>
      </c>
      <c r="I401" s="99">
        <f>IF(AND(AE401="yes",ISNUMBER(AD401),ISNUMBER(INDEX('Sources'!$G$7:$G$10,MATCH(AB401,'Sources'!$B$7:$B$10,0)))),AD401/INDEX('Sources'!$G$7:$G$10,MATCH(AB401,'Sources'!$B$7:$B$10,0)),"")</f>
        <v/>
      </c>
      <c r="J401" s="24" t="inlineStr">
        <is>
          <t>APPROX</t>
        </is>
      </c>
      <c r="K401" s="24" t="inlineStr">
        <is>
          <t>2026-09-30</t>
        </is>
      </c>
      <c r="L401" s="71" t="n"/>
      <c r="M401" s="24" t="inlineStr">
        <is>
          <t>Insulated PP tray system incl. dishes, lid and heat pellet; not a simple 5-6 compartment thermo tray</t>
        </is>
      </c>
      <c r="N401" s="25" t="inlineStr">
        <is>
          <t>https://www.intergastro.at/tablett-tablotherm-euronorm-isoliert-mit-geschirr-deckel-pellet-325159</t>
        </is>
      </c>
      <c r="O401" s="24" t="inlineStr">
        <is>
          <t>Cambro</t>
        </is>
      </c>
      <c r="P401" s="24" t="inlineStr">
        <is>
          <t>excl.</t>
        </is>
      </c>
      <c r="Q401" s="100" t="n"/>
      <c r="R401" s="24" t="n">
        <v>1</v>
      </c>
      <c r="S401" s="24" t="n"/>
      <c r="T401" s="24" t="inlineStr">
        <is>
          <t>APPROX</t>
        </is>
      </c>
      <c r="U401" s="24" t="inlineStr">
        <is>
          <t>Existing benchmark assignment and match quality retained.</t>
        </is>
      </c>
      <c r="V401" s="98" t="n">
        <v>176.33</v>
      </c>
      <c r="W401" s="98" t="n"/>
      <c r="X401" s="24" t="inlineStr">
        <is>
          <t>YES Gastro Austria Market Research.xlsx</t>
        </is>
      </c>
      <c r="Y401" s="24" t="n"/>
      <c r="Z401" s="24" t="n"/>
      <c r="AA401" s="24" t="n"/>
      <c r="AB401" s="24" t="inlineStr">
        <is>
          <t>EUR</t>
        </is>
      </c>
      <c r="AC401" s="24" t="inlineStr">
        <is>
          <t>yes</t>
        </is>
      </c>
      <c r="AD401" s="24">
        <f>IF(ISNUMBER(V401),V401,"")</f>
        <v/>
      </c>
      <c r="AE401" s="24">
        <f>IF(AND(AC401="yes",ISNUMBER(F401),IF('Compare'!$H$5="All mapped",TRUE,IF('Compare'!$H$5="EXACT only",J401="EXACT",OR(J401="EXACT",J401="CLOSE")))),"yes","no")</f>
        <v/>
      </c>
      <c r="AF401" s="24">
        <f>IF(ISNUMBER(H401),COUNTIFS($B$7:$B$608,B401,$C$7:$C$608,C401,$H$7:$H$608,"&lt;"&amp;H401,$AH$7:$AH$608,"yes")+COUNTIFS($B$7:B401,B401,$C$7:C401,C401,$H$7:H401,H401,$AH$7:AH401,"yes"),"")</f>
        <v/>
      </c>
      <c r="AG401" s="24">
        <f>IF(ISNUMBER(I401),COUNTIFS($B$7:$B$608,B401,$C$7:$C$608,C401,$I$7:$I$608,"&lt;"&amp;I401,$AI$7:$AI$608,"yes")+COUNTIFS($B$7:B401,B401,$C$7:C401,C401,$I$7:I401,I401,$AI$7:AI401,"yes"),"")</f>
        <v/>
      </c>
      <c r="AH401" s="24">
        <f>IF(ISNUMBER(H401),"yes","no")</f>
        <v/>
      </c>
      <c r="AI401" s="24">
        <f>IF(ISNUMBER(I401),"yes","no")</f>
        <v/>
      </c>
      <c r="AJ401" s="101" t="n">
        <v>46295</v>
      </c>
      <c r="AK401" s="24" t="n"/>
    </row>
    <row r="402" ht="42" customHeight="1">
      <c r="A402" s="2" t="n"/>
      <c r="B402" s="27" t="inlineStr">
        <is>
          <t>Thermo tray + lid, 5–6 compartments</t>
        </is>
      </c>
      <c r="C402" s="27" t="inlineStr">
        <is>
          <t>Germany</t>
        </is>
      </c>
      <c r="D402" s="27" t="inlineStr">
        <is>
          <t>ALLPAX</t>
        </is>
      </c>
      <c r="E402" s="27" t="inlineStr">
        <is>
          <t>Thermo-Tablett rechteckig 5-teilig 430x290x(H)150 mm</t>
        </is>
      </c>
      <c r="F402" s="102" t="n">
        <v>36.09</v>
      </c>
      <c r="G402" s="27" t="inlineStr">
        <is>
          <t>EUR</t>
        </is>
      </c>
      <c r="H402" s="102">
        <f>IF(AND(AE402="yes",ISNUMBER(AD402)),AD402,"")</f>
        <v/>
      </c>
      <c r="I402" s="103">
        <f>IF(AND(AE402="yes",ISNUMBER(AD402),ISNUMBER(INDEX('Sources'!$G$7:$G$10,MATCH(AB402,'Sources'!$B$7:$B$10,0)))),AD402/INDEX('Sources'!$G$7:$G$10,MATCH(AB402,'Sources'!$B$7:$B$10,0)),"")</f>
        <v/>
      </c>
      <c r="J402" s="27" t="inlineStr">
        <is>
          <t>CLOSE</t>
        </is>
      </c>
      <c r="K402" s="27" t="inlineStr">
        <is>
          <t>2026-09-30</t>
        </is>
      </c>
      <c r="L402" s="71" t="n"/>
      <c r="M402" s="27" t="inlineStr">
        <is>
          <t>5-piece set (ABS base, stainless tray, transparent hood, 2 cooling packs); 5 parts rather than 5 compartments</t>
        </is>
      </c>
      <c r="N402" s="28" t="inlineStr">
        <is>
          <t>https://www.allpax.de/product_info.php/info/Thermo-Tablett-rechteckig.html</t>
        </is>
      </c>
      <c r="O402" s="27" t="inlineStr">
        <is>
          <t>Hendi</t>
        </is>
      </c>
      <c r="P402" s="27" t="inlineStr">
        <is>
          <t>excl.</t>
        </is>
      </c>
      <c r="Q402" s="104" t="n"/>
      <c r="R402" s="27" t="n">
        <v>1</v>
      </c>
      <c r="S402" s="27" t="n"/>
      <c r="T402" s="27" t="inlineStr">
        <is>
          <t>CLOSE</t>
        </is>
      </c>
      <c r="U402" s="27" t="inlineStr">
        <is>
          <t>Existing benchmark assignment and match quality retained.</t>
        </is>
      </c>
      <c r="V402" s="102" t="n">
        <v>36.09</v>
      </c>
      <c r="W402" s="102" t="n"/>
      <c r="X402" s="27" t="inlineStr">
        <is>
          <t>YES Gastro Germany Market Research.xlsx</t>
        </is>
      </c>
      <c r="Y402" s="27" t="n"/>
      <c r="Z402" s="27" t="n"/>
      <c r="AA402" s="27" t="n"/>
      <c r="AB402" s="27" t="inlineStr">
        <is>
          <t>EUR</t>
        </is>
      </c>
      <c r="AC402" s="27" t="inlineStr">
        <is>
          <t>yes</t>
        </is>
      </c>
      <c r="AD402" s="27">
        <f>IF(ISNUMBER(V402),V402,"")</f>
        <v/>
      </c>
      <c r="AE402" s="27">
        <f>IF(AND(AC402="yes",ISNUMBER(F402),IF('Compare'!$H$5="All mapped",TRUE,IF('Compare'!$H$5="EXACT only",J402="EXACT",OR(J402="EXACT",J402="CLOSE")))),"yes","no")</f>
        <v/>
      </c>
      <c r="AF402" s="27">
        <f>IF(ISNUMBER(H402),COUNTIFS($B$7:$B$608,B402,$C$7:$C$608,C402,$H$7:$H$608,"&lt;"&amp;H402,$AH$7:$AH$608,"yes")+COUNTIFS($B$7:B402,B402,$C$7:C402,C402,$H$7:H402,H402,$AH$7:AH402,"yes"),"")</f>
        <v/>
      </c>
      <c r="AG402" s="27">
        <f>IF(ISNUMBER(I402),COUNTIFS($B$7:$B$608,B402,$C$7:$C$608,C402,$I$7:$I$608,"&lt;"&amp;I402,$AI$7:$AI$608,"yes")+COUNTIFS($B$7:B402,B402,$C$7:C402,C402,$I$7:I402,I402,$AI$7:AI402,"yes"),"")</f>
        <v/>
      </c>
      <c r="AH402" s="27">
        <f>IF(ISNUMBER(H402),"yes","no")</f>
        <v/>
      </c>
      <c r="AI402" s="27">
        <f>IF(ISNUMBER(I402),"yes","no")</f>
        <v/>
      </c>
      <c r="AJ402" s="105" t="n">
        <v>46295</v>
      </c>
      <c r="AK402" s="27" t="n"/>
    </row>
    <row r="403" ht="42" customHeight="1">
      <c r="A403" s="2" t="n"/>
      <c r="B403" s="24" t="inlineStr">
        <is>
          <t>Thermo tray + lid, 5–6 compartments</t>
        </is>
      </c>
      <c r="C403" s="24" t="inlineStr">
        <is>
          <t>Germany</t>
        </is>
      </c>
      <c r="D403" s="24" t="inlineStr">
        <is>
          <t>GastroHero</t>
        </is>
      </c>
      <c r="E403" s="24" t="inlineStr">
        <is>
          <t>APS Thermo-Set 5-tlg. ca. Ø 38 cm, Höhe 24 cm</t>
        </is>
      </c>
      <c r="F403" s="98" t="n">
        <v>44.9</v>
      </c>
      <c r="G403" s="24" t="inlineStr">
        <is>
          <t>EUR</t>
        </is>
      </c>
      <c r="H403" s="98">
        <f>IF(AND(AE403="yes",ISNUMBER(AD403)),AD403,"")</f>
        <v/>
      </c>
      <c r="I403" s="99">
        <f>IF(AND(AE403="yes",ISNUMBER(AD403),ISNUMBER(INDEX('Sources'!$G$7:$G$10,MATCH(AB403,'Sources'!$B$7:$B$10,0)))),AD403/INDEX('Sources'!$G$7:$G$10,MATCH(AB403,'Sources'!$B$7:$B$10,0)),"")</f>
        <v/>
      </c>
      <c r="J403" s="24" t="inlineStr">
        <is>
          <t>APPROX</t>
        </is>
      </c>
      <c r="K403" s="24" t="inlineStr">
        <is>
          <t>2026-09-30</t>
        </is>
      </c>
      <c r="L403" s="71" t="n"/>
      <c r="M403" s="24" t="inlineStr">
        <is>
          <t>Round 5-piece set (stainless bowl, tray, roll-top hood, 2 cooling packs); not a compartment tray; min. qty 2</t>
        </is>
      </c>
      <c r="N403" s="25" t="inlineStr">
        <is>
          <t>https://www.gastro-hero.de/products/aps-thermo-set-5-tlg-ca-38-cm-hoehe-24-cm-aps09082</t>
        </is>
      </c>
      <c r="O403" s="24" t="inlineStr">
        <is>
          <t>APS</t>
        </is>
      </c>
      <c r="P403" s="24" t="inlineStr">
        <is>
          <t>excl.</t>
        </is>
      </c>
      <c r="Q403" s="100" t="n"/>
      <c r="R403" s="24" t="n">
        <v>1</v>
      </c>
      <c r="S403" s="24" t="n"/>
      <c r="T403" s="24" t="inlineStr">
        <is>
          <t>APPROX</t>
        </is>
      </c>
      <c r="U403" s="24" t="inlineStr">
        <is>
          <t>Existing benchmark assignment and match quality retained.</t>
        </is>
      </c>
      <c r="V403" s="98" t="n">
        <v>44.9</v>
      </c>
      <c r="W403" s="98" t="n"/>
      <c r="X403" s="24" t="inlineStr">
        <is>
          <t>YES Gastro Germany Market Research.xlsx</t>
        </is>
      </c>
      <c r="Y403" s="24" t="n"/>
      <c r="Z403" s="24" t="n"/>
      <c r="AA403" s="24" t="n"/>
      <c r="AB403" s="24" t="inlineStr">
        <is>
          <t>EUR</t>
        </is>
      </c>
      <c r="AC403" s="24" t="inlineStr">
        <is>
          <t>yes</t>
        </is>
      </c>
      <c r="AD403" s="24">
        <f>IF(ISNUMBER(V403),V403,"")</f>
        <v/>
      </c>
      <c r="AE403" s="24">
        <f>IF(AND(AC403="yes",ISNUMBER(F403),IF('Compare'!$H$5="All mapped",TRUE,IF('Compare'!$H$5="EXACT only",J403="EXACT",OR(J403="EXACT",J403="CLOSE")))),"yes","no")</f>
        <v/>
      </c>
      <c r="AF403" s="24">
        <f>IF(ISNUMBER(H403),COUNTIFS($B$7:$B$608,B403,$C$7:$C$608,C403,$H$7:$H$608,"&lt;"&amp;H403,$AH$7:$AH$608,"yes")+COUNTIFS($B$7:B403,B403,$C$7:C403,C403,$H$7:H403,H403,$AH$7:AH403,"yes"),"")</f>
        <v/>
      </c>
      <c r="AG403" s="24">
        <f>IF(ISNUMBER(I403),COUNTIFS($B$7:$B$608,B403,$C$7:$C$608,C403,$I$7:$I$608,"&lt;"&amp;I403,$AI$7:$AI$608,"yes")+COUNTIFS($B$7:B403,B403,$C$7:C403,C403,$I$7:I403,I403,$AI$7:AI403,"yes"),"")</f>
        <v/>
      </c>
      <c r="AH403" s="24">
        <f>IF(ISNUMBER(H403),"yes","no")</f>
        <v/>
      </c>
      <c r="AI403" s="24">
        <f>IF(ISNUMBER(I403),"yes","no")</f>
        <v/>
      </c>
      <c r="AJ403" s="101" t="n">
        <v>46295</v>
      </c>
      <c r="AK403" s="24" t="n"/>
    </row>
    <row r="404" ht="42" customHeight="1">
      <c r="A404" s="2" t="n"/>
      <c r="B404" s="27" t="inlineStr">
        <is>
          <t>Thermo tray + lid, 5–6 compartments</t>
        </is>
      </c>
      <c r="C404" s="27" t="inlineStr">
        <is>
          <t>Germany</t>
        </is>
      </c>
      <c r="D404" s="27" t="inlineStr">
        <is>
          <t>Gastrodax [substitute]</t>
        </is>
      </c>
      <c r="E404" s="27" t="inlineStr">
        <is>
          <t>APS Thermo Tablett Set rechteckig (5-teilig)</t>
        </is>
      </c>
      <c r="F404" s="102" t="n">
        <v>26.19</v>
      </c>
      <c r="G404" s="27" t="inlineStr">
        <is>
          <t>EUR</t>
        </is>
      </c>
      <c r="H404" s="102">
        <f>IF(AND(AE404="yes",ISNUMBER(AD404)),AD404,"")</f>
        <v/>
      </c>
      <c r="I404" s="103">
        <f>IF(AND(AE404="yes",ISNUMBER(AD404),ISNUMBER(INDEX('Sources'!$G$7:$G$10,MATCH(AB404,'Sources'!$B$7:$B$10,0)))),AD404/INDEX('Sources'!$G$7:$G$10,MATCH(AB404,'Sources'!$B$7:$B$10,0)),"")</f>
        <v/>
      </c>
      <c r="J404" s="27" t="inlineStr">
        <is>
          <t>CLOSE</t>
        </is>
      </c>
      <c r="K404" s="27" t="inlineStr">
        <is>
          <t>2026-09-30</t>
        </is>
      </c>
      <c r="L404" s="71" t="n"/>
      <c r="M404" s="27" t="inlineStr">
        <is>
          <t>5-piece set: insulated plastic base, stainless tray, PS lid, 2 cooling packs; 430x290x140 mm; 5 parts rather than 5 compartments</t>
        </is>
      </c>
      <c r="N404" s="28" t="inlineStr">
        <is>
          <t>https://www.gastrodax.de/aps-thermo-tablett-set-rechteckig</t>
        </is>
      </c>
      <c r="O404" s="27" t="inlineStr">
        <is>
          <t>APS</t>
        </is>
      </c>
      <c r="P404" s="27" t="inlineStr">
        <is>
          <t>excl.</t>
        </is>
      </c>
      <c r="Q404" s="104" t="n"/>
      <c r="R404" s="27" t="n">
        <v>1</v>
      </c>
      <c r="S404" s="27" t="n"/>
      <c r="T404" s="27" t="inlineStr">
        <is>
          <t>CLOSE</t>
        </is>
      </c>
      <c r="U404" s="27" t="inlineStr">
        <is>
          <t>Existing benchmark assignment and match quality retained.</t>
        </is>
      </c>
      <c r="V404" s="102" t="n">
        <v>26.19</v>
      </c>
      <c r="W404" s="102" t="n"/>
      <c r="X404" s="27" t="inlineStr">
        <is>
          <t>YES Gastro Germany Market Research.xlsx</t>
        </is>
      </c>
      <c r="Y404" s="27" t="n"/>
      <c r="Z404" s="27" t="n"/>
      <c r="AA404" s="27" t="n"/>
      <c r="AB404" s="27" t="inlineStr">
        <is>
          <t>EUR</t>
        </is>
      </c>
      <c r="AC404" s="27" t="inlineStr">
        <is>
          <t>yes</t>
        </is>
      </c>
      <c r="AD404" s="27">
        <f>IF(ISNUMBER(V404),V404,"")</f>
        <v/>
      </c>
      <c r="AE404" s="27">
        <f>IF(AND(AC404="yes",ISNUMBER(F404),IF('Compare'!$H$5="All mapped",TRUE,IF('Compare'!$H$5="EXACT only",J404="EXACT",OR(J404="EXACT",J404="CLOSE")))),"yes","no")</f>
        <v/>
      </c>
      <c r="AF404" s="27">
        <f>IF(ISNUMBER(H404),COUNTIFS($B$7:$B$608,B404,$C$7:$C$608,C404,$H$7:$H$608,"&lt;"&amp;H404,$AH$7:$AH$608,"yes")+COUNTIFS($B$7:B404,B404,$C$7:C404,C404,$H$7:H404,H404,$AH$7:AH404,"yes"),"")</f>
        <v/>
      </c>
      <c r="AG404" s="27">
        <f>IF(ISNUMBER(I404),COUNTIFS($B$7:$B$608,B404,$C$7:$C$608,C404,$I$7:$I$608,"&lt;"&amp;I404,$AI$7:$AI$608,"yes")+COUNTIFS($B$7:B404,B404,$C$7:C404,C404,$I$7:I404,I404,$AI$7:AI404,"yes"),"")</f>
        <v/>
      </c>
      <c r="AH404" s="27">
        <f>IF(ISNUMBER(H404),"yes","no")</f>
        <v/>
      </c>
      <c r="AI404" s="27">
        <f>IF(ISNUMBER(I404),"yes","no")</f>
        <v/>
      </c>
      <c r="AJ404" s="105" t="n">
        <v>46295</v>
      </c>
      <c r="AK404" s="27" t="n"/>
    </row>
    <row r="405" ht="42" customHeight="1">
      <c r="A405" s="2" t="n"/>
      <c r="B405" s="24" t="inlineStr">
        <is>
          <t>Thermo tray + lid, 5–6 compartments</t>
        </is>
      </c>
      <c r="C405" s="24" t="inlineStr">
        <is>
          <t>Germany</t>
        </is>
      </c>
      <c r="D405" s="24" t="inlineStr">
        <is>
          <t>Gastroladen.de (Harotec GmbH) [substitute]</t>
        </is>
      </c>
      <c r="E405" s="24" t="inlineStr">
        <is>
          <t>Cambro Tablotherm Isolierte Schale mit Porzellantellern 37 x 53 x 10,5 cm</t>
        </is>
      </c>
      <c r="F405" s="98" t="n">
        <v>254.9</v>
      </c>
      <c r="G405" s="24" t="inlineStr">
        <is>
          <t>EUR</t>
        </is>
      </c>
      <c r="H405" s="98">
        <f>IF(AND(AE405="yes",ISNUMBER(AD405)),AD405,"")</f>
        <v/>
      </c>
      <c r="I405" s="99">
        <f>IF(AND(AE405="yes",ISNUMBER(AD405),ISNUMBER(INDEX('Sources'!$G$7:$G$10,MATCH(AB405,'Sources'!$B$7:$B$10,0)))),AD405/INDEX('Sources'!$G$7:$G$10,MATCH(AB405,'Sources'!$B$7:$B$10,0)),"")</f>
        <v/>
      </c>
      <c r="J405" s="24" t="inlineStr">
        <is>
          <t>APPROX</t>
        </is>
      </c>
      <c r="K405" s="24" t="inlineStr">
        <is>
          <t>2026-09-30</t>
        </is>
      </c>
      <c r="L405" s="71" t="n"/>
      <c r="M405" s="24" t="inlineStr">
        <is>
          <t>Insulated tray with porcelain 2-compartment plate + 3 bowls with lids; not a simple 5-6 compartment thermo tray</t>
        </is>
      </c>
      <c r="N405" s="25" t="inlineStr">
        <is>
          <t>https://www.gastroladen.de/0860@GN-CJ645/Cambro-Tablotherm-Isolierte-Schale-mit-Porzellantellern-37-x-53-x-10-5-cm.htm</t>
        </is>
      </c>
      <c r="O405" s="24" t="inlineStr">
        <is>
          <t>Cambro</t>
        </is>
      </c>
      <c r="P405" s="24" t="inlineStr">
        <is>
          <t>incl.</t>
        </is>
      </c>
      <c r="Q405" s="100" t="n"/>
      <c r="R405" s="24" t="n">
        <v>1</v>
      </c>
      <c r="S405" s="24" t="n"/>
      <c r="T405" s="24" t="inlineStr">
        <is>
          <t>APPROX</t>
        </is>
      </c>
      <c r="U405" s="24" t="inlineStr">
        <is>
          <t>Existing benchmark assignment and match quality retained.</t>
        </is>
      </c>
      <c r="V405" s="98" t="n">
        <v>214.2</v>
      </c>
      <c r="W405" s="98" t="n"/>
      <c r="X405" s="24" t="inlineStr">
        <is>
          <t>YES Gastro Germany Market Research.xlsx</t>
        </is>
      </c>
      <c r="Y405" s="24" t="n"/>
      <c r="Z405" s="24" t="n"/>
      <c r="AA405" s="24" t="n"/>
      <c r="AB405" s="24" t="inlineStr">
        <is>
          <t>EUR</t>
        </is>
      </c>
      <c r="AC405" s="24" t="inlineStr">
        <is>
          <t>yes</t>
        </is>
      </c>
      <c r="AD405" s="24">
        <f>IF(ISNUMBER(V405),V405,"")</f>
        <v/>
      </c>
      <c r="AE405" s="24">
        <f>IF(AND(AC405="yes",ISNUMBER(F405),IF('Compare'!$H$5="All mapped",TRUE,IF('Compare'!$H$5="EXACT only",J405="EXACT",OR(J405="EXACT",J405="CLOSE")))),"yes","no")</f>
        <v/>
      </c>
      <c r="AF405" s="24">
        <f>IF(ISNUMBER(H405),COUNTIFS($B$7:$B$608,B405,$C$7:$C$608,C405,$H$7:$H$608,"&lt;"&amp;H405,$AH$7:$AH$608,"yes")+COUNTIFS($B$7:B405,B405,$C$7:C405,C405,$H$7:H405,H405,$AH$7:AH405,"yes"),"")</f>
        <v/>
      </c>
      <c r="AG405" s="24">
        <f>IF(ISNUMBER(I405),COUNTIFS($B$7:$B$608,B405,$C$7:$C$608,C405,$I$7:$I$608,"&lt;"&amp;I405,$AI$7:$AI$608,"yes")+COUNTIFS($B$7:B405,B405,$C$7:C405,C405,$I$7:I405,I405,$AI$7:AI405,"yes"),"")</f>
        <v/>
      </c>
      <c r="AH405" s="24">
        <f>IF(ISNUMBER(H405),"yes","no")</f>
        <v/>
      </c>
      <c r="AI405" s="24">
        <f>IF(ISNUMBER(I405),"yes","no")</f>
        <v/>
      </c>
      <c r="AJ405" s="101" t="n">
        <v>46295</v>
      </c>
      <c r="AK405" s="24" t="n"/>
    </row>
    <row r="406" ht="42" customHeight="1">
      <c r="A406" s="2" t="n"/>
      <c r="B406" s="27" t="inlineStr">
        <is>
          <t>Thermo tray + lid, 5–6 compartments</t>
        </is>
      </c>
      <c r="C406" s="27" t="inlineStr">
        <is>
          <t>Germany</t>
        </is>
      </c>
      <c r="D406" s="27" t="inlineStr">
        <is>
          <t>Intergastro</t>
        </is>
      </c>
      <c r="E406" s="27" t="inlineStr">
        <is>
          <t>Tablett TABLOTHERM EURONORM isoliert mit Geschirr, Deckel, Pellet</t>
        </is>
      </c>
      <c r="F406" s="102" t="n">
        <v>176.33</v>
      </c>
      <c r="G406" s="27" t="inlineStr">
        <is>
          <t>EUR</t>
        </is>
      </c>
      <c r="H406" s="102">
        <f>IF(AND(AE406="yes",ISNUMBER(AD406)),AD406,"")</f>
        <v/>
      </c>
      <c r="I406" s="103">
        <f>IF(AND(AE406="yes",ISNUMBER(AD406),ISNUMBER(INDEX('Sources'!$G$7:$G$10,MATCH(AB406,'Sources'!$B$7:$B$10,0)))),AD406/INDEX('Sources'!$G$7:$G$10,MATCH(AB406,'Sources'!$B$7:$B$10,0)),"")</f>
        <v/>
      </c>
      <c r="J406" s="27" t="inlineStr">
        <is>
          <t>APPROX</t>
        </is>
      </c>
      <c r="K406" s="27" t="inlineStr">
        <is>
          <t>2026-09-30</t>
        </is>
      </c>
      <c r="L406" s="71" t="n"/>
      <c r="M406" s="27" t="inlineStr">
        <is>
          <t>Insulated PP tray system incl. dishes, lid and heat pellet; not a simple 5-6 compartment thermo tray</t>
        </is>
      </c>
      <c r="N406" s="28" t="inlineStr">
        <is>
          <t>https://www.intergastro.de/tablett-tablotherm-euronorm-isoliert-mit-geschirr-deckel-pellet-325159</t>
        </is>
      </c>
      <c r="O406" s="27" t="inlineStr">
        <is>
          <t>Cambro</t>
        </is>
      </c>
      <c r="P406" s="27" t="inlineStr">
        <is>
          <t>excl.</t>
        </is>
      </c>
      <c r="Q406" s="104" t="n"/>
      <c r="R406" s="27" t="n">
        <v>1</v>
      </c>
      <c r="S406" s="27" t="n"/>
      <c r="T406" s="27" t="inlineStr">
        <is>
          <t>APPROX</t>
        </is>
      </c>
      <c r="U406" s="27" t="inlineStr">
        <is>
          <t>Existing benchmark assignment and match quality retained.</t>
        </is>
      </c>
      <c r="V406" s="102" t="n">
        <v>176.33</v>
      </c>
      <c r="W406" s="102" t="n"/>
      <c r="X406" s="27" t="inlineStr">
        <is>
          <t>YES Gastro Germany Market Research.xlsx</t>
        </is>
      </c>
      <c r="Y406" s="27" t="n"/>
      <c r="Z406" s="27" t="n"/>
      <c r="AA406" s="27" t="n"/>
      <c r="AB406" s="27" t="inlineStr">
        <is>
          <t>EUR</t>
        </is>
      </c>
      <c r="AC406" s="27" t="inlineStr">
        <is>
          <t>yes</t>
        </is>
      </c>
      <c r="AD406" s="27">
        <f>IF(ISNUMBER(V406),V406,"")</f>
        <v/>
      </c>
      <c r="AE406" s="27">
        <f>IF(AND(AC406="yes",ISNUMBER(F406),IF('Compare'!$H$5="All mapped",TRUE,IF('Compare'!$H$5="EXACT only",J406="EXACT",OR(J406="EXACT",J406="CLOSE")))),"yes","no")</f>
        <v/>
      </c>
      <c r="AF406" s="27">
        <f>IF(ISNUMBER(H406),COUNTIFS($B$7:$B$608,B406,$C$7:$C$608,C406,$H$7:$H$608,"&lt;"&amp;H406,$AH$7:$AH$608,"yes")+COUNTIFS($B$7:B406,B406,$C$7:C406,C406,$H$7:H406,H406,$AH$7:AH406,"yes"),"")</f>
        <v/>
      </c>
      <c r="AG406" s="27">
        <f>IF(ISNUMBER(I406),COUNTIFS($B$7:$B$608,B406,$C$7:$C$608,C406,$I$7:$I$608,"&lt;"&amp;I406,$AI$7:$AI$608,"yes")+COUNTIFS($B$7:B406,B406,$C$7:C406,C406,$I$7:I406,I406,$AI$7:AI406,"yes"),"")</f>
        <v/>
      </c>
      <c r="AH406" s="27">
        <f>IF(ISNUMBER(H406),"yes","no")</f>
        <v/>
      </c>
      <c r="AI406" s="27">
        <f>IF(ISNUMBER(I406),"yes","no")</f>
        <v/>
      </c>
      <c r="AJ406" s="105" t="n">
        <v>46295</v>
      </c>
      <c r="AK406" s="27" t="n"/>
    </row>
    <row r="407" ht="42" customHeight="1">
      <c r="A407" s="2" t="n"/>
      <c r="B407" s="24" t="inlineStr">
        <is>
          <t>Thermo tray + lid, 5–6 compartments</t>
        </is>
      </c>
      <c r="C407" s="24" t="inlineStr">
        <is>
          <t>Germany</t>
        </is>
      </c>
      <c r="D407" s="24" t="inlineStr">
        <is>
          <t>Nisbets</t>
        </is>
      </c>
      <c r="E407" s="24" t="inlineStr">
        <is>
          <t>Cambro Tablotherm Isolierte Schale mit Porzellantellern 37 x 53 x 10,5 cm</t>
        </is>
      </c>
      <c r="F407" s="98" t="n">
        <v>177.99</v>
      </c>
      <c r="G407" s="24" t="inlineStr">
        <is>
          <t>EUR</t>
        </is>
      </c>
      <c r="H407" s="98">
        <f>IF(AND(AE407="yes",ISNUMBER(AD407)),AD407,"")</f>
        <v/>
      </c>
      <c r="I407" s="99">
        <f>IF(AND(AE407="yes",ISNUMBER(AD407),ISNUMBER(INDEX('Sources'!$G$7:$G$10,MATCH(AB407,'Sources'!$B$7:$B$10,0)))),AD407/INDEX('Sources'!$G$7:$G$10,MATCH(AB407,'Sources'!$B$7:$B$10,0)),"")</f>
        <v/>
      </c>
      <c r="J407" s="24" t="inlineStr">
        <is>
          <t>APPROX</t>
        </is>
      </c>
      <c r="K407" s="24" t="inlineStr">
        <is>
          <t>2026-09-30</t>
        </is>
      </c>
      <c r="L407" s="71" t="n"/>
      <c r="M407" s="24" t="inlineStr">
        <is>
          <t>Insulated tray with 2-compartment porcelain plate + 3 bowls with lids; not a simple 5-6 compartment thermo tray; 2-3 weeks delivery</t>
        </is>
      </c>
      <c r="N407" s="25" t="inlineStr">
        <is>
          <t>https://www.nisbets.de/cambro-tablotherm-isolierte-schale-mit-porzellantellern-37-x-53-x-105-cm/cj645</t>
        </is>
      </c>
      <c r="O407" s="24" t="inlineStr">
        <is>
          <t>Cambro</t>
        </is>
      </c>
      <c r="P407" s="24" t="inlineStr">
        <is>
          <t>excl.</t>
        </is>
      </c>
      <c r="Q407" s="100" t="n"/>
      <c r="R407" s="24" t="n">
        <v>1</v>
      </c>
      <c r="S407" s="24" t="n"/>
      <c r="T407" s="24" t="inlineStr">
        <is>
          <t>APPROX</t>
        </is>
      </c>
      <c r="U407" s="24" t="inlineStr">
        <is>
          <t>Existing benchmark assignment and match quality retained.</t>
        </is>
      </c>
      <c r="V407" s="98" t="n">
        <v>177.99</v>
      </c>
      <c r="W407" s="98" t="n"/>
      <c r="X407" s="24" t="inlineStr">
        <is>
          <t>YES Gastro Germany Market Research.xlsx</t>
        </is>
      </c>
      <c r="Y407" s="24" t="n"/>
      <c r="Z407" s="24" t="n"/>
      <c r="AA407" s="24" t="n"/>
      <c r="AB407" s="24" t="inlineStr">
        <is>
          <t>EUR</t>
        </is>
      </c>
      <c r="AC407" s="24" t="inlineStr">
        <is>
          <t>yes</t>
        </is>
      </c>
      <c r="AD407" s="24">
        <f>IF(ISNUMBER(V407),V407,"")</f>
        <v/>
      </c>
      <c r="AE407" s="24">
        <f>IF(AND(AC407="yes",ISNUMBER(F407),IF('Compare'!$H$5="All mapped",TRUE,IF('Compare'!$H$5="EXACT only",J407="EXACT",OR(J407="EXACT",J407="CLOSE")))),"yes","no")</f>
        <v/>
      </c>
      <c r="AF407" s="24">
        <f>IF(ISNUMBER(H407),COUNTIFS($B$7:$B$608,B407,$C$7:$C$608,C407,$H$7:$H$608,"&lt;"&amp;H407,$AH$7:$AH$608,"yes")+COUNTIFS($B$7:B407,B407,$C$7:C407,C407,$H$7:H407,H407,$AH$7:AH407,"yes"),"")</f>
        <v/>
      </c>
      <c r="AG407" s="24">
        <f>IF(ISNUMBER(I407),COUNTIFS($B$7:$B$608,B407,$C$7:$C$608,C407,$I$7:$I$608,"&lt;"&amp;I407,$AI$7:$AI$608,"yes")+COUNTIFS($B$7:B407,B407,$C$7:C407,C407,$I$7:I407,I407,$AI$7:AI407,"yes"),"")</f>
        <v/>
      </c>
      <c r="AH407" s="24">
        <f>IF(ISNUMBER(H407),"yes","no")</f>
        <v/>
      </c>
      <c r="AI407" s="24">
        <f>IF(ISNUMBER(I407),"yes","no")</f>
        <v/>
      </c>
      <c r="AJ407" s="101" t="n">
        <v>46295</v>
      </c>
      <c r="AK407" s="24" t="n"/>
    </row>
    <row r="408" ht="52" customHeight="1">
      <c r="A408" s="2" t="n"/>
      <c r="B408" s="27" t="inlineStr">
        <is>
          <t>Thermo tray + lid, 5–6 compartments</t>
        </is>
      </c>
      <c r="C408" s="27" t="inlineStr">
        <is>
          <t>Czech</t>
        </is>
      </c>
      <c r="D408" s="27" t="inlineStr">
        <is>
          <t>Gastrozone</t>
        </is>
      </c>
      <c r="E408" s="27" t="inlineStr">
        <is>
          <t>MENÜMOBIL ECO-Classic-Box EPP</t>
        </is>
      </c>
      <c r="F408" s="102" t="n">
        <v>2150</v>
      </c>
      <c r="G408" s="27" t="inlineStr">
        <is>
          <t>CZK</t>
        </is>
      </c>
      <c r="H408" s="102">
        <f>IF(AND(AE408="yes",ISNUMBER(AD408)),AD408,"")</f>
        <v/>
      </c>
      <c r="I408" s="103">
        <f>IF(AND(AE408="yes",ISNUMBER(AD408),ISNUMBER(INDEX('Sources'!$G$7:$G$10,MATCH(AB408,'Sources'!$B$7:$B$10,0)))),AD408/INDEX('Sources'!$G$7:$G$10,MATCH(AB408,'Sources'!$B$7:$B$10,0)),"")</f>
        <v/>
      </c>
      <c r="J408" s="27" t="inlineStr">
        <is>
          <t>APPROX</t>
        </is>
      </c>
      <c r="K408" s="27" t="inlineStr">
        <is>
          <t>2026-09-30</t>
        </is>
      </c>
      <c r="L408" s="71" t="n"/>
      <c r="M408" s="27" t="inlineStr">
        <is>
          <t>Insulated EPP meal-tray transport box (400 x 310 x 110 mm) for plates/bowls; number of compartments not stated and dishes sold separately - not a moulded 5-6 compartment thermo tray. 1,777 CZK bez DPH.</t>
        </is>
      </c>
      <c r="N408" s="28" t="inlineStr">
        <is>
          <t>https://www.gastrozone.cz/menumobil-eco-classic-box-epp.html</t>
        </is>
      </c>
      <c r="O408" s="27" t="inlineStr">
        <is>
          <t>MENÜMOBIL</t>
        </is>
      </c>
      <c r="P408" s="27" t="inlineStr">
        <is>
          <t>incl.</t>
        </is>
      </c>
      <c r="Q408" s="104" t="n">
        <v>0.21</v>
      </c>
      <c r="R408" s="27" t="n">
        <v>1</v>
      </c>
      <c r="S408" s="27" t="inlineStr">
        <is>
          <t>per piece</t>
        </is>
      </c>
      <c r="T408" s="27" t="inlineStr">
        <is>
          <t>APPROX</t>
        </is>
      </c>
      <c r="U408" s="27" t="inlineStr">
        <is>
          <t>Existing benchmark assignment and match quality retained.</t>
        </is>
      </c>
      <c r="V408" s="102" t="n"/>
      <c r="W408" s="102" t="n"/>
      <c r="X408" s="27" t="inlineStr">
        <is>
          <t>YES Gastro Czech Market Research.xlsx</t>
        </is>
      </c>
      <c r="Y408" s="27" t="n"/>
      <c r="Z408" s="27" t="n"/>
      <c r="AA408" s="27" t="n"/>
      <c r="AB408" s="27" t="inlineStr">
        <is>
          <t>CZK</t>
        </is>
      </c>
      <c r="AC408" s="27" t="inlineStr">
        <is>
          <t>yes</t>
        </is>
      </c>
      <c r="AD408" s="27">
        <f>IF(OR(F408="",Q408="",R408=""),"",ROUND(IF(P408="incl.",F408/(1+Q408),F408)/IF(S408="per pack",R408,1),2))</f>
        <v/>
      </c>
      <c r="AE408" s="27">
        <f>IF(AND(AC408="yes",ISNUMBER(F408),IF('Compare'!$H$5="All mapped",TRUE,IF('Compare'!$H$5="EXACT only",J408="EXACT",OR(J408="EXACT",J408="CLOSE")))),"yes","no")</f>
        <v/>
      </c>
      <c r="AF408" s="27">
        <f>IF(ISNUMBER(H408),COUNTIFS($B$7:$B$608,B408,$C$7:$C$608,C408,$H$7:$H$608,"&lt;"&amp;H408,$AH$7:$AH$608,"yes")+COUNTIFS($B$7:B408,B408,$C$7:C408,C408,$H$7:H408,H408,$AH$7:AH408,"yes"),"")</f>
        <v/>
      </c>
      <c r="AG408" s="27">
        <f>IF(ISNUMBER(I408),COUNTIFS($B$7:$B$608,B408,$C$7:$C$608,C408,$I$7:$I$608,"&lt;"&amp;I408,$AI$7:$AI$608,"yes")+COUNTIFS($B$7:B408,B408,$C$7:C408,C408,$I$7:I408,I408,$AI$7:AI408,"yes"),"")</f>
        <v/>
      </c>
      <c r="AH408" s="27">
        <f>IF(ISNUMBER(H408),"yes","no")</f>
        <v/>
      </c>
      <c r="AI408" s="27">
        <f>IF(ISNUMBER(I408),"yes","no")</f>
        <v/>
      </c>
      <c r="AJ408" s="105" t="n">
        <v>46295</v>
      </c>
      <c r="AK408" s="27" t="n"/>
    </row>
    <row r="409" ht="42" customHeight="1">
      <c r="A409" s="2" t="n"/>
      <c r="B409" s="24" t="inlineStr">
        <is>
          <t>Thermo tray + lid, 5–6 compartments</t>
        </is>
      </c>
      <c r="C409" s="24" t="inlineStr">
        <is>
          <t>Slovakia</t>
        </is>
      </c>
      <c r="D409" s="24" t="inlineStr">
        <is>
          <t>Gastromania.sk (GASTROMANIA CZ s.r.o., CZ)</t>
        </is>
      </c>
      <c r="E409" s="24" t="inlineStr">
        <is>
          <t>Not found</t>
        </is>
      </c>
      <c r="F409" s="98" t="n"/>
      <c r="G409" s="24" t="n"/>
      <c r="H409" s="98">
        <f>IF(AND(AE409="yes",ISNUMBER(AD409)),AD409,"")</f>
        <v/>
      </c>
      <c r="I409" s="99">
        <f>IF(AND(AE409="yes",ISNUMBER(AD409),ISNUMBER(INDEX('Sources'!$G$7:$G$10,MATCH(AB409,'Sources'!$B$7:$B$10,0)))),AD409/INDEX('Sources'!$G$7:$G$10,MATCH(AB409,'Sources'!$B$7:$B$10,0)),"")</f>
        <v/>
      </c>
      <c r="J409" s="24" t="n"/>
      <c r="K409" s="24" t="inlineStr">
        <is>
          <t>2026-09-30</t>
        </is>
      </c>
      <c r="L409" s="71" t="n"/>
      <c r="M409" s="24" t="inlineStr">
        <is>
          <t>No insulated compartment tray found; search 'termoizolačný podnos' returns only trolleys/racks for thermo trays (DORA METAL), 'podnos s priehradkami' only wooden boxes.</t>
        </is>
      </c>
      <c r="N409" s="25" t="inlineStr">
        <is>
          <t>https://gastromania.sk/products/search/language:slo?q=termoizola%C4%8Dn%C3%BD+podnos</t>
        </is>
      </c>
      <c r="O409" s="24" t="n"/>
      <c r="P409" s="24" t="n"/>
      <c r="Q409" s="100" t="n"/>
      <c r="R409" s="24" t="n"/>
      <c r="S409" s="24" t="n"/>
      <c r="T409" s="24" t="n"/>
      <c r="U409" s="24" t="inlineStr">
        <is>
          <t>Existing benchmark assignment and match quality retained.</t>
        </is>
      </c>
      <c r="V409" s="98" t="n"/>
      <c r="W409" s="98" t="n"/>
      <c r="X409" s="24" t="inlineStr">
        <is>
          <t>YES Gastro Slovakia Market Research.xlsx</t>
        </is>
      </c>
      <c r="Y409" s="24" t="n"/>
      <c r="Z409" s="24" t="n"/>
      <c r="AA409" s="24" t="n"/>
      <c r="AB409" s="24" t="inlineStr">
        <is>
          <t>EUR</t>
        </is>
      </c>
      <c r="AC409" s="24" t="inlineStr">
        <is>
          <t>yes</t>
        </is>
      </c>
      <c r="AD409" s="24">
        <f>IF(ISNUMBER(V409),V409,"")</f>
        <v/>
      </c>
      <c r="AE409" s="24">
        <f>IF(AND(AC409="yes",ISNUMBER(F409),IF('Compare'!$H$5="All mapped",TRUE,IF('Compare'!$H$5="EXACT only",J409="EXACT",OR(J409="EXACT",J409="CLOSE")))),"yes","no")</f>
        <v/>
      </c>
      <c r="AF409" s="24">
        <f>IF(ISNUMBER(H409),COUNTIFS($B$7:$B$608,B409,$C$7:$C$608,C409,$H$7:$H$608,"&lt;"&amp;H409,$AH$7:$AH$608,"yes")+COUNTIFS($B$7:B409,B409,$C$7:C409,C409,$H$7:H409,H409,$AH$7:AH409,"yes"),"")</f>
        <v/>
      </c>
      <c r="AG409" s="24">
        <f>IF(ISNUMBER(I409),COUNTIFS($B$7:$B$608,B409,$C$7:$C$608,C409,$I$7:$I$608,"&lt;"&amp;I409,$AI$7:$AI$608,"yes")+COUNTIFS($B$7:B409,B409,$C$7:C409,C409,$I$7:I409,I409,$AI$7:AI409,"yes"),"")</f>
        <v/>
      </c>
      <c r="AH409" s="24">
        <f>IF(ISNUMBER(H409),"yes","no")</f>
        <v/>
      </c>
      <c r="AI409" s="24">
        <f>IF(ISNUMBER(I409),"yes","no")</f>
        <v/>
      </c>
      <c r="AJ409" s="101" t="n">
        <v>46295</v>
      </c>
      <c r="AK409" s="24" t="n"/>
    </row>
    <row r="410" ht="42" customHeight="1">
      <c r="A410" s="2" t="n"/>
      <c r="B410" s="27" t="inlineStr">
        <is>
          <t>Thermo tray + lid, 5–6 compartments</t>
        </is>
      </c>
      <c r="C410" s="27" t="inlineStr">
        <is>
          <t>Slovakia</t>
        </is>
      </c>
      <c r="D410" s="27" t="inlineStr">
        <is>
          <t>Gastrozone.sk (GASTROZONE, spol. s r.o., CZ)</t>
        </is>
      </c>
      <c r="E410" s="27" t="inlineStr">
        <is>
          <t>Not found</t>
        </is>
      </c>
      <c r="F410" s="102" t="n"/>
      <c r="G410" s="27" t="n"/>
      <c r="H410" s="102">
        <f>IF(AND(AE410="yes",ISNUMBER(AD410)),AD410,"")</f>
        <v/>
      </c>
      <c r="I410" s="103">
        <f>IF(AND(AE410="yes",ISNUMBER(AD410),ISNUMBER(INDEX('Sources'!$G$7:$G$10,MATCH(AB410,'Sources'!$B$7:$B$10,0)))),AD410/INDEX('Sources'!$G$7:$G$10,MATCH(AB410,'Sources'!$B$7:$B$10,0)),"")</f>
        <v/>
      </c>
      <c r="J410" s="27" t="n"/>
      <c r="K410" s="27" t="inlineStr">
        <is>
          <t>2026-09-30</t>
        </is>
      </c>
      <c r="L410" s="71" t="n"/>
      <c r="M410" s="27" t="inlineStr">
        <is>
          <t>No insulated compartment tray with lid found (searched 'termoizolačný podnos', 'termo tácka priehradky', 'podnos s priehradkami veko', 'menu box termo').</t>
        </is>
      </c>
      <c r="N410" s="28" t="inlineStr">
        <is>
          <t>https://www.gastrozone.sk/vyhladavanie/?text=termoizola%C4%8Dn%C3%BD+podnos</t>
        </is>
      </c>
      <c r="O410" s="27" t="n"/>
      <c r="P410" s="27" t="n"/>
      <c r="Q410" s="104" t="n"/>
      <c r="R410" s="27" t="n"/>
      <c r="S410" s="27" t="n"/>
      <c r="T410" s="27" t="n"/>
      <c r="U410" s="27" t="inlineStr">
        <is>
          <t>Existing benchmark assignment and match quality retained.</t>
        </is>
      </c>
      <c r="V410" s="102" t="n"/>
      <c r="W410" s="102" t="n"/>
      <c r="X410" s="27" t="inlineStr">
        <is>
          <t>YES Gastro Slovakia Market Research.xlsx</t>
        </is>
      </c>
      <c r="Y410" s="27" t="n"/>
      <c r="Z410" s="27" t="n"/>
      <c r="AA410" s="27" t="n"/>
      <c r="AB410" s="27" t="inlineStr">
        <is>
          <t>EUR</t>
        </is>
      </c>
      <c r="AC410" s="27" t="inlineStr">
        <is>
          <t>yes</t>
        </is>
      </c>
      <c r="AD410" s="27">
        <f>IF(ISNUMBER(V410),V410,"")</f>
        <v/>
      </c>
      <c r="AE410" s="27">
        <f>IF(AND(AC410="yes",ISNUMBER(F410),IF('Compare'!$H$5="All mapped",TRUE,IF('Compare'!$H$5="EXACT only",J410="EXACT",OR(J410="EXACT",J410="CLOSE")))),"yes","no")</f>
        <v/>
      </c>
      <c r="AF410" s="27">
        <f>IF(ISNUMBER(H410),COUNTIFS($B$7:$B$608,B410,$C$7:$C$608,C410,$H$7:$H$608,"&lt;"&amp;H410,$AH$7:$AH$608,"yes")+COUNTIFS($B$7:B410,B410,$C$7:C410,C410,$H$7:H410,H410,$AH$7:AH410,"yes"),"")</f>
        <v/>
      </c>
      <c r="AG410" s="27">
        <f>IF(ISNUMBER(I410),COUNTIFS($B$7:$B$608,B410,$C$7:$C$608,C410,$I$7:$I$608,"&lt;"&amp;I410,$AI$7:$AI$608,"yes")+COUNTIFS($B$7:B410,B410,$C$7:C410,C410,$I$7:I410,I410,$AI$7:AI410,"yes"),"")</f>
        <v/>
      </c>
      <c r="AH410" s="27">
        <f>IF(ISNUMBER(H410),"yes","no")</f>
        <v/>
      </c>
      <c r="AI410" s="27">
        <f>IF(ISNUMBER(I410),"yes","no")</f>
        <v/>
      </c>
      <c r="AJ410" s="105" t="n">
        <v>46295</v>
      </c>
      <c r="AK410" s="27" t="n"/>
    </row>
    <row r="411" ht="42" customHeight="1">
      <c r="A411" s="2" t="n"/>
      <c r="B411" s="24" t="inlineStr">
        <is>
          <t>GN 1/1 PP container, 65 mm</t>
        </is>
      </c>
      <c r="C411" s="24" t="inlineStr">
        <is>
          <t>Austria</t>
        </is>
      </c>
      <c r="D411" s="24" t="inlineStr">
        <is>
          <t>ALLPAX Österreich</t>
        </is>
      </c>
      <c r="E411" s="24" t="inlineStr">
        <is>
          <t>Hendi HACCP Aufbewahrungsbehälter GN 1/1, 65 mm</t>
        </is>
      </c>
      <c r="F411" s="98" t="n">
        <v>12.23</v>
      </c>
      <c r="G411" s="24" t="inlineStr">
        <is>
          <t>EUR</t>
        </is>
      </c>
      <c r="H411" s="98">
        <f>IF(AND(AE411="yes",ISNUMBER(AD411)),AD411,"")</f>
        <v/>
      </c>
      <c r="I411" s="99">
        <f>IF(AND(AE411="yes",ISNUMBER(AD411),ISNUMBER(INDEX('Sources'!$G$7:$G$10,MATCH(AB411,'Sources'!$B$7:$B$10,0)))),AD411/INDEX('Sources'!$G$7:$G$10,MATCH(AB411,'Sources'!$B$7:$B$10,0)),"")</f>
        <v/>
      </c>
      <c r="J411" s="24" t="inlineStr">
        <is>
          <t>EXACT</t>
        </is>
      </c>
      <c r="K411" s="24" t="inlineStr">
        <is>
          <t>2026-09-30</t>
        </is>
      </c>
      <c r="L411" s="71" t="n"/>
      <c r="M411" s="24" t="inlineStr">
        <is>
          <t>PP, BPA-free, 9 l</t>
        </is>
      </c>
      <c r="N411" s="25" t="inlineStr">
        <is>
          <t>https://www.allpax.at/product_info.php/info/Hendi-HACCP-Aufbewahrungsbehaelter-GN-1-1-65-mm.html</t>
        </is>
      </c>
      <c r="O411" s="24" t="inlineStr">
        <is>
          <t>Hendi</t>
        </is>
      </c>
      <c r="P411" s="24" t="inlineStr">
        <is>
          <t>excl.</t>
        </is>
      </c>
      <c r="Q411" s="100" t="n"/>
      <c r="R411" s="24" t="n">
        <v>1</v>
      </c>
      <c r="S411" s="24" t="n"/>
      <c r="T411" s="24" t="inlineStr">
        <is>
          <t>EXACT</t>
        </is>
      </c>
      <c r="U411" s="24" t="inlineStr">
        <is>
          <t>Additional Austria/Czechia benchmark. Original assignment and match quality retained.</t>
        </is>
      </c>
      <c r="V411" s="98" t="n">
        <v>12.23</v>
      </c>
      <c r="W411" s="98" t="n"/>
      <c r="X411" s="24" t="inlineStr">
        <is>
          <t>research_AT.xlsx</t>
        </is>
      </c>
      <c r="Y411" s="24" t="n"/>
      <c r="Z411" s="24" t="n"/>
      <c r="AA411" s="24" t="n"/>
      <c r="AB411" s="24" t="inlineStr">
        <is>
          <t>EUR</t>
        </is>
      </c>
      <c r="AC411" s="24" t="inlineStr">
        <is>
          <t>yes</t>
        </is>
      </c>
      <c r="AD411" s="24">
        <f>IF(ISNUMBER(V411),V411,"")</f>
        <v/>
      </c>
      <c r="AE411" s="24">
        <f>IF(AND(AC411="yes",ISNUMBER(F411),IF('Compare'!$H$5="All mapped",TRUE,IF('Compare'!$H$5="EXACT only",J411="EXACT",OR(J411="EXACT",J411="CLOSE")))),"yes","no")</f>
        <v/>
      </c>
      <c r="AF411" s="24">
        <f>IF(ISNUMBER(H411),COUNTIFS($B$7:$B$608,B411,$C$7:$C$608,C411,$H$7:$H$608,"&lt;"&amp;H411,$AH$7:$AH$608,"yes")+COUNTIFS($B$7:B411,B411,$C$7:C411,C411,$H$7:H411,H411,$AH$7:AH411,"yes"),"")</f>
        <v/>
      </c>
      <c r="AG411" s="24">
        <f>IF(ISNUMBER(I411),COUNTIFS($B$7:$B$608,B411,$C$7:$C$608,C411,$I$7:$I$608,"&lt;"&amp;I411,$AI$7:$AI$608,"yes")+COUNTIFS($B$7:B411,B411,$C$7:C411,C411,$I$7:I411,I411,$AI$7:AI411,"yes"),"")</f>
        <v/>
      </c>
      <c r="AH411" s="24">
        <f>IF(ISNUMBER(H411),"yes","no")</f>
        <v/>
      </c>
      <c r="AI411" s="24">
        <f>IF(ISNUMBER(I411),"yes","no")</f>
        <v/>
      </c>
      <c r="AJ411" s="101" t="n">
        <v>46295</v>
      </c>
      <c r="AK411" s="24" t="n"/>
    </row>
    <row r="412" ht="42" customHeight="1">
      <c r="A412" s="2" t="n"/>
      <c r="B412" s="27" t="inlineStr">
        <is>
          <t>GN 1/1 PP container, 65 mm</t>
        </is>
      </c>
      <c r="C412" s="27" t="inlineStr">
        <is>
          <t>Austria</t>
        </is>
      </c>
      <c r="D412" s="27" t="inlineStr">
        <is>
          <t>GGM Gastro (Austrian storefront)</t>
        </is>
      </c>
      <c r="E412" s="27" t="inlineStr">
        <is>
          <t>(6 Stück) Polypropylen-Behälter GN 1/1 - Milchig - Höhe: 65mm</t>
        </is>
      </c>
      <c r="F412" s="102" t="n">
        <v>42.99</v>
      </c>
      <c r="G412" s="27" t="inlineStr">
        <is>
          <t>EUR</t>
        </is>
      </c>
      <c r="H412" s="102">
        <f>IF(AND(AE412="yes",ISNUMBER(AD412)),AD412,"")</f>
        <v/>
      </c>
      <c r="I412" s="103">
        <f>IF(AND(AE412="yes",ISNUMBER(AD412),ISNUMBER(INDEX('Sources'!$G$7:$G$10,MATCH(AB412,'Sources'!$B$7:$B$10,0)))),AD412/INDEX('Sources'!$G$7:$G$10,MATCH(AB412,'Sources'!$B$7:$B$10,0)),"")</f>
        <v/>
      </c>
      <c r="J412" s="27" t="inlineStr">
        <is>
          <t>EXACT</t>
        </is>
      </c>
      <c r="K412" s="27" t="inlineStr">
        <is>
          <t>2026-09-30</t>
        </is>
      </c>
      <c r="L412" s="71" t="n"/>
      <c r="M412" s="27" t="inlineStr">
        <is>
          <t>RRP 83.99</t>
        </is>
      </c>
      <c r="N412" s="28" t="inlineStr">
        <is>
          <t>https://www.ggmgastro.com/de-at-eur/6-stueck-polypropylen-behaelter-gn-1-1-milchig-hoehe-65mm-gpp1165-6</t>
        </is>
      </c>
      <c r="O412" s="27" t="inlineStr">
        <is>
          <t>GGM</t>
        </is>
      </c>
      <c r="P412" s="27" t="inlineStr">
        <is>
          <t>excl.</t>
        </is>
      </c>
      <c r="Q412" s="104" t="n"/>
      <c r="R412" s="27" t="n">
        <v>6</v>
      </c>
      <c r="S412" s="27" t="inlineStr">
        <is>
          <t>set of 6</t>
        </is>
      </c>
      <c r="T412" s="27" t="inlineStr">
        <is>
          <t>EXACT</t>
        </is>
      </c>
      <c r="U412" s="27" t="inlineStr">
        <is>
          <t>Additional Austria/Czechia benchmark. Original assignment and match quality retained.</t>
        </is>
      </c>
      <c r="V412" s="102" t="n">
        <v>7.17</v>
      </c>
      <c r="W412" s="102" t="n"/>
      <c r="X412" s="27" t="inlineStr">
        <is>
          <t>research_AT.xlsx</t>
        </is>
      </c>
      <c r="Y412" s="27" t="n"/>
      <c r="Z412" s="27" t="n"/>
      <c r="AA412" s="27" t="n"/>
      <c r="AB412" s="27" t="inlineStr">
        <is>
          <t>EUR</t>
        </is>
      </c>
      <c r="AC412" s="27" t="inlineStr">
        <is>
          <t>yes</t>
        </is>
      </c>
      <c r="AD412" s="27">
        <f>IF(ISNUMBER(V412),V412,"")</f>
        <v/>
      </c>
      <c r="AE412" s="27">
        <f>IF(AND(AC412="yes",ISNUMBER(F412),IF('Compare'!$H$5="All mapped",TRUE,IF('Compare'!$H$5="EXACT only",J412="EXACT",OR(J412="EXACT",J412="CLOSE")))),"yes","no")</f>
        <v/>
      </c>
      <c r="AF412" s="27">
        <f>IF(ISNUMBER(H412),COUNTIFS($B$7:$B$608,B412,$C$7:$C$608,C412,$H$7:$H$608,"&lt;"&amp;H412,$AH$7:$AH$608,"yes")+COUNTIFS($B$7:B412,B412,$C$7:C412,C412,$H$7:H412,H412,$AH$7:AH412,"yes"),"")</f>
        <v/>
      </c>
      <c r="AG412" s="27">
        <f>IF(ISNUMBER(I412),COUNTIFS($B$7:$B$608,B412,$C$7:$C$608,C412,$I$7:$I$608,"&lt;"&amp;I412,$AI$7:$AI$608,"yes")+COUNTIFS($B$7:B412,B412,$C$7:C412,C412,$I$7:I412,I412,$AI$7:AI412,"yes"),"")</f>
        <v/>
      </c>
      <c r="AH412" s="27">
        <f>IF(ISNUMBER(H412),"yes","no")</f>
        <v/>
      </c>
      <c r="AI412" s="27">
        <f>IF(ISNUMBER(I412),"yes","no")</f>
        <v/>
      </c>
      <c r="AJ412" s="105" t="n">
        <v>46295</v>
      </c>
      <c r="AK412" s="27" t="n"/>
    </row>
    <row r="413" ht="42" customHeight="1">
      <c r="A413" s="2" t="n"/>
      <c r="B413" s="24" t="inlineStr">
        <is>
          <t>GN 1/1 PP container, 65 mm</t>
        </is>
      </c>
      <c r="C413" s="24" t="inlineStr">
        <is>
          <t>Austria</t>
        </is>
      </c>
      <c r="D413" s="24" t="inlineStr">
        <is>
          <t>GastroHero Österreich</t>
        </is>
      </c>
      <c r="E413" s="24" t="inlineStr">
        <is>
          <t>Hendi GN-Behälter mit Deckel und HACCP-Clips, GN 1/1, 65 mm, 8 L, PP</t>
        </is>
      </c>
      <c r="F413" s="98" t="n">
        <v>19.99</v>
      </c>
      <c r="G413" s="24" t="inlineStr">
        <is>
          <t>EUR</t>
        </is>
      </c>
      <c r="H413" s="98">
        <f>IF(AND(AE413="yes",ISNUMBER(AD413)),AD413,"")</f>
        <v/>
      </c>
      <c r="I413" s="99">
        <f>IF(AND(AE413="yes",ISNUMBER(AD413),ISNUMBER(INDEX('Sources'!$G$7:$G$10,MATCH(AB413,'Sources'!$B$7:$B$10,0)))),AD413/INDEX('Sources'!$G$7:$G$10,MATCH(AB413,'Sources'!$B$7:$B$10,0)),"")</f>
        <v/>
      </c>
      <c r="J413" s="24" t="inlineStr">
        <is>
          <t>CLOSE</t>
        </is>
      </c>
      <c r="K413" s="24" t="inlineStr">
        <is>
          <t>2026-09-30</t>
        </is>
      </c>
      <c r="L413" s="71" t="n"/>
      <c r="M413" s="24" t="inlineStr">
        <is>
          <t>Includes lid and HACCP clips</t>
        </is>
      </c>
      <c r="N413" s="25" t="inlineStr">
        <is>
          <t>https://www.gastro-hero.at/products/hendi-gn-behaelter-mit-deckel-und-haccp-clips-gn-11-65-mm-8-l-pp-873335</t>
        </is>
      </c>
      <c r="O413" s="24" t="inlineStr">
        <is>
          <t>Hendi</t>
        </is>
      </c>
      <c r="P413" s="24" t="inlineStr">
        <is>
          <t>excl.</t>
        </is>
      </c>
      <c r="Q413" s="100" t="n"/>
      <c r="R413" s="24" t="n">
        <v>1</v>
      </c>
      <c r="S413" s="24" t="n"/>
      <c r="T413" s="24" t="inlineStr">
        <is>
          <t>CLOSE</t>
        </is>
      </c>
      <c r="U413" s="24" t="inlineStr">
        <is>
          <t>Additional Austria/Czechia benchmark. Original assignment and match quality retained.</t>
        </is>
      </c>
      <c r="V413" s="98" t="n">
        <v>19.99</v>
      </c>
      <c r="W413" s="98" t="n"/>
      <c r="X413" s="24" t="inlineStr">
        <is>
          <t>research_AT.xlsx</t>
        </is>
      </c>
      <c r="Y413" s="24" t="n"/>
      <c r="Z413" s="24" t="n"/>
      <c r="AA413" s="24" t="n"/>
      <c r="AB413" s="24" t="inlineStr">
        <is>
          <t>EUR</t>
        </is>
      </c>
      <c r="AC413" s="24" t="inlineStr">
        <is>
          <t>yes</t>
        </is>
      </c>
      <c r="AD413" s="24">
        <f>IF(ISNUMBER(V413),V413,"")</f>
        <v/>
      </c>
      <c r="AE413" s="24">
        <f>IF(AND(AC413="yes",ISNUMBER(F413),IF('Compare'!$H$5="All mapped",TRUE,IF('Compare'!$H$5="EXACT only",J413="EXACT",OR(J413="EXACT",J413="CLOSE")))),"yes","no")</f>
        <v/>
      </c>
      <c r="AF413" s="24">
        <f>IF(ISNUMBER(H413),COUNTIFS($B$7:$B$608,B413,$C$7:$C$608,C413,$H$7:$H$608,"&lt;"&amp;H413,$AH$7:$AH$608,"yes")+COUNTIFS($B$7:B413,B413,$C$7:C413,C413,$H$7:H413,H413,$AH$7:AH413,"yes"),"")</f>
        <v/>
      </c>
      <c r="AG413" s="24">
        <f>IF(ISNUMBER(I413),COUNTIFS($B$7:$B$608,B413,$C$7:$C$608,C413,$I$7:$I$608,"&lt;"&amp;I413,$AI$7:$AI$608,"yes")+COUNTIFS($B$7:B413,B413,$C$7:C413,C413,$I$7:I413,I413,$AI$7:AI413,"yes"),"")</f>
        <v/>
      </c>
      <c r="AH413" s="24">
        <f>IF(ISNUMBER(H413),"yes","no")</f>
        <v/>
      </c>
      <c r="AI413" s="24">
        <f>IF(ISNUMBER(I413),"yes","no")</f>
        <v/>
      </c>
      <c r="AJ413" s="101" t="n">
        <v>46295</v>
      </c>
      <c r="AK413" s="24" t="n"/>
    </row>
    <row r="414" ht="42" customHeight="1">
      <c r="A414" s="2" t="n"/>
      <c r="B414" s="27" t="inlineStr">
        <is>
          <t>GN 1/1 PP container, 65 mm</t>
        </is>
      </c>
      <c r="C414" s="27" t="inlineStr">
        <is>
          <t>Austria</t>
        </is>
      </c>
      <c r="D414" s="27" t="inlineStr">
        <is>
          <t>Gastrodax</t>
        </is>
      </c>
      <c r="E414" s="27" t="inlineStr">
        <is>
          <t>Hendi Gastronorm-Behälter 1/1, 9L, Transparent, 530x325x(H)65mm – Polypropylen</t>
        </is>
      </c>
      <c r="F414" s="102" t="n">
        <v>15.75</v>
      </c>
      <c r="G414" s="27" t="inlineStr">
        <is>
          <t>EUR</t>
        </is>
      </c>
      <c r="H414" s="102">
        <f>IF(AND(AE414="yes",ISNUMBER(AD414)),AD414,"")</f>
        <v/>
      </c>
      <c r="I414" s="103">
        <f>IF(AND(AE414="yes",ISNUMBER(AD414),ISNUMBER(INDEX('Sources'!$G$7:$G$10,MATCH(AB414,'Sources'!$B$7:$B$10,0)))),AD414/INDEX('Sources'!$G$7:$G$10,MATCH(AB414,'Sources'!$B$7:$B$10,0)),"")</f>
        <v/>
      </c>
      <c r="J414" s="27" t="inlineStr">
        <is>
          <t>EXACT</t>
        </is>
      </c>
      <c r="K414" s="27" t="inlineStr">
        <is>
          <t>2026-09-30</t>
        </is>
      </c>
      <c r="L414" s="71" t="n"/>
      <c r="M414" s="27" t="n"/>
      <c r="N414" s="28" t="inlineStr">
        <is>
          <t>https://www.gastrodax.de/hendi-gastronorm-behaelter-gn-1-1-9-l-transparent-530-x-325-x-h-65-mm</t>
        </is>
      </c>
      <c r="O414" s="27" t="inlineStr">
        <is>
          <t>Hendi</t>
        </is>
      </c>
      <c r="P414" s="27" t="inlineStr">
        <is>
          <t>excl.</t>
        </is>
      </c>
      <c r="Q414" s="104" t="n"/>
      <c r="R414" s="27" t="n">
        <v>1</v>
      </c>
      <c r="S414" s="27" t="n"/>
      <c r="T414" s="27" t="inlineStr">
        <is>
          <t>EXACT</t>
        </is>
      </c>
      <c r="U414" s="27" t="inlineStr">
        <is>
          <t>Additional Austria/Czechia benchmark. Original assignment and match quality retained.</t>
        </is>
      </c>
      <c r="V414" s="102" t="n">
        <v>15.75</v>
      </c>
      <c r="W414" s="102" t="n"/>
      <c r="X414" s="27" t="inlineStr">
        <is>
          <t>research_AT.xlsx</t>
        </is>
      </c>
      <c r="Y414" s="27" t="n"/>
      <c r="Z414" s="27" t="n"/>
      <c r="AA414" s="27" t="n"/>
      <c r="AB414" s="27" t="inlineStr">
        <is>
          <t>EUR</t>
        </is>
      </c>
      <c r="AC414" s="27" t="inlineStr">
        <is>
          <t>yes</t>
        </is>
      </c>
      <c r="AD414" s="27">
        <f>IF(ISNUMBER(V414),V414,"")</f>
        <v/>
      </c>
      <c r="AE414" s="27">
        <f>IF(AND(AC414="yes",ISNUMBER(F414),IF('Compare'!$H$5="All mapped",TRUE,IF('Compare'!$H$5="EXACT only",J414="EXACT",OR(J414="EXACT",J414="CLOSE")))),"yes","no")</f>
        <v/>
      </c>
      <c r="AF414" s="27">
        <f>IF(ISNUMBER(H414),COUNTIFS($B$7:$B$608,B414,$C$7:$C$608,C414,$H$7:$H$608,"&lt;"&amp;H414,$AH$7:$AH$608,"yes")+COUNTIFS($B$7:B414,B414,$C$7:C414,C414,$H$7:H414,H414,$AH$7:AH414,"yes"),"")</f>
        <v/>
      </c>
      <c r="AG414" s="27">
        <f>IF(ISNUMBER(I414),COUNTIFS($B$7:$B$608,B414,$C$7:$C$608,C414,$I$7:$I$608,"&lt;"&amp;I414,$AI$7:$AI$608,"yes")+COUNTIFS($B$7:B414,B414,$C$7:C414,C414,$I$7:I414,I414,$AI$7:AI414,"yes"),"")</f>
        <v/>
      </c>
      <c r="AH414" s="27">
        <f>IF(ISNUMBER(H414),"yes","no")</f>
        <v/>
      </c>
      <c r="AI414" s="27">
        <f>IF(ISNUMBER(I414),"yes","no")</f>
        <v/>
      </c>
      <c r="AJ414" s="105" t="n">
        <v>46295</v>
      </c>
      <c r="AK414" s="27" t="n"/>
    </row>
    <row r="415" ht="42" customHeight="1">
      <c r="A415" s="2" t="n"/>
      <c r="B415" s="24" t="inlineStr">
        <is>
          <t>GN 1/1 PP container, 65 mm</t>
        </is>
      </c>
      <c r="C415" s="24" t="inlineStr">
        <is>
          <t>Austria</t>
        </is>
      </c>
      <c r="D415" s="24" t="inlineStr">
        <is>
          <t>Intergastro (AT shop)</t>
        </is>
      </c>
      <c r="E415" s="24" t="inlineStr">
        <is>
          <t>Gastronormbehälter GN 1/1 x 65 mm GN 84 Polypropylen transparent</t>
        </is>
      </c>
      <c r="F415" s="98" t="n">
        <v>8.130000000000001</v>
      </c>
      <c r="G415" s="24" t="inlineStr">
        <is>
          <t>EUR</t>
        </is>
      </c>
      <c r="H415" s="98">
        <f>IF(AND(AE415="yes",ISNUMBER(AD415)),AD415,"")</f>
        <v/>
      </c>
      <c r="I415" s="99">
        <f>IF(AND(AE415="yes",ISNUMBER(AD415),ISNUMBER(INDEX('Sources'!$G$7:$G$10,MATCH(AB415,'Sources'!$B$7:$B$10,0)))),AD415/INDEX('Sources'!$G$7:$G$10,MATCH(AB415,'Sources'!$B$7:$B$10,0)),"")</f>
        <v/>
      </c>
      <c r="J415" s="24" t="inlineStr">
        <is>
          <t>EXACT</t>
        </is>
      </c>
      <c r="K415" s="24" t="inlineStr">
        <is>
          <t>2026-09-30</t>
        </is>
      </c>
      <c r="L415" s="71" t="n"/>
      <c r="M415" s="24" t="inlineStr">
        <is>
          <t>Gross 9.76</t>
        </is>
      </c>
      <c r="N415" s="25" t="inlineStr">
        <is>
          <t>https://www.intergastro.at/gastronormbehaelter-gn-1-1-x-65-mm-gn-84-polypropylen-transparent-252104</t>
        </is>
      </c>
      <c r="O415" s="24" t="inlineStr">
        <is>
          <t>WAS Germany</t>
        </is>
      </c>
      <c r="P415" s="24" t="inlineStr">
        <is>
          <t>excl.</t>
        </is>
      </c>
      <c r="Q415" s="100" t="n"/>
      <c r="R415" s="24" t="n">
        <v>1</v>
      </c>
      <c r="S415" s="24" t="n"/>
      <c r="T415" s="24" t="inlineStr">
        <is>
          <t>EXACT</t>
        </is>
      </c>
      <c r="U415" s="24" t="inlineStr">
        <is>
          <t>Additional Austria/Czechia benchmark. Original assignment and match quality retained.</t>
        </is>
      </c>
      <c r="V415" s="98" t="n">
        <v>8.130000000000001</v>
      </c>
      <c r="W415" s="98" t="n"/>
      <c r="X415" s="24" t="inlineStr">
        <is>
          <t>research_AT.xlsx</t>
        </is>
      </c>
      <c r="Y415" s="24" t="n"/>
      <c r="Z415" s="24" t="n"/>
      <c r="AA415" s="24" t="n"/>
      <c r="AB415" s="24" t="inlineStr">
        <is>
          <t>EUR</t>
        </is>
      </c>
      <c r="AC415" s="24" t="inlineStr">
        <is>
          <t>yes</t>
        </is>
      </c>
      <c r="AD415" s="24">
        <f>IF(ISNUMBER(V415),V415,"")</f>
        <v/>
      </c>
      <c r="AE415" s="24">
        <f>IF(AND(AC415="yes",ISNUMBER(F415),IF('Compare'!$H$5="All mapped",TRUE,IF('Compare'!$H$5="EXACT only",J415="EXACT",OR(J415="EXACT",J415="CLOSE")))),"yes","no")</f>
        <v/>
      </c>
      <c r="AF415" s="24">
        <f>IF(ISNUMBER(H415),COUNTIFS($B$7:$B$608,B415,$C$7:$C$608,C415,$H$7:$H$608,"&lt;"&amp;H415,$AH$7:$AH$608,"yes")+COUNTIFS($B$7:B415,B415,$C$7:C415,C415,$H$7:H415,H415,$AH$7:AH415,"yes"),"")</f>
        <v/>
      </c>
      <c r="AG415" s="24">
        <f>IF(ISNUMBER(I415),COUNTIFS($B$7:$B$608,B415,$C$7:$C$608,C415,$I$7:$I$608,"&lt;"&amp;I415,$AI$7:$AI$608,"yes")+COUNTIFS($B$7:B415,B415,$C$7:C415,C415,$I$7:I415,I415,$AI$7:AI415,"yes"),"")</f>
        <v/>
      </c>
      <c r="AH415" s="24">
        <f>IF(ISNUMBER(H415),"yes","no")</f>
        <v/>
      </c>
      <c r="AI415" s="24">
        <f>IF(ISNUMBER(I415),"yes","no")</f>
        <v/>
      </c>
      <c r="AJ415" s="101" t="n">
        <v>46295</v>
      </c>
      <c r="AK415" s="24" t="n"/>
    </row>
    <row r="416" ht="42" customHeight="1">
      <c r="A416" s="2" t="n"/>
      <c r="B416" s="27" t="inlineStr">
        <is>
          <t>GN 1/1 PP container, 65 mm</t>
        </is>
      </c>
      <c r="C416" s="27" t="inlineStr">
        <is>
          <t>Austria</t>
        </is>
      </c>
      <c r="D416" s="27" t="inlineStr">
        <is>
          <t>shopbuero.com</t>
        </is>
      </c>
      <c r="E416" s="27" t="inlineStr">
        <is>
          <t>GN-Behälter - Inhalt 9,0 l - GN 1/1 (530 x 325 mm) - 65 mm - Polypropylen</t>
        </is>
      </c>
      <c r="F416" s="102" t="n">
        <v>8.699999999999999</v>
      </c>
      <c r="G416" s="27" t="inlineStr">
        <is>
          <t>EUR</t>
        </is>
      </c>
      <c r="H416" s="102">
        <f>IF(AND(AE416="yes",ISNUMBER(AD416)),AD416,"")</f>
        <v/>
      </c>
      <c r="I416" s="103">
        <f>IF(AND(AE416="yes",ISNUMBER(AD416),ISNUMBER(INDEX('Sources'!$G$7:$G$10,MATCH(AB416,'Sources'!$B$7:$B$10,0)))),AD416/INDEX('Sources'!$G$7:$G$10,MATCH(AB416,'Sources'!$B$7:$B$10,0)),"")</f>
        <v/>
      </c>
      <c r="J416" s="27" t="inlineStr">
        <is>
          <t>EXACT</t>
        </is>
      </c>
      <c r="K416" s="27" t="inlineStr">
        <is>
          <t>2026-09-30</t>
        </is>
      </c>
      <c r="L416" s="71" t="n"/>
      <c r="M416" s="27" t="inlineStr">
        <is>
          <t>Regular price 13.55</t>
        </is>
      </c>
      <c r="N416" s="28" t="inlineStr">
        <is>
          <t>https://shopbuero.com/gn-behaelter-inhalt-9-0-l-gn-1-1-530-x-325-mm-65-mm-polypropylen/530000-C</t>
        </is>
      </c>
      <c r="O416" s="27" t="inlineStr">
        <is>
          <t>Schneider</t>
        </is>
      </c>
      <c r="P416" s="27" t="inlineStr">
        <is>
          <t>excl.</t>
        </is>
      </c>
      <c r="Q416" s="104" t="n"/>
      <c r="R416" s="27" t="n">
        <v>1</v>
      </c>
      <c r="S416" s="27" t="n"/>
      <c r="T416" s="27" t="inlineStr">
        <is>
          <t>EXACT</t>
        </is>
      </c>
      <c r="U416" s="27" t="inlineStr">
        <is>
          <t>Additional Austria/Czechia benchmark. Original assignment and match quality retained.</t>
        </is>
      </c>
      <c r="V416" s="102" t="n">
        <v>8.699999999999999</v>
      </c>
      <c r="W416" s="102" t="n"/>
      <c r="X416" s="27" t="inlineStr">
        <is>
          <t>research_AT.xlsx</t>
        </is>
      </c>
      <c r="Y416" s="27" t="n"/>
      <c r="Z416" s="27" t="n"/>
      <c r="AA416" s="27" t="n"/>
      <c r="AB416" s="27" t="inlineStr">
        <is>
          <t>EUR</t>
        </is>
      </c>
      <c r="AC416" s="27" t="inlineStr">
        <is>
          <t>yes</t>
        </is>
      </c>
      <c r="AD416" s="27">
        <f>IF(ISNUMBER(V416),V416,"")</f>
        <v/>
      </c>
      <c r="AE416" s="27">
        <f>IF(AND(AC416="yes",ISNUMBER(F416),IF('Compare'!$H$5="All mapped",TRUE,IF('Compare'!$H$5="EXACT only",J416="EXACT",OR(J416="EXACT",J416="CLOSE")))),"yes","no")</f>
        <v/>
      </c>
      <c r="AF416" s="27">
        <f>IF(ISNUMBER(H416),COUNTIFS($B$7:$B$608,B416,$C$7:$C$608,C416,$H$7:$H$608,"&lt;"&amp;H416,$AH$7:$AH$608,"yes")+COUNTIFS($B$7:B416,B416,$C$7:C416,C416,$H$7:H416,H416,$AH$7:AH416,"yes"),"")</f>
        <v/>
      </c>
      <c r="AG416" s="27">
        <f>IF(ISNUMBER(I416),COUNTIFS($B$7:$B$608,B416,$C$7:$C$608,C416,$I$7:$I$608,"&lt;"&amp;I416,$AI$7:$AI$608,"yes")+COUNTIFS($B$7:B416,B416,$C$7:C416,C416,$I$7:I416,I416,$AI$7:AI416,"yes"),"")</f>
        <v/>
      </c>
      <c r="AH416" s="27">
        <f>IF(ISNUMBER(H416),"yes","no")</f>
        <v/>
      </c>
      <c r="AI416" s="27">
        <f>IF(ISNUMBER(I416),"yes","no")</f>
        <v/>
      </c>
      <c r="AJ416" s="105" t="n">
        <v>46295</v>
      </c>
      <c r="AK416" s="27" t="n"/>
    </row>
    <row r="417" ht="42" customHeight="1">
      <c r="A417" s="2" t="n"/>
      <c r="B417" s="24" t="inlineStr">
        <is>
          <t>GN 1/1 PP container, 65 mm</t>
        </is>
      </c>
      <c r="C417" s="24" t="inlineStr">
        <is>
          <t>Czech</t>
        </is>
      </c>
      <c r="D417" s="24" t="inlineStr">
        <is>
          <t>GGM Gastro (CZ storefront)</t>
        </is>
      </c>
      <c r="E417" s="24" t="inlineStr">
        <is>
          <t>(6 ks) Polypropylenová nádoba GN 1/1 - Mléčná - Výška: 65 mm</t>
        </is>
      </c>
      <c r="F417" s="98" t="n">
        <v>1046.33</v>
      </c>
      <c r="G417" s="24" t="inlineStr">
        <is>
          <t>CZK</t>
        </is>
      </c>
      <c r="H417" s="98">
        <f>IF(AND(AE417="yes",ISNUMBER(AD417)),AD417,"")</f>
        <v/>
      </c>
      <c r="I417" s="99">
        <f>IF(AND(AE417="yes",ISNUMBER(AD417),ISNUMBER(INDEX('Sources'!$G$7:$G$10,MATCH(AB417,'Sources'!$B$7:$B$10,0)))),AD417/INDEX('Sources'!$G$7:$G$10,MATCH(AB417,'Sources'!$B$7:$B$10,0)),"")</f>
        <v/>
      </c>
      <c r="J417" s="24" t="inlineStr">
        <is>
          <t>EXACT</t>
        </is>
      </c>
      <c r="K417" s="24" t="inlineStr">
        <is>
          <t>2026-09-30</t>
        </is>
      </c>
      <c r="L417" s="71" t="n"/>
      <c r="M417" s="24" t="inlineStr">
        <is>
          <t>Net CZK as displayed (gross 1,245.13 at German 19%); SKU GPP1165-6</t>
        </is>
      </c>
      <c r="N417" s="25" t="inlineStr">
        <is>
          <t>https://www.ggmgastro.com/cs-cz-czk/6-ks-polypropylenova-nadoba-gn-1-1-mlecna-vyska-65-mm-gpp1165-6</t>
        </is>
      </c>
      <c r="O417" s="24" t="inlineStr">
        <is>
          <t>GGM</t>
        </is>
      </c>
      <c r="P417" s="24" t="inlineStr">
        <is>
          <t>excl.</t>
        </is>
      </c>
      <c r="Q417" s="100" t="n">
        <v>0.19</v>
      </c>
      <c r="R417" s="24" t="n">
        <v>6</v>
      </c>
      <c r="S417" s="24" t="inlineStr">
        <is>
          <t>per pack</t>
        </is>
      </c>
      <c r="T417" s="24" t="inlineStr">
        <is>
          <t>EXACT</t>
        </is>
      </c>
      <c r="U417" s="24" t="inlineStr">
        <is>
          <t>Additional Austria/Czechia benchmark. Original assignment and match quality retained.</t>
        </is>
      </c>
      <c r="V417" s="98" t="n"/>
      <c r="W417" s="98" t="n"/>
      <c r="X417" s="24" t="inlineStr">
        <is>
          <t>research_CZ.xlsx</t>
        </is>
      </c>
      <c r="Y417" s="24" t="n"/>
      <c r="Z417" s="24" t="n"/>
      <c r="AA417" s="24" t="n"/>
      <c r="AB417" s="24" t="inlineStr">
        <is>
          <t>CZK</t>
        </is>
      </c>
      <c r="AC417" s="24" t="inlineStr">
        <is>
          <t>yes</t>
        </is>
      </c>
      <c r="AD417" s="24">
        <f>IF(OR(F417="",Q417="",R417=""),"",ROUND(IF(P417="incl.",F417/(1+Q417),F417)/IF(S417="per pack",R417,1),2))</f>
        <v/>
      </c>
      <c r="AE417" s="24">
        <f>IF(AND(AC417="yes",ISNUMBER(F417),IF('Compare'!$H$5="All mapped",TRUE,IF('Compare'!$H$5="EXACT only",J417="EXACT",OR(J417="EXACT",J417="CLOSE")))),"yes","no")</f>
        <v/>
      </c>
      <c r="AF417" s="24">
        <f>IF(ISNUMBER(H417),COUNTIFS($B$7:$B$608,B417,$C$7:$C$608,C417,$H$7:$H$608,"&lt;"&amp;H417,$AH$7:$AH$608,"yes")+COUNTIFS($B$7:B417,B417,$C$7:C417,C417,$H$7:H417,H417,$AH$7:AH417,"yes"),"")</f>
        <v/>
      </c>
      <c r="AG417" s="24">
        <f>IF(ISNUMBER(I417),COUNTIFS($B$7:$B$608,B417,$C$7:$C$608,C417,$I$7:$I$608,"&lt;"&amp;I417,$AI$7:$AI$608,"yes")+COUNTIFS($B$7:B417,B417,$C$7:C417,C417,$I$7:I417,I417,$AI$7:AI417,"yes"),"")</f>
        <v/>
      </c>
      <c r="AH417" s="24">
        <f>IF(ISNUMBER(H417),"yes","no")</f>
        <v/>
      </c>
      <c r="AI417" s="24">
        <f>IF(ISNUMBER(I417),"yes","no")</f>
        <v/>
      </c>
      <c r="AJ417" s="101" t="n">
        <v>46295</v>
      </c>
      <c r="AK417" s="24" t="n"/>
    </row>
    <row r="418" ht="42" customHeight="1">
      <c r="A418" s="2" t="n"/>
      <c r="B418" s="27" t="inlineStr">
        <is>
          <t>GN 1/1 PP container, 65 mm</t>
        </is>
      </c>
      <c r="C418" s="27" t="inlineStr">
        <is>
          <t>Czech</t>
        </is>
      </c>
      <c r="D418" s="27" t="inlineStr">
        <is>
          <t>Gastro Novotný</t>
        </is>
      </c>
      <c r="E418" s="27" t="inlineStr">
        <is>
          <t>Gastronádoba 1/1 100 polypropylen</t>
        </is>
      </c>
      <c r="F418" s="102" t="n">
        <v>220</v>
      </c>
      <c r="G418" s="27" t="inlineStr">
        <is>
          <t>CZK</t>
        </is>
      </c>
      <c r="H418" s="102">
        <f>IF(AND(AE418="yes",ISNUMBER(AD418)),AD418,"")</f>
        <v/>
      </c>
      <c r="I418" s="103">
        <f>IF(AND(AE418="yes",ISNUMBER(AD418),ISNUMBER(INDEX('Sources'!$G$7:$G$10,MATCH(AB418,'Sources'!$B$7:$B$10,0)))),AD418/INDEX('Sources'!$G$7:$G$10,MATCH(AB418,'Sources'!$B$7:$B$10,0)),"")</f>
        <v/>
      </c>
      <c r="J418" s="27" t="inlineStr">
        <is>
          <t>APPROX</t>
        </is>
      </c>
      <c r="K418" s="27" t="inlineStr">
        <is>
          <t>2026-09-30</t>
        </is>
      </c>
      <c r="L418" s="71" t="n"/>
      <c r="M418" s="27" t="inlineStr">
        <is>
          <t>Code 1814702-10; PP GN 1/1 but 100 mm deep (PP 1/1 range is 100/150/200 mm only, no 65 mm); 266.20 CZK incl. VAT</t>
        </is>
      </c>
      <c r="N418" s="28" t="inlineStr">
        <is>
          <t>https://eshop.gastronovotny.cz/gastronadoba-1-1-100-polypropylen--1814702-10/</t>
        </is>
      </c>
      <c r="O418" s="27" t="n"/>
      <c r="P418" s="27" t="inlineStr">
        <is>
          <t>excl.</t>
        </is>
      </c>
      <c r="Q418" s="104" t="n">
        <v>0.21</v>
      </c>
      <c r="R418" s="27" t="n">
        <v>1</v>
      </c>
      <c r="S418" s="27" t="inlineStr">
        <is>
          <t>per piece</t>
        </is>
      </c>
      <c r="T418" s="27" t="inlineStr">
        <is>
          <t>APPROX</t>
        </is>
      </c>
      <c r="U418" s="27" t="inlineStr">
        <is>
          <t>Additional Austria/Czechia benchmark. Original assignment and match quality retained.</t>
        </is>
      </c>
      <c r="V418" s="102" t="n"/>
      <c r="W418" s="102" t="n"/>
      <c r="X418" s="27" t="inlineStr">
        <is>
          <t>research_CZ.xlsx</t>
        </is>
      </c>
      <c r="Y418" s="27" t="n"/>
      <c r="Z418" s="27" t="n"/>
      <c r="AA418" s="27" t="n"/>
      <c r="AB418" s="27" t="inlineStr">
        <is>
          <t>CZK</t>
        </is>
      </c>
      <c r="AC418" s="27" t="inlineStr">
        <is>
          <t>yes</t>
        </is>
      </c>
      <c r="AD418" s="27">
        <f>IF(OR(F418="",Q418="",R418=""),"",ROUND(IF(P418="incl.",F418/(1+Q418),F418)/IF(S418="per pack",R418,1),2))</f>
        <v/>
      </c>
      <c r="AE418" s="27">
        <f>IF(AND(AC418="yes",ISNUMBER(F418),IF('Compare'!$H$5="All mapped",TRUE,IF('Compare'!$H$5="EXACT only",J418="EXACT",OR(J418="EXACT",J418="CLOSE")))),"yes","no")</f>
        <v/>
      </c>
      <c r="AF418" s="27">
        <f>IF(ISNUMBER(H418),COUNTIFS($B$7:$B$608,B418,$C$7:$C$608,C418,$H$7:$H$608,"&lt;"&amp;H418,$AH$7:$AH$608,"yes")+COUNTIFS($B$7:B418,B418,$C$7:C418,C418,$H$7:H418,H418,$AH$7:AH418,"yes"),"")</f>
        <v/>
      </c>
      <c r="AG418" s="27">
        <f>IF(ISNUMBER(I418),COUNTIFS($B$7:$B$608,B418,$C$7:$C$608,C418,$I$7:$I$608,"&lt;"&amp;I418,$AI$7:$AI$608,"yes")+COUNTIFS($B$7:B418,B418,$C$7:C418,C418,$I$7:I418,I418,$AI$7:AI418,"yes"),"")</f>
        <v/>
      </c>
      <c r="AH418" s="27">
        <f>IF(ISNUMBER(H418),"yes","no")</f>
        <v/>
      </c>
      <c r="AI418" s="27">
        <f>IF(ISNUMBER(I418),"yes","no")</f>
        <v/>
      </c>
      <c r="AJ418" s="105" t="n">
        <v>46295</v>
      </c>
      <c r="AK418" s="27" t="n"/>
    </row>
    <row r="419" ht="52" customHeight="1">
      <c r="A419" s="2" t="n"/>
      <c r="B419" s="24" t="inlineStr">
        <is>
          <t>GN 1/1 PP container, 65 mm</t>
        </is>
      </c>
      <c r="C419" s="24" t="inlineStr">
        <is>
          <t>Czech</t>
        </is>
      </c>
      <c r="D419" s="24" t="inlineStr">
        <is>
          <t>Gastromania</t>
        </is>
      </c>
      <c r="E419" s="24" t="inlineStr">
        <is>
          <t>Nádoba z polypropylenu, GN 1/1, 65 mm | STALGAST, Bufet</t>
        </is>
      </c>
      <c r="F419" s="98" t="n">
        <v>215</v>
      </c>
      <c r="G419" s="24" t="inlineStr">
        <is>
          <t>CZK</t>
        </is>
      </c>
      <c r="H419" s="98">
        <f>IF(AND(AE419="yes",ISNUMBER(AD419)),AD419,"")</f>
        <v/>
      </c>
      <c r="I419" s="99">
        <f>IF(AND(AE419="yes",ISNUMBER(AD419),ISNUMBER(INDEX('Sources'!$G$7:$G$10,MATCH(AB419,'Sources'!$B$7:$B$10,0)))),AD419/INDEX('Sources'!$G$7:$G$10,MATCH(AB419,'Sources'!$B$7:$B$10,0)),"")</f>
        <v/>
      </c>
      <c r="J419" s="24" t="inlineStr">
        <is>
          <t>EXACT</t>
        </is>
      </c>
      <c r="K419" s="24" t="inlineStr">
        <is>
          <t>2026-09-30</t>
        </is>
      </c>
      <c r="L419" s="71" t="n"/>
      <c r="M419" s="24" t="inlineStr">
        <is>
          <t>Lowest PP GN 1/1 65 listed; Cambro R-MP11065 234 CZK. (APS 82104 207 CZK named polycarbonate but listed under PP - conflicting, not used); price incl. 21% VAT as published in product data (current price, in stock)</t>
        </is>
      </c>
      <c r="N419" s="25" t="inlineStr">
        <is>
          <t>https://www.gastromania.cz/gastronadoby-polypropylenove/nadoba-z-polypropylenu-gn-1-1-65-mm-stalgast-bufet</t>
        </is>
      </c>
      <c r="O419" s="24" t="inlineStr">
        <is>
          <t>Stalgast</t>
        </is>
      </c>
      <c r="P419" s="24" t="inlineStr">
        <is>
          <t>incl.</t>
        </is>
      </c>
      <c r="Q419" s="100" t="n">
        <v>0.21</v>
      </c>
      <c r="R419" s="24" t="n">
        <v>1</v>
      </c>
      <c r="S419" s="24" t="inlineStr">
        <is>
          <t>per piece</t>
        </is>
      </c>
      <c r="T419" s="24" t="inlineStr">
        <is>
          <t>EXACT</t>
        </is>
      </c>
      <c r="U419" s="24" t="inlineStr">
        <is>
          <t>Additional Austria/Czechia benchmark. Original assignment and match quality retained.</t>
        </is>
      </c>
      <c r="V419" s="98" t="n"/>
      <c r="W419" s="98" t="n"/>
      <c r="X419" s="24" t="inlineStr">
        <is>
          <t>research_CZ.xlsx</t>
        </is>
      </c>
      <c r="Y419" s="24" t="n"/>
      <c r="Z419" s="24" t="n"/>
      <c r="AA419" s="24" t="n"/>
      <c r="AB419" s="24" t="inlineStr">
        <is>
          <t>CZK</t>
        </is>
      </c>
      <c r="AC419" s="24" t="inlineStr">
        <is>
          <t>yes</t>
        </is>
      </c>
      <c r="AD419" s="24">
        <f>IF(OR(F419="",Q419="",R419=""),"",ROUND(IF(P419="incl.",F419/(1+Q419),F419)/IF(S419="per pack",R419,1),2))</f>
        <v/>
      </c>
      <c r="AE419" s="24">
        <f>IF(AND(AC419="yes",ISNUMBER(F419),IF('Compare'!$H$5="All mapped",TRUE,IF('Compare'!$H$5="EXACT only",J419="EXACT",OR(J419="EXACT",J419="CLOSE")))),"yes","no")</f>
        <v/>
      </c>
      <c r="AF419" s="24">
        <f>IF(ISNUMBER(H419),COUNTIFS($B$7:$B$608,B419,$C$7:$C$608,C419,$H$7:$H$608,"&lt;"&amp;H419,$AH$7:$AH$608,"yes")+COUNTIFS($B$7:B419,B419,$C$7:C419,C419,$H$7:H419,H419,$AH$7:AH419,"yes"),"")</f>
        <v/>
      </c>
      <c r="AG419" s="24">
        <f>IF(ISNUMBER(I419),COUNTIFS($B$7:$B$608,B419,$C$7:$C$608,C419,$I$7:$I$608,"&lt;"&amp;I419,$AI$7:$AI$608,"yes")+COUNTIFS($B$7:B419,B419,$C$7:C419,C419,$I$7:I419,I419,$AI$7:AI419,"yes"),"")</f>
        <v/>
      </c>
      <c r="AH419" s="24">
        <f>IF(ISNUMBER(H419),"yes","no")</f>
        <v/>
      </c>
      <c r="AI419" s="24">
        <f>IF(ISNUMBER(I419),"yes","no")</f>
        <v/>
      </c>
      <c r="AJ419" s="101" t="n">
        <v>46295</v>
      </c>
      <c r="AK419" s="24" t="n"/>
    </row>
    <row r="420" ht="42" customHeight="1">
      <c r="A420" s="2" t="n"/>
      <c r="B420" s="27" t="inlineStr">
        <is>
          <t>GN 1/1 PP container, 65 mm</t>
        </is>
      </c>
      <c r="C420" s="27" t="inlineStr">
        <is>
          <t>Czech</t>
        </is>
      </c>
      <c r="D420" s="27" t="inlineStr">
        <is>
          <t>Gastrozone</t>
        </is>
      </c>
      <c r="E420" s="27" t="inlineStr">
        <is>
          <t>Pujadas gastro nádoba GN 1/1 530x325 mm polypropylen v=65 mm</t>
        </is>
      </c>
      <c r="F420" s="102" t="n">
        <v>443</v>
      </c>
      <c r="G420" s="27" t="inlineStr">
        <is>
          <t>CZK</t>
        </is>
      </c>
      <c r="H420" s="102">
        <f>IF(AND(AE420="yes",ISNUMBER(AD420)),AD420,"")</f>
        <v/>
      </c>
      <c r="I420" s="103">
        <f>IF(AND(AE420="yes",ISNUMBER(AD420),ISNUMBER(INDEX('Sources'!$G$7:$G$10,MATCH(AB420,'Sources'!$B$7:$B$10,0)))),AD420/INDEX('Sources'!$G$7:$G$10,MATCH(AB420,'Sources'!$B$7:$B$10,0)),"")</f>
        <v/>
      </c>
      <c r="J420" s="27" t="inlineStr">
        <is>
          <t>EXACT</t>
        </is>
      </c>
      <c r="K420" s="27" t="inlineStr">
        <is>
          <t>2026-09-30</t>
        </is>
      </c>
      <c r="L420" s="71" t="n"/>
      <c r="M420" s="27" t="inlineStr">
        <is>
          <t>366.12 CZK bez DPH; code 227705320; in stock (central warehouse)</t>
        </is>
      </c>
      <c r="N420" s="28" t="inlineStr">
        <is>
          <t>https://www.gastrozone.cz/pujadas-gastro-nadoba-gn-1-1-530x325-mm-polypropylen-v-65-mm.html</t>
        </is>
      </c>
      <c r="O420" s="27" t="inlineStr">
        <is>
          <t>Pujadas</t>
        </is>
      </c>
      <c r="P420" s="27" t="inlineStr">
        <is>
          <t>incl.</t>
        </is>
      </c>
      <c r="Q420" s="104" t="n">
        <v>0.21</v>
      </c>
      <c r="R420" s="27" t="n">
        <v>1</v>
      </c>
      <c r="S420" s="27" t="inlineStr">
        <is>
          <t>per piece</t>
        </is>
      </c>
      <c r="T420" s="27" t="inlineStr">
        <is>
          <t>EXACT</t>
        </is>
      </c>
      <c r="U420" s="27" t="inlineStr">
        <is>
          <t>Additional Austria/Czechia benchmark. Original assignment and match quality retained.</t>
        </is>
      </c>
      <c r="V420" s="102" t="n"/>
      <c r="W420" s="102" t="n"/>
      <c r="X420" s="27" t="inlineStr">
        <is>
          <t>research_CZ.xlsx</t>
        </is>
      </c>
      <c r="Y420" s="27" t="n"/>
      <c r="Z420" s="27" t="n"/>
      <c r="AA420" s="27" t="n"/>
      <c r="AB420" s="27" t="inlineStr">
        <is>
          <t>CZK</t>
        </is>
      </c>
      <c r="AC420" s="27" t="inlineStr">
        <is>
          <t>yes</t>
        </is>
      </c>
      <c r="AD420" s="27">
        <f>IF(OR(F420="",Q420="",R420=""),"",ROUND(IF(P420="incl.",F420/(1+Q420),F420)/IF(S420="per pack",R420,1),2))</f>
        <v/>
      </c>
      <c r="AE420" s="27">
        <f>IF(AND(AC420="yes",ISNUMBER(F420),IF('Compare'!$H$5="All mapped",TRUE,IF('Compare'!$H$5="EXACT only",J420="EXACT",OR(J420="EXACT",J420="CLOSE")))),"yes","no")</f>
        <v/>
      </c>
      <c r="AF420" s="27">
        <f>IF(ISNUMBER(H420),COUNTIFS($B$7:$B$608,B420,$C$7:$C$608,C420,$H$7:$H$608,"&lt;"&amp;H420,$AH$7:$AH$608,"yes")+COUNTIFS($B$7:B420,B420,$C$7:C420,C420,$H$7:H420,H420,$AH$7:AH420,"yes"),"")</f>
        <v/>
      </c>
      <c r="AG420" s="27">
        <f>IF(ISNUMBER(I420),COUNTIFS($B$7:$B$608,B420,$C$7:$C$608,C420,$I$7:$I$608,"&lt;"&amp;I420,$AI$7:$AI$608,"yes")+COUNTIFS($B$7:B420,B420,$C$7:C420,C420,$I$7:I420,I420,$AI$7:AI420,"yes"),"")</f>
        <v/>
      </c>
      <c r="AH420" s="27">
        <f>IF(ISNUMBER(H420),"yes","no")</f>
        <v/>
      </c>
      <c r="AI420" s="27">
        <f>IF(ISNUMBER(I420),"yes","no")</f>
        <v/>
      </c>
      <c r="AJ420" s="105" t="n">
        <v>46295</v>
      </c>
      <c r="AK420" s="27" t="n"/>
    </row>
    <row r="421" ht="42" customHeight="1">
      <c r="A421" s="2" t="n"/>
      <c r="B421" s="24" t="inlineStr">
        <is>
          <t>GN 1/1 PP container, 65 mm</t>
        </is>
      </c>
      <c r="C421" s="24" t="inlineStr">
        <is>
          <t>Czech</t>
        </is>
      </c>
      <c r="D421" s="24" t="inlineStr">
        <is>
          <t>TOMGAST</t>
        </is>
      </c>
      <c r="E421" s="24" t="inlineStr">
        <is>
          <t>Gastronádoba polypropylenová GN 1/1 65 mm</t>
        </is>
      </c>
      <c r="F421" s="98" t="n">
        <v>234</v>
      </c>
      <c r="G421" s="24" t="inlineStr">
        <is>
          <t>CZK</t>
        </is>
      </c>
      <c r="H421" s="98">
        <f>IF(AND(AE421="yes",ISNUMBER(AD421)),AD421,"")</f>
        <v/>
      </c>
      <c r="I421" s="99">
        <f>IF(AND(AE421="yes",ISNUMBER(AD421),ISNUMBER(INDEX('Sources'!$G$7:$G$10,MATCH(AB421,'Sources'!$B$7:$B$10,0)))),AD421/INDEX('Sources'!$G$7:$G$10,MATCH(AB421,'Sources'!$B$7:$B$10,0)),"")</f>
        <v/>
      </c>
      <c r="J421" s="24" t="inlineStr">
        <is>
          <t>EXACT</t>
        </is>
      </c>
      <c r="K421" s="24" t="inlineStr">
        <is>
          <t>2026-09-30</t>
        </is>
      </c>
      <c r="L421" s="71" t="n"/>
      <c r="M421" s="24" t="inlineStr">
        <is>
          <t>Code R-MP11065; 193 CZK bez DPH; in stock</t>
        </is>
      </c>
      <c r="N421" s="25" t="inlineStr">
        <is>
          <t>https://www.tomgast.cz/gastronadoba-polypropylenova-gn-1-1-65-mm/</t>
        </is>
      </c>
      <c r="O421" s="24" t="inlineStr">
        <is>
          <t>Cambro</t>
        </is>
      </c>
      <c r="P421" s="24" t="inlineStr">
        <is>
          <t>incl.</t>
        </is>
      </c>
      <c r="Q421" s="100" t="n">
        <v>0.21</v>
      </c>
      <c r="R421" s="24" t="n">
        <v>1</v>
      </c>
      <c r="S421" s="24" t="inlineStr">
        <is>
          <t>per piece</t>
        </is>
      </c>
      <c r="T421" s="24" t="inlineStr">
        <is>
          <t>EXACT</t>
        </is>
      </c>
      <c r="U421" s="24" t="inlineStr">
        <is>
          <t>Additional Austria/Czechia benchmark. Original assignment and match quality retained.</t>
        </is>
      </c>
      <c r="V421" s="98" t="n"/>
      <c r="W421" s="98" t="n"/>
      <c r="X421" s="24" t="inlineStr">
        <is>
          <t>research_CZ.xlsx</t>
        </is>
      </c>
      <c r="Y421" s="24" t="n"/>
      <c r="Z421" s="24" t="n"/>
      <c r="AA421" s="24" t="n"/>
      <c r="AB421" s="24" t="inlineStr">
        <is>
          <t>CZK</t>
        </is>
      </c>
      <c r="AC421" s="24" t="inlineStr">
        <is>
          <t>yes</t>
        </is>
      </c>
      <c r="AD421" s="24">
        <f>IF(OR(F421="",Q421="",R421=""),"",ROUND(IF(P421="incl.",F421/(1+Q421),F421)/IF(S421="per pack",R421,1),2))</f>
        <v/>
      </c>
      <c r="AE421" s="24">
        <f>IF(AND(AC421="yes",ISNUMBER(F421),IF('Compare'!$H$5="All mapped",TRUE,IF('Compare'!$H$5="EXACT only",J421="EXACT",OR(J421="EXACT",J421="CLOSE")))),"yes","no")</f>
        <v/>
      </c>
      <c r="AF421" s="24">
        <f>IF(ISNUMBER(H421),COUNTIFS($B$7:$B$608,B421,$C$7:$C$608,C421,$H$7:$H$608,"&lt;"&amp;H421,$AH$7:$AH$608,"yes")+COUNTIFS($B$7:B421,B421,$C$7:C421,C421,$H$7:H421,H421,$AH$7:AH421,"yes"),"")</f>
        <v/>
      </c>
      <c r="AG421" s="24">
        <f>IF(ISNUMBER(I421),COUNTIFS($B$7:$B$608,B421,$C$7:$C$608,C421,$I$7:$I$608,"&lt;"&amp;I421,$AI$7:$AI$608,"yes")+COUNTIFS($B$7:B421,B421,$C$7:C421,C421,$I$7:I421,I421,$AI$7:AI421,"yes"),"")</f>
        <v/>
      </c>
      <c r="AH421" s="24">
        <f>IF(ISNUMBER(H421),"yes","no")</f>
        <v/>
      </c>
      <c r="AI421" s="24">
        <f>IF(ISNUMBER(I421),"yes","no")</f>
        <v/>
      </c>
      <c r="AJ421" s="101" t="n">
        <v>46295</v>
      </c>
      <c r="AK421" s="24" t="n"/>
    </row>
    <row r="422" ht="42" customHeight="1">
      <c r="A422" s="2" t="n"/>
      <c r="B422" s="27" t="inlineStr">
        <is>
          <t>GN 1/3 PC container, 100 mm</t>
        </is>
      </c>
      <c r="C422" s="27" t="inlineStr">
        <is>
          <t>Austria</t>
        </is>
      </c>
      <c r="D422" s="27" t="inlineStr">
        <is>
          <t>ALLPAX Österreich</t>
        </is>
      </c>
      <c r="E422" s="27" t="inlineStr">
        <is>
          <t>PC GN 1/3 Höhe 100 mm schwarz</t>
        </is>
      </c>
      <c r="F422" s="102" t="n">
        <v>4.02</v>
      </c>
      <c r="G422" s="27" t="inlineStr">
        <is>
          <t>EUR</t>
        </is>
      </c>
      <c r="H422" s="102">
        <f>IF(AND(AE422="yes",ISNUMBER(AD422)),AD422,"")</f>
        <v/>
      </c>
      <c r="I422" s="103">
        <f>IF(AND(AE422="yes",ISNUMBER(AD422),ISNUMBER(INDEX('Sources'!$G$7:$G$10,MATCH(AB422,'Sources'!$B$7:$B$10,0)))),AD422/INDEX('Sources'!$G$7:$G$10,MATCH(AB422,'Sources'!$B$7:$B$10,0)),"")</f>
        <v/>
      </c>
      <c r="J422" s="27" t="inlineStr">
        <is>
          <t>EXACT</t>
        </is>
      </c>
      <c r="K422" s="27" t="inlineStr">
        <is>
          <t>2026-09-30</t>
        </is>
      </c>
      <c r="L422" s="71" t="n"/>
      <c r="M422" s="27" t="inlineStr">
        <is>
          <t>'jetzt' price; regular 5.69</t>
        </is>
      </c>
      <c r="N422" s="28" t="inlineStr">
        <is>
          <t>https://www.allpax.at/product_info.php/info/PC-GN-1-3-Hoehe-100-mm-schwarz.html</t>
        </is>
      </c>
      <c r="O422" s="27" t="n"/>
      <c r="P422" s="27" t="inlineStr">
        <is>
          <t>excl.</t>
        </is>
      </c>
      <c r="Q422" s="104" t="n"/>
      <c r="R422" s="27" t="n">
        <v>1</v>
      </c>
      <c r="S422" s="27" t="n"/>
      <c r="T422" s="27" t="inlineStr">
        <is>
          <t>EXACT</t>
        </is>
      </c>
      <c r="U422" s="27" t="inlineStr">
        <is>
          <t>Additional Austria/Czechia benchmark. Original assignment and match quality retained.</t>
        </is>
      </c>
      <c r="V422" s="102" t="n">
        <v>4.02</v>
      </c>
      <c r="W422" s="102" t="n"/>
      <c r="X422" s="27" t="inlineStr">
        <is>
          <t>research_AT.xlsx</t>
        </is>
      </c>
      <c r="Y422" s="27" t="n"/>
      <c r="Z422" s="27" t="n"/>
      <c r="AA422" s="27" t="n"/>
      <c r="AB422" s="27" t="inlineStr">
        <is>
          <t>EUR</t>
        </is>
      </c>
      <c r="AC422" s="27" t="inlineStr">
        <is>
          <t>yes</t>
        </is>
      </c>
      <c r="AD422" s="27">
        <f>IF(ISNUMBER(V422),V422,"")</f>
        <v/>
      </c>
      <c r="AE422" s="27">
        <f>IF(AND(AC422="yes",ISNUMBER(F422),IF('Compare'!$H$5="All mapped",TRUE,IF('Compare'!$H$5="EXACT only",J422="EXACT",OR(J422="EXACT",J422="CLOSE")))),"yes","no")</f>
        <v/>
      </c>
      <c r="AF422" s="27">
        <f>IF(ISNUMBER(H422),COUNTIFS($B$7:$B$608,B422,$C$7:$C$608,C422,$H$7:$H$608,"&lt;"&amp;H422,$AH$7:$AH$608,"yes")+COUNTIFS($B$7:B422,B422,$C$7:C422,C422,$H$7:H422,H422,$AH$7:AH422,"yes"),"")</f>
        <v/>
      </c>
      <c r="AG422" s="27">
        <f>IF(ISNUMBER(I422),COUNTIFS($B$7:$B$608,B422,$C$7:$C$608,C422,$I$7:$I$608,"&lt;"&amp;I422,$AI$7:$AI$608,"yes")+COUNTIFS($B$7:B422,B422,$C$7:C422,C422,$I$7:I422,I422,$AI$7:AI422,"yes"),"")</f>
        <v/>
      </c>
      <c r="AH422" s="27">
        <f>IF(ISNUMBER(H422),"yes","no")</f>
        <v/>
      </c>
      <c r="AI422" s="27">
        <f>IF(ISNUMBER(I422),"yes","no")</f>
        <v/>
      </c>
      <c r="AJ422" s="105" t="n">
        <v>46295</v>
      </c>
      <c r="AK422" s="27" t="n"/>
    </row>
    <row r="423" ht="42" customHeight="1">
      <c r="A423" s="2" t="n"/>
      <c r="B423" s="24" t="inlineStr">
        <is>
          <t>GN 1/3 PC container, 100 mm</t>
        </is>
      </c>
      <c r="C423" s="24" t="inlineStr">
        <is>
          <t>Austria</t>
        </is>
      </c>
      <c r="D423" s="24" t="inlineStr">
        <is>
          <t>GGM Gastro (Austrian storefront)</t>
        </is>
      </c>
      <c r="E423" s="24" t="inlineStr">
        <is>
          <t>(12 Stück) Polycarbonat-Behälter GN 1/3 - Schwarz - Höhe: 100mm</t>
        </is>
      </c>
      <c r="F423" s="98" t="n">
        <v>65.98999999999999</v>
      </c>
      <c r="G423" s="24" t="inlineStr">
        <is>
          <t>EUR</t>
        </is>
      </c>
      <c r="H423" s="98">
        <f>IF(AND(AE423="yes",ISNUMBER(AD423)),AD423,"")</f>
        <v/>
      </c>
      <c r="I423" s="99">
        <f>IF(AND(AE423="yes",ISNUMBER(AD423),ISNUMBER(INDEX('Sources'!$G$7:$G$10,MATCH(AB423,'Sources'!$B$7:$B$10,0)))),AD423/INDEX('Sources'!$G$7:$G$10,MATCH(AB423,'Sources'!$B$7:$B$10,0)),"")</f>
        <v/>
      </c>
      <c r="J423" s="24" t="inlineStr">
        <is>
          <t>EXACT</t>
        </is>
      </c>
      <c r="K423" s="24" t="inlineStr">
        <is>
          <t>2026-09-30</t>
        </is>
      </c>
      <c r="L423" s="71" t="n"/>
      <c r="M423" s="24" t="inlineStr">
        <is>
          <t>Black PC</t>
        </is>
      </c>
      <c r="N423" s="25" t="inlineStr">
        <is>
          <t>https://www.ggmgastro.com/de-at-eur/12-stueck-polycarbonat-behaelter-gn-1-3-schwarz-hoehe-100mm-gpcp13100s</t>
        </is>
      </c>
      <c r="O423" s="24" t="inlineStr">
        <is>
          <t>GGM</t>
        </is>
      </c>
      <c r="P423" s="24" t="inlineStr">
        <is>
          <t>excl.</t>
        </is>
      </c>
      <c r="Q423" s="100" t="n"/>
      <c r="R423" s="24" t="n">
        <v>12</v>
      </c>
      <c r="S423" s="24" t="inlineStr">
        <is>
          <t>set of 12</t>
        </is>
      </c>
      <c r="T423" s="24" t="inlineStr">
        <is>
          <t>EXACT</t>
        </is>
      </c>
      <c r="U423" s="24" t="inlineStr">
        <is>
          <t>Additional Austria/Czechia benchmark. Original assignment and match quality retained.</t>
        </is>
      </c>
      <c r="V423" s="98" t="n">
        <v>5.5</v>
      </c>
      <c r="W423" s="98" t="n"/>
      <c r="X423" s="24" t="inlineStr">
        <is>
          <t>research_AT.xlsx</t>
        </is>
      </c>
      <c r="Y423" s="24" t="n"/>
      <c r="Z423" s="24" t="n"/>
      <c r="AA423" s="24" t="n"/>
      <c r="AB423" s="24" t="inlineStr">
        <is>
          <t>EUR</t>
        </is>
      </c>
      <c r="AC423" s="24" t="inlineStr">
        <is>
          <t>yes</t>
        </is>
      </c>
      <c r="AD423" s="24">
        <f>IF(ISNUMBER(V423),V423,"")</f>
        <v/>
      </c>
      <c r="AE423" s="24">
        <f>IF(AND(AC423="yes",ISNUMBER(F423),IF('Compare'!$H$5="All mapped",TRUE,IF('Compare'!$H$5="EXACT only",J423="EXACT",OR(J423="EXACT",J423="CLOSE")))),"yes","no")</f>
        <v/>
      </c>
      <c r="AF423" s="24">
        <f>IF(ISNUMBER(H423),COUNTIFS($B$7:$B$608,B423,$C$7:$C$608,C423,$H$7:$H$608,"&lt;"&amp;H423,$AH$7:$AH$608,"yes")+COUNTIFS($B$7:B423,B423,$C$7:C423,C423,$H$7:H423,H423,$AH$7:AH423,"yes"),"")</f>
        <v/>
      </c>
      <c r="AG423" s="24">
        <f>IF(ISNUMBER(I423),COUNTIFS($B$7:$B$608,B423,$C$7:$C$608,C423,$I$7:$I$608,"&lt;"&amp;I423,$AI$7:$AI$608,"yes")+COUNTIFS($B$7:B423,B423,$C$7:C423,C423,$I$7:I423,I423,$AI$7:AI423,"yes"),"")</f>
        <v/>
      </c>
      <c r="AH423" s="24">
        <f>IF(ISNUMBER(H423),"yes","no")</f>
        <v/>
      </c>
      <c r="AI423" s="24">
        <f>IF(ISNUMBER(I423),"yes","no")</f>
        <v/>
      </c>
      <c r="AJ423" s="101" t="n">
        <v>46295</v>
      </c>
      <c r="AK423" s="24" t="n"/>
    </row>
    <row r="424" ht="42" customHeight="1">
      <c r="A424" s="2" t="n"/>
      <c r="B424" s="27" t="inlineStr">
        <is>
          <t>GN 1/3 PC container, 100 mm</t>
        </is>
      </c>
      <c r="C424" s="27" t="inlineStr">
        <is>
          <t>Austria</t>
        </is>
      </c>
      <c r="D424" s="27" t="inlineStr">
        <is>
          <t>Gastro Star</t>
        </is>
      </c>
      <c r="E424" s="27" t="inlineStr">
        <is>
          <t>RIEBER GN 1/3 Polycarbonat-Behälter - Tiefe 100mm</t>
        </is>
      </c>
      <c r="F424" s="102" t="n">
        <v>13</v>
      </c>
      <c r="G424" s="27" t="inlineStr">
        <is>
          <t>EUR</t>
        </is>
      </c>
      <c r="H424" s="102">
        <f>IF(AND(AE424="yes",ISNUMBER(AD424)),AD424,"")</f>
        <v/>
      </c>
      <c r="I424" s="103">
        <f>IF(AND(AE424="yes",ISNUMBER(AD424),ISNUMBER(INDEX('Sources'!$G$7:$G$10,MATCH(AB424,'Sources'!$B$7:$B$10,0)))),AD424/INDEX('Sources'!$G$7:$G$10,MATCH(AB424,'Sources'!$B$7:$B$10,0)),"")</f>
        <v/>
      </c>
      <c r="J424" s="27" t="inlineStr">
        <is>
          <t>EXACT</t>
        </is>
      </c>
      <c r="K424" s="27" t="inlineStr">
        <is>
          <t>2026-09-30</t>
        </is>
      </c>
      <c r="L424" s="71" t="n"/>
      <c r="M424" s="27" t="inlineStr">
        <is>
          <t>Gross 15.60</t>
        </is>
      </c>
      <c r="N424" s="28" t="inlineStr">
        <is>
          <t>https://www.gastro-star.at/produkt/riebergn13polycarbonat-behaelter-tiefe100mm/</t>
        </is>
      </c>
      <c r="O424" s="27" t="inlineStr">
        <is>
          <t>Rieber</t>
        </is>
      </c>
      <c r="P424" s="27" t="inlineStr">
        <is>
          <t>excl.</t>
        </is>
      </c>
      <c r="Q424" s="104" t="n"/>
      <c r="R424" s="27" t="n">
        <v>1</v>
      </c>
      <c r="S424" s="27" t="n"/>
      <c r="T424" s="27" t="inlineStr">
        <is>
          <t>EXACT</t>
        </is>
      </c>
      <c r="U424" s="27" t="inlineStr">
        <is>
          <t>Additional Austria/Czechia benchmark. Original assignment and match quality retained.</t>
        </is>
      </c>
      <c r="V424" s="102" t="n">
        <v>13</v>
      </c>
      <c r="W424" s="102" t="n"/>
      <c r="X424" s="27" t="inlineStr">
        <is>
          <t>research_AT.xlsx</t>
        </is>
      </c>
      <c r="Y424" s="27" t="n"/>
      <c r="Z424" s="27" t="n"/>
      <c r="AA424" s="27" t="n"/>
      <c r="AB424" s="27" t="inlineStr">
        <is>
          <t>EUR</t>
        </is>
      </c>
      <c r="AC424" s="27" t="inlineStr">
        <is>
          <t>yes</t>
        </is>
      </c>
      <c r="AD424" s="27">
        <f>IF(ISNUMBER(V424),V424,"")</f>
        <v/>
      </c>
      <c r="AE424" s="27">
        <f>IF(AND(AC424="yes",ISNUMBER(F424),IF('Compare'!$H$5="All mapped",TRUE,IF('Compare'!$H$5="EXACT only",J424="EXACT",OR(J424="EXACT",J424="CLOSE")))),"yes","no")</f>
        <v/>
      </c>
      <c r="AF424" s="27">
        <f>IF(ISNUMBER(H424),COUNTIFS($B$7:$B$608,B424,$C$7:$C$608,C424,$H$7:$H$608,"&lt;"&amp;H424,$AH$7:$AH$608,"yes")+COUNTIFS($B$7:B424,B424,$C$7:C424,C424,$H$7:H424,H424,$AH$7:AH424,"yes"),"")</f>
        <v/>
      </c>
      <c r="AG424" s="27">
        <f>IF(ISNUMBER(I424),COUNTIFS($B$7:$B$608,B424,$C$7:$C$608,C424,$I$7:$I$608,"&lt;"&amp;I424,$AI$7:$AI$608,"yes")+COUNTIFS($B$7:B424,B424,$C$7:C424,C424,$I$7:I424,I424,$AI$7:AI424,"yes"),"")</f>
        <v/>
      </c>
      <c r="AH424" s="27">
        <f>IF(ISNUMBER(H424),"yes","no")</f>
        <v/>
      </c>
      <c r="AI424" s="27">
        <f>IF(ISNUMBER(I424),"yes","no")</f>
        <v/>
      </c>
      <c r="AJ424" s="105" t="n">
        <v>46295</v>
      </c>
      <c r="AK424" s="27" t="n"/>
    </row>
    <row r="425" ht="42" customHeight="1">
      <c r="A425" s="2" t="n"/>
      <c r="B425" s="24" t="inlineStr">
        <is>
          <t>GN 1/3 PC container, 100 mm</t>
        </is>
      </c>
      <c r="C425" s="24" t="inlineStr">
        <is>
          <t>Austria</t>
        </is>
      </c>
      <c r="D425" s="24" t="inlineStr">
        <is>
          <t>GastroHero Österreich</t>
        </is>
      </c>
      <c r="E425" s="24" t="inlineStr">
        <is>
          <t>Vogue GN-Behälter 1/3 Polycarbonat - Tiefe 100 mm</t>
        </is>
      </c>
      <c r="F425" s="98" t="n">
        <v>5.79</v>
      </c>
      <c r="G425" s="24" t="inlineStr">
        <is>
          <t>EUR</t>
        </is>
      </c>
      <c r="H425" s="98">
        <f>IF(AND(AE425="yes",ISNUMBER(AD425)),AD425,"")</f>
        <v/>
      </c>
      <c r="I425" s="99">
        <f>IF(AND(AE425="yes",ISNUMBER(AD425),ISNUMBER(INDEX('Sources'!$G$7:$G$10,MATCH(AB425,'Sources'!$B$7:$B$10,0)))),AD425/INDEX('Sources'!$G$7:$G$10,MATCH(AB425,'Sources'!$B$7:$B$10,0)),"")</f>
        <v/>
      </c>
      <c r="J425" s="24" t="inlineStr">
        <is>
          <t>EXACT</t>
        </is>
      </c>
      <c r="K425" s="24" t="inlineStr">
        <is>
          <t>2026-09-30</t>
        </is>
      </c>
      <c r="L425" s="71" t="n"/>
      <c r="M425" s="24" t="inlineStr">
        <is>
          <t>Sale price (normal 6.59); min. qty 4</t>
        </is>
      </c>
      <c r="N425" s="25" t="inlineStr">
        <is>
          <t>https://www.gastro-hero.at/products/vogue-gn-behaelter-13-polycarbonat-tiefe-100-mm-u233</t>
        </is>
      </c>
      <c r="O425" s="24" t="inlineStr">
        <is>
          <t>Vogue</t>
        </is>
      </c>
      <c r="P425" s="24" t="inlineStr">
        <is>
          <t>excl.</t>
        </is>
      </c>
      <c r="Q425" s="100" t="n"/>
      <c r="R425" s="24" t="n">
        <v>1</v>
      </c>
      <c r="S425" s="24" t="n"/>
      <c r="T425" s="24" t="inlineStr">
        <is>
          <t>EXACT</t>
        </is>
      </c>
      <c r="U425" s="24" t="inlineStr">
        <is>
          <t>Additional Austria/Czechia benchmark. Original assignment and match quality retained.</t>
        </is>
      </c>
      <c r="V425" s="98" t="n">
        <v>5.79</v>
      </c>
      <c r="W425" s="98" t="n"/>
      <c r="X425" s="24" t="inlineStr">
        <is>
          <t>research_AT.xlsx</t>
        </is>
      </c>
      <c r="Y425" s="24" t="n"/>
      <c r="Z425" s="24" t="n"/>
      <c r="AA425" s="24" t="n"/>
      <c r="AB425" s="24" t="inlineStr">
        <is>
          <t>EUR</t>
        </is>
      </c>
      <c r="AC425" s="24" t="inlineStr">
        <is>
          <t>yes</t>
        </is>
      </c>
      <c r="AD425" s="24">
        <f>IF(ISNUMBER(V425),V425,"")</f>
        <v/>
      </c>
      <c r="AE425" s="24">
        <f>IF(AND(AC425="yes",ISNUMBER(F425),IF('Compare'!$H$5="All mapped",TRUE,IF('Compare'!$H$5="EXACT only",J425="EXACT",OR(J425="EXACT",J425="CLOSE")))),"yes","no")</f>
        <v/>
      </c>
      <c r="AF425" s="24">
        <f>IF(ISNUMBER(H425),COUNTIFS($B$7:$B$608,B425,$C$7:$C$608,C425,$H$7:$H$608,"&lt;"&amp;H425,$AH$7:$AH$608,"yes")+COUNTIFS($B$7:B425,B425,$C$7:C425,C425,$H$7:H425,H425,$AH$7:AH425,"yes"),"")</f>
        <v/>
      </c>
      <c r="AG425" s="24">
        <f>IF(ISNUMBER(I425),COUNTIFS($B$7:$B$608,B425,$C$7:$C$608,C425,$I$7:$I$608,"&lt;"&amp;I425,$AI$7:$AI$608,"yes")+COUNTIFS($B$7:B425,B425,$C$7:C425,C425,$I$7:I425,I425,$AI$7:AI425,"yes"),"")</f>
        <v/>
      </c>
      <c r="AH425" s="24">
        <f>IF(ISNUMBER(H425),"yes","no")</f>
        <v/>
      </c>
      <c r="AI425" s="24">
        <f>IF(ISNUMBER(I425),"yes","no")</f>
        <v/>
      </c>
      <c r="AJ425" s="101" t="n">
        <v>46295</v>
      </c>
      <c r="AK425" s="24" t="n"/>
    </row>
    <row r="426" ht="42" customHeight="1">
      <c r="A426" s="2" t="n"/>
      <c r="B426" s="27" t="inlineStr">
        <is>
          <t>GN 1/3 PC container, 100 mm</t>
        </is>
      </c>
      <c r="C426" s="27" t="inlineStr">
        <is>
          <t>Austria</t>
        </is>
      </c>
      <c r="D426" s="27" t="inlineStr">
        <is>
          <t>Gastrodax</t>
        </is>
      </c>
      <c r="E426" s="27" t="inlineStr">
        <is>
          <t>B.PRO Gastronorm-Behälter 3,8 Liter Polycarbonat-GN 1/3 - 100 mm</t>
        </is>
      </c>
      <c r="F426" s="102" t="n">
        <v>10.77</v>
      </c>
      <c r="G426" s="27" t="inlineStr">
        <is>
          <t>EUR</t>
        </is>
      </c>
      <c r="H426" s="102">
        <f>IF(AND(AE426="yes",ISNUMBER(AD426)),AD426,"")</f>
        <v/>
      </c>
      <c r="I426" s="103">
        <f>IF(AND(AE426="yes",ISNUMBER(AD426),ISNUMBER(INDEX('Sources'!$G$7:$G$10,MATCH(AB426,'Sources'!$B$7:$B$10,0)))),AD426/INDEX('Sources'!$G$7:$G$10,MATCH(AB426,'Sources'!$B$7:$B$10,0)),"")</f>
        <v/>
      </c>
      <c r="J426" s="27" t="inlineStr">
        <is>
          <t>EXACT</t>
        </is>
      </c>
      <c r="K426" s="27" t="inlineStr">
        <is>
          <t>2026-09-30</t>
        </is>
      </c>
      <c r="L426" s="71" t="n"/>
      <c r="M426" s="27" t="inlineStr">
        <is>
          <t>Sale price (normal 17.10); Hendi PC GN 1/3 100 mm 20.93</t>
        </is>
      </c>
      <c r="N426" s="28" t="inlineStr">
        <is>
          <t>https://www.gastrodax.de/b-pro-gastronorm-behaelter-3-8-liter-polycarbonat-gn-1-3-100-mm</t>
        </is>
      </c>
      <c r="O426" s="27" t="inlineStr">
        <is>
          <t>B.PRO</t>
        </is>
      </c>
      <c r="P426" s="27" t="inlineStr">
        <is>
          <t>excl.</t>
        </is>
      </c>
      <c r="Q426" s="104" t="n"/>
      <c r="R426" s="27" t="n">
        <v>1</v>
      </c>
      <c r="S426" s="27" t="n"/>
      <c r="T426" s="27" t="inlineStr">
        <is>
          <t>EXACT</t>
        </is>
      </c>
      <c r="U426" s="27" t="inlineStr">
        <is>
          <t>Additional Austria/Czechia benchmark. Original assignment and match quality retained.</t>
        </is>
      </c>
      <c r="V426" s="102" t="n">
        <v>10.77</v>
      </c>
      <c r="W426" s="102" t="n"/>
      <c r="X426" s="27" t="inlineStr">
        <is>
          <t>research_AT.xlsx</t>
        </is>
      </c>
      <c r="Y426" s="27" t="n"/>
      <c r="Z426" s="27" t="n"/>
      <c r="AA426" s="27" t="n"/>
      <c r="AB426" s="27" t="inlineStr">
        <is>
          <t>EUR</t>
        </is>
      </c>
      <c r="AC426" s="27" t="inlineStr">
        <is>
          <t>yes</t>
        </is>
      </c>
      <c r="AD426" s="27">
        <f>IF(ISNUMBER(V426),V426,"")</f>
        <v/>
      </c>
      <c r="AE426" s="27">
        <f>IF(AND(AC426="yes",ISNUMBER(F426),IF('Compare'!$H$5="All mapped",TRUE,IF('Compare'!$H$5="EXACT only",J426="EXACT",OR(J426="EXACT",J426="CLOSE")))),"yes","no")</f>
        <v/>
      </c>
      <c r="AF426" s="27">
        <f>IF(ISNUMBER(H426),COUNTIFS($B$7:$B$608,B426,$C$7:$C$608,C426,$H$7:$H$608,"&lt;"&amp;H426,$AH$7:$AH$608,"yes")+COUNTIFS($B$7:B426,B426,$C$7:C426,C426,$H$7:H426,H426,$AH$7:AH426,"yes"),"")</f>
        <v/>
      </c>
      <c r="AG426" s="27">
        <f>IF(ISNUMBER(I426),COUNTIFS($B$7:$B$608,B426,$C$7:$C$608,C426,$I$7:$I$608,"&lt;"&amp;I426,$AI$7:$AI$608,"yes")+COUNTIFS($B$7:B426,B426,$C$7:C426,C426,$I$7:I426,I426,$AI$7:AI426,"yes"),"")</f>
        <v/>
      </c>
      <c r="AH426" s="27">
        <f>IF(ISNUMBER(H426),"yes","no")</f>
        <v/>
      </c>
      <c r="AI426" s="27">
        <f>IF(ISNUMBER(I426),"yes","no")</f>
        <v/>
      </c>
      <c r="AJ426" s="105" t="n">
        <v>46295</v>
      </c>
      <c r="AK426" s="27" t="n"/>
    </row>
    <row r="427" ht="42" customHeight="1">
      <c r="A427" s="2" t="n"/>
      <c r="B427" s="24" t="inlineStr">
        <is>
          <t>GN 1/3 PC container, 100 mm</t>
        </is>
      </c>
      <c r="C427" s="24" t="inlineStr">
        <is>
          <t>Austria</t>
        </is>
      </c>
      <c r="D427" s="24" t="inlineStr">
        <is>
          <t>Gastroladen.at (Harotec GmbH)</t>
        </is>
      </c>
      <c r="E427" s="24" t="inlineStr">
        <is>
          <t>Cambro Camview BPA-freier GN 1/3 Behälter 100mm</t>
        </is>
      </c>
      <c r="F427" s="98" t="n">
        <v>10.89</v>
      </c>
      <c r="G427" s="24" t="inlineStr">
        <is>
          <t>EUR</t>
        </is>
      </c>
      <c r="H427" s="98">
        <f>IF(AND(AE427="yes",ISNUMBER(AD427)),AD427,"")</f>
        <v/>
      </c>
      <c r="I427" s="99">
        <f>IF(AND(AE427="yes",ISNUMBER(AD427),ISNUMBER(INDEX('Sources'!$G$7:$G$10,MATCH(AB427,'Sources'!$B$7:$B$10,0)))),AD427/INDEX('Sources'!$G$7:$G$10,MATCH(AB427,'Sources'!$B$7:$B$10,0)),"")</f>
        <v/>
      </c>
      <c r="J427" s="24" t="inlineStr">
        <is>
          <t>APPROX</t>
        </is>
      </c>
      <c r="K427" s="24" t="inlineStr">
        <is>
          <t>2026-09-30</t>
        </is>
      </c>
      <c r="L427" s="71" t="n"/>
      <c r="M427" s="24" t="inlineStr">
        <is>
          <t>BPA-free Camview copolyester, not standard polycarbonate; Vogue PC GN 1/3 only offered in 65/150/200 mm</t>
        </is>
      </c>
      <c r="N427" s="25" t="inlineStr">
        <is>
          <t>https://www.gastroladen.at/3020@GN-DW539/Cambro-Camview-BPA-freier-GN-1-3-Beh%C3%A4lter-100mm.htm</t>
        </is>
      </c>
      <c r="O427" s="24" t="inlineStr">
        <is>
          <t>Cambro</t>
        </is>
      </c>
      <c r="P427" s="24" t="inlineStr">
        <is>
          <t>incl.</t>
        </is>
      </c>
      <c r="Q427" s="100" t="n"/>
      <c r="R427" s="24" t="n">
        <v>1</v>
      </c>
      <c r="S427" s="24" t="n"/>
      <c r="T427" s="24" t="inlineStr">
        <is>
          <t>APPROX</t>
        </is>
      </c>
      <c r="U427" s="24" t="inlineStr">
        <is>
          <t>Additional Austria/Czechia benchmark. Original assignment and match quality retained.</t>
        </is>
      </c>
      <c r="V427" s="98" t="n">
        <v>9.08</v>
      </c>
      <c r="W427" s="98" t="n"/>
      <c r="X427" s="24" t="inlineStr">
        <is>
          <t>research_AT.xlsx</t>
        </is>
      </c>
      <c r="Y427" s="24" t="n"/>
      <c r="Z427" s="24" t="n"/>
      <c r="AA427" s="24" t="n"/>
      <c r="AB427" s="24" t="inlineStr">
        <is>
          <t>EUR</t>
        </is>
      </c>
      <c r="AC427" s="24" t="inlineStr">
        <is>
          <t>yes</t>
        </is>
      </c>
      <c r="AD427" s="24">
        <f>IF(ISNUMBER(V427),V427,"")</f>
        <v/>
      </c>
      <c r="AE427" s="24">
        <f>IF(AND(AC427="yes",ISNUMBER(F427),IF('Compare'!$H$5="All mapped",TRUE,IF('Compare'!$H$5="EXACT only",J427="EXACT",OR(J427="EXACT",J427="CLOSE")))),"yes","no")</f>
        <v/>
      </c>
      <c r="AF427" s="24">
        <f>IF(ISNUMBER(H427),COUNTIFS($B$7:$B$608,B427,$C$7:$C$608,C427,$H$7:$H$608,"&lt;"&amp;H427,$AH$7:$AH$608,"yes")+COUNTIFS($B$7:B427,B427,$C$7:C427,C427,$H$7:H427,H427,$AH$7:AH427,"yes"),"")</f>
        <v/>
      </c>
      <c r="AG427" s="24">
        <f>IF(ISNUMBER(I427),COUNTIFS($B$7:$B$608,B427,$C$7:$C$608,C427,$I$7:$I$608,"&lt;"&amp;I427,$AI$7:$AI$608,"yes")+COUNTIFS($B$7:B427,B427,$C$7:C427,C427,$I$7:I427,I427,$AI$7:AI427,"yes"),"")</f>
        <v/>
      </c>
      <c r="AH427" s="24">
        <f>IF(ISNUMBER(H427),"yes","no")</f>
        <v/>
      </c>
      <c r="AI427" s="24">
        <f>IF(ISNUMBER(I427),"yes","no")</f>
        <v/>
      </c>
      <c r="AJ427" s="101" t="n">
        <v>46295</v>
      </c>
      <c r="AK427" s="24" t="n"/>
    </row>
    <row r="428" ht="42" customHeight="1">
      <c r="A428" s="2" t="n"/>
      <c r="B428" s="27" t="inlineStr">
        <is>
          <t>GN 1/3 PC container, 100 mm</t>
        </is>
      </c>
      <c r="C428" s="27" t="inlineStr">
        <is>
          <t>Austria</t>
        </is>
      </c>
      <c r="D428" s="27" t="inlineStr">
        <is>
          <t>Intergastro (AT shop)</t>
        </is>
      </c>
      <c r="E428" s="27" t="inlineStr">
        <is>
          <t>Gastronorm Behälter GN 1/3 GN 96 BLACK Polycarbonat schwarz H 100 mm</t>
        </is>
      </c>
      <c r="F428" s="102" t="n">
        <v>6.9</v>
      </c>
      <c r="G428" s="27" t="inlineStr">
        <is>
          <t>EUR</t>
        </is>
      </c>
      <c r="H428" s="102">
        <f>IF(AND(AE428="yes",ISNUMBER(AD428)),AD428,"")</f>
        <v/>
      </c>
      <c r="I428" s="103">
        <f>IF(AND(AE428="yes",ISNUMBER(AD428),ISNUMBER(INDEX('Sources'!$G$7:$G$10,MATCH(AB428,'Sources'!$B$7:$B$10,0)))),AD428/INDEX('Sources'!$G$7:$G$10,MATCH(AB428,'Sources'!$B$7:$B$10,0)),"")</f>
        <v/>
      </c>
      <c r="J428" s="27" t="inlineStr">
        <is>
          <t>EXACT</t>
        </is>
      </c>
      <c r="K428" s="27" t="inlineStr">
        <is>
          <t>2026-09-30</t>
        </is>
      </c>
      <c r="L428" s="71" t="n"/>
      <c r="M428" s="27" t="inlineStr">
        <is>
          <t>Black PC</t>
        </is>
      </c>
      <c r="N428" s="28" t="inlineStr">
        <is>
          <t>https://www.intergastro.at/gastronorm-behaelter-gn-1-3-gn-96-black-polycarbonat-schwarz-h-100-mm-1016777</t>
        </is>
      </c>
      <c r="O428" s="27" t="inlineStr">
        <is>
          <t>WAS Germany</t>
        </is>
      </c>
      <c r="P428" s="27" t="inlineStr">
        <is>
          <t>excl.</t>
        </is>
      </c>
      <c r="Q428" s="104" t="n"/>
      <c r="R428" s="27" t="n">
        <v>1</v>
      </c>
      <c r="S428" s="27" t="n"/>
      <c r="T428" s="27" t="inlineStr">
        <is>
          <t>EXACT</t>
        </is>
      </c>
      <c r="U428" s="27" t="inlineStr">
        <is>
          <t>Additional Austria/Czechia benchmark. Original assignment and match quality retained.</t>
        </is>
      </c>
      <c r="V428" s="102" t="n">
        <v>6.9</v>
      </c>
      <c r="W428" s="102" t="n"/>
      <c r="X428" s="27" t="inlineStr">
        <is>
          <t>research_AT.xlsx</t>
        </is>
      </c>
      <c r="Y428" s="27" t="n"/>
      <c r="Z428" s="27" t="n"/>
      <c r="AA428" s="27" t="n"/>
      <c r="AB428" s="27" t="inlineStr">
        <is>
          <t>EUR</t>
        </is>
      </c>
      <c r="AC428" s="27" t="inlineStr">
        <is>
          <t>yes</t>
        </is>
      </c>
      <c r="AD428" s="27">
        <f>IF(ISNUMBER(V428),V428,"")</f>
        <v/>
      </c>
      <c r="AE428" s="27">
        <f>IF(AND(AC428="yes",ISNUMBER(F428),IF('Compare'!$H$5="All mapped",TRUE,IF('Compare'!$H$5="EXACT only",J428="EXACT",OR(J428="EXACT",J428="CLOSE")))),"yes","no")</f>
        <v/>
      </c>
      <c r="AF428" s="27">
        <f>IF(ISNUMBER(H428),COUNTIFS($B$7:$B$608,B428,$C$7:$C$608,C428,$H$7:$H$608,"&lt;"&amp;H428,$AH$7:$AH$608,"yes")+COUNTIFS($B$7:B428,B428,$C$7:C428,C428,$H$7:H428,H428,$AH$7:AH428,"yes"),"")</f>
        <v/>
      </c>
      <c r="AG428" s="27">
        <f>IF(ISNUMBER(I428),COUNTIFS($B$7:$B$608,B428,$C$7:$C$608,C428,$I$7:$I$608,"&lt;"&amp;I428,$AI$7:$AI$608,"yes")+COUNTIFS($B$7:B428,B428,$C$7:C428,C428,$I$7:I428,I428,$AI$7:AI428,"yes"),"")</f>
        <v/>
      </c>
      <c r="AH428" s="27">
        <f>IF(ISNUMBER(H428),"yes","no")</f>
        <v/>
      </c>
      <c r="AI428" s="27">
        <f>IF(ISNUMBER(I428),"yes","no")</f>
        <v/>
      </c>
      <c r="AJ428" s="105" t="n">
        <v>46295</v>
      </c>
      <c r="AK428" s="27" t="n"/>
    </row>
    <row r="429" ht="42" customHeight="1">
      <c r="A429" s="2" t="n"/>
      <c r="B429" s="24" t="inlineStr">
        <is>
          <t>GN 1/3 PC container, 100 mm</t>
        </is>
      </c>
      <c r="C429" s="24" t="inlineStr">
        <is>
          <t>Austria</t>
        </is>
      </c>
      <c r="D429" s="24" t="inlineStr">
        <is>
          <t>Jungheinrich PROFISHOP Austria</t>
        </is>
      </c>
      <c r="E429" s="24" t="inlineStr">
        <is>
          <t>Stalgast Gastronormbehälter, Polycarbonat, GN 1/3 (100 mm)</t>
        </is>
      </c>
      <c r="F429" s="98" t="n">
        <v>15.7</v>
      </c>
      <c r="G429" s="24" t="inlineStr">
        <is>
          <t>EUR</t>
        </is>
      </c>
      <c r="H429" s="98">
        <f>IF(AND(AE429="yes",ISNUMBER(AD429)),AD429,"")</f>
        <v/>
      </c>
      <c r="I429" s="99">
        <f>IF(AND(AE429="yes",ISNUMBER(AD429),ISNUMBER(INDEX('Sources'!$G$7:$G$10,MATCH(AB429,'Sources'!$B$7:$B$10,0)))),AD429/INDEX('Sources'!$G$7:$G$10,MATCH(AB429,'Sources'!$B$7:$B$10,0)),"")</f>
        <v/>
      </c>
      <c r="J429" s="24" t="inlineStr">
        <is>
          <t>EXACT</t>
        </is>
      </c>
      <c r="K429" s="24" t="inlineStr">
        <is>
          <t>2026-09-30</t>
        </is>
      </c>
      <c r="L429" s="71" t="n"/>
      <c r="M429" s="24" t="inlineStr">
        <is>
          <t>Black version 16.30</t>
        </is>
      </c>
      <c r="N429" s="25" t="inlineStr">
        <is>
          <t>https://www.jh-profishop.at/p/stalgast-gastronormbehaelter-polycarbonat-gn-1-3-100-mm-928263-347758/</t>
        </is>
      </c>
      <c r="O429" s="24" t="inlineStr">
        <is>
          <t>Stalgast</t>
        </is>
      </c>
      <c r="P429" s="24" t="inlineStr">
        <is>
          <t>excl.</t>
        </is>
      </c>
      <c r="Q429" s="100" t="n"/>
      <c r="R429" s="24" t="n">
        <v>1</v>
      </c>
      <c r="S429" s="24" t="n"/>
      <c r="T429" s="24" t="inlineStr">
        <is>
          <t>EXACT</t>
        </is>
      </c>
      <c r="U429" s="24" t="inlineStr">
        <is>
          <t>Additional Austria/Czechia benchmark. Original assignment and match quality retained.</t>
        </is>
      </c>
      <c r="V429" s="98" t="n">
        <v>15.7</v>
      </c>
      <c r="W429" s="98" t="n"/>
      <c r="X429" s="24" t="inlineStr">
        <is>
          <t>research_AT.xlsx</t>
        </is>
      </c>
      <c r="Y429" s="24" t="n"/>
      <c r="Z429" s="24" t="n"/>
      <c r="AA429" s="24" t="n"/>
      <c r="AB429" s="24" t="inlineStr">
        <is>
          <t>EUR</t>
        </is>
      </c>
      <c r="AC429" s="24" t="inlineStr">
        <is>
          <t>yes</t>
        </is>
      </c>
      <c r="AD429" s="24">
        <f>IF(ISNUMBER(V429),V429,"")</f>
        <v/>
      </c>
      <c r="AE429" s="24">
        <f>IF(AND(AC429="yes",ISNUMBER(F429),IF('Compare'!$H$5="All mapped",TRUE,IF('Compare'!$H$5="EXACT only",J429="EXACT",OR(J429="EXACT",J429="CLOSE")))),"yes","no")</f>
        <v/>
      </c>
      <c r="AF429" s="24">
        <f>IF(ISNUMBER(H429),COUNTIFS($B$7:$B$608,B429,$C$7:$C$608,C429,$H$7:$H$608,"&lt;"&amp;H429,$AH$7:$AH$608,"yes")+COUNTIFS($B$7:B429,B429,$C$7:C429,C429,$H$7:H429,H429,$AH$7:AH429,"yes"),"")</f>
        <v/>
      </c>
      <c r="AG429" s="24">
        <f>IF(ISNUMBER(I429),COUNTIFS($B$7:$B$608,B429,$C$7:$C$608,C429,$I$7:$I$608,"&lt;"&amp;I429,$AI$7:$AI$608,"yes")+COUNTIFS($B$7:B429,B429,$C$7:C429,C429,$I$7:I429,I429,$AI$7:AI429,"yes"),"")</f>
        <v/>
      </c>
      <c r="AH429" s="24">
        <f>IF(ISNUMBER(H429),"yes","no")</f>
        <v/>
      </c>
      <c r="AI429" s="24">
        <f>IF(ISNUMBER(I429),"yes","no")</f>
        <v/>
      </c>
      <c r="AJ429" s="101" t="n">
        <v>46295</v>
      </c>
      <c r="AK429" s="24" t="n"/>
    </row>
    <row r="430" ht="42" customHeight="1">
      <c r="A430" s="2" t="n"/>
      <c r="B430" s="27" t="inlineStr">
        <is>
          <t>GN 1/3 PC container, 100 mm</t>
        </is>
      </c>
      <c r="C430" s="27" t="inlineStr">
        <is>
          <t>Austria</t>
        </is>
      </c>
      <c r="D430" s="27" t="inlineStr">
        <is>
          <t>shopbuero.com</t>
        </is>
      </c>
      <c r="E430" s="27" t="inlineStr">
        <is>
          <t>GN-Behälter - GN 1/3 (325 x 176 mm) - 100 mm - Inhalt 3,8 l - Polycarbonat</t>
        </is>
      </c>
      <c r="F430" s="102" t="n">
        <v>6.4</v>
      </c>
      <c r="G430" s="27" t="inlineStr">
        <is>
          <t>EUR</t>
        </is>
      </c>
      <c r="H430" s="102">
        <f>IF(AND(AE430="yes",ISNUMBER(AD430)),AD430,"")</f>
        <v/>
      </c>
      <c r="I430" s="103">
        <f>IF(AND(AE430="yes",ISNUMBER(AD430),ISNUMBER(INDEX('Sources'!$G$7:$G$10,MATCH(AB430,'Sources'!$B$7:$B$10,0)))),AD430/INDEX('Sources'!$G$7:$G$10,MATCH(AB430,'Sources'!$B$7:$B$10,0)),"")</f>
        <v/>
      </c>
      <c r="J430" s="27" t="inlineStr">
        <is>
          <t>EXACT</t>
        </is>
      </c>
      <c r="K430" s="27" t="inlineStr">
        <is>
          <t>2026-09-30</t>
        </is>
      </c>
      <c r="L430" s="71" t="n"/>
      <c r="M430" s="27" t="inlineStr">
        <is>
          <t>Regular price 10.30</t>
        </is>
      </c>
      <c r="N430" s="28" t="inlineStr">
        <is>
          <t>https://shopbuero.com/gn-behaelter-gn-1-3-325-x-176-mm-100-mm-inhalt-3-8-l-polycarbonat/530121-C</t>
        </is>
      </c>
      <c r="O430" s="27" t="inlineStr">
        <is>
          <t>Schneider</t>
        </is>
      </c>
      <c r="P430" s="27" t="inlineStr">
        <is>
          <t>excl.</t>
        </is>
      </c>
      <c r="Q430" s="104" t="n"/>
      <c r="R430" s="27" t="n">
        <v>1</v>
      </c>
      <c r="S430" s="27" t="n"/>
      <c r="T430" s="27" t="inlineStr">
        <is>
          <t>EXACT</t>
        </is>
      </c>
      <c r="U430" s="27" t="inlineStr">
        <is>
          <t>Additional Austria/Czechia benchmark. Original assignment and match quality retained.</t>
        </is>
      </c>
      <c r="V430" s="102" t="n">
        <v>6.4</v>
      </c>
      <c r="W430" s="102" t="n"/>
      <c r="X430" s="27" t="inlineStr">
        <is>
          <t>research_AT.xlsx</t>
        </is>
      </c>
      <c r="Y430" s="27" t="n"/>
      <c r="Z430" s="27" t="n"/>
      <c r="AA430" s="27" t="n"/>
      <c r="AB430" s="27" t="inlineStr">
        <is>
          <t>EUR</t>
        </is>
      </c>
      <c r="AC430" s="27" t="inlineStr">
        <is>
          <t>yes</t>
        </is>
      </c>
      <c r="AD430" s="27">
        <f>IF(ISNUMBER(V430),V430,"")</f>
        <v/>
      </c>
      <c r="AE430" s="27">
        <f>IF(AND(AC430="yes",ISNUMBER(F430),IF('Compare'!$H$5="All mapped",TRUE,IF('Compare'!$H$5="EXACT only",J430="EXACT",OR(J430="EXACT",J430="CLOSE")))),"yes","no")</f>
        <v/>
      </c>
      <c r="AF430" s="27">
        <f>IF(ISNUMBER(H430),COUNTIFS($B$7:$B$608,B430,$C$7:$C$608,C430,$H$7:$H$608,"&lt;"&amp;H430,$AH$7:$AH$608,"yes")+COUNTIFS($B$7:B430,B430,$C$7:C430,C430,$H$7:H430,H430,$AH$7:AH430,"yes"),"")</f>
        <v/>
      </c>
      <c r="AG430" s="27">
        <f>IF(ISNUMBER(I430),COUNTIFS($B$7:$B$608,B430,$C$7:$C$608,C430,$I$7:$I$608,"&lt;"&amp;I430,$AI$7:$AI$608,"yes")+COUNTIFS($B$7:B430,B430,$C$7:C430,C430,$I$7:I430,I430,$AI$7:AI430,"yes"),"")</f>
        <v/>
      </c>
      <c r="AH430" s="27">
        <f>IF(ISNUMBER(H430),"yes","no")</f>
        <v/>
      </c>
      <c r="AI430" s="27">
        <f>IF(ISNUMBER(I430),"yes","no")</f>
        <v/>
      </c>
      <c r="AJ430" s="105" t="n">
        <v>46295</v>
      </c>
      <c r="AK430" s="27" t="n"/>
    </row>
    <row r="431" ht="42" customHeight="1">
      <c r="A431" s="2" t="n"/>
      <c r="B431" s="24" t="inlineStr">
        <is>
          <t>GN 1/3 PC container, 100 mm</t>
        </is>
      </c>
      <c r="C431" s="24" t="inlineStr">
        <is>
          <t>Czech</t>
        </is>
      </c>
      <c r="D431" s="24" t="inlineStr">
        <is>
          <t>GGM Gastro (CZ storefront)</t>
        </is>
      </c>
      <c r="E431" s="24" t="inlineStr">
        <is>
          <t>(12 ks) Gastronádoba GN 1/3 - polykarbonát - čirá - Výška: 100 mm</t>
        </is>
      </c>
      <c r="F431" s="98" t="n">
        <v>1606.13</v>
      </c>
      <c r="G431" s="24" t="inlineStr">
        <is>
          <t>CZK</t>
        </is>
      </c>
      <c r="H431" s="98">
        <f>IF(AND(AE431="yes",ISNUMBER(AD431)),AD431,"")</f>
        <v/>
      </c>
      <c r="I431" s="99">
        <f>IF(AND(AE431="yes",ISNUMBER(AD431),ISNUMBER(INDEX('Sources'!$G$7:$G$10,MATCH(AB431,'Sources'!$B$7:$B$10,0)))),AD431/INDEX('Sources'!$G$7:$G$10,MATCH(AB431,'Sources'!$B$7:$B$10,0)),"")</f>
        <v/>
      </c>
      <c r="J431" s="24" t="inlineStr">
        <is>
          <t>EXACT</t>
        </is>
      </c>
      <c r="K431" s="24" t="inlineStr">
        <is>
          <t>2026-09-30</t>
        </is>
      </c>
      <c r="L431" s="71" t="n"/>
      <c r="M431" s="24" t="inlineStr">
        <is>
          <t>SKU GPCP13100S; CZ title says 'čirá' (clear) while the same SKU is 'schwarz' on the German/Austrian storefronts</t>
        </is>
      </c>
      <c r="N431" s="25" t="inlineStr">
        <is>
          <t>https://www.ggmgastro.com/cs-cz-czk/12-ks-gastronadoba-gn-1-3-polykarbonat-cira-vyska-100-mm-gpcp13100s</t>
        </is>
      </c>
      <c r="O431" s="24" t="inlineStr">
        <is>
          <t>GGM</t>
        </is>
      </c>
      <c r="P431" s="24" t="inlineStr">
        <is>
          <t>excl.</t>
        </is>
      </c>
      <c r="Q431" s="100" t="n">
        <v>0.19</v>
      </c>
      <c r="R431" s="24" t="n">
        <v>12</v>
      </c>
      <c r="S431" s="24" t="inlineStr">
        <is>
          <t>per pack</t>
        </is>
      </c>
      <c r="T431" s="24" t="inlineStr">
        <is>
          <t>EXACT</t>
        </is>
      </c>
      <c r="U431" s="24" t="inlineStr">
        <is>
          <t>Additional Austria/Czechia benchmark. Original assignment and match quality retained.</t>
        </is>
      </c>
      <c r="V431" s="98" t="n"/>
      <c r="W431" s="98" t="n"/>
      <c r="X431" s="24" t="inlineStr">
        <is>
          <t>research_CZ.xlsx</t>
        </is>
      </c>
      <c r="Y431" s="24" t="n"/>
      <c r="Z431" s="24" t="n"/>
      <c r="AA431" s="24" t="n"/>
      <c r="AB431" s="24" t="inlineStr">
        <is>
          <t>CZK</t>
        </is>
      </c>
      <c r="AC431" s="24" t="inlineStr">
        <is>
          <t>yes</t>
        </is>
      </c>
      <c r="AD431" s="24">
        <f>IF(OR(F431="",Q431="",R431=""),"",ROUND(IF(P431="incl.",F431/(1+Q431),F431)/IF(S431="per pack",R431,1),2))</f>
        <v/>
      </c>
      <c r="AE431" s="24">
        <f>IF(AND(AC431="yes",ISNUMBER(F431),IF('Compare'!$H$5="All mapped",TRUE,IF('Compare'!$H$5="EXACT only",J431="EXACT",OR(J431="EXACT",J431="CLOSE")))),"yes","no")</f>
        <v/>
      </c>
      <c r="AF431" s="24">
        <f>IF(ISNUMBER(H431),COUNTIFS($B$7:$B$608,B431,$C$7:$C$608,C431,$H$7:$H$608,"&lt;"&amp;H431,$AH$7:$AH$608,"yes")+COUNTIFS($B$7:B431,B431,$C$7:C431,C431,$H$7:H431,H431,$AH$7:AH431,"yes"),"")</f>
        <v/>
      </c>
      <c r="AG431" s="24">
        <f>IF(ISNUMBER(I431),COUNTIFS($B$7:$B$608,B431,$C$7:$C$608,C431,$I$7:$I$608,"&lt;"&amp;I431,$AI$7:$AI$608,"yes")+COUNTIFS($B$7:B431,B431,$C$7:C431,C431,$I$7:I431,I431,$AI$7:AI431,"yes"),"")</f>
        <v/>
      </c>
      <c r="AH431" s="24">
        <f>IF(ISNUMBER(H431),"yes","no")</f>
        <v/>
      </c>
      <c r="AI431" s="24">
        <f>IF(ISNUMBER(I431),"yes","no")</f>
        <v/>
      </c>
      <c r="AJ431" s="101" t="n">
        <v>46295</v>
      </c>
      <c r="AK431" s="24" t="n"/>
    </row>
    <row r="432" ht="42" customHeight="1">
      <c r="A432" s="2" t="n"/>
      <c r="B432" s="27" t="inlineStr">
        <is>
          <t>GN 1/3 PC container, 100 mm</t>
        </is>
      </c>
      <c r="C432" s="27" t="inlineStr">
        <is>
          <t>Czech</t>
        </is>
      </c>
      <c r="D432" s="27" t="inlineStr">
        <is>
          <t>Gastro Novotný</t>
        </is>
      </c>
      <c r="E432" s="27" t="inlineStr">
        <is>
          <t>Gastronádoba PC 1/3 100</t>
        </is>
      </c>
      <c r="F432" s="102" t="n">
        <v>159</v>
      </c>
      <c r="G432" s="27" t="inlineStr">
        <is>
          <t>CZK</t>
        </is>
      </c>
      <c r="H432" s="102">
        <f>IF(AND(AE432="yes",ISNUMBER(AD432)),AD432,"")</f>
        <v/>
      </c>
      <c r="I432" s="103">
        <f>IF(AND(AE432="yes",ISNUMBER(AD432),ISNUMBER(INDEX('Sources'!$G$7:$G$10,MATCH(AB432,'Sources'!$B$7:$B$10,0)))),AD432/INDEX('Sources'!$G$7:$G$10,MATCH(AB432,'Sources'!$B$7:$B$10,0)),"")</f>
        <v/>
      </c>
      <c r="J432" s="27" t="inlineStr">
        <is>
          <t>EXACT</t>
        </is>
      </c>
      <c r="K432" s="27" t="inlineStr">
        <is>
          <t>2026-09-30</t>
        </is>
      </c>
      <c r="L432" s="71" t="n"/>
      <c r="M432" s="27" t="inlineStr">
        <is>
          <t>Code 0835131; 192.39 CZK incl. VAT</t>
        </is>
      </c>
      <c r="N432" s="28" t="inlineStr">
        <is>
          <t>https://eshop.gastronovotny.cz/gastronadoba-pc-1-3-100--0835131/</t>
        </is>
      </c>
      <c r="O432" s="27" t="n"/>
      <c r="P432" s="27" t="inlineStr">
        <is>
          <t>excl.</t>
        </is>
      </c>
      <c r="Q432" s="104" t="n">
        <v>0.21</v>
      </c>
      <c r="R432" s="27" t="n">
        <v>1</v>
      </c>
      <c r="S432" s="27" t="inlineStr">
        <is>
          <t>per piece</t>
        </is>
      </c>
      <c r="T432" s="27" t="inlineStr">
        <is>
          <t>EXACT</t>
        </is>
      </c>
      <c r="U432" s="27" t="inlineStr">
        <is>
          <t>Additional Austria/Czechia benchmark. Original assignment and match quality retained.</t>
        </is>
      </c>
      <c r="V432" s="102" t="n"/>
      <c r="W432" s="102" t="n"/>
      <c r="X432" s="27" t="inlineStr">
        <is>
          <t>research_CZ.xlsx</t>
        </is>
      </c>
      <c r="Y432" s="27" t="n"/>
      <c r="Z432" s="27" t="n"/>
      <c r="AA432" s="27" t="n"/>
      <c r="AB432" s="27" t="inlineStr">
        <is>
          <t>CZK</t>
        </is>
      </c>
      <c r="AC432" s="27" t="inlineStr">
        <is>
          <t>yes</t>
        </is>
      </c>
      <c r="AD432" s="27">
        <f>IF(OR(F432="",Q432="",R432=""),"",ROUND(IF(P432="incl.",F432/(1+Q432),F432)/IF(S432="per pack",R432,1),2))</f>
        <v/>
      </c>
      <c r="AE432" s="27">
        <f>IF(AND(AC432="yes",ISNUMBER(F432),IF('Compare'!$H$5="All mapped",TRUE,IF('Compare'!$H$5="EXACT only",J432="EXACT",OR(J432="EXACT",J432="CLOSE")))),"yes","no")</f>
        <v/>
      </c>
      <c r="AF432" s="27">
        <f>IF(ISNUMBER(H432),COUNTIFS($B$7:$B$608,B432,$C$7:$C$608,C432,$H$7:$H$608,"&lt;"&amp;H432,$AH$7:$AH$608,"yes")+COUNTIFS($B$7:B432,B432,$C$7:C432,C432,$H$7:H432,H432,$AH$7:AH432,"yes"),"")</f>
        <v/>
      </c>
      <c r="AG432" s="27">
        <f>IF(ISNUMBER(I432),COUNTIFS($B$7:$B$608,B432,$C$7:$C$608,C432,$I$7:$I$608,"&lt;"&amp;I432,$AI$7:$AI$608,"yes")+COUNTIFS($B$7:B432,B432,$C$7:C432,C432,$I$7:I432,I432,$AI$7:AI432,"yes"),"")</f>
        <v/>
      </c>
      <c r="AH432" s="27">
        <f>IF(ISNUMBER(H432),"yes","no")</f>
        <v/>
      </c>
      <c r="AI432" s="27">
        <f>IF(ISNUMBER(I432),"yes","no")</f>
        <v/>
      </c>
      <c r="AJ432" s="105" t="n">
        <v>46295</v>
      </c>
      <c r="AK432" s="27" t="n"/>
    </row>
    <row r="433" ht="42" customHeight="1">
      <c r="A433" s="2" t="n"/>
      <c r="B433" s="24" t="inlineStr">
        <is>
          <t>GN 1/3 PC container, 100 mm</t>
        </is>
      </c>
      <c r="C433" s="24" t="inlineStr">
        <is>
          <t>Czech</t>
        </is>
      </c>
      <c r="D433" s="24" t="inlineStr">
        <is>
          <t>Gastromania</t>
        </is>
      </c>
      <c r="E433" s="24" t="inlineStr">
        <is>
          <t>Gastro nádoba GN 1/3 100 mm, polykarbonát | YATO, YG-00411</t>
        </is>
      </c>
      <c r="F433" s="98" t="n">
        <v>134</v>
      </c>
      <c r="G433" s="24" t="inlineStr">
        <is>
          <t>CZK</t>
        </is>
      </c>
      <c r="H433" s="98">
        <f>IF(AND(AE433="yes",ISNUMBER(AD433)),AD433,"")</f>
        <v/>
      </c>
      <c r="I433" s="99">
        <f>IF(AND(AE433="yes",ISNUMBER(AD433),ISNUMBER(INDEX('Sources'!$G$7:$G$10,MATCH(AB433,'Sources'!$B$7:$B$10,0)))),AD433/INDEX('Sources'!$G$7:$G$10,MATCH(AB433,'Sources'!$B$7:$B$10,0)),"")</f>
        <v/>
      </c>
      <c r="J433" s="24" t="inlineStr">
        <is>
          <t>EXACT</t>
        </is>
      </c>
      <c r="K433" s="24" t="inlineStr">
        <is>
          <t>2026-09-30</t>
        </is>
      </c>
      <c r="L433" s="71" t="n"/>
      <c r="M433" s="24" t="inlineStr">
        <is>
          <t>Lowest PC GN 1/3 100; Stalgast Bufet PC 191, Cambro 229 CZK; price incl. 21% VAT as published in product data (current price, in stock)</t>
        </is>
      </c>
      <c r="N433" s="25" t="inlineStr">
        <is>
          <t>https://www.gastromania.cz/gastronadoby-polykarbonatove/gastro-nadoba-gn-1-3-100-mm-polykarbonat-yato-yg-00411</t>
        </is>
      </c>
      <c r="O433" s="24" t="inlineStr">
        <is>
          <t>Yato</t>
        </is>
      </c>
      <c r="P433" s="24" t="inlineStr">
        <is>
          <t>incl.</t>
        </is>
      </c>
      <c r="Q433" s="100" t="n">
        <v>0.21</v>
      </c>
      <c r="R433" s="24" t="n">
        <v>1</v>
      </c>
      <c r="S433" s="24" t="inlineStr">
        <is>
          <t>per piece</t>
        </is>
      </c>
      <c r="T433" s="24" t="inlineStr">
        <is>
          <t>EXACT</t>
        </is>
      </c>
      <c r="U433" s="24" t="inlineStr">
        <is>
          <t>Additional Austria/Czechia benchmark. Original assignment and match quality retained.</t>
        </is>
      </c>
      <c r="V433" s="98" t="n"/>
      <c r="W433" s="98" t="n"/>
      <c r="X433" s="24" t="inlineStr">
        <is>
          <t>research_CZ.xlsx</t>
        </is>
      </c>
      <c r="Y433" s="24" t="n"/>
      <c r="Z433" s="24" t="n"/>
      <c r="AA433" s="24" t="n"/>
      <c r="AB433" s="24" t="inlineStr">
        <is>
          <t>CZK</t>
        </is>
      </c>
      <c r="AC433" s="24" t="inlineStr">
        <is>
          <t>yes</t>
        </is>
      </c>
      <c r="AD433" s="24">
        <f>IF(OR(F433="",Q433="",R433=""),"",ROUND(IF(P433="incl.",F433/(1+Q433),F433)/IF(S433="per pack",R433,1),2))</f>
        <v/>
      </c>
      <c r="AE433" s="24">
        <f>IF(AND(AC433="yes",ISNUMBER(F433),IF('Compare'!$H$5="All mapped",TRUE,IF('Compare'!$H$5="EXACT only",J433="EXACT",OR(J433="EXACT",J433="CLOSE")))),"yes","no")</f>
        <v/>
      </c>
      <c r="AF433" s="24">
        <f>IF(ISNUMBER(H433),COUNTIFS($B$7:$B$608,B433,$C$7:$C$608,C433,$H$7:$H$608,"&lt;"&amp;H433,$AH$7:$AH$608,"yes")+COUNTIFS($B$7:B433,B433,$C$7:C433,C433,$H$7:H433,H433,$AH$7:AH433,"yes"),"")</f>
        <v/>
      </c>
      <c r="AG433" s="24">
        <f>IF(ISNUMBER(I433),COUNTIFS($B$7:$B$608,B433,$C$7:$C$608,C433,$I$7:$I$608,"&lt;"&amp;I433,$AI$7:$AI$608,"yes")+COUNTIFS($B$7:B433,B433,$C$7:C433,C433,$I$7:I433,I433,$AI$7:AI433,"yes"),"")</f>
        <v/>
      </c>
      <c r="AH433" s="24">
        <f>IF(ISNUMBER(H433),"yes","no")</f>
        <v/>
      </c>
      <c r="AI433" s="24">
        <f>IF(ISNUMBER(I433),"yes","no")</f>
        <v/>
      </c>
      <c r="AJ433" s="101" t="n">
        <v>46295</v>
      </c>
      <c r="AK433" s="24" t="n"/>
    </row>
    <row r="434" ht="42" customHeight="1">
      <c r="A434" s="2" t="n"/>
      <c r="B434" s="27" t="inlineStr">
        <is>
          <t>GN 1/3 PC container, 100 mm</t>
        </is>
      </c>
      <c r="C434" s="27" t="inlineStr">
        <is>
          <t>Czech</t>
        </is>
      </c>
      <c r="D434" s="27" t="inlineStr">
        <is>
          <t>Gastrozone</t>
        </is>
      </c>
      <c r="E434" s="27" t="inlineStr">
        <is>
          <t>ARAVEN Gastronádoba GN 1/3, polykarbonát, hloubka: 100 mm, objem: 3,7 L</t>
        </is>
      </c>
      <c r="F434" s="102" t="n">
        <v>283</v>
      </c>
      <c r="G434" s="27" t="inlineStr">
        <is>
          <t>CZK</t>
        </is>
      </c>
      <c r="H434" s="102">
        <f>IF(AND(AE434="yes",ISNUMBER(AD434)),AD434,"")</f>
        <v/>
      </c>
      <c r="I434" s="103">
        <f>IF(AND(AE434="yes",ISNUMBER(AD434),ISNUMBER(INDEX('Sources'!$G$7:$G$10,MATCH(AB434,'Sources'!$B$7:$B$10,0)))),AD434/INDEX('Sources'!$G$7:$G$10,MATCH(AB434,'Sources'!$B$7:$B$10,0)),"")</f>
        <v/>
      </c>
      <c r="J434" s="27" t="inlineStr">
        <is>
          <t>EXACT</t>
        </is>
      </c>
      <c r="K434" s="27" t="inlineStr">
        <is>
          <t>2026-09-30</t>
        </is>
      </c>
      <c r="L434" s="71" t="n"/>
      <c r="M434" s="27" t="inlineStr">
        <is>
          <t>233.88 CZK bez DPH; lowest PC GN 1/3 100; alternatives APS 295, Pujadas 381 CZK</t>
        </is>
      </c>
      <c r="N434" s="28" t="inlineStr">
        <is>
          <t>https://www.gastrozone.cz/araven-gn-nadoba-1-3-polykarbonat-hloubka-100-mm-objem-3-7-l.html</t>
        </is>
      </c>
      <c r="O434" s="27" t="inlineStr">
        <is>
          <t>Araven</t>
        </is>
      </c>
      <c r="P434" s="27" t="inlineStr">
        <is>
          <t>incl.</t>
        </is>
      </c>
      <c r="Q434" s="104" t="n">
        <v>0.21</v>
      </c>
      <c r="R434" s="27" t="n">
        <v>1</v>
      </c>
      <c r="S434" s="27" t="inlineStr">
        <is>
          <t>per piece</t>
        </is>
      </c>
      <c r="T434" s="27" t="inlineStr">
        <is>
          <t>EXACT</t>
        </is>
      </c>
      <c r="U434" s="27" t="inlineStr">
        <is>
          <t>Additional Austria/Czechia benchmark. Original assignment and match quality retained.</t>
        </is>
      </c>
      <c r="V434" s="102" t="n"/>
      <c r="W434" s="102" t="n"/>
      <c r="X434" s="27" t="inlineStr">
        <is>
          <t>research_CZ.xlsx</t>
        </is>
      </c>
      <c r="Y434" s="27" t="n"/>
      <c r="Z434" s="27" t="n"/>
      <c r="AA434" s="27" t="n"/>
      <c r="AB434" s="27" t="inlineStr">
        <is>
          <t>CZK</t>
        </is>
      </c>
      <c r="AC434" s="27" t="inlineStr">
        <is>
          <t>yes</t>
        </is>
      </c>
      <c r="AD434" s="27">
        <f>IF(OR(F434="",Q434="",R434=""),"",ROUND(IF(P434="incl.",F434/(1+Q434),F434)/IF(S434="per pack",R434,1),2))</f>
        <v/>
      </c>
      <c r="AE434" s="27">
        <f>IF(AND(AC434="yes",ISNUMBER(F434),IF('Compare'!$H$5="All mapped",TRUE,IF('Compare'!$H$5="EXACT only",J434="EXACT",OR(J434="EXACT",J434="CLOSE")))),"yes","no")</f>
        <v/>
      </c>
      <c r="AF434" s="27">
        <f>IF(ISNUMBER(H434),COUNTIFS($B$7:$B$608,B434,$C$7:$C$608,C434,$H$7:$H$608,"&lt;"&amp;H434,$AH$7:$AH$608,"yes")+COUNTIFS($B$7:B434,B434,$C$7:C434,C434,$H$7:H434,H434,$AH$7:AH434,"yes"),"")</f>
        <v/>
      </c>
      <c r="AG434" s="27">
        <f>IF(ISNUMBER(I434),COUNTIFS($B$7:$B$608,B434,$C$7:$C$608,C434,$I$7:$I$608,"&lt;"&amp;I434,$AI$7:$AI$608,"yes")+COUNTIFS($B$7:B434,B434,$C$7:C434,C434,$I$7:I434,I434,$AI$7:AI434,"yes"),"")</f>
        <v/>
      </c>
      <c r="AH434" s="27">
        <f>IF(ISNUMBER(H434),"yes","no")</f>
        <v/>
      </c>
      <c r="AI434" s="27">
        <f>IF(ISNUMBER(I434),"yes","no")</f>
        <v/>
      </c>
      <c r="AJ434" s="105" t="n">
        <v>46295</v>
      </c>
      <c r="AK434" s="27" t="n"/>
    </row>
    <row r="435" ht="42" customHeight="1">
      <c r="A435" s="2" t="n"/>
      <c r="B435" s="24" t="inlineStr">
        <is>
          <t>GN 1/3 PC container, 100 mm</t>
        </is>
      </c>
      <c r="C435" s="24" t="inlineStr">
        <is>
          <t>Czech</t>
        </is>
      </c>
      <c r="D435" s="24" t="inlineStr">
        <is>
          <t>TOMGAST</t>
        </is>
      </c>
      <c r="E435" s="24" t="inlineStr">
        <is>
          <t>Gastronádoba polykarbonátová GN 1/3 100 mm</t>
        </is>
      </c>
      <c r="F435" s="98" t="n">
        <v>229</v>
      </c>
      <c r="G435" s="24" t="inlineStr">
        <is>
          <t>CZK</t>
        </is>
      </c>
      <c r="H435" s="98">
        <f>IF(AND(AE435="yes",ISNUMBER(AD435)),AD435,"")</f>
        <v/>
      </c>
      <c r="I435" s="99">
        <f>IF(AND(AE435="yes",ISNUMBER(AD435),ISNUMBER(INDEX('Sources'!$G$7:$G$10,MATCH(AB435,'Sources'!$B$7:$B$10,0)))),AD435/INDEX('Sources'!$G$7:$G$10,MATCH(AB435,'Sources'!$B$7:$B$10,0)),"")</f>
        <v/>
      </c>
      <c r="J435" s="24" t="inlineStr">
        <is>
          <t>EXACT</t>
        </is>
      </c>
      <c r="K435" s="24" t="inlineStr">
        <is>
          <t>2026-09-30</t>
        </is>
      </c>
      <c r="L435" s="71" t="n"/>
      <c r="M435" s="24" t="inlineStr">
        <is>
          <t>Code R-M213100; 189 CZK bez DPH</t>
        </is>
      </c>
      <c r="N435" s="25" t="inlineStr">
        <is>
          <t>https://www.tomgast.cz/gastronadoba-polykarbonatova-gn-1-3-100-mm-2/</t>
        </is>
      </c>
      <c r="O435" s="24" t="inlineStr">
        <is>
          <t>Cambro</t>
        </is>
      </c>
      <c r="P435" s="24" t="inlineStr">
        <is>
          <t>incl.</t>
        </is>
      </c>
      <c r="Q435" s="100" t="n">
        <v>0.21</v>
      </c>
      <c r="R435" s="24" t="n">
        <v>1</v>
      </c>
      <c r="S435" s="24" t="inlineStr">
        <is>
          <t>per piece</t>
        </is>
      </c>
      <c r="T435" s="24" t="inlineStr">
        <is>
          <t>EXACT</t>
        </is>
      </c>
      <c r="U435" s="24" t="inlineStr">
        <is>
          <t>Additional Austria/Czechia benchmark. Original assignment and match quality retained.</t>
        </is>
      </c>
      <c r="V435" s="98" t="n"/>
      <c r="W435" s="98" t="n"/>
      <c r="X435" s="24" t="inlineStr">
        <is>
          <t>research_CZ.xlsx</t>
        </is>
      </c>
      <c r="Y435" s="24" t="n"/>
      <c r="Z435" s="24" t="n"/>
      <c r="AA435" s="24" t="n"/>
      <c r="AB435" s="24" t="inlineStr">
        <is>
          <t>CZK</t>
        </is>
      </c>
      <c r="AC435" s="24" t="inlineStr">
        <is>
          <t>yes</t>
        </is>
      </c>
      <c r="AD435" s="24">
        <f>IF(OR(F435="",Q435="",R435=""),"",ROUND(IF(P435="incl.",F435/(1+Q435),F435)/IF(S435="per pack",R435,1),2))</f>
        <v/>
      </c>
      <c r="AE435" s="24">
        <f>IF(AND(AC435="yes",ISNUMBER(F435),IF('Compare'!$H$5="All mapped",TRUE,IF('Compare'!$H$5="EXACT only",J435="EXACT",OR(J435="EXACT",J435="CLOSE")))),"yes","no")</f>
        <v/>
      </c>
      <c r="AF435" s="24">
        <f>IF(ISNUMBER(H435),COUNTIFS($B$7:$B$608,B435,$C$7:$C$608,C435,$H$7:$H$608,"&lt;"&amp;H435,$AH$7:$AH$608,"yes")+COUNTIFS($B$7:B435,B435,$C$7:C435,C435,$H$7:H435,H435,$AH$7:AH435,"yes"),"")</f>
        <v/>
      </c>
      <c r="AG435" s="24">
        <f>IF(ISNUMBER(I435),COUNTIFS($B$7:$B$608,B435,$C$7:$C$608,C435,$I$7:$I$608,"&lt;"&amp;I435,$AI$7:$AI$608,"yes")+COUNTIFS($B$7:B435,B435,$C$7:C435,C435,$I$7:I435,I435,$AI$7:AI435,"yes"),"")</f>
        <v/>
      </c>
      <c r="AH435" s="24">
        <f>IF(ISNUMBER(H435),"yes","no")</f>
        <v/>
      </c>
      <c r="AI435" s="24">
        <f>IF(ISNUMBER(I435),"yes","no")</f>
        <v/>
      </c>
      <c r="AJ435" s="101" t="n">
        <v>46295</v>
      </c>
      <c r="AK435" s="24" t="n"/>
    </row>
    <row r="436" ht="42" customHeight="1">
      <c r="A436" s="2" t="n"/>
      <c r="B436" s="27" t="inlineStr">
        <is>
          <t>GN 1/2 PP container, 150 mm</t>
        </is>
      </c>
      <c r="C436" s="27" t="inlineStr">
        <is>
          <t>Austria</t>
        </is>
      </c>
      <c r="D436" s="27" t="inlineStr">
        <is>
          <t>ALLPAX Österreich</t>
        </is>
      </c>
      <c r="E436" s="27" t="inlineStr">
        <is>
          <t>GN Behälter 1/2, 150 mm aus Kunststoff</t>
        </is>
      </c>
      <c r="F436" s="102" t="n">
        <v>4.5</v>
      </c>
      <c r="G436" s="27" t="inlineStr">
        <is>
          <t>EUR</t>
        </is>
      </c>
      <c r="H436" s="102">
        <f>IF(AND(AE436="yes",ISNUMBER(AD436)),AD436,"")</f>
        <v/>
      </c>
      <c r="I436" s="103">
        <f>IF(AND(AE436="yes",ISNUMBER(AD436),ISNUMBER(INDEX('Sources'!$G$7:$G$10,MATCH(AB436,'Sources'!$B$7:$B$10,0)))),AD436/INDEX('Sources'!$G$7:$G$10,MATCH(AB436,'Sources'!$B$7:$B$10,0)),"")</f>
        <v/>
      </c>
      <c r="J436" s="27" t="inlineStr">
        <is>
          <t>CLOSE</t>
        </is>
      </c>
      <c r="K436" s="27" t="inlineStr">
        <is>
          <t>2026-09-30</t>
        </is>
      </c>
      <c r="L436" s="71" t="n"/>
      <c r="M436" s="27" t="inlineStr">
        <is>
          <t>Plastic type not stated; 'jetzt' price, regular 5.85</t>
        </is>
      </c>
      <c r="N436" s="28" t="inlineStr">
        <is>
          <t>https://www.allpax.at/product_info.php/info/GN-Behaelter-1-2-150-mm-aus-Kunststoff.html</t>
        </is>
      </c>
      <c r="O436" s="27" t="n"/>
      <c r="P436" s="27" t="inlineStr">
        <is>
          <t>excl.</t>
        </is>
      </c>
      <c r="Q436" s="104" t="n"/>
      <c r="R436" s="27" t="n">
        <v>1</v>
      </c>
      <c r="S436" s="27" t="n"/>
      <c r="T436" s="27" t="inlineStr">
        <is>
          <t>CLOSE</t>
        </is>
      </c>
      <c r="U436" s="27" t="inlineStr">
        <is>
          <t>Additional Austria/Czechia benchmark. Original assignment and match quality retained.</t>
        </is>
      </c>
      <c r="V436" s="102" t="n">
        <v>4.5</v>
      </c>
      <c r="W436" s="102" t="n"/>
      <c r="X436" s="27" t="inlineStr">
        <is>
          <t>research_AT.xlsx</t>
        </is>
      </c>
      <c r="Y436" s="27" t="n"/>
      <c r="Z436" s="27" t="n"/>
      <c r="AA436" s="27" t="n"/>
      <c r="AB436" s="27" t="inlineStr">
        <is>
          <t>EUR</t>
        </is>
      </c>
      <c r="AC436" s="27" t="inlineStr">
        <is>
          <t>yes</t>
        </is>
      </c>
      <c r="AD436" s="27">
        <f>IF(ISNUMBER(V436),V436,"")</f>
        <v/>
      </c>
      <c r="AE436" s="27">
        <f>IF(AND(AC436="yes",ISNUMBER(F436),IF('Compare'!$H$5="All mapped",TRUE,IF('Compare'!$H$5="EXACT only",J436="EXACT",OR(J436="EXACT",J436="CLOSE")))),"yes","no")</f>
        <v/>
      </c>
      <c r="AF436" s="27">
        <f>IF(ISNUMBER(H436),COUNTIFS($B$7:$B$608,B436,$C$7:$C$608,C436,$H$7:$H$608,"&lt;"&amp;H436,$AH$7:$AH$608,"yes")+COUNTIFS($B$7:B436,B436,$C$7:C436,C436,$H$7:H436,H436,$AH$7:AH436,"yes"),"")</f>
        <v/>
      </c>
      <c r="AG436" s="27">
        <f>IF(ISNUMBER(I436),COUNTIFS($B$7:$B$608,B436,$C$7:$C$608,C436,$I$7:$I$608,"&lt;"&amp;I436,$AI$7:$AI$608,"yes")+COUNTIFS($B$7:B436,B436,$C$7:C436,C436,$I$7:I436,I436,$AI$7:AI436,"yes"),"")</f>
        <v/>
      </c>
      <c r="AH436" s="27">
        <f>IF(ISNUMBER(H436),"yes","no")</f>
        <v/>
      </c>
      <c r="AI436" s="27">
        <f>IF(ISNUMBER(I436),"yes","no")</f>
        <v/>
      </c>
      <c r="AJ436" s="105" t="n">
        <v>46295</v>
      </c>
      <c r="AK436" s="27" t="n"/>
    </row>
    <row r="437" ht="42" customHeight="1">
      <c r="A437" s="2" t="n"/>
      <c r="B437" s="24" t="inlineStr">
        <is>
          <t>GN 1/2 PP container, 150 mm</t>
        </is>
      </c>
      <c r="C437" s="24" t="inlineStr">
        <is>
          <t>Austria</t>
        </is>
      </c>
      <c r="D437" s="24" t="inlineStr">
        <is>
          <t>GGM Gastro (Austrian storefront)</t>
        </is>
      </c>
      <c r="E437" s="24" t="inlineStr">
        <is>
          <t>(12 Stück) Polypropylen-Behälter GN 1/2 - Milchig - Höhe: 150mm</t>
        </is>
      </c>
      <c r="F437" s="98" t="n">
        <v>50.99</v>
      </c>
      <c r="G437" s="24" t="inlineStr">
        <is>
          <t>EUR</t>
        </is>
      </c>
      <c r="H437" s="98">
        <f>IF(AND(AE437="yes",ISNUMBER(AD437)),AD437,"")</f>
        <v/>
      </c>
      <c r="I437" s="99">
        <f>IF(AND(AE437="yes",ISNUMBER(AD437),ISNUMBER(INDEX('Sources'!$G$7:$G$10,MATCH(AB437,'Sources'!$B$7:$B$10,0)))),AD437/INDEX('Sources'!$G$7:$G$10,MATCH(AB437,'Sources'!$B$7:$B$10,0)),"")</f>
        <v/>
      </c>
      <c r="J437" s="24" t="inlineStr">
        <is>
          <t>EXACT</t>
        </is>
      </c>
      <c r="K437" s="24" t="inlineStr">
        <is>
          <t>2026-09-30</t>
        </is>
      </c>
      <c r="L437" s="71" t="n"/>
      <c r="M437" s="24" t="n"/>
      <c r="N437" s="25" t="inlineStr">
        <is>
          <t>https://www.ggmgastro.com/de-at-eur/12-stueck-polypropylen-behaelter-gn-1-2-milchig-hoehe-150mm-gpp12150</t>
        </is>
      </c>
      <c r="O437" s="24" t="inlineStr">
        <is>
          <t>GGM</t>
        </is>
      </c>
      <c r="P437" s="24" t="inlineStr">
        <is>
          <t>excl.</t>
        </is>
      </c>
      <c r="Q437" s="100" t="n"/>
      <c r="R437" s="24" t="n">
        <v>12</v>
      </c>
      <c r="S437" s="24" t="inlineStr">
        <is>
          <t>set of 12</t>
        </is>
      </c>
      <c r="T437" s="24" t="inlineStr">
        <is>
          <t>EXACT</t>
        </is>
      </c>
      <c r="U437" s="24" t="inlineStr">
        <is>
          <t>Additional Austria/Czechia benchmark. Original assignment and match quality retained.</t>
        </is>
      </c>
      <c r="V437" s="98" t="n">
        <v>4.25</v>
      </c>
      <c r="W437" s="98" t="n"/>
      <c r="X437" s="24" t="inlineStr">
        <is>
          <t>research_AT.xlsx</t>
        </is>
      </c>
      <c r="Y437" s="24" t="n"/>
      <c r="Z437" s="24" t="n"/>
      <c r="AA437" s="24" t="n"/>
      <c r="AB437" s="24" t="inlineStr">
        <is>
          <t>EUR</t>
        </is>
      </c>
      <c r="AC437" s="24" t="inlineStr">
        <is>
          <t>yes</t>
        </is>
      </c>
      <c r="AD437" s="24">
        <f>IF(ISNUMBER(V437),V437,"")</f>
        <v/>
      </c>
      <c r="AE437" s="24">
        <f>IF(AND(AC437="yes",ISNUMBER(F437),IF('Compare'!$H$5="All mapped",TRUE,IF('Compare'!$H$5="EXACT only",J437="EXACT",OR(J437="EXACT",J437="CLOSE")))),"yes","no")</f>
        <v/>
      </c>
      <c r="AF437" s="24">
        <f>IF(ISNUMBER(H437),COUNTIFS($B$7:$B$608,B437,$C$7:$C$608,C437,$H$7:$H$608,"&lt;"&amp;H437,$AH$7:$AH$608,"yes")+COUNTIFS($B$7:B437,B437,$C$7:C437,C437,$H$7:H437,H437,$AH$7:AH437,"yes"),"")</f>
        <v/>
      </c>
      <c r="AG437" s="24">
        <f>IF(ISNUMBER(I437),COUNTIFS($B$7:$B$608,B437,$C$7:$C$608,C437,$I$7:$I$608,"&lt;"&amp;I437,$AI$7:$AI$608,"yes")+COUNTIFS($B$7:B437,B437,$C$7:C437,C437,$I$7:I437,I437,$AI$7:AI437,"yes"),"")</f>
        <v/>
      </c>
      <c r="AH437" s="24">
        <f>IF(ISNUMBER(H437),"yes","no")</f>
        <v/>
      </c>
      <c r="AI437" s="24">
        <f>IF(ISNUMBER(I437),"yes","no")</f>
        <v/>
      </c>
      <c r="AJ437" s="101" t="n">
        <v>46295</v>
      </c>
      <c r="AK437" s="24" t="n"/>
    </row>
    <row r="438" ht="42" customHeight="1">
      <c r="A438" s="2" t="n"/>
      <c r="B438" s="27" t="inlineStr">
        <is>
          <t>GN 1/2 PP container, 150 mm</t>
        </is>
      </c>
      <c r="C438" s="27" t="inlineStr">
        <is>
          <t>Austria</t>
        </is>
      </c>
      <c r="D438" s="27" t="inlineStr">
        <is>
          <t>Gastro Star</t>
        </is>
      </c>
      <c r="E438" s="27" t="inlineStr">
        <is>
          <t>Polypropylen Behälter GN 1/2 – 325x265x150mm</t>
        </is>
      </c>
      <c r="F438" s="102" t="n">
        <v>7.5</v>
      </c>
      <c r="G438" s="27" t="inlineStr">
        <is>
          <t>EUR</t>
        </is>
      </c>
      <c r="H438" s="102">
        <f>IF(AND(AE438="yes",ISNUMBER(AD438)),AD438,"")</f>
        <v/>
      </c>
      <c r="I438" s="103">
        <f>IF(AND(AE438="yes",ISNUMBER(AD438),ISNUMBER(INDEX('Sources'!$G$7:$G$10,MATCH(AB438,'Sources'!$B$7:$B$10,0)))),AD438/INDEX('Sources'!$G$7:$G$10,MATCH(AB438,'Sources'!$B$7:$B$10,0)),"")</f>
        <v/>
      </c>
      <c r="J438" s="27" t="inlineStr">
        <is>
          <t>EXACT</t>
        </is>
      </c>
      <c r="K438" s="27" t="inlineStr">
        <is>
          <t>2026-09-30</t>
        </is>
      </c>
      <c r="L438" s="71" t="n"/>
      <c r="M438" s="27" t="inlineStr">
        <is>
          <t>Gross 9.00</t>
        </is>
      </c>
      <c r="N438" s="28" t="inlineStr">
        <is>
          <t>https://www.gastro-star.at/produkt/polypropylenbehaeltergn12-325x265x150mm/</t>
        </is>
      </c>
      <c r="O438" s="27" t="inlineStr">
        <is>
          <t>Hendi</t>
        </is>
      </c>
      <c r="P438" s="27" t="inlineStr">
        <is>
          <t>excl.</t>
        </is>
      </c>
      <c r="Q438" s="104" t="n"/>
      <c r="R438" s="27" t="n">
        <v>1</v>
      </c>
      <c r="S438" s="27" t="n"/>
      <c r="T438" s="27" t="inlineStr">
        <is>
          <t>EXACT</t>
        </is>
      </c>
      <c r="U438" s="27" t="inlineStr">
        <is>
          <t>Additional Austria/Czechia benchmark. Original assignment and match quality retained.</t>
        </is>
      </c>
      <c r="V438" s="102" t="n">
        <v>7.5</v>
      </c>
      <c r="W438" s="102" t="n"/>
      <c r="X438" s="27" t="inlineStr">
        <is>
          <t>research_AT.xlsx</t>
        </is>
      </c>
      <c r="Y438" s="27" t="n"/>
      <c r="Z438" s="27" t="n"/>
      <c r="AA438" s="27" t="n"/>
      <c r="AB438" s="27" t="inlineStr">
        <is>
          <t>EUR</t>
        </is>
      </c>
      <c r="AC438" s="27" t="inlineStr">
        <is>
          <t>yes</t>
        </is>
      </c>
      <c r="AD438" s="27">
        <f>IF(ISNUMBER(V438),V438,"")</f>
        <v/>
      </c>
      <c r="AE438" s="27">
        <f>IF(AND(AC438="yes",ISNUMBER(F438),IF('Compare'!$H$5="All mapped",TRUE,IF('Compare'!$H$5="EXACT only",J438="EXACT",OR(J438="EXACT",J438="CLOSE")))),"yes","no")</f>
        <v/>
      </c>
      <c r="AF438" s="27">
        <f>IF(ISNUMBER(H438),COUNTIFS($B$7:$B$608,B438,$C$7:$C$608,C438,$H$7:$H$608,"&lt;"&amp;H438,$AH$7:$AH$608,"yes")+COUNTIFS($B$7:B438,B438,$C$7:C438,C438,$H$7:H438,H438,$AH$7:AH438,"yes"),"")</f>
        <v/>
      </c>
      <c r="AG438" s="27">
        <f>IF(ISNUMBER(I438),COUNTIFS($B$7:$B$608,B438,$C$7:$C$608,C438,$I$7:$I$608,"&lt;"&amp;I438,$AI$7:$AI$608,"yes")+COUNTIFS($B$7:B438,B438,$C$7:C438,C438,$I$7:I438,I438,$AI$7:AI438,"yes"),"")</f>
        <v/>
      </c>
      <c r="AH438" s="27">
        <f>IF(ISNUMBER(H438),"yes","no")</f>
        <v/>
      </c>
      <c r="AI438" s="27">
        <f>IF(ISNUMBER(I438),"yes","no")</f>
        <v/>
      </c>
      <c r="AJ438" s="105" t="n">
        <v>46295</v>
      </c>
      <c r="AK438" s="27" t="n"/>
    </row>
    <row r="439" ht="42" customHeight="1">
      <c r="A439" s="2" t="n"/>
      <c r="B439" s="24" t="inlineStr">
        <is>
          <t>GN 1/2 PP container, 150 mm</t>
        </is>
      </c>
      <c r="C439" s="24" t="inlineStr">
        <is>
          <t>Austria</t>
        </is>
      </c>
      <c r="D439" s="24" t="inlineStr">
        <is>
          <t>GastroHero Österreich</t>
        </is>
      </c>
      <c r="E439" s="24" t="inlineStr">
        <is>
          <t>Schneider PP GN 1/2 Behälter 150 mm, 9 l</t>
        </is>
      </c>
      <c r="F439" s="98" t="n">
        <v>10.89</v>
      </c>
      <c r="G439" s="24" t="inlineStr">
        <is>
          <t>EUR</t>
        </is>
      </c>
      <c r="H439" s="98">
        <f>IF(AND(AE439="yes",ISNUMBER(AD439)),AD439,"")</f>
        <v/>
      </c>
      <c r="I439" s="99">
        <f>IF(AND(AE439="yes",ISNUMBER(AD439),ISNUMBER(INDEX('Sources'!$G$7:$G$10,MATCH(AB439,'Sources'!$B$7:$B$10,0)))),AD439/INDEX('Sources'!$G$7:$G$10,MATCH(AB439,'Sources'!$B$7:$B$10,0)),"")</f>
        <v/>
      </c>
      <c r="J439" s="24" t="inlineStr">
        <is>
          <t>EXACT</t>
        </is>
      </c>
      <c r="K439" s="24" t="inlineStr">
        <is>
          <t>2026-09-30</t>
        </is>
      </c>
      <c r="L439" s="71" t="n"/>
      <c r="M439" s="24" t="inlineStr">
        <is>
          <t>Min. qty 8</t>
        </is>
      </c>
      <c r="N439" s="25" t="inlineStr">
        <is>
          <t>https://www.gastro-hero.at/products/schneider-pp-gn-12-behaelter-150-mm-9-l-530012</t>
        </is>
      </c>
      <c r="O439" s="24" t="inlineStr">
        <is>
          <t>Schneider</t>
        </is>
      </c>
      <c r="P439" s="24" t="inlineStr">
        <is>
          <t>excl.</t>
        </is>
      </c>
      <c r="Q439" s="100" t="n"/>
      <c r="R439" s="24" t="n">
        <v>1</v>
      </c>
      <c r="S439" s="24" t="n"/>
      <c r="T439" s="24" t="inlineStr">
        <is>
          <t>EXACT</t>
        </is>
      </c>
      <c r="U439" s="24" t="inlineStr">
        <is>
          <t>Additional Austria/Czechia benchmark. Original assignment and match quality retained.</t>
        </is>
      </c>
      <c r="V439" s="98" t="n">
        <v>10.89</v>
      </c>
      <c r="W439" s="98" t="n"/>
      <c r="X439" s="24" t="inlineStr">
        <is>
          <t>research_AT.xlsx</t>
        </is>
      </c>
      <c r="Y439" s="24" t="n"/>
      <c r="Z439" s="24" t="n"/>
      <c r="AA439" s="24" t="n"/>
      <c r="AB439" s="24" t="inlineStr">
        <is>
          <t>EUR</t>
        </is>
      </c>
      <c r="AC439" s="24" t="inlineStr">
        <is>
          <t>yes</t>
        </is>
      </c>
      <c r="AD439" s="24">
        <f>IF(ISNUMBER(V439),V439,"")</f>
        <v/>
      </c>
      <c r="AE439" s="24">
        <f>IF(AND(AC439="yes",ISNUMBER(F439),IF('Compare'!$H$5="All mapped",TRUE,IF('Compare'!$H$5="EXACT only",J439="EXACT",OR(J439="EXACT",J439="CLOSE")))),"yes","no")</f>
        <v/>
      </c>
      <c r="AF439" s="24">
        <f>IF(ISNUMBER(H439),COUNTIFS($B$7:$B$608,B439,$C$7:$C$608,C439,$H$7:$H$608,"&lt;"&amp;H439,$AH$7:$AH$608,"yes")+COUNTIFS($B$7:B439,B439,$C$7:C439,C439,$H$7:H439,H439,$AH$7:AH439,"yes"),"")</f>
        <v/>
      </c>
      <c r="AG439" s="24">
        <f>IF(ISNUMBER(I439),COUNTIFS($B$7:$B$608,B439,$C$7:$C$608,C439,$I$7:$I$608,"&lt;"&amp;I439,$AI$7:$AI$608,"yes")+COUNTIFS($B$7:B439,B439,$C$7:C439,C439,$I$7:I439,I439,$AI$7:AI439,"yes"),"")</f>
        <v/>
      </c>
      <c r="AH439" s="24">
        <f>IF(ISNUMBER(H439),"yes","no")</f>
        <v/>
      </c>
      <c r="AI439" s="24">
        <f>IF(ISNUMBER(I439),"yes","no")</f>
        <v/>
      </c>
      <c r="AJ439" s="101" t="n">
        <v>46295</v>
      </c>
      <c r="AK439" s="24" t="n"/>
    </row>
    <row r="440" ht="42" customHeight="1">
      <c r="A440" s="2" t="n"/>
      <c r="B440" s="27" t="inlineStr">
        <is>
          <t>GN 1/2 PP container, 150 mm</t>
        </is>
      </c>
      <c r="C440" s="27" t="inlineStr">
        <is>
          <t>Austria</t>
        </is>
      </c>
      <c r="D440" s="27" t="inlineStr">
        <is>
          <t>Gastrodax</t>
        </is>
      </c>
      <c r="E440" s="27" t="inlineStr">
        <is>
          <t>Hendi Gastronorm-Behälter 1/2, 9,5L, Transparent, 325x265x(H)150mm – Polypropylen</t>
        </is>
      </c>
      <c r="F440" s="102" t="n">
        <v>12.53</v>
      </c>
      <c r="G440" s="27" t="inlineStr">
        <is>
          <t>EUR</t>
        </is>
      </c>
      <c r="H440" s="102">
        <f>IF(AND(AE440="yes",ISNUMBER(AD440)),AD440,"")</f>
        <v/>
      </c>
      <c r="I440" s="103">
        <f>IF(AND(AE440="yes",ISNUMBER(AD440),ISNUMBER(INDEX('Sources'!$G$7:$G$10,MATCH(AB440,'Sources'!$B$7:$B$10,0)))),AD440/INDEX('Sources'!$G$7:$G$10,MATCH(AB440,'Sources'!$B$7:$B$10,0)),"")</f>
        <v/>
      </c>
      <c r="J440" s="27" t="inlineStr">
        <is>
          <t>EXACT</t>
        </is>
      </c>
      <c r="K440" s="27" t="inlineStr">
        <is>
          <t>2026-09-30</t>
        </is>
      </c>
      <c r="L440" s="71" t="n"/>
      <c r="M440" s="27" t="n"/>
      <c r="N440" s="28" t="inlineStr">
        <is>
          <t>https://www.gastrodax.de/hendi-haccp-aufbewahrungsbehaelter-gn-1-2-9-5-l-transparent-325-x-265-x-h-150-mm</t>
        </is>
      </c>
      <c r="O440" s="27" t="inlineStr">
        <is>
          <t>Hendi</t>
        </is>
      </c>
      <c r="P440" s="27" t="inlineStr">
        <is>
          <t>excl.</t>
        </is>
      </c>
      <c r="Q440" s="104" t="n"/>
      <c r="R440" s="27" t="n">
        <v>1</v>
      </c>
      <c r="S440" s="27" t="n"/>
      <c r="T440" s="27" t="inlineStr">
        <is>
          <t>EXACT</t>
        </is>
      </c>
      <c r="U440" s="27" t="inlineStr">
        <is>
          <t>Additional Austria/Czechia benchmark. Original assignment and match quality retained.</t>
        </is>
      </c>
      <c r="V440" s="102" t="n">
        <v>12.53</v>
      </c>
      <c r="W440" s="102" t="n"/>
      <c r="X440" s="27" t="inlineStr">
        <is>
          <t>research_AT.xlsx</t>
        </is>
      </c>
      <c r="Y440" s="27" t="n"/>
      <c r="Z440" s="27" t="n"/>
      <c r="AA440" s="27" t="n"/>
      <c r="AB440" s="27" t="inlineStr">
        <is>
          <t>EUR</t>
        </is>
      </c>
      <c r="AC440" s="27" t="inlineStr">
        <is>
          <t>yes</t>
        </is>
      </c>
      <c r="AD440" s="27">
        <f>IF(ISNUMBER(V440),V440,"")</f>
        <v/>
      </c>
      <c r="AE440" s="27">
        <f>IF(AND(AC440="yes",ISNUMBER(F440),IF('Compare'!$H$5="All mapped",TRUE,IF('Compare'!$H$5="EXACT only",J440="EXACT",OR(J440="EXACT",J440="CLOSE")))),"yes","no")</f>
        <v/>
      </c>
      <c r="AF440" s="27">
        <f>IF(ISNUMBER(H440),COUNTIFS($B$7:$B$608,B440,$C$7:$C$608,C440,$H$7:$H$608,"&lt;"&amp;H440,$AH$7:$AH$608,"yes")+COUNTIFS($B$7:B440,B440,$C$7:C440,C440,$H$7:H440,H440,$AH$7:AH440,"yes"),"")</f>
        <v/>
      </c>
      <c r="AG440" s="27">
        <f>IF(ISNUMBER(I440),COUNTIFS($B$7:$B$608,B440,$C$7:$C$608,C440,$I$7:$I$608,"&lt;"&amp;I440,$AI$7:$AI$608,"yes")+COUNTIFS($B$7:B440,B440,$C$7:C440,C440,$I$7:I440,I440,$AI$7:AI440,"yes"),"")</f>
        <v/>
      </c>
      <c r="AH440" s="27">
        <f>IF(ISNUMBER(H440),"yes","no")</f>
        <v/>
      </c>
      <c r="AI440" s="27">
        <f>IF(ISNUMBER(I440),"yes","no")</f>
        <v/>
      </c>
      <c r="AJ440" s="105" t="n">
        <v>46295</v>
      </c>
      <c r="AK440" s="27" t="n"/>
    </row>
    <row r="441" ht="42" customHeight="1">
      <c r="A441" s="2" t="n"/>
      <c r="B441" s="24" t="inlineStr">
        <is>
          <t>GN 1/2 PP container, 150 mm</t>
        </is>
      </c>
      <c r="C441" s="24" t="inlineStr">
        <is>
          <t>Austria</t>
        </is>
      </c>
      <c r="D441" s="24" t="inlineStr">
        <is>
          <t>Gastroladen.at (Harotec GmbH)</t>
        </is>
      </c>
      <c r="E441" s="24" t="inlineStr">
        <is>
          <t>Cambro Polypropylen GN 1/2 Behälter 150mm</t>
        </is>
      </c>
      <c r="F441" s="98" t="n">
        <v>18.39</v>
      </c>
      <c r="G441" s="24" t="inlineStr">
        <is>
          <t>EUR</t>
        </is>
      </c>
      <c r="H441" s="98">
        <f>IF(AND(AE441="yes",ISNUMBER(AD441)),AD441,"")</f>
        <v/>
      </c>
      <c r="I441" s="99">
        <f>IF(AND(AE441="yes",ISNUMBER(AD441),ISNUMBER(INDEX('Sources'!$G$7:$G$10,MATCH(AB441,'Sources'!$B$7:$B$10,0)))),AD441/INDEX('Sources'!$G$7:$G$10,MATCH(AB441,'Sources'!$B$7:$B$10,0)),"")</f>
        <v/>
      </c>
      <c r="J441" s="24" t="inlineStr">
        <is>
          <t>EXACT</t>
        </is>
      </c>
      <c r="K441" s="24" t="inlineStr">
        <is>
          <t>2026-09-30</t>
        </is>
      </c>
      <c r="L441" s="71" t="n"/>
      <c r="M441" s="24" t="inlineStr">
        <is>
          <t>8.9 l</t>
        </is>
      </c>
      <c r="N441" s="25" t="inlineStr">
        <is>
          <t>https://www.gastroladen.at/3030@GN-DW503/Cambro-Polypropylen-GN-1-2-Beh%C3%A4lter-150mm.htm</t>
        </is>
      </c>
      <c r="O441" s="24" t="inlineStr">
        <is>
          <t>Cambro</t>
        </is>
      </c>
      <c r="P441" s="24" t="inlineStr">
        <is>
          <t>incl.</t>
        </is>
      </c>
      <c r="Q441" s="100" t="n"/>
      <c r="R441" s="24" t="n">
        <v>1</v>
      </c>
      <c r="S441" s="24" t="n"/>
      <c r="T441" s="24" t="inlineStr">
        <is>
          <t>EXACT</t>
        </is>
      </c>
      <c r="U441" s="24" t="inlineStr">
        <is>
          <t>Additional Austria/Czechia benchmark. Original assignment and match quality retained.</t>
        </is>
      </c>
      <c r="V441" s="98" t="n">
        <v>15.33</v>
      </c>
      <c r="W441" s="98" t="n"/>
      <c r="X441" s="24" t="inlineStr">
        <is>
          <t>research_AT.xlsx</t>
        </is>
      </c>
      <c r="Y441" s="24" t="n"/>
      <c r="Z441" s="24" t="n"/>
      <c r="AA441" s="24" t="n"/>
      <c r="AB441" s="24" t="inlineStr">
        <is>
          <t>EUR</t>
        </is>
      </c>
      <c r="AC441" s="24" t="inlineStr">
        <is>
          <t>yes</t>
        </is>
      </c>
      <c r="AD441" s="24">
        <f>IF(ISNUMBER(V441),V441,"")</f>
        <v/>
      </c>
      <c r="AE441" s="24">
        <f>IF(AND(AC441="yes",ISNUMBER(F441),IF('Compare'!$H$5="All mapped",TRUE,IF('Compare'!$H$5="EXACT only",J441="EXACT",OR(J441="EXACT",J441="CLOSE")))),"yes","no")</f>
        <v/>
      </c>
      <c r="AF441" s="24">
        <f>IF(ISNUMBER(H441),COUNTIFS($B$7:$B$608,B441,$C$7:$C$608,C441,$H$7:$H$608,"&lt;"&amp;H441,$AH$7:$AH$608,"yes")+COUNTIFS($B$7:B441,B441,$C$7:C441,C441,$H$7:H441,H441,$AH$7:AH441,"yes"),"")</f>
        <v/>
      </c>
      <c r="AG441" s="24">
        <f>IF(ISNUMBER(I441),COUNTIFS($B$7:$B$608,B441,$C$7:$C$608,C441,$I$7:$I$608,"&lt;"&amp;I441,$AI$7:$AI$608,"yes")+COUNTIFS($B$7:B441,B441,$C$7:C441,C441,$I$7:I441,I441,$AI$7:AI441,"yes"),"")</f>
        <v/>
      </c>
      <c r="AH441" s="24">
        <f>IF(ISNUMBER(H441),"yes","no")</f>
        <v/>
      </c>
      <c r="AI441" s="24">
        <f>IF(ISNUMBER(I441),"yes","no")</f>
        <v/>
      </c>
      <c r="AJ441" s="101" t="n">
        <v>46295</v>
      </c>
      <c r="AK441" s="24" t="n"/>
    </row>
    <row r="442" ht="42" customHeight="1">
      <c r="A442" s="2" t="n"/>
      <c r="B442" s="27" t="inlineStr">
        <is>
          <t>GN 1/2 PP container, 150 mm</t>
        </is>
      </c>
      <c r="C442" s="27" t="inlineStr">
        <is>
          <t>Austria</t>
        </is>
      </c>
      <c r="D442" s="27" t="inlineStr">
        <is>
          <t>Intergastro (AT shop)</t>
        </is>
      </c>
      <c r="E442" s="27" t="inlineStr">
        <is>
          <t>GN Behälter GN 1/2 x 150 mm Kunststoff</t>
        </is>
      </c>
      <c r="F442" s="102" t="n">
        <v>6.2</v>
      </c>
      <c r="G442" s="27" t="inlineStr">
        <is>
          <t>EUR</t>
        </is>
      </c>
      <c r="H442" s="102">
        <f>IF(AND(AE442="yes",ISNUMBER(AD442)),AD442,"")</f>
        <v/>
      </c>
      <c r="I442" s="103">
        <f>IF(AND(AE442="yes",ISNUMBER(AD442),ISNUMBER(INDEX('Sources'!$G$7:$G$10,MATCH(AB442,'Sources'!$B$7:$B$10,0)))),AD442/INDEX('Sources'!$G$7:$G$10,MATCH(AB442,'Sources'!$B$7:$B$10,0)),"")</f>
        <v/>
      </c>
      <c r="J442" s="27" t="inlineStr">
        <is>
          <t>CLOSE</t>
        </is>
      </c>
      <c r="K442" s="27" t="inlineStr">
        <is>
          <t>2026-09-30</t>
        </is>
      </c>
      <c r="L442" s="71" t="n"/>
      <c r="M442" s="27" t="inlineStr">
        <is>
          <t>Plastic type not stated on page (APS PP line); the WAS GN 84 PP 1/2 150 mm is only a variant option of the 65 mm page and not separately priced</t>
        </is>
      </c>
      <c r="N442" s="28" t="inlineStr">
        <is>
          <t>https://www.intergastro.at/gn-behaelter-gn-1-2-x-150-mm-kunststoff-253638</t>
        </is>
      </c>
      <c r="O442" s="27" t="inlineStr">
        <is>
          <t>APS</t>
        </is>
      </c>
      <c r="P442" s="27" t="inlineStr">
        <is>
          <t>excl.</t>
        </is>
      </c>
      <c r="Q442" s="104" t="n"/>
      <c r="R442" s="27" t="n">
        <v>1</v>
      </c>
      <c r="S442" s="27" t="n"/>
      <c r="T442" s="27" t="inlineStr">
        <is>
          <t>CLOSE</t>
        </is>
      </c>
      <c r="U442" s="27" t="inlineStr">
        <is>
          <t>Additional Austria/Czechia benchmark. Original assignment and match quality retained.</t>
        </is>
      </c>
      <c r="V442" s="102" t="n">
        <v>6.2</v>
      </c>
      <c r="W442" s="102" t="n"/>
      <c r="X442" s="27" t="inlineStr">
        <is>
          <t>research_AT.xlsx</t>
        </is>
      </c>
      <c r="Y442" s="27" t="n"/>
      <c r="Z442" s="27" t="n"/>
      <c r="AA442" s="27" t="n"/>
      <c r="AB442" s="27" t="inlineStr">
        <is>
          <t>EUR</t>
        </is>
      </c>
      <c r="AC442" s="27" t="inlineStr">
        <is>
          <t>yes</t>
        </is>
      </c>
      <c r="AD442" s="27">
        <f>IF(ISNUMBER(V442),V442,"")</f>
        <v/>
      </c>
      <c r="AE442" s="27">
        <f>IF(AND(AC442="yes",ISNUMBER(F442),IF('Compare'!$H$5="All mapped",TRUE,IF('Compare'!$H$5="EXACT only",J442="EXACT",OR(J442="EXACT",J442="CLOSE")))),"yes","no")</f>
        <v/>
      </c>
      <c r="AF442" s="27">
        <f>IF(ISNUMBER(H442),COUNTIFS($B$7:$B$608,B442,$C$7:$C$608,C442,$H$7:$H$608,"&lt;"&amp;H442,$AH$7:$AH$608,"yes")+COUNTIFS($B$7:B442,B442,$C$7:C442,C442,$H$7:H442,H442,$AH$7:AH442,"yes"),"")</f>
        <v/>
      </c>
      <c r="AG442" s="27">
        <f>IF(ISNUMBER(I442),COUNTIFS($B$7:$B$608,B442,$C$7:$C$608,C442,$I$7:$I$608,"&lt;"&amp;I442,$AI$7:$AI$608,"yes")+COUNTIFS($B$7:B442,B442,$C$7:C442,C442,$I$7:I442,I442,$AI$7:AI442,"yes"),"")</f>
        <v/>
      </c>
      <c r="AH442" s="27">
        <f>IF(ISNUMBER(H442),"yes","no")</f>
        <v/>
      </c>
      <c r="AI442" s="27">
        <f>IF(ISNUMBER(I442),"yes","no")</f>
        <v/>
      </c>
      <c r="AJ442" s="105" t="n">
        <v>46295</v>
      </c>
      <c r="AK442" s="27" t="n"/>
    </row>
    <row r="443" ht="42" customHeight="1">
      <c r="A443" s="2" t="n"/>
      <c r="B443" s="24" t="inlineStr">
        <is>
          <t>GN 1/2 PP container, 150 mm</t>
        </is>
      </c>
      <c r="C443" s="24" t="inlineStr">
        <is>
          <t>Austria</t>
        </is>
      </c>
      <c r="D443" s="24" t="inlineStr">
        <is>
          <t>Jungheinrich PROFISHOP Austria</t>
        </is>
      </c>
      <c r="E443" s="24" t="inlineStr">
        <is>
          <t>Stalgast ARAVEN Gastronormbehälter mit Deckel, Polypropylen, GN 1/2 (150 mm)</t>
        </is>
      </c>
      <c r="F443" s="98" t="n">
        <v>37.9</v>
      </c>
      <c r="G443" s="24" t="inlineStr">
        <is>
          <t>EUR</t>
        </is>
      </c>
      <c r="H443" s="98">
        <f>IF(AND(AE443="yes",ISNUMBER(AD443)),AD443,"")</f>
        <v/>
      </c>
      <c r="I443" s="99">
        <f>IF(AND(AE443="yes",ISNUMBER(AD443),ISNUMBER(INDEX('Sources'!$G$7:$G$10,MATCH(AB443,'Sources'!$B$7:$B$10,0)))),AD443/INDEX('Sources'!$G$7:$G$10,MATCH(AB443,'Sources'!$B$7:$B$10,0)),"")</f>
        <v/>
      </c>
      <c r="J443" s="24" t="inlineStr">
        <is>
          <t>CLOSE</t>
        </is>
      </c>
      <c r="K443" s="24" t="inlineStr">
        <is>
          <t>2026-09-30</t>
        </is>
      </c>
      <c r="L443" s="71" t="n"/>
      <c r="M443" s="24" t="inlineStr">
        <is>
          <t>Includes lid (container not sold separately)</t>
        </is>
      </c>
      <c r="N443" s="25" t="inlineStr">
        <is>
          <t>https://www.jh-profishop.at/p/stalgast-araven-gastronormbehaelter-mit-deckel-polypropylen-gn-1-2-150-mm-928334-347849/</t>
        </is>
      </c>
      <c r="O443" s="24" t="inlineStr">
        <is>
          <t>Stalgast / Araven</t>
        </is>
      </c>
      <c r="P443" s="24" t="inlineStr">
        <is>
          <t>excl.</t>
        </is>
      </c>
      <c r="Q443" s="100" t="n"/>
      <c r="R443" s="24" t="n">
        <v>1</v>
      </c>
      <c r="S443" s="24" t="n"/>
      <c r="T443" s="24" t="inlineStr">
        <is>
          <t>CLOSE</t>
        </is>
      </c>
      <c r="U443" s="24" t="inlineStr">
        <is>
          <t>Additional Austria/Czechia benchmark. Original assignment and match quality retained.</t>
        </is>
      </c>
      <c r="V443" s="98" t="n">
        <v>37.9</v>
      </c>
      <c r="W443" s="98" t="n"/>
      <c r="X443" s="24" t="inlineStr">
        <is>
          <t>research_AT.xlsx</t>
        </is>
      </c>
      <c r="Y443" s="24" t="n"/>
      <c r="Z443" s="24" t="n"/>
      <c r="AA443" s="24" t="n"/>
      <c r="AB443" s="24" t="inlineStr">
        <is>
          <t>EUR</t>
        </is>
      </c>
      <c r="AC443" s="24" t="inlineStr">
        <is>
          <t>yes</t>
        </is>
      </c>
      <c r="AD443" s="24">
        <f>IF(ISNUMBER(V443),V443,"")</f>
        <v/>
      </c>
      <c r="AE443" s="24">
        <f>IF(AND(AC443="yes",ISNUMBER(F443),IF('Compare'!$H$5="All mapped",TRUE,IF('Compare'!$H$5="EXACT only",J443="EXACT",OR(J443="EXACT",J443="CLOSE")))),"yes","no")</f>
        <v/>
      </c>
      <c r="AF443" s="24">
        <f>IF(ISNUMBER(H443),COUNTIFS($B$7:$B$608,B443,$C$7:$C$608,C443,$H$7:$H$608,"&lt;"&amp;H443,$AH$7:$AH$608,"yes")+COUNTIFS($B$7:B443,B443,$C$7:C443,C443,$H$7:H443,H443,$AH$7:AH443,"yes"),"")</f>
        <v/>
      </c>
      <c r="AG443" s="24">
        <f>IF(ISNUMBER(I443),COUNTIFS($B$7:$B$608,B443,$C$7:$C$608,C443,$I$7:$I$608,"&lt;"&amp;I443,$AI$7:$AI$608,"yes")+COUNTIFS($B$7:B443,B443,$C$7:C443,C443,$I$7:I443,I443,$AI$7:AI443,"yes"),"")</f>
        <v/>
      </c>
      <c r="AH443" s="24">
        <f>IF(ISNUMBER(H443),"yes","no")</f>
        <v/>
      </c>
      <c r="AI443" s="24">
        <f>IF(ISNUMBER(I443),"yes","no")</f>
        <v/>
      </c>
      <c r="AJ443" s="101" t="n">
        <v>46295</v>
      </c>
      <c r="AK443" s="24" t="n"/>
    </row>
    <row r="444" ht="42" customHeight="1">
      <c r="A444" s="2" t="n"/>
      <c r="B444" s="27" t="inlineStr">
        <is>
          <t>GN 1/2 PP container, 150 mm</t>
        </is>
      </c>
      <c r="C444" s="27" t="inlineStr">
        <is>
          <t>Austria</t>
        </is>
      </c>
      <c r="D444" s="27" t="inlineStr">
        <is>
          <t>shopbuero.com</t>
        </is>
      </c>
      <c r="E444" s="27" t="inlineStr">
        <is>
          <t>GN-Behälter - BPA frei - Serie 84 - 9,0 l - GN 1/2 - 150 mm - Polypropylen</t>
        </is>
      </c>
      <c r="F444" s="102" t="n">
        <v>5.2</v>
      </c>
      <c r="G444" s="27" t="inlineStr">
        <is>
          <t>EUR</t>
        </is>
      </c>
      <c r="H444" s="102">
        <f>IF(AND(AE444="yes",ISNUMBER(AD444)),AD444,"")</f>
        <v/>
      </c>
      <c r="I444" s="103">
        <f>IF(AND(AE444="yes",ISNUMBER(AD444),ISNUMBER(INDEX('Sources'!$G$7:$G$10,MATCH(AB444,'Sources'!$B$7:$B$10,0)))),AD444/INDEX('Sources'!$G$7:$G$10,MATCH(AB444,'Sources'!$B$7:$B$10,0)),"")</f>
        <v/>
      </c>
      <c r="J444" s="27" t="inlineStr">
        <is>
          <t>EXACT</t>
        </is>
      </c>
      <c r="K444" s="27" t="inlineStr">
        <is>
          <t>2026-09-30</t>
        </is>
      </c>
      <c r="L444" s="71" t="n"/>
      <c r="M444" s="27" t="inlineStr">
        <is>
          <t>Regular price 7.40</t>
        </is>
      </c>
      <c r="N444" s="28" t="inlineStr">
        <is>
          <t>https://shopbuero.com/gn-behaelter-bpa-frei-serie-84-inhalt-9-0-l-gn-1-2-325-x-265-mm-150-mm-polypropylen-premium-qualitaet/8412150-A</t>
        </is>
      </c>
      <c r="O444" s="27" t="inlineStr">
        <is>
          <t>WAS Germany</t>
        </is>
      </c>
      <c r="P444" s="27" t="inlineStr">
        <is>
          <t>excl.</t>
        </is>
      </c>
      <c r="Q444" s="104" t="n"/>
      <c r="R444" s="27" t="n">
        <v>1</v>
      </c>
      <c r="S444" s="27" t="n"/>
      <c r="T444" s="27" t="inlineStr">
        <is>
          <t>EXACT</t>
        </is>
      </c>
      <c r="U444" s="27" t="inlineStr">
        <is>
          <t>Additional Austria/Czechia benchmark. Original assignment and match quality retained.</t>
        </is>
      </c>
      <c r="V444" s="102" t="n">
        <v>5.2</v>
      </c>
      <c r="W444" s="102" t="n"/>
      <c r="X444" s="27" t="inlineStr">
        <is>
          <t>research_AT.xlsx</t>
        </is>
      </c>
      <c r="Y444" s="27" t="n"/>
      <c r="Z444" s="27" t="n"/>
      <c r="AA444" s="27" t="n"/>
      <c r="AB444" s="27" t="inlineStr">
        <is>
          <t>EUR</t>
        </is>
      </c>
      <c r="AC444" s="27" t="inlineStr">
        <is>
          <t>yes</t>
        </is>
      </c>
      <c r="AD444" s="27">
        <f>IF(ISNUMBER(V444),V444,"")</f>
        <v/>
      </c>
      <c r="AE444" s="27">
        <f>IF(AND(AC444="yes",ISNUMBER(F444),IF('Compare'!$H$5="All mapped",TRUE,IF('Compare'!$H$5="EXACT only",J444="EXACT",OR(J444="EXACT",J444="CLOSE")))),"yes","no")</f>
        <v/>
      </c>
      <c r="AF444" s="27">
        <f>IF(ISNUMBER(H444),COUNTIFS($B$7:$B$608,B444,$C$7:$C$608,C444,$H$7:$H$608,"&lt;"&amp;H444,$AH$7:$AH$608,"yes")+COUNTIFS($B$7:B444,B444,$C$7:C444,C444,$H$7:H444,H444,$AH$7:AH444,"yes"),"")</f>
        <v/>
      </c>
      <c r="AG444" s="27">
        <f>IF(ISNUMBER(I444),COUNTIFS($B$7:$B$608,B444,$C$7:$C$608,C444,$I$7:$I$608,"&lt;"&amp;I444,$AI$7:$AI$608,"yes")+COUNTIFS($B$7:B444,B444,$C$7:C444,C444,$I$7:I444,I444,$AI$7:AI444,"yes"),"")</f>
        <v/>
      </c>
      <c r="AH444" s="27">
        <f>IF(ISNUMBER(H444),"yes","no")</f>
        <v/>
      </c>
      <c r="AI444" s="27">
        <f>IF(ISNUMBER(I444),"yes","no")</f>
        <v/>
      </c>
      <c r="AJ444" s="105" t="n">
        <v>46295</v>
      </c>
      <c r="AK444" s="27" t="n"/>
    </row>
    <row r="445" ht="42" customHeight="1">
      <c r="A445" s="2" t="n"/>
      <c r="B445" s="24" t="inlineStr">
        <is>
          <t>GN 1/2 PP container, 150 mm</t>
        </is>
      </c>
      <c r="C445" s="24" t="inlineStr">
        <is>
          <t>Czech</t>
        </is>
      </c>
      <c r="D445" s="24" t="inlineStr">
        <is>
          <t>GGM Gastro (CZ storefront)</t>
        </is>
      </c>
      <c r="E445" s="24" t="inlineStr">
        <is>
          <t>(12 ks) Gastronádoba GN 1/2 - polypropylen - mléčná - Výška: 150 mm</t>
        </is>
      </c>
      <c r="F445" s="98" t="n">
        <v>1216.71</v>
      </c>
      <c r="G445" s="24" t="inlineStr">
        <is>
          <t>CZK</t>
        </is>
      </c>
      <c r="H445" s="98">
        <f>IF(AND(AE445="yes",ISNUMBER(AD445)),AD445,"")</f>
        <v/>
      </c>
      <c r="I445" s="99">
        <f>IF(AND(AE445="yes",ISNUMBER(AD445),ISNUMBER(INDEX('Sources'!$G$7:$G$10,MATCH(AB445,'Sources'!$B$7:$B$10,0)))),AD445/INDEX('Sources'!$G$7:$G$10,MATCH(AB445,'Sources'!$B$7:$B$10,0)),"")</f>
        <v/>
      </c>
      <c r="J445" s="24" t="inlineStr">
        <is>
          <t>EXACT</t>
        </is>
      </c>
      <c r="K445" s="24" t="inlineStr">
        <is>
          <t>2026-09-30</t>
        </is>
      </c>
      <c r="L445" s="71" t="n"/>
      <c r="M445" s="24" t="inlineStr">
        <is>
          <t>SKU GPP12150</t>
        </is>
      </c>
      <c r="N445" s="25" t="inlineStr">
        <is>
          <t>https://www.ggmgastro.com/cs-cz-czk/12-ks-gastronadoba-gn-1-2-polypropylen-mlecna-vyska-150-mm-gpp12150</t>
        </is>
      </c>
      <c r="O445" s="24" t="inlineStr">
        <is>
          <t>GGM</t>
        </is>
      </c>
      <c r="P445" s="24" t="inlineStr">
        <is>
          <t>excl.</t>
        </is>
      </c>
      <c r="Q445" s="100" t="n">
        <v>0.19</v>
      </c>
      <c r="R445" s="24" t="n">
        <v>12</v>
      </c>
      <c r="S445" s="24" t="inlineStr">
        <is>
          <t>per pack</t>
        </is>
      </c>
      <c r="T445" s="24" t="inlineStr">
        <is>
          <t>EXACT</t>
        </is>
      </c>
      <c r="U445" s="24" t="inlineStr">
        <is>
          <t>Additional Austria/Czechia benchmark. Original assignment and match quality retained.</t>
        </is>
      </c>
      <c r="V445" s="98" t="n"/>
      <c r="W445" s="98" t="n"/>
      <c r="X445" s="24" t="inlineStr">
        <is>
          <t>research_CZ.xlsx</t>
        </is>
      </c>
      <c r="Y445" s="24" t="n"/>
      <c r="Z445" s="24" t="n"/>
      <c r="AA445" s="24" t="n"/>
      <c r="AB445" s="24" t="inlineStr">
        <is>
          <t>CZK</t>
        </is>
      </c>
      <c r="AC445" s="24" t="inlineStr">
        <is>
          <t>yes</t>
        </is>
      </c>
      <c r="AD445" s="24">
        <f>IF(OR(F445="",Q445="",R445=""),"",ROUND(IF(P445="incl.",F445/(1+Q445),F445)/IF(S445="per pack",R445,1),2))</f>
        <v/>
      </c>
      <c r="AE445" s="24">
        <f>IF(AND(AC445="yes",ISNUMBER(F445),IF('Compare'!$H$5="All mapped",TRUE,IF('Compare'!$H$5="EXACT only",J445="EXACT",OR(J445="EXACT",J445="CLOSE")))),"yes","no")</f>
        <v/>
      </c>
      <c r="AF445" s="24">
        <f>IF(ISNUMBER(H445),COUNTIFS($B$7:$B$608,B445,$C$7:$C$608,C445,$H$7:$H$608,"&lt;"&amp;H445,$AH$7:$AH$608,"yes")+COUNTIFS($B$7:B445,B445,$C$7:C445,C445,$H$7:H445,H445,$AH$7:AH445,"yes"),"")</f>
        <v/>
      </c>
      <c r="AG445" s="24">
        <f>IF(ISNUMBER(I445),COUNTIFS($B$7:$B$608,B445,$C$7:$C$608,C445,$I$7:$I$608,"&lt;"&amp;I445,$AI$7:$AI$608,"yes")+COUNTIFS($B$7:B445,B445,$C$7:C445,C445,$I$7:I445,I445,$AI$7:AI445,"yes"),"")</f>
        <v/>
      </c>
      <c r="AH445" s="24">
        <f>IF(ISNUMBER(H445),"yes","no")</f>
        <v/>
      </c>
      <c r="AI445" s="24">
        <f>IF(ISNUMBER(I445),"yes","no")</f>
        <v/>
      </c>
      <c r="AJ445" s="101" t="n">
        <v>46295</v>
      </c>
      <c r="AK445" s="24" t="n"/>
    </row>
    <row r="446" ht="42" customHeight="1">
      <c r="A446" s="2" t="n"/>
      <c r="B446" s="27" t="inlineStr">
        <is>
          <t>GN 1/2 PP container, 150 mm</t>
        </is>
      </c>
      <c r="C446" s="27" t="inlineStr">
        <is>
          <t>Czech</t>
        </is>
      </c>
      <c r="D446" s="27" t="inlineStr">
        <is>
          <t>Gastro Novotný</t>
        </is>
      </c>
      <c r="E446" s="27" t="inlineStr">
        <is>
          <t>Gastronádoba 1/2 150 polypropylen</t>
        </is>
      </c>
      <c r="F446" s="102" t="n">
        <v>140</v>
      </c>
      <c r="G446" s="27" t="inlineStr">
        <is>
          <t>CZK</t>
        </is>
      </c>
      <c r="H446" s="102">
        <f>IF(AND(AE446="yes",ISNUMBER(AD446)),AD446,"")</f>
        <v/>
      </c>
      <c r="I446" s="103">
        <f>IF(AND(AE446="yes",ISNUMBER(AD446),ISNUMBER(INDEX('Sources'!$G$7:$G$10,MATCH(AB446,'Sources'!$B$7:$B$10,0)))),AD446/INDEX('Sources'!$G$7:$G$10,MATCH(AB446,'Sources'!$B$7:$B$10,0)),"")</f>
        <v/>
      </c>
      <c r="J446" s="27" t="inlineStr">
        <is>
          <t>EXACT</t>
        </is>
      </c>
      <c r="K446" s="27" t="inlineStr">
        <is>
          <t>2026-09-30</t>
        </is>
      </c>
      <c r="L446" s="71" t="n"/>
      <c r="M446" s="27" t="inlineStr">
        <is>
          <t>Code 1814705-15; 169.40 CZK incl. VAT</t>
        </is>
      </c>
      <c r="N446" s="28" t="inlineStr">
        <is>
          <t>https://eshop.gastronovotny.cz/gastronadoba-1-2-150-polypropylen--1814705-15/</t>
        </is>
      </c>
      <c r="O446" s="27" t="n"/>
      <c r="P446" s="27" t="inlineStr">
        <is>
          <t>excl.</t>
        </is>
      </c>
      <c r="Q446" s="104" t="n">
        <v>0.21</v>
      </c>
      <c r="R446" s="27" t="n">
        <v>1</v>
      </c>
      <c r="S446" s="27" t="inlineStr">
        <is>
          <t>per piece</t>
        </is>
      </c>
      <c r="T446" s="27" t="inlineStr">
        <is>
          <t>EXACT</t>
        </is>
      </c>
      <c r="U446" s="27" t="inlineStr">
        <is>
          <t>Additional Austria/Czechia benchmark. Original assignment and match quality retained.</t>
        </is>
      </c>
      <c r="V446" s="102" t="n"/>
      <c r="W446" s="102" t="n"/>
      <c r="X446" s="27" t="inlineStr">
        <is>
          <t>research_CZ.xlsx</t>
        </is>
      </c>
      <c r="Y446" s="27" t="n"/>
      <c r="Z446" s="27" t="n"/>
      <c r="AA446" s="27" t="n"/>
      <c r="AB446" s="27" t="inlineStr">
        <is>
          <t>CZK</t>
        </is>
      </c>
      <c r="AC446" s="27" t="inlineStr">
        <is>
          <t>yes</t>
        </is>
      </c>
      <c r="AD446" s="27">
        <f>IF(OR(F446="",Q446="",R446=""),"",ROUND(IF(P446="incl.",F446/(1+Q446),F446)/IF(S446="per pack",R446,1),2))</f>
        <v/>
      </c>
      <c r="AE446" s="27">
        <f>IF(AND(AC446="yes",ISNUMBER(F446),IF('Compare'!$H$5="All mapped",TRUE,IF('Compare'!$H$5="EXACT only",J446="EXACT",OR(J446="EXACT",J446="CLOSE")))),"yes","no")</f>
        <v/>
      </c>
      <c r="AF446" s="27">
        <f>IF(ISNUMBER(H446),COUNTIFS($B$7:$B$608,B446,$C$7:$C$608,C446,$H$7:$H$608,"&lt;"&amp;H446,$AH$7:$AH$608,"yes")+COUNTIFS($B$7:B446,B446,$C$7:C446,C446,$H$7:H446,H446,$AH$7:AH446,"yes"),"")</f>
        <v/>
      </c>
      <c r="AG446" s="27">
        <f>IF(ISNUMBER(I446),COUNTIFS($B$7:$B$608,B446,$C$7:$C$608,C446,$I$7:$I$608,"&lt;"&amp;I446,$AI$7:$AI$608,"yes")+COUNTIFS($B$7:B446,B446,$C$7:C446,C446,$I$7:I446,I446,$AI$7:AI446,"yes"),"")</f>
        <v/>
      </c>
      <c r="AH446" s="27">
        <f>IF(ISNUMBER(H446),"yes","no")</f>
        <v/>
      </c>
      <c r="AI446" s="27">
        <f>IF(ISNUMBER(I446),"yes","no")</f>
        <v/>
      </c>
      <c r="AJ446" s="105" t="n">
        <v>46295</v>
      </c>
      <c r="AK446" s="27" t="n"/>
    </row>
    <row r="447" ht="42" customHeight="1">
      <c r="A447" s="2" t="n"/>
      <c r="B447" s="24" t="inlineStr">
        <is>
          <t>GN 1/2 PP container, 150 mm</t>
        </is>
      </c>
      <c r="C447" s="24" t="inlineStr">
        <is>
          <t>Czech</t>
        </is>
      </c>
      <c r="D447" s="24" t="inlineStr">
        <is>
          <t>Gastromania</t>
        </is>
      </c>
      <c r="E447" s="24" t="inlineStr">
        <is>
          <t>Nádoba z polypropylenu, GN 1/2, 150 mm | STALGAST, Bufet</t>
        </is>
      </c>
      <c r="F447" s="98" t="n">
        <v>162</v>
      </c>
      <c r="G447" s="24" t="inlineStr">
        <is>
          <t>CZK</t>
        </is>
      </c>
      <c r="H447" s="98">
        <f>IF(AND(AE447="yes",ISNUMBER(AD447)),AD447,"")</f>
        <v/>
      </c>
      <c r="I447" s="99">
        <f>IF(AND(AE447="yes",ISNUMBER(AD447),ISNUMBER(INDEX('Sources'!$G$7:$G$10,MATCH(AB447,'Sources'!$B$7:$B$10,0)))),AD447/INDEX('Sources'!$G$7:$G$10,MATCH(AB447,'Sources'!$B$7:$B$10,0)),"")</f>
        <v/>
      </c>
      <c r="J447" s="24" t="inlineStr">
        <is>
          <t>EXACT</t>
        </is>
      </c>
      <c r="K447" s="24" t="inlineStr">
        <is>
          <t>2026-09-30</t>
        </is>
      </c>
      <c r="L447" s="71" t="n"/>
      <c r="M447" s="24" t="inlineStr">
        <is>
          <t>Cambro R-MP12150 227 CZK; price incl. 21% VAT as published in product data (current price, in stock)</t>
        </is>
      </c>
      <c r="N447" s="25" t="inlineStr">
        <is>
          <t>https://www.gastromania.cz/gastronadoby-polypropylenove/nadoba-z-polypropylenu-gn-1-2-150-mm-stalgast-bufet</t>
        </is>
      </c>
      <c r="O447" s="24" t="inlineStr">
        <is>
          <t>Stalgast</t>
        </is>
      </c>
      <c r="P447" s="24" t="inlineStr">
        <is>
          <t>incl.</t>
        </is>
      </c>
      <c r="Q447" s="100" t="n">
        <v>0.21</v>
      </c>
      <c r="R447" s="24" t="n">
        <v>1</v>
      </c>
      <c r="S447" s="24" t="inlineStr">
        <is>
          <t>per piece</t>
        </is>
      </c>
      <c r="T447" s="24" t="inlineStr">
        <is>
          <t>EXACT</t>
        </is>
      </c>
      <c r="U447" s="24" t="inlineStr">
        <is>
          <t>Additional Austria/Czechia benchmark. Original assignment and match quality retained.</t>
        </is>
      </c>
      <c r="V447" s="98" t="n"/>
      <c r="W447" s="98" t="n"/>
      <c r="X447" s="24" t="inlineStr">
        <is>
          <t>research_CZ.xlsx</t>
        </is>
      </c>
      <c r="Y447" s="24" t="n"/>
      <c r="Z447" s="24" t="n"/>
      <c r="AA447" s="24" t="n"/>
      <c r="AB447" s="24" t="inlineStr">
        <is>
          <t>CZK</t>
        </is>
      </c>
      <c r="AC447" s="24" t="inlineStr">
        <is>
          <t>yes</t>
        </is>
      </c>
      <c r="AD447" s="24">
        <f>IF(OR(F447="",Q447="",R447=""),"",ROUND(IF(P447="incl.",F447/(1+Q447),F447)/IF(S447="per pack",R447,1),2))</f>
        <v/>
      </c>
      <c r="AE447" s="24">
        <f>IF(AND(AC447="yes",ISNUMBER(F447),IF('Compare'!$H$5="All mapped",TRUE,IF('Compare'!$H$5="EXACT only",J447="EXACT",OR(J447="EXACT",J447="CLOSE")))),"yes","no")</f>
        <v/>
      </c>
      <c r="AF447" s="24">
        <f>IF(ISNUMBER(H447),COUNTIFS($B$7:$B$608,B447,$C$7:$C$608,C447,$H$7:$H$608,"&lt;"&amp;H447,$AH$7:$AH$608,"yes")+COUNTIFS($B$7:B447,B447,$C$7:C447,C447,$H$7:H447,H447,$AH$7:AH447,"yes"),"")</f>
        <v/>
      </c>
      <c r="AG447" s="24">
        <f>IF(ISNUMBER(I447),COUNTIFS($B$7:$B$608,B447,$C$7:$C$608,C447,$I$7:$I$608,"&lt;"&amp;I447,$AI$7:$AI$608,"yes")+COUNTIFS($B$7:B447,B447,$C$7:C447,C447,$I$7:I447,I447,$AI$7:AI447,"yes"),"")</f>
        <v/>
      </c>
      <c r="AH447" s="24">
        <f>IF(ISNUMBER(H447),"yes","no")</f>
        <v/>
      </c>
      <c r="AI447" s="24">
        <f>IF(ISNUMBER(I447),"yes","no")</f>
        <v/>
      </c>
      <c r="AJ447" s="101" t="n">
        <v>46295</v>
      </c>
      <c r="AK447" s="24" t="n"/>
    </row>
    <row r="448" ht="42" customHeight="1">
      <c r="A448" s="2" t="n"/>
      <c r="B448" s="27" t="inlineStr">
        <is>
          <t>GN 1/2 PP container, 150 mm</t>
        </is>
      </c>
      <c r="C448" s="27" t="inlineStr">
        <is>
          <t>Czech</t>
        </is>
      </c>
      <c r="D448" s="27" t="inlineStr">
        <is>
          <t>Gastrozone</t>
        </is>
      </c>
      <c r="E448" s="27" t="inlineStr">
        <is>
          <t>gastro nádoba GN 1/2 polypropylen v=150 mm Pujadas</t>
        </is>
      </c>
      <c r="F448" s="102" t="n">
        <v>334</v>
      </c>
      <c r="G448" s="27" t="inlineStr">
        <is>
          <t>CZK</t>
        </is>
      </c>
      <c r="H448" s="102">
        <f>IF(AND(AE448="yes",ISNUMBER(AD448)),AD448,"")</f>
        <v/>
      </c>
      <c r="I448" s="103">
        <f>IF(AND(AE448="yes",ISNUMBER(AD448),ISNUMBER(INDEX('Sources'!$G$7:$G$10,MATCH(AB448,'Sources'!$B$7:$B$10,0)))),AD448/INDEX('Sources'!$G$7:$G$10,MATCH(AB448,'Sources'!$B$7:$B$10,0)),"")</f>
        <v/>
      </c>
      <c r="J448" s="27" t="inlineStr">
        <is>
          <t>EXACT</t>
        </is>
      </c>
      <c r="K448" s="27" t="inlineStr">
        <is>
          <t>2026-09-30</t>
        </is>
      </c>
      <c r="L448" s="71" t="n"/>
      <c r="M448" s="27" t="inlineStr">
        <is>
          <t>276.03 CZK bez DPH; in stock</t>
        </is>
      </c>
      <c r="N448" s="28" t="inlineStr">
        <is>
          <t>https://www.gastrozone.cz/gastro-nadoba-gn-1-2-polypropylen-v-150-mm-pujadas.html</t>
        </is>
      </c>
      <c r="O448" s="27" t="inlineStr">
        <is>
          <t>Pujadas</t>
        </is>
      </c>
      <c r="P448" s="27" t="inlineStr">
        <is>
          <t>incl.</t>
        </is>
      </c>
      <c r="Q448" s="104" t="n">
        <v>0.21</v>
      </c>
      <c r="R448" s="27" t="n">
        <v>1</v>
      </c>
      <c r="S448" s="27" t="inlineStr">
        <is>
          <t>per piece</t>
        </is>
      </c>
      <c r="T448" s="27" t="inlineStr">
        <is>
          <t>EXACT</t>
        </is>
      </c>
      <c r="U448" s="27" t="inlineStr">
        <is>
          <t>Additional Austria/Czechia benchmark. Original assignment and match quality retained.</t>
        </is>
      </c>
      <c r="V448" s="102" t="n"/>
      <c r="W448" s="102" t="n"/>
      <c r="X448" s="27" t="inlineStr">
        <is>
          <t>research_CZ.xlsx</t>
        </is>
      </c>
      <c r="Y448" s="27" t="n"/>
      <c r="Z448" s="27" t="n"/>
      <c r="AA448" s="27" t="n"/>
      <c r="AB448" s="27" t="inlineStr">
        <is>
          <t>CZK</t>
        </is>
      </c>
      <c r="AC448" s="27" t="inlineStr">
        <is>
          <t>yes</t>
        </is>
      </c>
      <c r="AD448" s="27">
        <f>IF(OR(F448="",Q448="",R448=""),"",ROUND(IF(P448="incl.",F448/(1+Q448),F448)/IF(S448="per pack",R448,1),2))</f>
        <v/>
      </c>
      <c r="AE448" s="27">
        <f>IF(AND(AC448="yes",ISNUMBER(F448),IF('Compare'!$H$5="All mapped",TRUE,IF('Compare'!$H$5="EXACT only",J448="EXACT",OR(J448="EXACT",J448="CLOSE")))),"yes","no")</f>
        <v/>
      </c>
      <c r="AF448" s="27">
        <f>IF(ISNUMBER(H448),COUNTIFS($B$7:$B$608,B448,$C$7:$C$608,C448,$H$7:$H$608,"&lt;"&amp;H448,$AH$7:$AH$608,"yes")+COUNTIFS($B$7:B448,B448,$C$7:C448,C448,$H$7:H448,H448,$AH$7:AH448,"yes"),"")</f>
        <v/>
      </c>
      <c r="AG448" s="27">
        <f>IF(ISNUMBER(I448),COUNTIFS($B$7:$B$608,B448,$C$7:$C$608,C448,$I$7:$I$608,"&lt;"&amp;I448,$AI$7:$AI$608,"yes")+COUNTIFS($B$7:B448,B448,$C$7:C448,C448,$I$7:I448,I448,$AI$7:AI448,"yes"),"")</f>
        <v/>
      </c>
      <c r="AH448" s="27">
        <f>IF(ISNUMBER(H448),"yes","no")</f>
        <v/>
      </c>
      <c r="AI448" s="27">
        <f>IF(ISNUMBER(I448),"yes","no")</f>
        <v/>
      </c>
      <c r="AJ448" s="105" t="n">
        <v>46295</v>
      </c>
      <c r="AK448" s="27" t="n"/>
    </row>
    <row r="449" ht="42" customHeight="1">
      <c r="A449" s="2" t="n"/>
      <c r="B449" s="24" t="inlineStr">
        <is>
          <t>GN 1/2 PP container, 150 mm</t>
        </is>
      </c>
      <c r="C449" s="24" t="inlineStr">
        <is>
          <t>Czech</t>
        </is>
      </c>
      <c r="D449" s="24" t="inlineStr">
        <is>
          <t>TOMGAST</t>
        </is>
      </c>
      <c r="E449" s="24" t="inlineStr">
        <is>
          <t>Gastronádoba polypropylenová GN 1/2 150 mm</t>
        </is>
      </c>
      <c r="F449" s="98" t="n">
        <v>227</v>
      </c>
      <c r="G449" s="24" t="inlineStr">
        <is>
          <t>CZK</t>
        </is>
      </c>
      <c r="H449" s="98">
        <f>IF(AND(AE449="yes",ISNUMBER(AD449)),AD449,"")</f>
        <v/>
      </c>
      <c r="I449" s="99">
        <f>IF(AND(AE449="yes",ISNUMBER(AD449),ISNUMBER(INDEX('Sources'!$G$7:$G$10,MATCH(AB449,'Sources'!$B$7:$B$10,0)))),AD449/INDEX('Sources'!$G$7:$G$10,MATCH(AB449,'Sources'!$B$7:$B$10,0)),"")</f>
        <v/>
      </c>
      <c r="J449" s="24" t="inlineStr">
        <is>
          <t>EXACT</t>
        </is>
      </c>
      <c r="K449" s="24" t="inlineStr">
        <is>
          <t>2026-09-30</t>
        </is>
      </c>
      <c r="L449" s="71" t="n"/>
      <c r="M449" s="24" t="inlineStr">
        <is>
          <t>Code R-MP12150; 188 CZK bez DPH</t>
        </is>
      </c>
      <c r="N449" s="25" t="inlineStr">
        <is>
          <t>https://www.tomgast.cz/gastronadoba-polypropylenova-gn-1-2-150-mm-2/</t>
        </is>
      </c>
      <c r="O449" s="24" t="inlineStr">
        <is>
          <t>Cambro</t>
        </is>
      </c>
      <c r="P449" s="24" t="inlineStr">
        <is>
          <t>incl.</t>
        </is>
      </c>
      <c r="Q449" s="100" t="n">
        <v>0.21</v>
      </c>
      <c r="R449" s="24" t="n">
        <v>1</v>
      </c>
      <c r="S449" s="24" t="inlineStr">
        <is>
          <t>per piece</t>
        </is>
      </c>
      <c r="T449" s="24" t="inlineStr">
        <is>
          <t>EXACT</t>
        </is>
      </c>
      <c r="U449" s="24" t="inlineStr">
        <is>
          <t>Additional Austria/Czechia benchmark. Original assignment and match quality retained.</t>
        </is>
      </c>
      <c r="V449" s="98" t="n"/>
      <c r="W449" s="98" t="n"/>
      <c r="X449" s="24" t="inlineStr">
        <is>
          <t>research_CZ.xlsx</t>
        </is>
      </c>
      <c r="Y449" s="24" t="n"/>
      <c r="Z449" s="24" t="n"/>
      <c r="AA449" s="24" t="n"/>
      <c r="AB449" s="24" t="inlineStr">
        <is>
          <t>CZK</t>
        </is>
      </c>
      <c r="AC449" s="24" t="inlineStr">
        <is>
          <t>yes</t>
        </is>
      </c>
      <c r="AD449" s="24">
        <f>IF(OR(F449="",Q449="",R449=""),"",ROUND(IF(P449="incl.",F449/(1+Q449),F449)/IF(S449="per pack",R449,1),2))</f>
        <v/>
      </c>
      <c r="AE449" s="24">
        <f>IF(AND(AC449="yes",ISNUMBER(F449),IF('Compare'!$H$5="All mapped",TRUE,IF('Compare'!$H$5="EXACT only",J449="EXACT",OR(J449="EXACT",J449="CLOSE")))),"yes","no")</f>
        <v/>
      </c>
      <c r="AF449" s="24">
        <f>IF(ISNUMBER(H449),COUNTIFS($B$7:$B$608,B449,$C$7:$C$608,C449,$H$7:$H$608,"&lt;"&amp;H449,$AH$7:$AH$608,"yes")+COUNTIFS($B$7:B449,B449,$C$7:C449,C449,$H$7:H449,H449,$AH$7:AH449,"yes"),"")</f>
        <v/>
      </c>
      <c r="AG449" s="24">
        <f>IF(ISNUMBER(I449),COUNTIFS($B$7:$B$608,B449,$C$7:$C$608,C449,$I$7:$I$608,"&lt;"&amp;I449,$AI$7:$AI$608,"yes")+COUNTIFS($B$7:B449,B449,$C$7:C449,C449,$I$7:I449,I449,$AI$7:AI449,"yes"),"")</f>
        <v/>
      </c>
      <c r="AH449" s="24">
        <f>IF(ISNUMBER(H449),"yes","no")</f>
        <v/>
      </c>
      <c r="AI449" s="24">
        <f>IF(ISNUMBER(I449),"yes","no")</f>
        <v/>
      </c>
      <c r="AJ449" s="101" t="n">
        <v>46295</v>
      </c>
      <c r="AK449" s="24" t="n"/>
    </row>
    <row r="450" ht="42" customHeight="1">
      <c r="A450" s="2" t="n"/>
      <c r="B450" s="27" t="inlineStr">
        <is>
          <t>GN 1/1 PC lid</t>
        </is>
      </c>
      <c r="C450" s="27" t="inlineStr">
        <is>
          <t>Austria</t>
        </is>
      </c>
      <c r="D450" s="27" t="inlineStr">
        <is>
          <t>ALLPAX Österreich</t>
        </is>
      </c>
      <c r="E450" s="27" t="inlineStr">
        <is>
          <t>PC GN Deckel 1/1 schwarz</t>
        </is>
      </c>
      <c r="F450" s="102" t="n">
        <v>6.54</v>
      </c>
      <c r="G450" s="27" t="inlineStr">
        <is>
          <t>EUR</t>
        </is>
      </c>
      <c r="H450" s="102">
        <f>IF(AND(AE450="yes",ISNUMBER(AD450)),AD450,"")</f>
        <v/>
      </c>
      <c r="I450" s="103">
        <f>IF(AND(AE450="yes",ISNUMBER(AD450),ISNUMBER(INDEX('Sources'!$G$7:$G$10,MATCH(AB450,'Sources'!$B$7:$B$10,0)))),AD450/INDEX('Sources'!$G$7:$G$10,MATCH(AB450,'Sources'!$B$7:$B$10,0)),"")</f>
        <v/>
      </c>
      <c r="J450" s="27" t="inlineStr">
        <is>
          <t>EXACT</t>
        </is>
      </c>
      <c r="K450" s="27" t="inlineStr">
        <is>
          <t>2026-09-30</t>
        </is>
      </c>
      <c r="L450" s="71" t="n"/>
      <c r="M450" s="27" t="inlineStr">
        <is>
          <t>Black PC; regular 9.29</t>
        </is>
      </c>
      <c r="N450" s="28" t="inlineStr">
        <is>
          <t>https://www.allpax.at/product_info.php/info/PC-GN-Deckel-1-1-schwarz.html</t>
        </is>
      </c>
      <c r="O450" s="27" t="n"/>
      <c r="P450" s="27" t="inlineStr">
        <is>
          <t>excl.</t>
        </is>
      </c>
      <c r="Q450" s="104" t="n"/>
      <c r="R450" s="27" t="n">
        <v>1</v>
      </c>
      <c r="S450" s="27" t="n"/>
      <c r="T450" s="27" t="inlineStr">
        <is>
          <t>EXACT</t>
        </is>
      </c>
      <c r="U450" s="27" t="inlineStr">
        <is>
          <t>Additional Austria/Czechia benchmark. Original assignment and match quality retained.</t>
        </is>
      </c>
      <c r="V450" s="102" t="n">
        <v>6.54</v>
      </c>
      <c r="W450" s="102" t="n"/>
      <c r="X450" s="27" t="inlineStr">
        <is>
          <t>research_AT.xlsx</t>
        </is>
      </c>
      <c r="Y450" s="27" t="n"/>
      <c r="Z450" s="27" t="n"/>
      <c r="AA450" s="27" t="n"/>
      <c r="AB450" s="27" t="inlineStr">
        <is>
          <t>EUR</t>
        </is>
      </c>
      <c r="AC450" s="27" t="inlineStr">
        <is>
          <t>yes</t>
        </is>
      </c>
      <c r="AD450" s="27">
        <f>IF(ISNUMBER(V450),V450,"")</f>
        <v/>
      </c>
      <c r="AE450" s="27">
        <f>IF(AND(AC450="yes",ISNUMBER(F450),IF('Compare'!$H$5="All mapped",TRUE,IF('Compare'!$H$5="EXACT only",J450="EXACT",OR(J450="EXACT",J450="CLOSE")))),"yes","no")</f>
        <v/>
      </c>
      <c r="AF450" s="27">
        <f>IF(ISNUMBER(H450),COUNTIFS($B$7:$B$608,B450,$C$7:$C$608,C450,$H$7:$H$608,"&lt;"&amp;H450,$AH$7:$AH$608,"yes")+COUNTIFS($B$7:B450,B450,$C$7:C450,C450,$H$7:H450,H450,$AH$7:AH450,"yes"),"")</f>
        <v/>
      </c>
      <c r="AG450" s="27">
        <f>IF(ISNUMBER(I450),COUNTIFS($B$7:$B$608,B450,$C$7:$C$608,C450,$I$7:$I$608,"&lt;"&amp;I450,$AI$7:$AI$608,"yes")+COUNTIFS($B$7:B450,B450,$C$7:C450,C450,$I$7:I450,I450,$AI$7:AI450,"yes"),"")</f>
        <v/>
      </c>
      <c r="AH450" s="27">
        <f>IF(ISNUMBER(H450),"yes","no")</f>
        <v/>
      </c>
      <c r="AI450" s="27">
        <f>IF(ISNUMBER(I450),"yes","no")</f>
        <v/>
      </c>
      <c r="AJ450" s="105" t="n">
        <v>46295</v>
      </c>
      <c r="AK450" s="27" t="n"/>
    </row>
    <row r="451" ht="42" customHeight="1">
      <c r="A451" s="2" t="n"/>
      <c r="B451" s="24" t="inlineStr">
        <is>
          <t>GN 1/1 PC lid</t>
        </is>
      </c>
      <c r="C451" s="24" t="inlineStr">
        <is>
          <t>Austria</t>
        </is>
      </c>
      <c r="D451" s="24" t="inlineStr">
        <is>
          <t>GGM Gastro (Austrian storefront)</t>
        </is>
      </c>
      <c r="E451" s="24" t="inlineStr">
        <is>
          <t>(6 Stück) Polycarbonat-Deckel GN 1/1 - Höhe: 35mm</t>
        </is>
      </c>
      <c r="F451" s="98" t="n">
        <v>69.98999999999999</v>
      </c>
      <c r="G451" s="24" t="inlineStr">
        <is>
          <t>EUR</t>
        </is>
      </c>
      <c r="H451" s="98">
        <f>IF(AND(AE451="yes",ISNUMBER(AD451)),AD451,"")</f>
        <v/>
      </c>
      <c r="I451" s="99">
        <f>IF(AND(AE451="yes",ISNUMBER(AD451),ISNUMBER(INDEX('Sources'!$G$7:$G$10,MATCH(AB451,'Sources'!$B$7:$B$10,0)))),AD451/INDEX('Sources'!$G$7:$G$10,MATCH(AB451,'Sources'!$B$7:$B$10,0)),"")</f>
        <v/>
      </c>
      <c r="J451" s="24" t="inlineStr">
        <is>
          <t>CLOSE</t>
        </is>
      </c>
      <c r="K451" s="24" t="inlineStr">
        <is>
          <t>2026-09-30</t>
        </is>
      </c>
      <c r="L451" s="71" t="n"/>
      <c r="M451" s="24" t="inlineStr">
        <is>
          <t>PC lid with 35 mm height (raised rather than flat standard lid)</t>
        </is>
      </c>
      <c r="N451" s="25" t="inlineStr">
        <is>
          <t>https://www.ggmgastro.com/de-at-eur/6-stueck-polycarbonat-deckel-gn-1-1-hoehe-35mm-82001-6</t>
        </is>
      </c>
      <c r="O451" s="24" t="inlineStr">
        <is>
          <t>GGM</t>
        </is>
      </c>
      <c r="P451" s="24" t="inlineStr">
        <is>
          <t>excl.</t>
        </is>
      </c>
      <c r="Q451" s="100" t="n"/>
      <c r="R451" s="24" t="n">
        <v>6</v>
      </c>
      <c r="S451" s="24" t="inlineStr">
        <is>
          <t>set of 6</t>
        </is>
      </c>
      <c r="T451" s="24" t="inlineStr">
        <is>
          <t>CLOSE</t>
        </is>
      </c>
      <c r="U451" s="24" t="inlineStr">
        <is>
          <t>Additional Austria/Czechia benchmark. Original assignment and match quality retained.</t>
        </is>
      </c>
      <c r="V451" s="98" t="n">
        <v>11.66</v>
      </c>
      <c r="W451" s="98" t="n"/>
      <c r="X451" s="24" t="inlineStr">
        <is>
          <t>research_AT.xlsx</t>
        </is>
      </c>
      <c r="Y451" s="24" t="n"/>
      <c r="Z451" s="24" t="n"/>
      <c r="AA451" s="24" t="n"/>
      <c r="AB451" s="24" t="inlineStr">
        <is>
          <t>EUR</t>
        </is>
      </c>
      <c r="AC451" s="24" t="inlineStr">
        <is>
          <t>yes</t>
        </is>
      </c>
      <c r="AD451" s="24">
        <f>IF(ISNUMBER(V451),V451,"")</f>
        <v/>
      </c>
      <c r="AE451" s="24">
        <f>IF(AND(AC451="yes",ISNUMBER(F451),IF('Compare'!$H$5="All mapped",TRUE,IF('Compare'!$H$5="EXACT only",J451="EXACT",OR(J451="EXACT",J451="CLOSE")))),"yes","no")</f>
        <v/>
      </c>
      <c r="AF451" s="24">
        <f>IF(ISNUMBER(H451),COUNTIFS($B$7:$B$608,B451,$C$7:$C$608,C451,$H$7:$H$608,"&lt;"&amp;H451,$AH$7:$AH$608,"yes")+COUNTIFS($B$7:B451,B451,$C$7:C451,C451,$H$7:H451,H451,$AH$7:AH451,"yes"),"")</f>
        <v/>
      </c>
      <c r="AG451" s="24">
        <f>IF(ISNUMBER(I451),COUNTIFS($B$7:$B$608,B451,$C$7:$C$608,C451,$I$7:$I$608,"&lt;"&amp;I451,$AI$7:$AI$608,"yes")+COUNTIFS($B$7:B451,B451,$C$7:C451,C451,$I$7:I451,I451,$AI$7:AI451,"yes"),"")</f>
        <v/>
      </c>
      <c r="AH451" s="24">
        <f>IF(ISNUMBER(H451),"yes","no")</f>
        <v/>
      </c>
      <c r="AI451" s="24">
        <f>IF(ISNUMBER(I451),"yes","no")</f>
        <v/>
      </c>
      <c r="AJ451" s="101" t="n">
        <v>46295</v>
      </c>
      <c r="AK451" s="24" t="n"/>
    </row>
    <row r="452" ht="42" customHeight="1">
      <c r="A452" s="2" t="n"/>
      <c r="B452" s="27" t="inlineStr">
        <is>
          <t>GN 1/1 PC lid</t>
        </is>
      </c>
      <c r="C452" s="27" t="inlineStr">
        <is>
          <t>Austria</t>
        </is>
      </c>
      <c r="D452" s="27" t="inlineStr">
        <is>
          <t>Gastro Star</t>
        </is>
      </c>
      <c r="E452" s="27" t="inlineStr">
        <is>
          <t>RIEBER-Polycarbonat Flachdeckel für GN 1/1 Behälter</t>
        </is>
      </c>
      <c r="F452" s="102" t="n">
        <v>22</v>
      </c>
      <c r="G452" s="27" t="inlineStr">
        <is>
          <t>EUR</t>
        </is>
      </c>
      <c r="H452" s="102">
        <f>IF(AND(AE452="yes",ISNUMBER(AD452)),AD452,"")</f>
        <v/>
      </c>
      <c r="I452" s="103">
        <f>IF(AND(AE452="yes",ISNUMBER(AD452),ISNUMBER(INDEX('Sources'!$G$7:$G$10,MATCH(AB452,'Sources'!$B$7:$B$10,0)))),AD452/INDEX('Sources'!$G$7:$G$10,MATCH(AB452,'Sources'!$B$7:$B$10,0)),"")</f>
        <v/>
      </c>
      <c r="J452" s="27" t="inlineStr">
        <is>
          <t>EXACT</t>
        </is>
      </c>
      <c r="K452" s="27" t="inlineStr">
        <is>
          <t>2026-09-30</t>
        </is>
      </c>
      <c r="L452" s="71" t="n"/>
      <c r="M452" s="27" t="inlineStr">
        <is>
          <t>Flat PC lid</t>
        </is>
      </c>
      <c r="N452" s="28" t="inlineStr">
        <is>
          <t>https://www.gastro-star.at/produkt/rieber-polycarbonatflachdeckelfuergn11behaelter/</t>
        </is>
      </c>
      <c r="O452" s="27" t="inlineStr">
        <is>
          <t>Rieber</t>
        </is>
      </c>
      <c r="P452" s="27" t="inlineStr">
        <is>
          <t>excl.</t>
        </is>
      </c>
      <c r="Q452" s="104" t="n"/>
      <c r="R452" s="27" t="n">
        <v>1</v>
      </c>
      <c r="S452" s="27" t="n"/>
      <c r="T452" s="27" t="inlineStr">
        <is>
          <t>EXACT</t>
        </is>
      </c>
      <c r="U452" s="27" t="inlineStr">
        <is>
          <t>Additional Austria/Czechia benchmark. Original assignment and match quality retained.</t>
        </is>
      </c>
      <c r="V452" s="102" t="n">
        <v>22</v>
      </c>
      <c r="W452" s="102" t="n"/>
      <c r="X452" s="27" t="inlineStr">
        <is>
          <t>research_AT.xlsx</t>
        </is>
      </c>
      <c r="Y452" s="27" t="n"/>
      <c r="Z452" s="27" t="n"/>
      <c r="AA452" s="27" t="n"/>
      <c r="AB452" s="27" t="inlineStr">
        <is>
          <t>EUR</t>
        </is>
      </c>
      <c r="AC452" s="27" t="inlineStr">
        <is>
          <t>yes</t>
        </is>
      </c>
      <c r="AD452" s="27">
        <f>IF(ISNUMBER(V452),V452,"")</f>
        <v/>
      </c>
      <c r="AE452" s="27">
        <f>IF(AND(AC452="yes",ISNUMBER(F452),IF('Compare'!$H$5="All mapped",TRUE,IF('Compare'!$H$5="EXACT only",J452="EXACT",OR(J452="EXACT",J452="CLOSE")))),"yes","no")</f>
        <v/>
      </c>
      <c r="AF452" s="27">
        <f>IF(ISNUMBER(H452),COUNTIFS($B$7:$B$608,B452,$C$7:$C$608,C452,$H$7:$H$608,"&lt;"&amp;H452,$AH$7:$AH$608,"yes")+COUNTIFS($B$7:B452,B452,$C$7:C452,C452,$H$7:H452,H452,$AH$7:AH452,"yes"),"")</f>
        <v/>
      </c>
      <c r="AG452" s="27">
        <f>IF(ISNUMBER(I452),COUNTIFS($B$7:$B$608,B452,$C$7:$C$608,C452,$I$7:$I$608,"&lt;"&amp;I452,$AI$7:$AI$608,"yes")+COUNTIFS($B$7:B452,B452,$C$7:C452,C452,$I$7:I452,I452,$AI$7:AI452,"yes"),"")</f>
        <v/>
      </c>
      <c r="AH452" s="27">
        <f>IF(ISNUMBER(H452),"yes","no")</f>
        <v/>
      </c>
      <c r="AI452" s="27">
        <f>IF(ISNUMBER(I452),"yes","no")</f>
        <v/>
      </c>
      <c r="AJ452" s="105" t="n">
        <v>46295</v>
      </c>
      <c r="AK452" s="27" t="n"/>
    </row>
    <row r="453" ht="42" customHeight="1">
      <c r="A453" s="2" t="n"/>
      <c r="B453" s="24" t="inlineStr">
        <is>
          <t>GN 1/1 PC lid</t>
        </is>
      </c>
      <c r="C453" s="24" t="inlineStr">
        <is>
          <t>Austria</t>
        </is>
      </c>
      <c r="D453" s="24" t="inlineStr">
        <is>
          <t>GastroHero Österreich</t>
        </is>
      </c>
      <c r="E453" s="24" t="inlineStr">
        <is>
          <t>Vogue GN-Deckel 1/1 Polycarbonat</t>
        </is>
      </c>
      <c r="F453" s="98" t="n">
        <v>9.19</v>
      </c>
      <c r="G453" s="24" t="inlineStr">
        <is>
          <t>EUR</t>
        </is>
      </c>
      <c r="H453" s="98">
        <f>IF(AND(AE453="yes",ISNUMBER(AD453)),AD453,"")</f>
        <v/>
      </c>
      <c r="I453" s="99">
        <f>IF(AND(AE453="yes",ISNUMBER(AD453),ISNUMBER(INDEX('Sources'!$G$7:$G$10,MATCH(AB453,'Sources'!$B$7:$B$10,0)))),AD453/INDEX('Sources'!$G$7:$G$10,MATCH(AB453,'Sources'!$B$7:$B$10,0)),"")</f>
        <v/>
      </c>
      <c r="J453" s="24" t="inlineStr">
        <is>
          <t>EXACT</t>
        </is>
      </c>
      <c r="K453" s="24" t="inlineStr">
        <is>
          <t>2026-09-30</t>
        </is>
      </c>
      <c r="L453" s="71" t="n"/>
      <c r="M453" s="24" t="inlineStr">
        <is>
          <t>Sale price (normal 10.89); min. qty 4</t>
        </is>
      </c>
      <c r="N453" s="25" t="inlineStr">
        <is>
          <t>https://www.gastro-hero.at/products/vogue-gn-deckel-11-polycarbonat-u244</t>
        </is>
      </c>
      <c r="O453" s="24" t="inlineStr">
        <is>
          <t>Vogue</t>
        </is>
      </c>
      <c r="P453" s="24" t="inlineStr">
        <is>
          <t>excl.</t>
        </is>
      </c>
      <c r="Q453" s="100" t="n"/>
      <c r="R453" s="24" t="n">
        <v>1</v>
      </c>
      <c r="S453" s="24" t="n"/>
      <c r="T453" s="24" t="inlineStr">
        <is>
          <t>EXACT</t>
        </is>
      </c>
      <c r="U453" s="24" t="inlineStr">
        <is>
          <t>Additional Austria/Czechia benchmark. Original assignment and match quality retained.</t>
        </is>
      </c>
      <c r="V453" s="98" t="n">
        <v>9.19</v>
      </c>
      <c r="W453" s="98" t="n"/>
      <c r="X453" s="24" t="inlineStr">
        <is>
          <t>research_AT.xlsx</t>
        </is>
      </c>
      <c r="Y453" s="24" t="n"/>
      <c r="Z453" s="24" t="n"/>
      <c r="AA453" s="24" t="n"/>
      <c r="AB453" s="24" t="inlineStr">
        <is>
          <t>EUR</t>
        </is>
      </c>
      <c r="AC453" s="24" t="inlineStr">
        <is>
          <t>yes</t>
        </is>
      </c>
      <c r="AD453" s="24">
        <f>IF(ISNUMBER(V453),V453,"")</f>
        <v/>
      </c>
      <c r="AE453" s="24">
        <f>IF(AND(AC453="yes",ISNUMBER(F453),IF('Compare'!$H$5="All mapped",TRUE,IF('Compare'!$H$5="EXACT only",J453="EXACT",OR(J453="EXACT",J453="CLOSE")))),"yes","no")</f>
        <v/>
      </c>
      <c r="AF453" s="24">
        <f>IF(ISNUMBER(H453),COUNTIFS($B$7:$B$608,B453,$C$7:$C$608,C453,$H$7:$H$608,"&lt;"&amp;H453,$AH$7:$AH$608,"yes")+COUNTIFS($B$7:B453,B453,$C$7:C453,C453,$H$7:H453,H453,$AH$7:AH453,"yes"),"")</f>
        <v/>
      </c>
      <c r="AG453" s="24">
        <f>IF(ISNUMBER(I453),COUNTIFS($B$7:$B$608,B453,$C$7:$C$608,C453,$I$7:$I$608,"&lt;"&amp;I453,$AI$7:$AI$608,"yes")+COUNTIFS($B$7:B453,B453,$C$7:C453,C453,$I$7:I453,I453,$AI$7:AI453,"yes"),"")</f>
        <v/>
      </c>
      <c r="AH453" s="24">
        <f>IF(ISNUMBER(H453),"yes","no")</f>
        <v/>
      </c>
      <c r="AI453" s="24">
        <f>IF(ISNUMBER(I453),"yes","no")</f>
        <v/>
      </c>
      <c r="AJ453" s="101" t="n">
        <v>46295</v>
      </c>
      <c r="AK453" s="24" t="n"/>
    </row>
    <row r="454" ht="42" customHeight="1">
      <c r="A454" s="2" t="n"/>
      <c r="B454" s="27" t="inlineStr">
        <is>
          <t>GN 1/1 PC lid</t>
        </is>
      </c>
      <c r="C454" s="27" t="inlineStr">
        <is>
          <t>Austria</t>
        </is>
      </c>
      <c r="D454" s="27" t="inlineStr">
        <is>
          <t>Gastrodax</t>
        </is>
      </c>
      <c r="E454" s="27" t="inlineStr">
        <is>
          <t>Hendi Gastronorm-Deckel, GN 1/1, Polykarbonat transparent, 530 x 325 mm</t>
        </is>
      </c>
      <c r="F454" s="102" t="n">
        <v>17.93</v>
      </c>
      <c r="G454" s="27" t="inlineStr">
        <is>
          <t>EUR</t>
        </is>
      </c>
      <c r="H454" s="102">
        <f>IF(AND(AE454="yes",ISNUMBER(AD454)),AD454,"")</f>
        <v/>
      </c>
      <c r="I454" s="103">
        <f>IF(AND(AE454="yes",ISNUMBER(AD454),ISNUMBER(INDEX('Sources'!$G$7:$G$10,MATCH(AB454,'Sources'!$B$7:$B$10,0)))),AD454/INDEX('Sources'!$G$7:$G$10,MATCH(AB454,'Sources'!$B$7:$B$10,0)),"")</f>
        <v/>
      </c>
      <c r="J454" s="27" t="inlineStr">
        <is>
          <t>EXACT</t>
        </is>
      </c>
      <c r="K454" s="27" t="inlineStr">
        <is>
          <t>2026-09-30</t>
        </is>
      </c>
      <c r="L454" s="71" t="n"/>
      <c r="M454" s="27" t="n"/>
      <c r="N454" s="28" t="inlineStr">
        <is>
          <t>https://www.gastrodax.de/hendi-gastronorm-deckel-gn-1-1-polykarbonat-transparent-530-x-325-mm</t>
        </is>
      </c>
      <c r="O454" s="27" t="inlineStr">
        <is>
          <t>Hendi</t>
        </is>
      </c>
      <c r="P454" s="27" t="inlineStr">
        <is>
          <t>excl.</t>
        </is>
      </c>
      <c r="Q454" s="104" t="n"/>
      <c r="R454" s="27" t="n">
        <v>1</v>
      </c>
      <c r="S454" s="27" t="n"/>
      <c r="T454" s="27" t="inlineStr">
        <is>
          <t>EXACT</t>
        </is>
      </c>
      <c r="U454" s="27" t="inlineStr">
        <is>
          <t>Additional Austria/Czechia benchmark. Original assignment and match quality retained.</t>
        </is>
      </c>
      <c r="V454" s="102" t="n">
        <v>17.93</v>
      </c>
      <c r="W454" s="102" t="n"/>
      <c r="X454" s="27" t="inlineStr">
        <is>
          <t>research_AT.xlsx</t>
        </is>
      </c>
      <c r="Y454" s="27" t="n"/>
      <c r="Z454" s="27" t="n"/>
      <c r="AA454" s="27" t="n"/>
      <c r="AB454" s="27" t="inlineStr">
        <is>
          <t>EUR</t>
        </is>
      </c>
      <c r="AC454" s="27" t="inlineStr">
        <is>
          <t>yes</t>
        </is>
      </c>
      <c r="AD454" s="27">
        <f>IF(ISNUMBER(V454),V454,"")</f>
        <v/>
      </c>
      <c r="AE454" s="27">
        <f>IF(AND(AC454="yes",ISNUMBER(F454),IF('Compare'!$H$5="All mapped",TRUE,IF('Compare'!$H$5="EXACT only",J454="EXACT",OR(J454="EXACT",J454="CLOSE")))),"yes","no")</f>
        <v/>
      </c>
      <c r="AF454" s="27">
        <f>IF(ISNUMBER(H454),COUNTIFS($B$7:$B$608,B454,$C$7:$C$608,C454,$H$7:$H$608,"&lt;"&amp;H454,$AH$7:$AH$608,"yes")+COUNTIFS($B$7:B454,B454,$C$7:C454,C454,$H$7:H454,H454,$AH$7:AH454,"yes"),"")</f>
        <v/>
      </c>
      <c r="AG454" s="27">
        <f>IF(ISNUMBER(I454),COUNTIFS($B$7:$B$608,B454,$C$7:$C$608,C454,$I$7:$I$608,"&lt;"&amp;I454,$AI$7:$AI$608,"yes")+COUNTIFS($B$7:B454,B454,$C$7:C454,C454,$I$7:I454,I454,$AI$7:AI454,"yes"),"")</f>
        <v/>
      </c>
      <c r="AH454" s="27">
        <f>IF(ISNUMBER(H454),"yes","no")</f>
        <v/>
      </c>
      <c r="AI454" s="27">
        <f>IF(ISNUMBER(I454),"yes","no")</f>
        <v/>
      </c>
      <c r="AJ454" s="105" t="n">
        <v>46295</v>
      </c>
      <c r="AK454" s="27" t="n"/>
    </row>
    <row r="455" ht="42" customHeight="1">
      <c r="A455" s="2" t="n"/>
      <c r="B455" s="24" t="inlineStr">
        <is>
          <t>GN 1/1 PC lid</t>
        </is>
      </c>
      <c r="C455" s="24" t="inlineStr">
        <is>
          <t>Austria</t>
        </is>
      </c>
      <c r="D455" s="24" t="inlineStr">
        <is>
          <t>Gastroladen.at (Harotec GmbH)</t>
        </is>
      </c>
      <c r="E455" s="24" t="inlineStr">
        <is>
          <t>Cambro Polycarbonat Deckel GN 1/1 mit Griff</t>
        </is>
      </c>
      <c r="F455" s="98" t="n">
        <v>14.69</v>
      </c>
      <c r="G455" s="24" t="inlineStr">
        <is>
          <t>EUR</t>
        </is>
      </c>
      <c r="H455" s="98">
        <f>IF(AND(AE455="yes",ISNUMBER(AD455)),AD455,"")</f>
        <v/>
      </c>
      <c r="I455" s="99">
        <f>IF(AND(AE455="yes",ISNUMBER(AD455),ISNUMBER(INDEX('Sources'!$G$7:$G$10,MATCH(AB455,'Sources'!$B$7:$B$10,0)))),AD455/INDEX('Sources'!$G$7:$G$10,MATCH(AB455,'Sources'!$B$7:$B$10,0)),"")</f>
        <v/>
      </c>
      <c r="J455" s="24" t="inlineStr">
        <is>
          <t>EXACT</t>
        </is>
      </c>
      <c r="K455" s="24" t="inlineStr">
        <is>
          <t>2026-09-30</t>
        </is>
      </c>
      <c r="L455" s="71" t="n"/>
      <c r="M455" s="24" t="inlineStr">
        <is>
          <t>Flat PC lid with handle</t>
        </is>
      </c>
      <c r="N455" s="25" t="inlineStr">
        <is>
          <t>https://www.gastroladen.at/3020@GN-DM742/Cambro-Polycarbonat-Deckel-GN-1-1-mit-Griff.htm</t>
        </is>
      </c>
      <c r="O455" s="24" t="inlineStr">
        <is>
          <t>Cambro</t>
        </is>
      </c>
      <c r="P455" s="24" t="inlineStr">
        <is>
          <t>incl.</t>
        </is>
      </c>
      <c r="Q455" s="100" t="n"/>
      <c r="R455" s="24" t="n">
        <v>1</v>
      </c>
      <c r="S455" s="24" t="n"/>
      <c r="T455" s="24" t="inlineStr">
        <is>
          <t>EXACT</t>
        </is>
      </c>
      <c r="U455" s="24" t="inlineStr">
        <is>
          <t>Additional Austria/Czechia benchmark. Original assignment and match quality retained.</t>
        </is>
      </c>
      <c r="V455" s="98" t="n">
        <v>12.24</v>
      </c>
      <c r="W455" s="98" t="n"/>
      <c r="X455" s="24" t="inlineStr">
        <is>
          <t>research_AT.xlsx</t>
        </is>
      </c>
      <c r="Y455" s="24" t="n"/>
      <c r="Z455" s="24" t="n"/>
      <c r="AA455" s="24" t="n"/>
      <c r="AB455" s="24" t="inlineStr">
        <is>
          <t>EUR</t>
        </is>
      </c>
      <c r="AC455" s="24" t="inlineStr">
        <is>
          <t>yes</t>
        </is>
      </c>
      <c r="AD455" s="24">
        <f>IF(ISNUMBER(V455),V455,"")</f>
        <v/>
      </c>
      <c r="AE455" s="24">
        <f>IF(AND(AC455="yes",ISNUMBER(F455),IF('Compare'!$H$5="All mapped",TRUE,IF('Compare'!$H$5="EXACT only",J455="EXACT",OR(J455="EXACT",J455="CLOSE")))),"yes","no")</f>
        <v/>
      </c>
      <c r="AF455" s="24">
        <f>IF(ISNUMBER(H455),COUNTIFS($B$7:$B$608,B455,$C$7:$C$608,C455,$H$7:$H$608,"&lt;"&amp;H455,$AH$7:$AH$608,"yes")+COUNTIFS($B$7:B455,B455,$C$7:C455,C455,$H$7:H455,H455,$AH$7:AH455,"yes"),"")</f>
        <v/>
      </c>
      <c r="AG455" s="24">
        <f>IF(ISNUMBER(I455),COUNTIFS($B$7:$B$608,B455,$C$7:$C$608,C455,$I$7:$I$608,"&lt;"&amp;I455,$AI$7:$AI$608,"yes")+COUNTIFS($B$7:B455,B455,$C$7:C455,C455,$I$7:I455,I455,$AI$7:AI455,"yes"),"")</f>
        <v/>
      </c>
      <c r="AH455" s="24">
        <f>IF(ISNUMBER(H455),"yes","no")</f>
        <v/>
      </c>
      <c r="AI455" s="24">
        <f>IF(ISNUMBER(I455),"yes","no")</f>
        <v/>
      </c>
      <c r="AJ455" s="101" t="n">
        <v>46295</v>
      </c>
      <c r="AK455" s="24" t="n"/>
    </row>
    <row r="456" ht="42" customHeight="1">
      <c r="A456" s="2" t="n"/>
      <c r="B456" s="27" t="inlineStr">
        <is>
          <t>GN 1/1 PC lid</t>
        </is>
      </c>
      <c r="C456" s="27" t="inlineStr">
        <is>
          <t>Austria</t>
        </is>
      </c>
      <c r="D456" s="27" t="inlineStr">
        <is>
          <t>Intergastro (AT shop)</t>
        </is>
      </c>
      <c r="E456" s="27" t="inlineStr">
        <is>
          <t>GN Deckel GN 1/1 Polycarbonat transparent</t>
        </is>
      </c>
      <c r="F456" s="102" t="n">
        <v>9.23</v>
      </c>
      <c r="G456" s="27" t="inlineStr">
        <is>
          <t>EUR</t>
        </is>
      </c>
      <c r="H456" s="102">
        <f>IF(AND(AE456="yes",ISNUMBER(AD456)),AD456,"")</f>
        <v/>
      </c>
      <c r="I456" s="103">
        <f>IF(AND(AE456="yes",ISNUMBER(AD456),ISNUMBER(INDEX('Sources'!$G$7:$G$10,MATCH(AB456,'Sources'!$B$7:$B$10,0)))),AD456/INDEX('Sources'!$G$7:$G$10,MATCH(AB456,'Sources'!$B$7:$B$10,0)),"")</f>
        <v/>
      </c>
      <c r="J456" s="27" t="inlineStr">
        <is>
          <t>EXACT</t>
        </is>
      </c>
      <c r="K456" s="27" t="inlineStr">
        <is>
          <t>2026-09-30</t>
        </is>
      </c>
      <c r="L456" s="71" t="n"/>
      <c r="M456" s="27" t="n"/>
      <c r="N456" s="28" t="inlineStr">
        <is>
          <t>https://www.intergastro.at/gn-deckel-gn-1-1-polycarbonat-transparent-252033</t>
        </is>
      </c>
      <c r="O456" s="27" t="inlineStr">
        <is>
          <t>WAS Germany</t>
        </is>
      </c>
      <c r="P456" s="27" t="inlineStr">
        <is>
          <t>excl.</t>
        </is>
      </c>
      <c r="Q456" s="104" t="n"/>
      <c r="R456" s="27" t="n">
        <v>1</v>
      </c>
      <c r="S456" s="27" t="n"/>
      <c r="T456" s="27" t="inlineStr">
        <is>
          <t>EXACT</t>
        </is>
      </c>
      <c r="U456" s="27" t="inlineStr">
        <is>
          <t>Additional Austria/Czechia benchmark. Original assignment and match quality retained.</t>
        </is>
      </c>
      <c r="V456" s="102" t="n">
        <v>9.23</v>
      </c>
      <c r="W456" s="102" t="n"/>
      <c r="X456" s="27" t="inlineStr">
        <is>
          <t>research_AT.xlsx</t>
        </is>
      </c>
      <c r="Y456" s="27" t="n"/>
      <c r="Z456" s="27" t="n"/>
      <c r="AA456" s="27" t="n"/>
      <c r="AB456" s="27" t="inlineStr">
        <is>
          <t>EUR</t>
        </is>
      </c>
      <c r="AC456" s="27" t="inlineStr">
        <is>
          <t>yes</t>
        </is>
      </c>
      <c r="AD456" s="27">
        <f>IF(ISNUMBER(V456),V456,"")</f>
        <v/>
      </c>
      <c r="AE456" s="27">
        <f>IF(AND(AC456="yes",ISNUMBER(F456),IF('Compare'!$H$5="All mapped",TRUE,IF('Compare'!$H$5="EXACT only",J456="EXACT",OR(J456="EXACT",J456="CLOSE")))),"yes","no")</f>
        <v/>
      </c>
      <c r="AF456" s="27">
        <f>IF(ISNUMBER(H456),COUNTIFS($B$7:$B$608,B456,$C$7:$C$608,C456,$H$7:$H$608,"&lt;"&amp;H456,$AH$7:$AH$608,"yes")+COUNTIFS($B$7:B456,B456,$C$7:C456,C456,$H$7:H456,H456,$AH$7:AH456,"yes"),"")</f>
        <v/>
      </c>
      <c r="AG456" s="27">
        <f>IF(ISNUMBER(I456),COUNTIFS($B$7:$B$608,B456,$C$7:$C$608,C456,$I$7:$I$608,"&lt;"&amp;I456,$AI$7:$AI$608,"yes")+COUNTIFS($B$7:B456,B456,$C$7:C456,C456,$I$7:I456,I456,$AI$7:AI456,"yes"),"")</f>
        <v/>
      </c>
      <c r="AH456" s="27">
        <f>IF(ISNUMBER(H456),"yes","no")</f>
        <v/>
      </c>
      <c r="AI456" s="27">
        <f>IF(ISNUMBER(I456),"yes","no")</f>
        <v/>
      </c>
      <c r="AJ456" s="105" t="n">
        <v>46295</v>
      </c>
      <c r="AK456" s="27" t="n"/>
    </row>
    <row r="457" ht="42" customHeight="1">
      <c r="A457" s="2" t="n"/>
      <c r="B457" s="24" t="inlineStr">
        <is>
          <t>GN 1/1 PC lid</t>
        </is>
      </c>
      <c r="C457" s="24" t="inlineStr">
        <is>
          <t>Austria</t>
        </is>
      </c>
      <c r="D457" s="24" t="inlineStr">
        <is>
          <t>shopbuero.com</t>
        </is>
      </c>
      <c r="E457" s="24" t="inlineStr">
        <is>
          <t>GN-Deckel - aufliegend - GN 1/1 (530 x 325 mm) - Polycarbonat</t>
        </is>
      </c>
      <c r="F457" s="98" t="n">
        <v>10</v>
      </c>
      <c r="G457" s="24" t="inlineStr">
        <is>
          <t>EUR</t>
        </is>
      </c>
      <c r="H457" s="98">
        <f>IF(AND(AE457="yes",ISNUMBER(AD457)),AD457,"")</f>
        <v/>
      </c>
      <c r="I457" s="99">
        <f>IF(AND(AE457="yes",ISNUMBER(AD457),ISNUMBER(INDEX('Sources'!$G$7:$G$10,MATCH(AB457,'Sources'!$B$7:$B$10,0)))),AD457/INDEX('Sources'!$G$7:$G$10,MATCH(AB457,'Sources'!$B$7:$B$10,0)),"")</f>
        <v/>
      </c>
      <c r="J457" s="24" t="inlineStr">
        <is>
          <t>EXACT</t>
        </is>
      </c>
      <c r="K457" s="24" t="inlineStr">
        <is>
          <t>2026-09-30</t>
        </is>
      </c>
      <c r="L457" s="71" t="n"/>
      <c r="M457" s="24" t="inlineStr">
        <is>
          <t>Regular price 16.55</t>
        </is>
      </c>
      <c r="N457" s="25" t="inlineStr">
        <is>
          <t>https://shopbuero.com/gn-deckel-aufliegend-gn-1-1-530-x-325-mm-polycarbonat/530105-C</t>
        </is>
      </c>
      <c r="O457" s="24" t="inlineStr">
        <is>
          <t>Schneider</t>
        </is>
      </c>
      <c r="P457" s="24" t="inlineStr">
        <is>
          <t>excl.</t>
        </is>
      </c>
      <c r="Q457" s="100" t="n"/>
      <c r="R457" s="24" t="n">
        <v>1</v>
      </c>
      <c r="S457" s="24" t="n"/>
      <c r="T457" s="24" t="inlineStr">
        <is>
          <t>EXACT</t>
        </is>
      </c>
      <c r="U457" s="24" t="inlineStr">
        <is>
          <t>Additional Austria/Czechia benchmark. Original assignment and match quality retained.</t>
        </is>
      </c>
      <c r="V457" s="98" t="n">
        <v>10</v>
      </c>
      <c r="W457" s="98" t="n"/>
      <c r="X457" s="24" t="inlineStr">
        <is>
          <t>research_AT.xlsx</t>
        </is>
      </c>
      <c r="Y457" s="24" t="n"/>
      <c r="Z457" s="24" t="n"/>
      <c r="AA457" s="24" t="n"/>
      <c r="AB457" s="24" t="inlineStr">
        <is>
          <t>EUR</t>
        </is>
      </c>
      <c r="AC457" s="24" t="inlineStr">
        <is>
          <t>yes</t>
        </is>
      </c>
      <c r="AD457" s="24">
        <f>IF(ISNUMBER(V457),V457,"")</f>
        <v/>
      </c>
      <c r="AE457" s="24">
        <f>IF(AND(AC457="yes",ISNUMBER(F457),IF('Compare'!$H$5="All mapped",TRUE,IF('Compare'!$H$5="EXACT only",J457="EXACT",OR(J457="EXACT",J457="CLOSE")))),"yes","no")</f>
        <v/>
      </c>
      <c r="AF457" s="24">
        <f>IF(ISNUMBER(H457),COUNTIFS($B$7:$B$608,B457,$C$7:$C$608,C457,$H$7:$H$608,"&lt;"&amp;H457,$AH$7:$AH$608,"yes")+COUNTIFS($B$7:B457,B457,$C$7:C457,C457,$H$7:H457,H457,$AH$7:AH457,"yes"),"")</f>
        <v/>
      </c>
      <c r="AG457" s="24">
        <f>IF(ISNUMBER(I457),COUNTIFS($B$7:$B$608,B457,$C$7:$C$608,C457,$I$7:$I$608,"&lt;"&amp;I457,$AI$7:$AI$608,"yes")+COUNTIFS($B$7:B457,B457,$C$7:C457,C457,$I$7:I457,I457,$AI$7:AI457,"yes"),"")</f>
        <v/>
      </c>
      <c r="AH457" s="24">
        <f>IF(ISNUMBER(H457),"yes","no")</f>
        <v/>
      </c>
      <c r="AI457" s="24">
        <f>IF(ISNUMBER(I457),"yes","no")</f>
        <v/>
      </c>
      <c r="AJ457" s="101" t="n">
        <v>46295</v>
      </c>
      <c r="AK457" s="24" t="n"/>
    </row>
    <row r="458" ht="42" customHeight="1">
      <c r="A458" s="2" t="n"/>
      <c r="B458" s="27" t="inlineStr">
        <is>
          <t>GN 1/1 PC lid</t>
        </is>
      </c>
      <c r="C458" s="27" t="inlineStr">
        <is>
          <t>Czech</t>
        </is>
      </c>
      <c r="D458" s="27" t="inlineStr">
        <is>
          <t>GGM Gastro (CZ storefront)</t>
        </is>
      </c>
      <c r="E458" s="27" t="inlineStr">
        <is>
          <t>(6 ks) GN kryt GN 1/1 - Polykarbonát - Výška: 35 mm</t>
        </is>
      </c>
      <c r="F458" s="102" t="n">
        <v>1679.15</v>
      </c>
      <c r="G458" s="27" t="inlineStr">
        <is>
          <t>CZK</t>
        </is>
      </c>
      <c r="H458" s="102">
        <f>IF(AND(AE458="yes",ISNUMBER(AD458)),AD458,"")</f>
        <v/>
      </c>
      <c r="I458" s="103">
        <f>IF(AND(AE458="yes",ISNUMBER(AD458),ISNUMBER(INDEX('Sources'!$G$7:$G$10,MATCH(AB458,'Sources'!$B$7:$B$10,0)))),AD458/INDEX('Sources'!$G$7:$G$10,MATCH(AB458,'Sources'!$B$7:$B$10,0)),"")</f>
        <v/>
      </c>
      <c r="J458" s="27" t="inlineStr">
        <is>
          <t>CLOSE</t>
        </is>
      </c>
      <c r="K458" s="27" t="inlineStr">
        <is>
          <t>2026-09-30</t>
        </is>
      </c>
      <c r="L458" s="71" t="n"/>
      <c r="M458" s="27" t="inlineStr">
        <is>
          <t>PC lid 35 mm high (raised rather than flat standard lid)</t>
        </is>
      </c>
      <c r="N458" s="28" t="inlineStr">
        <is>
          <t>https://www.ggmgastro.com/cs-cz-czk/6-ks-gn-kryt-gn-1-1-polykarbonat-vyska-35-mm-82001-6</t>
        </is>
      </c>
      <c r="O458" s="27" t="inlineStr">
        <is>
          <t>GGM</t>
        </is>
      </c>
      <c r="P458" s="27" t="inlineStr">
        <is>
          <t>excl.</t>
        </is>
      </c>
      <c r="Q458" s="104" t="n">
        <v>0.19</v>
      </c>
      <c r="R458" s="27" t="n">
        <v>6</v>
      </c>
      <c r="S458" s="27" t="inlineStr">
        <is>
          <t>per pack</t>
        </is>
      </c>
      <c r="T458" s="27" t="inlineStr">
        <is>
          <t>CLOSE</t>
        </is>
      </c>
      <c r="U458" s="27" t="inlineStr">
        <is>
          <t>Additional Austria/Czechia benchmark. Original assignment and match quality retained.</t>
        </is>
      </c>
      <c r="V458" s="102" t="n"/>
      <c r="W458" s="102" t="n"/>
      <c r="X458" s="27" t="inlineStr">
        <is>
          <t>research_CZ.xlsx</t>
        </is>
      </c>
      <c r="Y458" s="27" t="n"/>
      <c r="Z458" s="27" t="n"/>
      <c r="AA458" s="27" t="n"/>
      <c r="AB458" s="27" t="inlineStr">
        <is>
          <t>CZK</t>
        </is>
      </c>
      <c r="AC458" s="27" t="inlineStr">
        <is>
          <t>yes</t>
        </is>
      </c>
      <c r="AD458" s="27">
        <f>IF(OR(F458="",Q458="",R458=""),"",ROUND(IF(P458="incl.",F458/(1+Q458),F458)/IF(S458="per pack",R458,1),2))</f>
        <v/>
      </c>
      <c r="AE458" s="27">
        <f>IF(AND(AC458="yes",ISNUMBER(F458),IF('Compare'!$H$5="All mapped",TRUE,IF('Compare'!$H$5="EXACT only",J458="EXACT",OR(J458="EXACT",J458="CLOSE")))),"yes","no")</f>
        <v/>
      </c>
      <c r="AF458" s="27">
        <f>IF(ISNUMBER(H458),COUNTIFS($B$7:$B$608,B458,$C$7:$C$608,C458,$H$7:$H$608,"&lt;"&amp;H458,$AH$7:$AH$608,"yes")+COUNTIFS($B$7:B458,B458,$C$7:C458,C458,$H$7:H458,H458,$AH$7:AH458,"yes"),"")</f>
        <v/>
      </c>
      <c r="AG458" s="27">
        <f>IF(ISNUMBER(I458),COUNTIFS($B$7:$B$608,B458,$C$7:$C$608,C458,$I$7:$I$608,"&lt;"&amp;I458,$AI$7:$AI$608,"yes")+COUNTIFS($B$7:B458,B458,$C$7:C458,C458,$I$7:I458,I458,$AI$7:AI458,"yes"),"")</f>
        <v/>
      </c>
      <c r="AH458" s="27">
        <f>IF(ISNUMBER(H458),"yes","no")</f>
        <v/>
      </c>
      <c r="AI458" s="27">
        <f>IF(ISNUMBER(I458),"yes","no")</f>
        <v/>
      </c>
      <c r="AJ458" s="105" t="n">
        <v>46295</v>
      </c>
      <c r="AK458" s="27" t="n"/>
    </row>
    <row r="459" ht="42" customHeight="1">
      <c r="A459" s="2" t="n"/>
      <c r="B459" s="24" t="inlineStr">
        <is>
          <t>GN 1/1 PC lid</t>
        </is>
      </c>
      <c r="C459" s="24" t="inlineStr">
        <is>
          <t>Czech</t>
        </is>
      </c>
      <c r="D459" s="24" t="inlineStr">
        <is>
          <t>Gastro Novotný</t>
        </is>
      </c>
      <c r="E459" s="24" t="inlineStr">
        <is>
          <t>Víko PC GN 1/1</t>
        </is>
      </c>
      <c r="F459" s="98" t="n">
        <v>249</v>
      </c>
      <c r="G459" s="24" t="inlineStr">
        <is>
          <t>CZK</t>
        </is>
      </c>
      <c r="H459" s="98">
        <f>IF(AND(AE459="yes",ISNUMBER(AD459)),AD459,"")</f>
        <v/>
      </c>
      <c r="I459" s="99">
        <f>IF(AND(AE459="yes",ISNUMBER(AD459),ISNUMBER(INDEX('Sources'!$G$7:$G$10,MATCH(AB459,'Sources'!$B$7:$B$10,0)))),AD459/INDEX('Sources'!$G$7:$G$10,MATCH(AB459,'Sources'!$B$7:$B$10,0)),"")</f>
        <v/>
      </c>
      <c r="J459" s="24" t="inlineStr">
        <is>
          <t>EXACT</t>
        </is>
      </c>
      <c r="K459" s="24" t="inlineStr">
        <is>
          <t>2026-09-30</t>
        </is>
      </c>
      <c r="L459" s="71" t="n"/>
      <c r="M459" s="24" t="inlineStr">
        <is>
          <t>Code 0835161; polycarbonate plain lid; 301.29 CZK incl. VAT</t>
        </is>
      </c>
      <c r="N459" s="25" t="inlineStr">
        <is>
          <t>https://eshop.gastronovotny.cz/viko-pc-gn-1-1--0835161/</t>
        </is>
      </c>
      <c r="O459" s="24" t="n"/>
      <c r="P459" s="24" t="inlineStr">
        <is>
          <t>excl.</t>
        </is>
      </c>
      <c r="Q459" s="100" t="n">
        <v>0.21</v>
      </c>
      <c r="R459" s="24" t="n">
        <v>1</v>
      </c>
      <c r="S459" s="24" t="inlineStr">
        <is>
          <t>per piece</t>
        </is>
      </c>
      <c r="T459" s="24" t="inlineStr">
        <is>
          <t>EXACT</t>
        </is>
      </c>
      <c r="U459" s="24" t="inlineStr">
        <is>
          <t>Additional Austria/Czechia benchmark. Original assignment and match quality retained.</t>
        </is>
      </c>
      <c r="V459" s="98" t="n"/>
      <c r="W459" s="98" t="n"/>
      <c r="X459" s="24" t="inlineStr">
        <is>
          <t>research_CZ.xlsx</t>
        </is>
      </c>
      <c r="Y459" s="24" t="n"/>
      <c r="Z459" s="24" t="n"/>
      <c r="AA459" s="24" t="n"/>
      <c r="AB459" s="24" t="inlineStr">
        <is>
          <t>CZK</t>
        </is>
      </c>
      <c r="AC459" s="24" t="inlineStr">
        <is>
          <t>yes</t>
        </is>
      </c>
      <c r="AD459" s="24">
        <f>IF(OR(F459="",Q459="",R459=""),"",ROUND(IF(P459="incl.",F459/(1+Q459),F459)/IF(S459="per pack",R459,1),2))</f>
        <v/>
      </c>
      <c r="AE459" s="24">
        <f>IF(AND(AC459="yes",ISNUMBER(F459),IF('Compare'!$H$5="All mapped",TRUE,IF('Compare'!$H$5="EXACT only",J459="EXACT",OR(J459="EXACT",J459="CLOSE")))),"yes","no")</f>
        <v/>
      </c>
      <c r="AF459" s="24">
        <f>IF(ISNUMBER(H459),COUNTIFS($B$7:$B$608,B459,$C$7:$C$608,C459,$H$7:$H$608,"&lt;"&amp;H459,$AH$7:$AH$608,"yes")+COUNTIFS($B$7:B459,B459,$C$7:C459,C459,$H$7:H459,H459,$AH$7:AH459,"yes"),"")</f>
        <v/>
      </c>
      <c r="AG459" s="24">
        <f>IF(ISNUMBER(I459),COUNTIFS($B$7:$B$608,B459,$C$7:$C$608,C459,$I$7:$I$608,"&lt;"&amp;I459,$AI$7:$AI$608,"yes")+COUNTIFS($B$7:B459,B459,$C$7:C459,C459,$I$7:I459,I459,$AI$7:AI459,"yes"),"")</f>
        <v/>
      </c>
      <c r="AH459" s="24">
        <f>IF(ISNUMBER(H459),"yes","no")</f>
        <v/>
      </c>
      <c r="AI459" s="24">
        <f>IF(ISNUMBER(I459),"yes","no")</f>
        <v/>
      </c>
      <c r="AJ459" s="101" t="n">
        <v>46295</v>
      </c>
      <c r="AK459" s="24" t="n"/>
    </row>
    <row r="460" ht="52" customHeight="1">
      <c r="A460" s="2" t="n"/>
      <c r="B460" s="27" t="inlineStr">
        <is>
          <t>GN 1/1 PC lid</t>
        </is>
      </c>
      <c r="C460" s="27" t="inlineStr">
        <is>
          <t>Czech</t>
        </is>
      </c>
      <c r="D460" s="27" t="inlineStr">
        <is>
          <t>Gastromania</t>
        </is>
      </c>
      <c r="E460" s="27" t="inlineStr">
        <is>
          <t>Polykarbonátové víko, GN 1/1 | STALGAST, Bufet</t>
        </is>
      </c>
      <c r="F460" s="102" t="n">
        <v>293</v>
      </c>
      <c r="G460" s="27" t="inlineStr">
        <is>
          <t>CZK</t>
        </is>
      </c>
      <c r="H460" s="102">
        <f>IF(AND(AE460="yes",ISNUMBER(AD460)),AD460,"")</f>
        <v/>
      </c>
      <c r="I460" s="103">
        <f>IF(AND(AE460="yes",ISNUMBER(AD460),ISNUMBER(INDEX('Sources'!$G$7:$G$10,MATCH(AB460,'Sources'!$B$7:$B$10,0)))),AD460/INDEX('Sources'!$G$7:$G$10,MATCH(AB460,'Sources'!$B$7:$B$10,0)),"")</f>
        <v/>
      </c>
      <c r="J460" s="27" t="inlineStr">
        <is>
          <t>EXACT</t>
        </is>
      </c>
      <c r="K460" s="27" t="inlineStr">
        <is>
          <t>2026-09-30</t>
        </is>
      </c>
      <c r="L460" s="71" t="n"/>
      <c r="M460" s="27" t="inlineStr">
        <is>
          <t>Plain PC lid; Stalgast Premium clear lid 269 CZK (material not in name), Cambro R-M211001 357 CZK; price incl. 21% VAT as published in product data (current price, in stock)</t>
        </is>
      </c>
      <c r="N460" s="28" t="inlineStr">
        <is>
          <t>https://www.gastromania.cz/vika-gn-polykarbonatove/polykarbonatove-viko-gn-1-1-stalgast-bufet</t>
        </is>
      </c>
      <c r="O460" s="27" t="inlineStr">
        <is>
          <t>Stalgast</t>
        </is>
      </c>
      <c r="P460" s="27" t="inlineStr">
        <is>
          <t>incl.</t>
        </is>
      </c>
      <c r="Q460" s="104" t="n">
        <v>0.21</v>
      </c>
      <c r="R460" s="27" t="n">
        <v>1</v>
      </c>
      <c r="S460" s="27" t="inlineStr">
        <is>
          <t>per piece</t>
        </is>
      </c>
      <c r="T460" s="27" t="inlineStr">
        <is>
          <t>EXACT</t>
        </is>
      </c>
      <c r="U460" s="27" t="inlineStr">
        <is>
          <t>Additional Austria/Czechia benchmark. Original assignment and match quality retained.</t>
        </is>
      </c>
      <c r="V460" s="102" t="n"/>
      <c r="W460" s="102" t="n"/>
      <c r="X460" s="27" t="inlineStr">
        <is>
          <t>research_CZ.xlsx</t>
        </is>
      </c>
      <c r="Y460" s="27" t="n"/>
      <c r="Z460" s="27" t="n"/>
      <c r="AA460" s="27" t="n"/>
      <c r="AB460" s="27" t="inlineStr">
        <is>
          <t>CZK</t>
        </is>
      </c>
      <c r="AC460" s="27" t="inlineStr">
        <is>
          <t>yes</t>
        </is>
      </c>
      <c r="AD460" s="27">
        <f>IF(OR(F460="",Q460="",R460=""),"",ROUND(IF(P460="incl.",F460/(1+Q460),F460)/IF(S460="per pack",R460,1),2))</f>
        <v/>
      </c>
      <c r="AE460" s="27">
        <f>IF(AND(AC460="yes",ISNUMBER(F460),IF('Compare'!$H$5="All mapped",TRUE,IF('Compare'!$H$5="EXACT only",J460="EXACT",OR(J460="EXACT",J460="CLOSE")))),"yes","no")</f>
        <v/>
      </c>
      <c r="AF460" s="27">
        <f>IF(ISNUMBER(H460),COUNTIFS($B$7:$B$608,B460,$C$7:$C$608,C460,$H$7:$H$608,"&lt;"&amp;H460,$AH$7:$AH$608,"yes")+COUNTIFS($B$7:B460,B460,$C$7:C460,C460,$H$7:H460,H460,$AH$7:AH460,"yes"),"")</f>
        <v/>
      </c>
      <c r="AG460" s="27">
        <f>IF(ISNUMBER(I460),COUNTIFS($B$7:$B$608,B460,$C$7:$C$608,C460,$I$7:$I$608,"&lt;"&amp;I460,$AI$7:$AI$608,"yes")+COUNTIFS($B$7:B460,B460,$C$7:C460,C460,$I$7:I460,I460,$AI$7:AI460,"yes"),"")</f>
        <v/>
      </c>
      <c r="AH460" s="27">
        <f>IF(ISNUMBER(H460),"yes","no")</f>
        <v/>
      </c>
      <c r="AI460" s="27">
        <f>IF(ISNUMBER(I460),"yes","no")</f>
        <v/>
      </c>
      <c r="AJ460" s="105" t="n">
        <v>46295</v>
      </c>
      <c r="AK460" s="27" t="n"/>
    </row>
    <row r="461" ht="42" customHeight="1">
      <c r="A461" s="2" t="n"/>
      <c r="B461" s="24" t="inlineStr">
        <is>
          <t>GN 1/1 PC lid</t>
        </is>
      </c>
      <c r="C461" s="24" t="inlineStr">
        <is>
          <t>Czech</t>
        </is>
      </c>
      <c r="D461" s="24" t="inlineStr">
        <is>
          <t>Gastrozone</t>
        </is>
      </c>
      <c r="E461" s="24" t="inlineStr">
        <is>
          <t>ARAVEN Víko na gastronádobu GN 1/1, polykarbonát, volné</t>
        </is>
      </c>
      <c r="F461" s="98" t="n">
        <v>380</v>
      </c>
      <c r="G461" s="24" t="inlineStr">
        <is>
          <t>CZK</t>
        </is>
      </c>
      <c r="H461" s="98">
        <f>IF(AND(AE461="yes",ISNUMBER(AD461)),AD461,"")</f>
        <v/>
      </c>
      <c r="I461" s="99">
        <f>IF(AND(AE461="yes",ISNUMBER(AD461),ISNUMBER(INDEX('Sources'!$G$7:$G$10,MATCH(AB461,'Sources'!$B$7:$B$10,0)))),AD461/INDEX('Sources'!$G$7:$G$10,MATCH(AB461,'Sources'!$B$7:$B$10,0)),"")</f>
        <v/>
      </c>
      <c r="J461" s="24" t="inlineStr">
        <is>
          <t>EXACT</t>
        </is>
      </c>
      <c r="K461" s="24" t="inlineStr">
        <is>
          <t>2026-09-30</t>
        </is>
      </c>
      <c r="L461" s="71" t="n"/>
      <c r="M461" s="24" t="inlineStr">
        <is>
          <t>314.05 CZK bez DPH; plain loose PC lid; APS PC lid 394 CZK</t>
        </is>
      </c>
      <c r="N461" s="25" t="inlineStr">
        <is>
          <t>https://www.gastrozone.cz/araven-gn-deckel-1-1-polykarbonat-volny.html</t>
        </is>
      </c>
      <c r="O461" s="24" t="inlineStr">
        <is>
          <t>Araven</t>
        </is>
      </c>
      <c r="P461" s="24" t="inlineStr">
        <is>
          <t>incl.</t>
        </is>
      </c>
      <c r="Q461" s="100" t="n">
        <v>0.21</v>
      </c>
      <c r="R461" s="24" t="n">
        <v>1</v>
      </c>
      <c r="S461" s="24" t="inlineStr">
        <is>
          <t>per piece</t>
        </is>
      </c>
      <c r="T461" s="24" t="inlineStr">
        <is>
          <t>EXACT</t>
        </is>
      </c>
      <c r="U461" s="24" t="inlineStr">
        <is>
          <t>Additional Austria/Czechia benchmark. Original assignment and match quality retained.</t>
        </is>
      </c>
      <c r="V461" s="98" t="n"/>
      <c r="W461" s="98" t="n"/>
      <c r="X461" s="24" t="inlineStr">
        <is>
          <t>research_CZ.xlsx</t>
        </is>
      </c>
      <c r="Y461" s="24" t="n"/>
      <c r="Z461" s="24" t="n"/>
      <c r="AA461" s="24" t="n"/>
      <c r="AB461" s="24" t="inlineStr">
        <is>
          <t>CZK</t>
        </is>
      </c>
      <c r="AC461" s="24" t="inlineStr">
        <is>
          <t>yes</t>
        </is>
      </c>
      <c r="AD461" s="24">
        <f>IF(OR(F461="",Q461="",R461=""),"",ROUND(IF(P461="incl.",F461/(1+Q461),F461)/IF(S461="per pack",R461,1),2))</f>
        <v/>
      </c>
      <c r="AE461" s="24">
        <f>IF(AND(AC461="yes",ISNUMBER(F461),IF('Compare'!$H$5="All mapped",TRUE,IF('Compare'!$H$5="EXACT only",J461="EXACT",OR(J461="EXACT",J461="CLOSE")))),"yes","no")</f>
        <v/>
      </c>
      <c r="AF461" s="24">
        <f>IF(ISNUMBER(H461),COUNTIFS($B$7:$B$608,B461,$C$7:$C$608,C461,$H$7:$H$608,"&lt;"&amp;H461,$AH$7:$AH$608,"yes")+COUNTIFS($B$7:B461,B461,$C$7:C461,C461,$H$7:H461,H461,$AH$7:AH461,"yes"),"")</f>
        <v/>
      </c>
      <c r="AG461" s="24">
        <f>IF(ISNUMBER(I461),COUNTIFS($B$7:$B$608,B461,$C$7:$C$608,C461,$I$7:$I$608,"&lt;"&amp;I461,$AI$7:$AI$608,"yes")+COUNTIFS($B$7:B461,B461,$C$7:C461,C461,$I$7:I461,I461,$AI$7:AI461,"yes"),"")</f>
        <v/>
      </c>
      <c r="AH461" s="24">
        <f>IF(ISNUMBER(H461),"yes","no")</f>
        <v/>
      </c>
      <c r="AI461" s="24">
        <f>IF(ISNUMBER(I461),"yes","no")</f>
        <v/>
      </c>
      <c r="AJ461" s="101" t="n">
        <v>46295</v>
      </c>
      <c r="AK461" s="24" t="n"/>
    </row>
    <row r="462" ht="42" customHeight="1">
      <c r="A462" s="2" t="n"/>
      <c r="B462" s="27" t="inlineStr">
        <is>
          <t>GN 1/1 PC lid</t>
        </is>
      </c>
      <c r="C462" s="27" t="inlineStr">
        <is>
          <t>Czech</t>
        </is>
      </c>
      <c r="D462" s="27" t="inlineStr">
        <is>
          <t>TOMGAST</t>
        </is>
      </c>
      <c r="E462" s="27" t="inlineStr">
        <is>
          <t>Víko pro gastronádobu GN 1/1</t>
        </is>
      </c>
      <c r="F462" s="102" t="n">
        <v>357</v>
      </c>
      <c r="G462" s="27" t="inlineStr">
        <is>
          <t>CZK</t>
        </is>
      </c>
      <c r="H462" s="102">
        <f>IF(AND(AE462="yes",ISNUMBER(AD462)),AD462,"")</f>
        <v/>
      </c>
      <c r="I462" s="103">
        <f>IF(AND(AE462="yes",ISNUMBER(AD462),ISNUMBER(INDEX('Sources'!$G$7:$G$10,MATCH(AB462,'Sources'!$B$7:$B$10,0)))),AD462/INDEX('Sources'!$G$7:$G$10,MATCH(AB462,'Sources'!$B$7:$B$10,0)),"")</f>
        <v/>
      </c>
      <c r="J462" s="27" t="inlineStr">
        <is>
          <t>EXACT</t>
        </is>
      </c>
      <c r="K462" s="27" t="inlineStr">
        <is>
          <t>2026-09-30</t>
        </is>
      </c>
      <c r="L462" s="71" t="n"/>
      <c r="M462" s="27" t="inlineStr">
        <is>
          <t>Code R-M211001; material polykarbonát, plain lid, price per 1 piece; 295 CZK bez DPH</t>
        </is>
      </c>
      <c r="N462" s="28" t="inlineStr">
        <is>
          <t>https://www.tomgast.cz/viko-pro-gastronadobu-gn-1-1/</t>
        </is>
      </c>
      <c r="O462" s="27" t="inlineStr">
        <is>
          <t>Cambro</t>
        </is>
      </c>
      <c r="P462" s="27" t="inlineStr">
        <is>
          <t>incl.</t>
        </is>
      </c>
      <c r="Q462" s="104" t="n">
        <v>0.21</v>
      </c>
      <c r="R462" s="27" t="n">
        <v>1</v>
      </c>
      <c r="S462" s="27" t="inlineStr">
        <is>
          <t>per piece</t>
        </is>
      </c>
      <c r="T462" s="27" t="inlineStr">
        <is>
          <t>EXACT</t>
        </is>
      </c>
      <c r="U462" s="27" t="inlineStr">
        <is>
          <t>Additional Austria/Czechia benchmark. Original assignment and match quality retained.</t>
        </is>
      </c>
      <c r="V462" s="102" t="n"/>
      <c r="W462" s="102" t="n"/>
      <c r="X462" s="27" t="inlineStr">
        <is>
          <t>research_CZ.xlsx</t>
        </is>
      </c>
      <c r="Y462" s="27" t="n"/>
      <c r="Z462" s="27" t="n"/>
      <c r="AA462" s="27" t="n"/>
      <c r="AB462" s="27" t="inlineStr">
        <is>
          <t>CZK</t>
        </is>
      </c>
      <c r="AC462" s="27" t="inlineStr">
        <is>
          <t>yes</t>
        </is>
      </c>
      <c r="AD462" s="27">
        <f>IF(OR(F462="",Q462="",R462=""),"",ROUND(IF(P462="incl.",F462/(1+Q462),F462)/IF(S462="per pack",R462,1),2))</f>
        <v/>
      </c>
      <c r="AE462" s="27">
        <f>IF(AND(AC462="yes",ISNUMBER(F462),IF('Compare'!$H$5="All mapped",TRUE,IF('Compare'!$H$5="EXACT only",J462="EXACT",OR(J462="EXACT",J462="CLOSE")))),"yes","no")</f>
        <v/>
      </c>
      <c r="AF462" s="27">
        <f>IF(ISNUMBER(H462),COUNTIFS($B$7:$B$608,B462,$C$7:$C$608,C462,$H$7:$H$608,"&lt;"&amp;H462,$AH$7:$AH$608,"yes")+COUNTIFS($B$7:B462,B462,$C$7:C462,C462,$H$7:H462,H462,$AH$7:AH462,"yes"),"")</f>
        <v/>
      </c>
      <c r="AG462" s="27">
        <f>IF(ISNUMBER(I462),COUNTIFS($B$7:$B$608,B462,$C$7:$C$608,C462,$I$7:$I$608,"&lt;"&amp;I462,$AI$7:$AI$608,"yes")+COUNTIFS($B$7:B462,B462,$C$7:C462,C462,$I$7:I462,I462,$AI$7:AI462,"yes"),"")</f>
        <v/>
      </c>
      <c r="AH462" s="27">
        <f>IF(ISNUMBER(H462),"yes","no")</f>
        <v/>
      </c>
      <c r="AI462" s="27">
        <f>IF(ISNUMBER(I462),"yes","no")</f>
        <v/>
      </c>
      <c r="AJ462" s="105" t="n">
        <v>46295</v>
      </c>
      <c r="AK462" s="27" t="n"/>
    </row>
    <row r="463" ht="42" customHeight="1">
      <c r="A463" s="2" t="n"/>
      <c r="B463" s="24" t="inlineStr">
        <is>
          <t>GN 1/6 PP container, 100 mm</t>
        </is>
      </c>
      <c r="C463" s="24" t="inlineStr">
        <is>
          <t>Austria</t>
        </is>
      </c>
      <c r="D463" s="24" t="inlineStr">
        <is>
          <t>GGM Gastro (Austrian storefront)</t>
        </is>
      </c>
      <c r="E463" s="24" t="inlineStr">
        <is>
          <t>(12 Stück) Polypropylen-Behälter GN 1/6 - Milchig - Höhe: 100mm</t>
        </is>
      </c>
      <c r="F463" s="98" t="n">
        <v>43.99</v>
      </c>
      <c r="G463" s="24" t="inlineStr">
        <is>
          <t>EUR</t>
        </is>
      </c>
      <c r="H463" s="98">
        <f>IF(AND(AE463="yes",ISNUMBER(AD463)),AD463,"")</f>
        <v/>
      </c>
      <c r="I463" s="99">
        <f>IF(AND(AE463="yes",ISNUMBER(AD463),ISNUMBER(INDEX('Sources'!$G$7:$G$10,MATCH(AB463,'Sources'!$B$7:$B$10,0)))),AD463/INDEX('Sources'!$G$7:$G$10,MATCH(AB463,'Sources'!$B$7:$B$10,0)),"")</f>
        <v/>
      </c>
      <c r="J463" s="24" t="inlineStr">
        <is>
          <t>EXACT</t>
        </is>
      </c>
      <c r="K463" s="24" t="inlineStr">
        <is>
          <t>2026-09-30</t>
        </is>
      </c>
      <c r="L463" s="71" t="n"/>
      <c r="M463" s="24" t="n"/>
      <c r="N463" s="25" t="inlineStr">
        <is>
          <t>https://www.ggmgastro.com/de-at-eur/12-stueck-polypropylen-behaelter-gn-1-6-milchig-hoehe-100mm-gpp16100-12</t>
        </is>
      </c>
      <c r="O463" s="24" t="inlineStr">
        <is>
          <t>GGM</t>
        </is>
      </c>
      <c r="P463" s="24" t="inlineStr">
        <is>
          <t>excl.</t>
        </is>
      </c>
      <c r="Q463" s="100" t="n"/>
      <c r="R463" s="24" t="n">
        <v>12</v>
      </c>
      <c r="S463" s="24" t="inlineStr">
        <is>
          <t>set of 12</t>
        </is>
      </c>
      <c r="T463" s="24" t="inlineStr">
        <is>
          <t>EXACT</t>
        </is>
      </c>
      <c r="U463" s="24" t="inlineStr">
        <is>
          <t>Additional Austria/Czechia benchmark. Original assignment and match quality retained.</t>
        </is>
      </c>
      <c r="V463" s="98" t="n">
        <v>3.67</v>
      </c>
      <c r="W463" s="98" t="n"/>
      <c r="X463" s="24" t="inlineStr">
        <is>
          <t>research_AT.xlsx</t>
        </is>
      </c>
      <c r="Y463" s="24" t="n"/>
      <c r="Z463" s="24" t="n"/>
      <c r="AA463" s="24" t="n"/>
      <c r="AB463" s="24" t="inlineStr">
        <is>
          <t>EUR</t>
        </is>
      </c>
      <c r="AC463" s="24" t="inlineStr">
        <is>
          <t>yes</t>
        </is>
      </c>
      <c r="AD463" s="24">
        <f>IF(ISNUMBER(V463),V463,"")</f>
        <v/>
      </c>
      <c r="AE463" s="24">
        <f>IF(AND(AC463="yes",ISNUMBER(F463),IF('Compare'!$H$5="All mapped",TRUE,IF('Compare'!$H$5="EXACT only",J463="EXACT",OR(J463="EXACT",J463="CLOSE")))),"yes","no")</f>
        <v/>
      </c>
      <c r="AF463" s="24">
        <f>IF(ISNUMBER(H463),COUNTIFS($B$7:$B$608,B463,$C$7:$C$608,C463,$H$7:$H$608,"&lt;"&amp;H463,$AH$7:$AH$608,"yes")+COUNTIFS($B$7:B463,B463,$C$7:C463,C463,$H$7:H463,H463,$AH$7:AH463,"yes"),"")</f>
        <v/>
      </c>
      <c r="AG463" s="24">
        <f>IF(ISNUMBER(I463),COUNTIFS($B$7:$B$608,B463,$C$7:$C$608,C463,$I$7:$I$608,"&lt;"&amp;I463,$AI$7:$AI$608,"yes")+COUNTIFS($B$7:B463,B463,$C$7:C463,C463,$I$7:I463,I463,$AI$7:AI463,"yes"),"")</f>
        <v/>
      </c>
      <c r="AH463" s="24">
        <f>IF(ISNUMBER(H463),"yes","no")</f>
        <v/>
      </c>
      <c r="AI463" s="24">
        <f>IF(ISNUMBER(I463),"yes","no")</f>
        <v/>
      </c>
      <c r="AJ463" s="101" t="n">
        <v>46295</v>
      </c>
      <c r="AK463" s="24" t="n"/>
    </row>
    <row r="464" ht="42" customHeight="1">
      <c r="A464" s="2" t="n"/>
      <c r="B464" s="27" t="inlineStr">
        <is>
          <t>GN 1/6 PP container, 100 mm</t>
        </is>
      </c>
      <c r="C464" s="27" t="inlineStr">
        <is>
          <t>Austria</t>
        </is>
      </c>
      <c r="D464" s="27" t="inlineStr">
        <is>
          <t>Gastro Star</t>
        </is>
      </c>
      <c r="E464" s="27" t="inlineStr">
        <is>
          <t>Polypropylen Behälter GN 1/6 – 176x162x100mm</t>
        </is>
      </c>
      <c r="F464" s="102" t="n">
        <v>2.95</v>
      </c>
      <c r="G464" s="27" t="inlineStr">
        <is>
          <t>EUR</t>
        </is>
      </c>
      <c r="H464" s="102">
        <f>IF(AND(AE464="yes",ISNUMBER(AD464)),AD464,"")</f>
        <v/>
      </c>
      <c r="I464" s="103">
        <f>IF(AND(AE464="yes",ISNUMBER(AD464),ISNUMBER(INDEX('Sources'!$G$7:$G$10,MATCH(AB464,'Sources'!$B$7:$B$10,0)))),AD464/INDEX('Sources'!$G$7:$G$10,MATCH(AB464,'Sources'!$B$7:$B$10,0)),"")</f>
        <v/>
      </c>
      <c r="J464" s="27" t="inlineStr">
        <is>
          <t>EXACT</t>
        </is>
      </c>
      <c r="K464" s="27" t="inlineStr">
        <is>
          <t>2026-09-30</t>
        </is>
      </c>
      <c r="L464" s="71" t="n"/>
      <c r="M464" s="27" t="n"/>
      <c r="N464" s="28" t="inlineStr">
        <is>
          <t>https://www.gastro-star.at/produkt/polypropylenbehaeltergn16-176x162x100mm/</t>
        </is>
      </c>
      <c r="O464" s="27" t="inlineStr">
        <is>
          <t>Hendi</t>
        </is>
      </c>
      <c r="P464" s="27" t="inlineStr">
        <is>
          <t>excl.</t>
        </is>
      </c>
      <c r="Q464" s="104" t="n"/>
      <c r="R464" s="27" t="n">
        <v>1</v>
      </c>
      <c r="S464" s="27" t="n"/>
      <c r="T464" s="27" t="inlineStr">
        <is>
          <t>EXACT</t>
        </is>
      </c>
      <c r="U464" s="27" t="inlineStr">
        <is>
          <t>Additional Austria/Czechia benchmark. Original assignment and match quality retained.</t>
        </is>
      </c>
      <c r="V464" s="102" t="n">
        <v>2.95</v>
      </c>
      <c r="W464" s="102" t="n"/>
      <c r="X464" s="27" t="inlineStr">
        <is>
          <t>research_AT.xlsx</t>
        </is>
      </c>
      <c r="Y464" s="27" t="n"/>
      <c r="Z464" s="27" t="n"/>
      <c r="AA464" s="27" t="n"/>
      <c r="AB464" s="27" t="inlineStr">
        <is>
          <t>EUR</t>
        </is>
      </c>
      <c r="AC464" s="27" t="inlineStr">
        <is>
          <t>yes</t>
        </is>
      </c>
      <c r="AD464" s="27">
        <f>IF(ISNUMBER(V464),V464,"")</f>
        <v/>
      </c>
      <c r="AE464" s="27">
        <f>IF(AND(AC464="yes",ISNUMBER(F464),IF('Compare'!$H$5="All mapped",TRUE,IF('Compare'!$H$5="EXACT only",J464="EXACT",OR(J464="EXACT",J464="CLOSE")))),"yes","no")</f>
        <v/>
      </c>
      <c r="AF464" s="27">
        <f>IF(ISNUMBER(H464),COUNTIFS($B$7:$B$608,B464,$C$7:$C$608,C464,$H$7:$H$608,"&lt;"&amp;H464,$AH$7:$AH$608,"yes")+COUNTIFS($B$7:B464,B464,$C$7:C464,C464,$H$7:H464,H464,$AH$7:AH464,"yes"),"")</f>
        <v/>
      </c>
      <c r="AG464" s="27">
        <f>IF(ISNUMBER(I464),COUNTIFS($B$7:$B$608,B464,$C$7:$C$608,C464,$I$7:$I$608,"&lt;"&amp;I464,$AI$7:$AI$608,"yes")+COUNTIFS($B$7:B464,B464,$C$7:C464,C464,$I$7:I464,I464,$AI$7:AI464,"yes"),"")</f>
        <v/>
      </c>
      <c r="AH464" s="27">
        <f>IF(ISNUMBER(H464),"yes","no")</f>
        <v/>
      </c>
      <c r="AI464" s="27">
        <f>IF(ISNUMBER(I464),"yes","no")</f>
        <v/>
      </c>
      <c r="AJ464" s="105" t="n">
        <v>46295</v>
      </c>
      <c r="AK464" s="27" t="n"/>
    </row>
    <row r="465" ht="42" customHeight="1">
      <c r="A465" s="2" t="n"/>
      <c r="B465" s="24" t="inlineStr">
        <is>
          <t>GN 1/6 PP container, 100 mm</t>
        </is>
      </c>
      <c r="C465" s="24" t="inlineStr">
        <is>
          <t>Austria</t>
        </is>
      </c>
      <c r="D465" s="24" t="inlineStr">
        <is>
          <t>GastroHero Österreich</t>
        </is>
      </c>
      <c r="E465" s="24" t="inlineStr">
        <is>
          <t>Schneider PP GN 1/6 Behälter 100 mm, 1,6 l</t>
        </is>
      </c>
      <c r="F465" s="98" t="n">
        <v>6.19</v>
      </c>
      <c r="G465" s="24" t="inlineStr">
        <is>
          <t>EUR</t>
        </is>
      </c>
      <c r="H465" s="98">
        <f>IF(AND(AE465="yes",ISNUMBER(AD465)),AD465,"")</f>
        <v/>
      </c>
      <c r="I465" s="99">
        <f>IF(AND(AE465="yes",ISNUMBER(AD465),ISNUMBER(INDEX('Sources'!$G$7:$G$10,MATCH(AB465,'Sources'!$B$7:$B$10,0)))),AD465/INDEX('Sources'!$G$7:$G$10,MATCH(AB465,'Sources'!$B$7:$B$10,0)),"")</f>
        <v/>
      </c>
      <c r="J465" s="24" t="inlineStr">
        <is>
          <t>EXACT</t>
        </is>
      </c>
      <c r="K465" s="24" t="inlineStr">
        <is>
          <t>2026-09-30</t>
        </is>
      </c>
      <c r="L465" s="71" t="n"/>
      <c r="M465" s="24" t="inlineStr">
        <is>
          <t>Min. qty 8</t>
        </is>
      </c>
      <c r="N465" s="25" t="inlineStr">
        <is>
          <t>https://www.gastro-hero.at/products/schneider-pp-gn-16-behaelter-100-mm-16-l-530041</t>
        </is>
      </c>
      <c r="O465" s="24" t="inlineStr">
        <is>
          <t>Schneider</t>
        </is>
      </c>
      <c r="P465" s="24" t="inlineStr">
        <is>
          <t>excl.</t>
        </is>
      </c>
      <c r="Q465" s="100" t="n"/>
      <c r="R465" s="24" t="n">
        <v>1</v>
      </c>
      <c r="S465" s="24" t="n"/>
      <c r="T465" s="24" t="inlineStr">
        <is>
          <t>EXACT</t>
        </is>
      </c>
      <c r="U465" s="24" t="inlineStr">
        <is>
          <t>Additional Austria/Czechia benchmark. Original assignment and match quality retained.</t>
        </is>
      </c>
      <c r="V465" s="98" t="n">
        <v>6.19</v>
      </c>
      <c r="W465" s="98" t="n"/>
      <c r="X465" s="24" t="inlineStr">
        <is>
          <t>research_AT.xlsx</t>
        </is>
      </c>
      <c r="Y465" s="24" t="n"/>
      <c r="Z465" s="24" t="n"/>
      <c r="AA465" s="24" t="n"/>
      <c r="AB465" s="24" t="inlineStr">
        <is>
          <t>EUR</t>
        </is>
      </c>
      <c r="AC465" s="24" t="inlineStr">
        <is>
          <t>yes</t>
        </is>
      </c>
      <c r="AD465" s="24">
        <f>IF(ISNUMBER(V465),V465,"")</f>
        <v/>
      </c>
      <c r="AE465" s="24">
        <f>IF(AND(AC465="yes",ISNUMBER(F465),IF('Compare'!$H$5="All mapped",TRUE,IF('Compare'!$H$5="EXACT only",J465="EXACT",OR(J465="EXACT",J465="CLOSE")))),"yes","no")</f>
        <v/>
      </c>
      <c r="AF465" s="24">
        <f>IF(ISNUMBER(H465),COUNTIFS($B$7:$B$608,B465,$C$7:$C$608,C465,$H$7:$H$608,"&lt;"&amp;H465,$AH$7:$AH$608,"yes")+COUNTIFS($B$7:B465,B465,$C$7:C465,C465,$H$7:H465,H465,$AH$7:AH465,"yes"),"")</f>
        <v/>
      </c>
      <c r="AG465" s="24">
        <f>IF(ISNUMBER(I465),COUNTIFS($B$7:$B$608,B465,$C$7:$C$608,C465,$I$7:$I$608,"&lt;"&amp;I465,$AI$7:$AI$608,"yes")+COUNTIFS($B$7:B465,B465,$C$7:C465,C465,$I$7:I465,I465,$AI$7:AI465,"yes"),"")</f>
        <v/>
      </c>
      <c r="AH465" s="24">
        <f>IF(ISNUMBER(H465),"yes","no")</f>
        <v/>
      </c>
      <c r="AI465" s="24">
        <f>IF(ISNUMBER(I465),"yes","no")</f>
        <v/>
      </c>
      <c r="AJ465" s="101" t="n">
        <v>46295</v>
      </c>
      <c r="AK465" s="24" t="n"/>
    </row>
    <row r="466" ht="42" customHeight="1">
      <c r="A466" s="2" t="n"/>
      <c r="B466" s="27" t="inlineStr">
        <is>
          <t>GN 1/6 PP container, 100 mm</t>
        </is>
      </c>
      <c r="C466" s="27" t="inlineStr">
        <is>
          <t>Austria</t>
        </is>
      </c>
      <c r="D466" s="27" t="inlineStr">
        <is>
          <t>Gastrodax</t>
        </is>
      </c>
      <c r="E466" s="27" t="inlineStr">
        <is>
          <t>Hendi Gastronorm-Behälter 1/6, 1,6L, Transparent, 176x162x(H)100mm (HACCP-Aufbewahrungsbehälter)</t>
        </is>
      </c>
      <c r="F466" s="102" t="n">
        <v>12.16</v>
      </c>
      <c r="G466" s="27" t="inlineStr">
        <is>
          <t>EUR</t>
        </is>
      </c>
      <c r="H466" s="102">
        <f>IF(AND(AE466="yes",ISNUMBER(AD466)),AD466,"")</f>
        <v/>
      </c>
      <c r="I466" s="103">
        <f>IF(AND(AE466="yes",ISNUMBER(AD466),ISNUMBER(INDEX('Sources'!$G$7:$G$10,MATCH(AB466,'Sources'!$B$7:$B$10,0)))),AD466/INDEX('Sources'!$G$7:$G$10,MATCH(AB466,'Sources'!$B$7:$B$10,0)),"")</f>
        <v/>
      </c>
      <c r="J466" s="27" t="inlineStr">
        <is>
          <t>EXACT</t>
        </is>
      </c>
      <c r="K466" s="27" t="inlineStr">
        <is>
          <t>2026-09-30</t>
        </is>
      </c>
      <c r="L466" s="71" t="n"/>
      <c r="M466" s="27" t="inlineStr">
        <is>
          <t>Hendi HACCP storage line, which is PP (the GN 1/3 sibling is labelled Polypropylen); this page does not state the material</t>
        </is>
      </c>
      <c r="N466" s="28" t="inlineStr">
        <is>
          <t>https://www.gastrodax.de/hendi-haccp-aufbewahrungsbehaelter-gn-1-6-1-6-l-transparent-176-x-162-x-h-100-mm</t>
        </is>
      </c>
      <c r="O466" s="27" t="inlineStr">
        <is>
          <t>Hendi</t>
        </is>
      </c>
      <c r="P466" s="27" t="inlineStr">
        <is>
          <t>excl.</t>
        </is>
      </c>
      <c r="Q466" s="104" t="n"/>
      <c r="R466" s="27" t="n">
        <v>1</v>
      </c>
      <c r="S466" s="27" t="n"/>
      <c r="T466" s="27" t="inlineStr">
        <is>
          <t>EXACT</t>
        </is>
      </c>
      <c r="U466" s="27" t="inlineStr">
        <is>
          <t>Additional Austria/Czechia benchmark. Original assignment and match quality retained.</t>
        </is>
      </c>
      <c r="V466" s="102" t="n">
        <v>12.16</v>
      </c>
      <c r="W466" s="102" t="n"/>
      <c r="X466" s="27" t="inlineStr">
        <is>
          <t>research_AT.xlsx</t>
        </is>
      </c>
      <c r="Y466" s="27" t="n"/>
      <c r="Z466" s="27" t="n"/>
      <c r="AA466" s="27" t="n"/>
      <c r="AB466" s="27" t="inlineStr">
        <is>
          <t>EUR</t>
        </is>
      </c>
      <c r="AC466" s="27" t="inlineStr">
        <is>
          <t>yes</t>
        </is>
      </c>
      <c r="AD466" s="27">
        <f>IF(ISNUMBER(V466),V466,"")</f>
        <v/>
      </c>
      <c r="AE466" s="27">
        <f>IF(AND(AC466="yes",ISNUMBER(F466),IF('Compare'!$H$5="All mapped",TRUE,IF('Compare'!$H$5="EXACT only",J466="EXACT",OR(J466="EXACT",J466="CLOSE")))),"yes","no")</f>
        <v/>
      </c>
      <c r="AF466" s="27">
        <f>IF(ISNUMBER(H466),COUNTIFS($B$7:$B$608,B466,$C$7:$C$608,C466,$H$7:$H$608,"&lt;"&amp;H466,$AH$7:$AH$608,"yes")+COUNTIFS($B$7:B466,B466,$C$7:C466,C466,$H$7:H466,H466,$AH$7:AH466,"yes"),"")</f>
        <v/>
      </c>
      <c r="AG466" s="27">
        <f>IF(ISNUMBER(I466),COUNTIFS($B$7:$B$608,B466,$C$7:$C$608,C466,$I$7:$I$608,"&lt;"&amp;I466,$AI$7:$AI$608,"yes")+COUNTIFS($B$7:B466,B466,$C$7:C466,C466,$I$7:I466,I466,$AI$7:AI466,"yes"),"")</f>
        <v/>
      </c>
      <c r="AH466" s="27">
        <f>IF(ISNUMBER(H466),"yes","no")</f>
        <v/>
      </c>
      <c r="AI466" s="27">
        <f>IF(ISNUMBER(I466),"yes","no")</f>
        <v/>
      </c>
      <c r="AJ466" s="105" t="n">
        <v>46295</v>
      </c>
      <c r="AK466" s="27" t="n"/>
    </row>
    <row r="467" ht="42" customHeight="1">
      <c r="A467" s="2" t="n"/>
      <c r="B467" s="24" t="inlineStr">
        <is>
          <t>GN 1/6 PP container, 100 mm</t>
        </is>
      </c>
      <c r="C467" s="24" t="inlineStr">
        <is>
          <t>Austria</t>
        </is>
      </c>
      <c r="D467" s="24" t="inlineStr">
        <is>
          <t>Gastroladen.at (Harotec GmbH)</t>
        </is>
      </c>
      <c r="E467" s="24" t="inlineStr">
        <is>
          <t>Cambro Polypropylen GN 1/6 Behälter 100mm</t>
        </is>
      </c>
      <c r="F467" s="98" t="n">
        <v>4.29</v>
      </c>
      <c r="G467" s="24" t="inlineStr">
        <is>
          <t>EUR</t>
        </is>
      </c>
      <c r="H467" s="98">
        <f>IF(AND(AE467="yes",ISNUMBER(AD467)),AD467,"")</f>
        <v/>
      </c>
      <c r="I467" s="99">
        <f>IF(AND(AE467="yes",ISNUMBER(AD467),ISNUMBER(INDEX('Sources'!$G$7:$G$10,MATCH(AB467,'Sources'!$B$7:$B$10,0)))),AD467/INDEX('Sources'!$G$7:$G$10,MATCH(AB467,'Sources'!$B$7:$B$10,0)),"")</f>
        <v/>
      </c>
      <c r="J467" s="24" t="inlineStr">
        <is>
          <t>EXACT</t>
        </is>
      </c>
      <c r="K467" s="24" t="inlineStr">
        <is>
          <t>2026-09-30</t>
        </is>
      </c>
      <c r="L467" s="71" t="n"/>
      <c r="M467" s="24" t="inlineStr">
        <is>
          <t>1.5 l</t>
        </is>
      </c>
      <c r="N467" s="25" t="inlineStr">
        <is>
          <t>https://www.gastroladen.at/3030@GN-DW508/Cambro-Polypropylen-GN-1-6-Beh%C3%A4lter-100mm.htm</t>
        </is>
      </c>
      <c r="O467" s="24" t="inlineStr">
        <is>
          <t>Cambro</t>
        </is>
      </c>
      <c r="P467" s="24" t="inlineStr">
        <is>
          <t>incl.</t>
        </is>
      </c>
      <c r="Q467" s="100" t="n"/>
      <c r="R467" s="24" t="n">
        <v>1</v>
      </c>
      <c r="S467" s="24" t="n"/>
      <c r="T467" s="24" t="inlineStr">
        <is>
          <t>EXACT</t>
        </is>
      </c>
      <c r="U467" s="24" t="inlineStr">
        <is>
          <t>Additional Austria/Czechia benchmark. Original assignment and match quality retained.</t>
        </is>
      </c>
      <c r="V467" s="98" t="n">
        <v>3.58</v>
      </c>
      <c r="W467" s="98" t="n"/>
      <c r="X467" s="24" t="inlineStr">
        <is>
          <t>research_AT.xlsx</t>
        </is>
      </c>
      <c r="Y467" s="24" t="n"/>
      <c r="Z467" s="24" t="n"/>
      <c r="AA467" s="24" t="n"/>
      <c r="AB467" s="24" t="inlineStr">
        <is>
          <t>EUR</t>
        </is>
      </c>
      <c r="AC467" s="24" t="inlineStr">
        <is>
          <t>yes</t>
        </is>
      </c>
      <c r="AD467" s="24">
        <f>IF(ISNUMBER(V467),V467,"")</f>
        <v/>
      </c>
      <c r="AE467" s="24">
        <f>IF(AND(AC467="yes",ISNUMBER(F467),IF('Compare'!$H$5="All mapped",TRUE,IF('Compare'!$H$5="EXACT only",J467="EXACT",OR(J467="EXACT",J467="CLOSE")))),"yes","no")</f>
        <v/>
      </c>
      <c r="AF467" s="24">
        <f>IF(ISNUMBER(H467),COUNTIFS($B$7:$B$608,B467,$C$7:$C$608,C467,$H$7:$H$608,"&lt;"&amp;H467,$AH$7:$AH$608,"yes")+COUNTIFS($B$7:B467,B467,$C$7:C467,C467,$H$7:H467,H467,$AH$7:AH467,"yes"),"")</f>
        <v/>
      </c>
      <c r="AG467" s="24">
        <f>IF(ISNUMBER(I467),COUNTIFS($B$7:$B$608,B467,$C$7:$C$608,C467,$I$7:$I$608,"&lt;"&amp;I467,$AI$7:$AI$608,"yes")+COUNTIFS($B$7:B467,B467,$C$7:C467,C467,$I$7:I467,I467,$AI$7:AI467,"yes"),"")</f>
        <v/>
      </c>
      <c r="AH467" s="24">
        <f>IF(ISNUMBER(H467),"yes","no")</f>
        <v/>
      </c>
      <c r="AI467" s="24">
        <f>IF(ISNUMBER(I467),"yes","no")</f>
        <v/>
      </c>
      <c r="AJ467" s="101" t="n">
        <v>46295</v>
      </c>
      <c r="AK467" s="24" t="n"/>
    </row>
    <row r="468" ht="42" customHeight="1">
      <c r="A468" s="2" t="n"/>
      <c r="B468" s="27" t="inlineStr">
        <is>
          <t>GN 1/6 PP container, 100 mm</t>
        </is>
      </c>
      <c r="C468" s="27" t="inlineStr">
        <is>
          <t>Austria</t>
        </is>
      </c>
      <c r="D468" s="27" t="inlineStr">
        <is>
          <t>Intergastro (AT shop)</t>
        </is>
      </c>
      <c r="E468" s="27" t="inlineStr">
        <is>
          <t>Gastronorm-Schale GN 1/6 x 100 mm Kunststoff transparent (Cambro PP)</t>
        </is>
      </c>
      <c r="F468" s="102" t="n">
        <v>3.13</v>
      </c>
      <c r="G468" s="27" t="inlineStr">
        <is>
          <t>EUR</t>
        </is>
      </c>
      <c r="H468" s="102">
        <f>IF(AND(AE468="yes",ISNUMBER(AD468)),AD468,"")</f>
        <v/>
      </c>
      <c r="I468" s="103">
        <f>IF(AND(AE468="yes",ISNUMBER(AD468),ISNUMBER(INDEX('Sources'!$G$7:$G$10,MATCH(AB468,'Sources'!$B$7:$B$10,0)))),AD468/INDEX('Sources'!$G$7:$G$10,MATCH(AB468,'Sources'!$B$7:$B$10,0)),"")</f>
        <v/>
      </c>
      <c r="J468" s="27" t="inlineStr">
        <is>
          <t>EXACT</t>
        </is>
      </c>
      <c r="K468" s="27" t="inlineStr">
        <is>
          <t>2026-09-30</t>
        </is>
      </c>
      <c r="L468" s="71" t="n"/>
      <c r="M468" s="27" t="inlineStr">
        <is>
          <t>Price per piece but sold in VPE of 6; APS GN 1/6 x 100 mm 'Kunststoff' 2.86</t>
        </is>
      </c>
      <c r="N468" s="28" t="inlineStr">
        <is>
          <t>https://www.intergastro.at/gastronorm-schale-gn-1-6-x-100-mm-kunststoff-transparent-252808</t>
        </is>
      </c>
      <c r="O468" s="27" t="inlineStr">
        <is>
          <t>Cambro</t>
        </is>
      </c>
      <c r="P468" s="27" t="inlineStr">
        <is>
          <t>excl.</t>
        </is>
      </c>
      <c r="Q468" s="104" t="n"/>
      <c r="R468" s="27" t="n">
        <v>1</v>
      </c>
      <c r="S468" s="27" t="n"/>
      <c r="T468" s="27" t="inlineStr">
        <is>
          <t>EXACT</t>
        </is>
      </c>
      <c r="U468" s="27" t="inlineStr">
        <is>
          <t>Additional Austria/Czechia benchmark. Original assignment and match quality retained.</t>
        </is>
      </c>
      <c r="V468" s="102" t="n">
        <v>3.13</v>
      </c>
      <c r="W468" s="102" t="n"/>
      <c r="X468" s="27" t="inlineStr">
        <is>
          <t>research_AT.xlsx</t>
        </is>
      </c>
      <c r="Y468" s="27" t="n"/>
      <c r="Z468" s="27" t="n"/>
      <c r="AA468" s="27" t="n"/>
      <c r="AB468" s="27" t="inlineStr">
        <is>
          <t>EUR</t>
        </is>
      </c>
      <c r="AC468" s="27" t="inlineStr">
        <is>
          <t>yes</t>
        </is>
      </c>
      <c r="AD468" s="27">
        <f>IF(ISNUMBER(V468),V468,"")</f>
        <v/>
      </c>
      <c r="AE468" s="27">
        <f>IF(AND(AC468="yes",ISNUMBER(F468),IF('Compare'!$H$5="All mapped",TRUE,IF('Compare'!$H$5="EXACT only",J468="EXACT",OR(J468="EXACT",J468="CLOSE")))),"yes","no")</f>
        <v/>
      </c>
      <c r="AF468" s="27">
        <f>IF(ISNUMBER(H468),COUNTIFS($B$7:$B$608,B468,$C$7:$C$608,C468,$H$7:$H$608,"&lt;"&amp;H468,$AH$7:$AH$608,"yes")+COUNTIFS($B$7:B468,B468,$C$7:C468,C468,$H$7:H468,H468,$AH$7:AH468,"yes"),"")</f>
        <v/>
      </c>
      <c r="AG468" s="27">
        <f>IF(ISNUMBER(I468),COUNTIFS($B$7:$B$608,B468,$C$7:$C$608,C468,$I$7:$I$608,"&lt;"&amp;I468,$AI$7:$AI$608,"yes")+COUNTIFS($B$7:B468,B468,$C$7:C468,C468,$I$7:I468,I468,$AI$7:AI468,"yes"),"")</f>
        <v/>
      </c>
      <c r="AH468" s="27">
        <f>IF(ISNUMBER(H468),"yes","no")</f>
        <v/>
      </c>
      <c r="AI468" s="27">
        <f>IF(ISNUMBER(I468),"yes","no")</f>
        <v/>
      </c>
      <c r="AJ468" s="105" t="n">
        <v>46295</v>
      </c>
      <c r="AK468" s="27" t="n"/>
    </row>
    <row r="469" ht="42" customHeight="1">
      <c r="A469" s="2" t="n"/>
      <c r="B469" s="24" t="inlineStr">
        <is>
          <t>GN 1/6 PP container, 100 mm</t>
        </is>
      </c>
      <c r="C469" s="24" t="inlineStr">
        <is>
          <t>Austria</t>
        </is>
      </c>
      <c r="D469" s="24" t="inlineStr">
        <is>
          <t>Jungheinrich PROFISHOP Austria</t>
        </is>
      </c>
      <c r="E469" s="24" t="inlineStr">
        <is>
          <t>Stalgast Gastronormbehälter, Polypropylen, GN 1/6 (100 mm)</t>
        </is>
      </c>
      <c r="F469" s="98" t="n">
        <v>13.2</v>
      </c>
      <c r="G469" s="24" t="inlineStr">
        <is>
          <t>EUR</t>
        </is>
      </c>
      <c r="H469" s="98">
        <f>IF(AND(AE469="yes",ISNUMBER(AD469)),AD469,"")</f>
        <v/>
      </c>
      <c r="I469" s="99">
        <f>IF(AND(AE469="yes",ISNUMBER(AD469),ISNUMBER(INDEX('Sources'!$G$7:$G$10,MATCH(AB469,'Sources'!$B$7:$B$10,0)))),AD469/INDEX('Sources'!$G$7:$G$10,MATCH(AB469,'Sources'!$B$7:$B$10,0)),"")</f>
        <v/>
      </c>
      <c r="J469" s="24" t="inlineStr">
        <is>
          <t>EXACT</t>
        </is>
      </c>
      <c r="K469" s="24" t="inlineStr">
        <is>
          <t>2026-09-30</t>
        </is>
      </c>
      <c r="L469" s="71" t="n"/>
      <c r="M469" s="24" t="n"/>
      <c r="N469" s="25" t="inlineStr">
        <is>
          <t>https://www.jh-profishop.at/p/stalgast-gastronormbehaelter-polypropylen-gn-1-6-100-mm-928365-347888/</t>
        </is>
      </c>
      <c r="O469" s="24" t="inlineStr">
        <is>
          <t>Stalgast</t>
        </is>
      </c>
      <c r="P469" s="24" t="inlineStr">
        <is>
          <t>excl.</t>
        </is>
      </c>
      <c r="Q469" s="100" t="n"/>
      <c r="R469" s="24" t="n">
        <v>1</v>
      </c>
      <c r="S469" s="24" t="n"/>
      <c r="T469" s="24" t="inlineStr">
        <is>
          <t>EXACT</t>
        </is>
      </c>
      <c r="U469" s="24" t="inlineStr">
        <is>
          <t>Additional Austria/Czechia benchmark. Original assignment and match quality retained.</t>
        </is>
      </c>
      <c r="V469" s="98" t="n">
        <v>13.2</v>
      </c>
      <c r="W469" s="98" t="n"/>
      <c r="X469" s="24" t="inlineStr">
        <is>
          <t>research_AT.xlsx</t>
        </is>
      </c>
      <c r="Y469" s="24" t="n"/>
      <c r="Z469" s="24" t="n"/>
      <c r="AA469" s="24" t="n"/>
      <c r="AB469" s="24" t="inlineStr">
        <is>
          <t>EUR</t>
        </is>
      </c>
      <c r="AC469" s="24" t="inlineStr">
        <is>
          <t>yes</t>
        </is>
      </c>
      <c r="AD469" s="24">
        <f>IF(ISNUMBER(V469),V469,"")</f>
        <v/>
      </c>
      <c r="AE469" s="24">
        <f>IF(AND(AC469="yes",ISNUMBER(F469),IF('Compare'!$H$5="All mapped",TRUE,IF('Compare'!$H$5="EXACT only",J469="EXACT",OR(J469="EXACT",J469="CLOSE")))),"yes","no")</f>
        <v/>
      </c>
      <c r="AF469" s="24">
        <f>IF(ISNUMBER(H469),COUNTIFS($B$7:$B$608,B469,$C$7:$C$608,C469,$H$7:$H$608,"&lt;"&amp;H469,$AH$7:$AH$608,"yes")+COUNTIFS($B$7:B469,B469,$C$7:C469,C469,$H$7:H469,H469,$AH$7:AH469,"yes"),"")</f>
        <v/>
      </c>
      <c r="AG469" s="24">
        <f>IF(ISNUMBER(I469),COUNTIFS($B$7:$B$608,B469,$C$7:$C$608,C469,$I$7:$I$608,"&lt;"&amp;I469,$AI$7:$AI$608,"yes")+COUNTIFS($B$7:B469,B469,$C$7:C469,C469,$I$7:I469,I469,$AI$7:AI469,"yes"),"")</f>
        <v/>
      </c>
      <c r="AH469" s="24">
        <f>IF(ISNUMBER(H469),"yes","no")</f>
        <v/>
      </c>
      <c r="AI469" s="24">
        <f>IF(ISNUMBER(I469),"yes","no")</f>
        <v/>
      </c>
      <c r="AJ469" s="101" t="n">
        <v>46295</v>
      </c>
      <c r="AK469" s="24" t="n"/>
    </row>
    <row r="470" ht="42" customHeight="1">
      <c r="A470" s="2" t="n"/>
      <c r="B470" s="27" t="inlineStr">
        <is>
          <t>GN 1/6 PP container, 100 mm</t>
        </is>
      </c>
      <c r="C470" s="27" t="inlineStr">
        <is>
          <t>Austria</t>
        </is>
      </c>
      <c r="D470" s="27" t="inlineStr">
        <is>
          <t>shopbuero.com</t>
        </is>
      </c>
      <c r="E470" s="27" t="inlineStr">
        <is>
          <t>GN-Behälter - Inhalt 1,6 l - GN 1/6 (176 x 162 mm) - 100 mm - Polypropylen</t>
        </is>
      </c>
      <c r="F470" s="102" t="n">
        <v>2.8</v>
      </c>
      <c r="G470" s="27" t="inlineStr">
        <is>
          <t>EUR</t>
        </is>
      </c>
      <c r="H470" s="102">
        <f>IF(AND(AE470="yes",ISNUMBER(AD470)),AD470,"")</f>
        <v/>
      </c>
      <c r="I470" s="103">
        <f>IF(AND(AE470="yes",ISNUMBER(AD470),ISNUMBER(INDEX('Sources'!$G$7:$G$10,MATCH(AB470,'Sources'!$B$7:$B$10,0)))),AD470/INDEX('Sources'!$G$7:$G$10,MATCH(AB470,'Sources'!$B$7:$B$10,0)),"")</f>
        <v/>
      </c>
      <c r="J470" s="27" t="inlineStr">
        <is>
          <t>EXACT</t>
        </is>
      </c>
      <c r="K470" s="27" t="inlineStr">
        <is>
          <t>2026-09-30</t>
        </is>
      </c>
      <c r="L470" s="71" t="n"/>
      <c r="M470" s="27" t="inlineStr">
        <is>
          <t>Regular price 4.25</t>
        </is>
      </c>
      <c r="N470" s="28" t="inlineStr">
        <is>
          <t>https://shopbuero.com/gn-behaelter-inhalt-1-6-l-gn-1-6-176-x-162-mm-100-mm-polypropylen/530041-C</t>
        </is>
      </c>
      <c r="O470" s="27" t="inlineStr">
        <is>
          <t>Schneider</t>
        </is>
      </c>
      <c r="P470" s="27" t="inlineStr">
        <is>
          <t>excl.</t>
        </is>
      </c>
      <c r="Q470" s="104" t="n"/>
      <c r="R470" s="27" t="n">
        <v>1</v>
      </c>
      <c r="S470" s="27" t="n"/>
      <c r="T470" s="27" t="inlineStr">
        <is>
          <t>EXACT</t>
        </is>
      </c>
      <c r="U470" s="27" t="inlineStr">
        <is>
          <t>Additional Austria/Czechia benchmark. Original assignment and match quality retained.</t>
        </is>
      </c>
      <c r="V470" s="102" t="n">
        <v>2.8</v>
      </c>
      <c r="W470" s="102" t="n"/>
      <c r="X470" s="27" t="inlineStr">
        <is>
          <t>research_AT.xlsx</t>
        </is>
      </c>
      <c r="Y470" s="27" t="n"/>
      <c r="Z470" s="27" t="n"/>
      <c r="AA470" s="27" t="n"/>
      <c r="AB470" s="27" t="inlineStr">
        <is>
          <t>EUR</t>
        </is>
      </c>
      <c r="AC470" s="27" t="inlineStr">
        <is>
          <t>yes</t>
        </is>
      </c>
      <c r="AD470" s="27">
        <f>IF(ISNUMBER(V470),V470,"")</f>
        <v/>
      </c>
      <c r="AE470" s="27">
        <f>IF(AND(AC470="yes",ISNUMBER(F470),IF('Compare'!$H$5="All mapped",TRUE,IF('Compare'!$H$5="EXACT only",J470="EXACT",OR(J470="EXACT",J470="CLOSE")))),"yes","no")</f>
        <v/>
      </c>
      <c r="AF470" s="27">
        <f>IF(ISNUMBER(H470),COUNTIFS($B$7:$B$608,B470,$C$7:$C$608,C470,$H$7:$H$608,"&lt;"&amp;H470,$AH$7:$AH$608,"yes")+COUNTIFS($B$7:B470,B470,$C$7:C470,C470,$H$7:H470,H470,$AH$7:AH470,"yes"),"")</f>
        <v/>
      </c>
      <c r="AG470" s="27">
        <f>IF(ISNUMBER(I470),COUNTIFS($B$7:$B$608,B470,$C$7:$C$608,C470,$I$7:$I$608,"&lt;"&amp;I470,$AI$7:$AI$608,"yes")+COUNTIFS($B$7:B470,B470,$C$7:C470,C470,$I$7:I470,I470,$AI$7:AI470,"yes"),"")</f>
        <v/>
      </c>
      <c r="AH470" s="27">
        <f>IF(ISNUMBER(H470),"yes","no")</f>
        <v/>
      </c>
      <c r="AI470" s="27">
        <f>IF(ISNUMBER(I470),"yes","no")</f>
        <v/>
      </c>
      <c r="AJ470" s="105" t="n">
        <v>46295</v>
      </c>
      <c r="AK470" s="27" t="n"/>
    </row>
    <row r="471" ht="42" customHeight="1">
      <c r="A471" s="2" t="n"/>
      <c r="B471" s="24" t="inlineStr">
        <is>
          <t>GN 1/6 PP container, 100 mm</t>
        </is>
      </c>
      <c r="C471" s="24" t="inlineStr">
        <is>
          <t>Czech</t>
        </is>
      </c>
      <c r="D471" s="24" t="inlineStr">
        <is>
          <t>GGM Gastro (CZ storefront)</t>
        </is>
      </c>
      <c r="E471" s="24" t="inlineStr">
        <is>
          <t>(12 ks) Polypropylenová nádoba GN 1/6 - Mléčná - Výška: 100 mm</t>
        </is>
      </c>
      <c r="F471" s="98" t="n">
        <v>1070.67</v>
      </c>
      <c r="G471" s="24" t="inlineStr">
        <is>
          <t>CZK</t>
        </is>
      </c>
      <c r="H471" s="98">
        <f>IF(AND(AE471="yes",ISNUMBER(AD471)),AD471,"")</f>
        <v/>
      </c>
      <c r="I471" s="99">
        <f>IF(AND(AE471="yes",ISNUMBER(AD471),ISNUMBER(INDEX('Sources'!$G$7:$G$10,MATCH(AB471,'Sources'!$B$7:$B$10,0)))),AD471/INDEX('Sources'!$G$7:$G$10,MATCH(AB471,'Sources'!$B$7:$B$10,0)),"")</f>
        <v/>
      </c>
      <c r="J471" s="24" t="inlineStr">
        <is>
          <t>EXACT</t>
        </is>
      </c>
      <c r="K471" s="24" t="inlineStr">
        <is>
          <t>2026-09-30</t>
        </is>
      </c>
      <c r="L471" s="71" t="n"/>
      <c r="M471" s="24" t="n"/>
      <c r="N471" s="25" t="inlineStr">
        <is>
          <t>https://www.ggmgastro.com/cs-cz-czk/12-ks-polypropylenova-nadoba-gn-1-6-mlecna-vyska-100-mm-gpp16100-12</t>
        </is>
      </c>
      <c r="O471" s="24" t="inlineStr">
        <is>
          <t>GGM</t>
        </is>
      </c>
      <c r="P471" s="24" t="inlineStr">
        <is>
          <t>excl.</t>
        </is>
      </c>
      <c r="Q471" s="100" t="n">
        <v>0.19</v>
      </c>
      <c r="R471" s="24" t="n">
        <v>12</v>
      </c>
      <c r="S471" s="24" t="inlineStr">
        <is>
          <t>per pack</t>
        </is>
      </c>
      <c r="T471" s="24" t="inlineStr">
        <is>
          <t>EXACT</t>
        </is>
      </c>
      <c r="U471" s="24" t="inlineStr">
        <is>
          <t>Additional Austria/Czechia benchmark. Original assignment and match quality retained.</t>
        </is>
      </c>
      <c r="V471" s="98" t="n"/>
      <c r="W471" s="98" t="n"/>
      <c r="X471" s="24" t="inlineStr">
        <is>
          <t>research_CZ.xlsx</t>
        </is>
      </c>
      <c r="Y471" s="24" t="n"/>
      <c r="Z471" s="24" t="n"/>
      <c r="AA471" s="24" t="n"/>
      <c r="AB471" s="24" t="inlineStr">
        <is>
          <t>CZK</t>
        </is>
      </c>
      <c r="AC471" s="24" t="inlineStr">
        <is>
          <t>yes</t>
        </is>
      </c>
      <c r="AD471" s="24">
        <f>IF(OR(F471="",Q471="",R471=""),"",ROUND(IF(P471="incl.",F471/(1+Q471),F471)/IF(S471="per pack",R471,1),2))</f>
        <v/>
      </c>
      <c r="AE471" s="24">
        <f>IF(AND(AC471="yes",ISNUMBER(F471),IF('Compare'!$H$5="All mapped",TRUE,IF('Compare'!$H$5="EXACT only",J471="EXACT",OR(J471="EXACT",J471="CLOSE")))),"yes","no")</f>
        <v/>
      </c>
      <c r="AF471" s="24">
        <f>IF(ISNUMBER(H471),COUNTIFS($B$7:$B$608,B471,$C$7:$C$608,C471,$H$7:$H$608,"&lt;"&amp;H471,$AH$7:$AH$608,"yes")+COUNTIFS($B$7:B471,B471,$C$7:C471,C471,$H$7:H471,H471,$AH$7:AH471,"yes"),"")</f>
        <v/>
      </c>
      <c r="AG471" s="24">
        <f>IF(ISNUMBER(I471),COUNTIFS($B$7:$B$608,B471,$C$7:$C$608,C471,$I$7:$I$608,"&lt;"&amp;I471,$AI$7:$AI$608,"yes")+COUNTIFS($B$7:B471,B471,$C$7:C471,C471,$I$7:I471,I471,$AI$7:AI471,"yes"),"")</f>
        <v/>
      </c>
      <c r="AH471" s="24">
        <f>IF(ISNUMBER(H471),"yes","no")</f>
        <v/>
      </c>
      <c r="AI471" s="24">
        <f>IF(ISNUMBER(I471),"yes","no")</f>
        <v/>
      </c>
      <c r="AJ471" s="101" t="n">
        <v>46295</v>
      </c>
      <c r="AK471" s="24" t="n"/>
    </row>
    <row r="472" ht="42" customHeight="1">
      <c r="A472" s="2" t="n"/>
      <c r="B472" s="27" t="inlineStr">
        <is>
          <t>GN 1/6 PP container, 100 mm</t>
        </is>
      </c>
      <c r="C472" s="27" t="inlineStr">
        <is>
          <t>Czech</t>
        </is>
      </c>
      <c r="D472" s="27" t="inlineStr">
        <is>
          <t>Gastro Novotný</t>
        </is>
      </c>
      <c r="E472" s="27" t="inlineStr">
        <is>
          <t>Gastronádoba 1/6 100 polypropylen</t>
        </is>
      </c>
      <c r="F472" s="102" t="n">
        <v>75</v>
      </c>
      <c r="G472" s="27" t="inlineStr">
        <is>
          <t>CZK</t>
        </is>
      </c>
      <c r="H472" s="102">
        <f>IF(AND(AE472="yes",ISNUMBER(AD472)),AD472,"")</f>
        <v/>
      </c>
      <c r="I472" s="103">
        <f>IF(AND(AE472="yes",ISNUMBER(AD472),ISNUMBER(INDEX('Sources'!$G$7:$G$10,MATCH(AB472,'Sources'!$B$7:$B$10,0)))),AD472/INDEX('Sources'!$G$7:$G$10,MATCH(AB472,'Sources'!$B$7:$B$10,0)),"")</f>
        <v/>
      </c>
      <c r="J472" s="27" t="inlineStr">
        <is>
          <t>EXACT</t>
        </is>
      </c>
      <c r="K472" s="27" t="inlineStr">
        <is>
          <t>2026-09-30</t>
        </is>
      </c>
      <c r="L472" s="71" t="n"/>
      <c r="M472" s="27" t="inlineStr">
        <is>
          <t>Code 1814709-10; 90.75 CZK incl. VAT</t>
        </is>
      </c>
      <c r="N472" s="28" t="inlineStr">
        <is>
          <t>https://eshop.gastronovotny.cz/gastronadoba-1-6-100-polypropylen/</t>
        </is>
      </c>
      <c r="O472" s="27" t="n"/>
      <c r="P472" s="27" t="inlineStr">
        <is>
          <t>excl.</t>
        </is>
      </c>
      <c r="Q472" s="104" t="n">
        <v>0.21</v>
      </c>
      <c r="R472" s="27" t="n">
        <v>1</v>
      </c>
      <c r="S472" s="27" t="inlineStr">
        <is>
          <t>per piece</t>
        </is>
      </c>
      <c r="T472" s="27" t="inlineStr">
        <is>
          <t>EXACT</t>
        </is>
      </c>
      <c r="U472" s="27" t="inlineStr">
        <is>
          <t>Additional Austria/Czechia benchmark. Original assignment and match quality retained.</t>
        </is>
      </c>
      <c r="V472" s="102" t="n"/>
      <c r="W472" s="102" t="n"/>
      <c r="X472" s="27" t="inlineStr">
        <is>
          <t>research_CZ.xlsx</t>
        </is>
      </c>
      <c r="Y472" s="27" t="n"/>
      <c r="Z472" s="27" t="n"/>
      <c r="AA472" s="27" t="n"/>
      <c r="AB472" s="27" t="inlineStr">
        <is>
          <t>CZK</t>
        </is>
      </c>
      <c r="AC472" s="27" t="inlineStr">
        <is>
          <t>yes</t>
        </is>
      </c>
      <c r="AD472" s="27">
        <f>IF(OR(F472="",Q472="",R472=""),"",ROUND(IF(P472="incl.",F472/(1+Q472),F472)/IF(S472="per pack",R472,1),2))</f>
        <v/>
      </c>
      <c r="AE472" s="27">
        <f>IF(AND(AC472="yes",ISNUMBER(F472),IF('Compare'!$H$5="All mapped",TRUE,IF('Compare'!$H$5="EXACT only",J472="EXACT",OR(J472="EXACT",J472="CLOSE")))),"yes","no")</f>
        <v/>
      </c>
      <c r="AF472" s="27">
        <f>IF(ISNUMBER(H472),COUNTIFS($B$7:$B$608,B472,$C$7:$C$608,C472,$H$7:$H$608,"&lt;"&amp;H472,$AH$7:$AH$608,"yes")+COUNTIFS($B$7:B472,B472,$C$7:C472,C472,$H$7:H472,H472,$AH$7:AH472,"yes"),"")</f>
        <v/>
      </c>
      <c r="AG472" s="27">
        <f>IF(ISNUMBER(I472),COUNTIFS($B$7:$B$608,B472,$C$7:$C$608,C472,$I$7:$I$608,"&lt;"&amp;I472,$AI$7:$AI$608,"yes")+COUNTIFS($B$7:B472,B472,$C$7:C472,C472,$I$7:I472,I472,$AI$7:AI472,"yes"),"")</f>
        <v/>
      </c>
      <c r="AH472" s="27">
        <f>IF(ISNUMBER(H472),"yes","no")</f>
        <v/>
      </c>
      <c r="AI472" s="27">
        <f>IF(ISNUMBER(I472),"yes","no")</f>
        <v/>
      </c>
      <c r="AJ472" s="105" t="n">
        <v>46295</v>
      </c>
      <c r="AK472" s="27" t="n"/>
    </row>
    <row r="473" ht="42" customHeight="1">
      <c r="A473" s="2" t="n"/>
      <c r="B473" s="24" t="inlineStr">
        <is>
          <t>GN 1/6 PP container, 100 mm</t>
        </is>
      </c>
      <c r="C473" s="24" t="inlineStr">
        <is>
          <t>Czech</t>
        </is>
      </c>
      <c r="D473" s="24" t="inlineStr">
        <is>
          <t>Gastromania</t>
        </is>
      </c>
      <c r="E473" s="24" t="inlineStr">
        <is>
          <t>Nádoba z polypropylenu, GN 1/6, 100 mm | STALGAST, Bufet</t>
        </is>
      </c>
      <c r="F473" s="98" t="n">
        <v>57</v>
      </c>
      <c r="G473" s="24" t="inlineStr">
        <is>
          <t>CZK</t>
        </is>
      </c>
      <c r="H473" s="98">
        <f>IF(AND(AE473="yes",ISNUMBER(AD473)),AD473,"")</f>
        <v/>
      </c>
      <c r="I473" s="99">
        <f>IF(AND(AE473="yes",ISNUMBER(AD473),ISNUMBER(INDEX('Sources'!$G$7:$G$10,MATCH(AB473,'Sources'!$B$7:$B$10,0)))),AD473/INDEX('Sources'!$G$7:$G$10,MATCH(AB473,'Sources'!$B$7:$B$10,0)),"")</f>
        <v/>
      </c>
      <c r="J473" s="24" t="inlineStr">
        <is>
          <t>EXACT</t>
        </is>
      </c>
      <c r="K473" s="24" t="inlineStr">
        <is>
          <t>2026-09-30</t>
        </is>
      </c>
      <c r="L473" s="71" t="n"/>
      <c r="M473" s="24" t="inlineStr">
        <is>
          <t>Cambro R-MP16100 94 CZK; price incl. 21% VAT as published in product data (current price, in stock)</t>
        </is>
      </c>
      <c r="N473" s="25" t="inlineStr">
        <is>
          <t>https://www.gastromania.cz/gastronadoby-polypropylenove/nadoba-z-polypropylenu-gn-1-6-100-mm-stalgast-bufet</t>
        </is>
      </c>
      <c r="O473" s="24" t="inlineStr">
        <is>
          <t>Stalgast</t>
        </is>
      </c>
      <c r="P473" s="24" t="inlineStr">
        <is>
          <t>incl.</t>
        </is>
      </c>
      <c r="Q473" s="100" t="n">
        <v>0.21</v>
      </c>
      <c r="R473" s="24" t="n">
        <v>1</v>
      </c>
      <c r="S473" s="24" t="inlineStr">
        <is>
          <t>per piece</t>
        </is>
      </c>
      <c r="T473" s="24" t="inlineStr">
        <is>
          <t>EXACT</t>
        </is>
      </c>
      <c r="U473" s="24" t="inlineStr">
        <is>
          <t>Additional Austria/Czechia benchmark. Original assignment and match quality retained.</t>
        </is>
      </c>
      <c r="V473" s="98" t="n"/>
      <c r="W473" s="98" t="n"/>
      <c r="X473" s="24" t="inlineStr">
        <is>
          <t>research_CZ.xlsx</t>
        </is>
      </c>
      <c r="Y473" s="24" t="n"/>
      <c r="Z473" s="24" t="n"/>
      <c r="AA473" s="24" t="n"/>
      <c r="AB473" s="24" t="inlineStr">
        <is>
          <t>CZK</t>
        </is>
      </c>
      <c r="AC473" s="24" t="inlineStr">
        <is>
          <t>yes</t>
        </is>
      </c>
      <c r="AD473" s="24">
        <f>IF(OR(F473="",Q473="",R473=""),"",ROUND(IF(P473="incl.",F473/(1+Q473),F473)/IF(S473="per pack",R473,1),2))</f>
        <v/>
      </c>
      <c r="AE473" s="24">
        <f>IF(AND(AC473="yes",ISNUMBER(F473),IF('Compare'!$H$5="All mapped",TRUE,IF('Compare'!$H$5="EXACT only",J473="EXACT",OR(J473="EXACT",J473="CLOSE")))),"yes","no")</f>
        <v/>
      </c>
      <c r="AF473" s="24">
        <f>IF(ISNUMBER(H473),COUNTIFS($B$7:$B$608,B473,$C$7:$C$608,C473,$H$7:$H$608,"&lt;"&amp;H473,$AH$7:$AH$608,"yes")+COUNTIFS($B$7:B473,B473,$C$7:C473,C473,$H$7:H473,H473,$AH$7:AH473,"yes"),"")</f>
        <v/>
      </c>
      <c r="AG473" s="24">
        <f>IF(ISNUMBER(I473),COUNTIFS($B$7:$B$608,B473,$C$7:$C$608,C473,$I$7:$I$608,"&lt;"&amp;I473,$AI$7:$AI$608,"yes")+COUNTIFS($B$7:B473,B473,$C$7:C473,C473,$I$7:I473,I473,$AI$7:AI473,"yes"),"")</f>
        <v/>
      </c>
      <c r="AH473" s="24">
        <f>IF(ISNUMBER(H473),"yes","no")</f>
        <v/>
      </c>
      <c r="AI473" s="24">
        <f>IF(ISNUMBER(I473),"yes","no")</f>
        <v/>
      </c>
      <c r="AJ473" s="101" t="n">
        <v>46295</v>
      </c>
      <c r="AK473" s="24" t="n"/>
    </row>
    <row r="474" ht="42" customHeight="1">
      <c r="A474" s="2" t="n"/>
      <c r="B474" s="27" t="inlineStr">
        <is>
          <t>GN 1/6 PP container, 100 mm</t>
        </is>
      </c>
      <c r="C474" s="27" t="inlineStr">
        <is>
          <t>Czech</t>
        </is>
      </c>
      <c r="D474" s="27" t="inlineStr">
        <is>
          <t>Gastrozone</t>
        </is>
      </c>
      <c r="E474" s="27" t="inlineStr">
        <is>
          <t>Pujadas gastro nádoba GN 1/6 176x162 mm polypropylen v=100 mm</t>
        </is>
      </c>
      <c r="F474" s="102" t="n">
        <v>130</v>
      </c>
      <c r="G474" s="27" t="inlineStr">
        <is>
          <t>CZK</t>
        </is>
      </c>
      <c r="H474" s="102">
        <f>IF(AND(AE474="yes",ISNUMBER(AD474)),AD474,"")</f>
        <v/>
      </c>
      <c r="I474" s="103">
        <f>IF(AND(AE474="yes",ISNUMBER(AD474),ISNUMBER(INDEX('Sources'!$G$7:$G$10,MATCH(AB474,'Sources'!$B$7:$B$10,0)))),AD474/INDEX('Sources'!$G$7:$G$10,MATCH(AB474,'Sources'!$B$7:$B$10,0)),"")</f>
        <v/>
      </c>
      <c r="J474" s="27" t="inlineStr">
        <is>
          <t>EXACT</t>
        </is>
      </c>
      <c r="K474" s="27" t="inlineStr">
        <is>
          <t>2026-09-30</t>
        </is>
      </c>
      <c r="L474" s="71" t="n"/>
      <c r="M474" s="27" t="inlineStr">
        <is>
          <t>107.44 CZK bez DPH; APS PP alternative 137 CZK</t>
        </is>
      </c>
      <c r="N474" s="28" t="inlineStr">
        <is>
          <t>https://www.gastrozone.cz/pujadas-gastro-nadoba-gn-1-6-176x162-mm-polypropylen-v-100-mm.html</t>
        </is>
      </c>
      <c r="O474" s="27" t="inlineStr">
        <is>
          <t>Pujadas</t>
        </is>
      </c>
      <c r="P474" s="27" t="inlineStr">
        <is>
          <t>incl.</t>
        </is>
      </c>
      <c r="Q474" s="104" t="n">
        <v>0.21</v>
      </c>
      <c r="R474" s="27" t="n">
        <v>1</v>
      </c>
      <c r="S474" s="27" t="inlineStr">
        <is>
          <t>per piece</t>
        </is>
      </c>
      <c r="T474" s="27" t="inlineStr">
        <is>
          <t>EXACT</t>
        </is>
      </c>
      <c r="U474" s="27" t="inlineStr">
        <is>
          <t>Additional Austria/Czechia benchmark. Original assignment and match quality retained.</t>
        </is>
      </c>
      <c r="V474" s="102" t="n"/>
      <c r="W474" s="102" t="n"/>
      <c r="X474" s="27" t="inlineStr">
        <is>
          <t>research_CZ.xlsx</t>
        </is>
      </c>
      <c r="Y474" s="27" t="n"/>
      <c r="Z474" s="27" t="n"/>
      <c r="AA474" s="27" t="n"/>
      <c r="AB474" s="27" t="inlineStr">
        <is>
          <t>CZK</t>
        </is>
      </c>
      <c r="AC474" s="27" t="inlineStr">
        <is>
          <t>yes</t>
        </is>
      </c>
      <c r="AD474" s="27">
        <f>IF(OR(F474="",Q474="",R474=""),"",ROUND(IF(P474="incl.",F474/(1+Q474),F474)/IF(S474="per pack",R474,1),2))</f>
        <v/>
      </c>
      <c r="AE474" s="27">
        <f>IF(AND(AC474="yes",ISNUMBER(F474),IF('Compare'!$H$5="All mapped",TRUE,IF('Compare'!$H$5="EXACT only",J474="EXACT",OR(J474="EXACT",J474="CLOSE")))),"yes","no")</f>
        <v/>
      </c>
      <c r="AF474" s="27">
        <f>IF(ISNUMBER(H474),COUNTIFS($B$7:$B$608,B474,$C$7:$C$608,C474,$H$7:$H$608,"&lt;"&amp;H474,$AH$7:$AH$608,"yes")+COUNTIFS($B$7:B474,B474,$C$7:C474,C474,$H$7:H474,H474,$AH$7:AH474,"yes"),"")</f>
        <v/>
      </c>
      <c r="AG474" s="27">
        <f>IF(ISNUMBER(I474),COUNTIFS($B$7:$B$608,B474,$C$7:$C$608,C474,$I$7:$I$608,"&lt;"&amp;I474,$AI$7:$AI$608,"yes")+COUNTIFS($B$7:B474,B474,$C$7:C474,C474,$I$7:I474,I474,$AI$7:AI474,"yes"),"")</f>
        <v/>
      </c>
      <c r="AH474" s="27">
        <f>IF(ISNUMBER(H474),"yes","no")</f>
        <v/>
      </c>
      <c r="AI474" s="27">
        <f>IF(ISNUMBER(I474),"yes","no")</f>
        <v/>
      </c>
      <c r="AJ474" s="105" t="n">
        <v>46295</v>
      </c>
      <c r="AK474" s="27" t="n"/>
    </row>
    <row r="475" ht="42" customHeight="1">
      <c r="A475" s="2" t="n"/>
      <c r="B475" s="24" t="inlineStr">
        <is>
          <t>GN 1/6 PP container, 100 mm</t>
        </is>
      </c>
      <c r="C475" s="24" t="inlineStr">
        <is>
          <t>Czech</t>
        </is>
      </c>
      <c r="D475" s="24" t="inlineStr">
        <is>
          <t>TOMGAST</t>
        </is>
      </c>
      <c r="E475" s="24" t="inlineStr">
        <is>
          <t>Gastronádoba polypropylenová GN 1/6 100 mm</t>
        </is>
      </c>
      <c r="F475" s="98" t="n">
        <v>94</v>
      </c>
      <c r="G475" s="24" t="inlineStr">
        <is>
          <t>CZK</t>
        </is>
      </c>
      <c r="H475" s="98">
        <f>IF(AND(AE475="yes",ISNUMBER(AD475)),AD475,"")</f>
        <v/>
      </c>
      <c r="I475" s="99">
        <f>IF(AND(AE475="yes",ISNUMBER(AD475),ISNUMBER(INDEX('Sources'!$G$7:$G$10,MATCH(AB475,'Sources'!$B$7:$B$10,0)))),AD475/INDEX('Sources'!$G$7:$G$10,MATCH(AB475,'Sources'!$B$7:$B$10,0)),"")</f>
        <v/>
      </c>
      <c r="J475" s="24" t="inlineStr">
        <is>
          <t>EXACT</t>
        </is>
      </c>
      <c r="K475" s="24" t="inlineStr">
        <is>
          <t>2026-09-30</t>
        </is>
      </c>
      <c r="L475" s="71" t="n"/>
      <c r="M475" s="24" t="inlineStr">
        <is>
          <t>Code R-MP16100; 78 CZK bez DPH</t>
        </is>
      </c>
      <c r="N475" s="25" t="inlineStr">
        <is>
          <t>https://www.tomgast.cz/gastronadoba-polypropylenova-gn-1-6-100-mm-2/</t>
        </is>
      </c>
      <c r="O475" s="24" t="inlineStr">
        <is>
          <t>Cambro</t>
        </is>
      </c>
      <c r="P475" s="24" t="inlineStr">
        <is>
          <t>incl.</t>
        </is>
      </c>
      <c r="Q475" s="100" t="n">
        <v>0.21</v>
      </c>
      <c r="R475" s="24" t="n">
        <v>1</v>
      </c>
      <c r="S475" s="24" t="inlineStr">
        <is>
          <t>per piece</t>
        </is>
      </c>
      <c r="T475" s="24" t="inlineStr">
        <is>
          <t>EXACT</t>
        </is>
      </c>
      <c r="U475" s="24" t="inlineStr">
        <is>
          <t>Additional Austria/Czechia benchmark. Original assignment and match quality retained.</t>
        </is>
      </c>
      <c r="V475" s="98" t="n"/>
      <c r="W475" s="98" t="n"/>
      <c r="X475" s="24" t="inlineStr">
        <is>
          <t>research_CZ.xlsx</t>
        </is>
      </c>
      <c r="Y475" s="24" t="n"/>
      <c r="Z475" s="24" t="n"/>
      <c r="AA475" s="24" t="n"/>
      <c r="AB475" s="24" t="inlineStr">
        <is>
          <t>CZK</t>
        </is>
      </c>
      <c r="AC475" s="24" t="inlineStr">
        <is>
          <t>yes</t>
        </is>
      </c>
      <c r="AD475" s="24">
        <f>IF(OR(F475="",Q475="",R475=""),"",ROUND(IF(P475="incl.",F475/(1+Q475),F475)/IF(S475="per pack",R475,1),2))</f>
        <v/>
      </c>
      <c r="AE475" s="24">
        <f>IF(AND(AC475="yes",ISNUMBER(F475),IF('Compare'!$H$5="All mapped",TRUE,IF('Compare'!$H$5="EXACT only",J475="EXACT",OR(J475="EXACT",J475="CLOSE")))),"yes","no")</f>
        <v/>
      </c>
      <c r="AF475" s="24">
        <f>IF(ISNUMBER(H475),COUNTIFS($B$7:$B$608,B475,$C$7:$C$608,C475,$H$7:$H$608,"&lt;"&amp;H475,$AH$7:$AH$608,"yes")+COUNTIFS($B$7:B475,B475,$C$7:C475,C475,$H$7:H475,H475,$AH$7:AH475,"yes"),"")</f>
        <v/>
      </c>
      <c r="AG475" s="24">
        <f>IF(ISNUMBER(I475),COUNTIFS($B$7:$B$608,B475,$C$7:$C$608,C475,$I$7:$I$608,"&lt;"&amp;I475,$AI$7:$AI$608,"yes")+COUNTIFS($B$7:B475,B475,$C$7:C475,C475,$I$7:I475,I475,$AI$7:AI475,"yes"),"")</f>
        <v/>
      </c>
      <c r="AH475" s="24">
        <f>IF(ISNUMBER(H475),"yes","no")</f>
        <v/>
      </c>
      <c r="AI475" s="24">
        <f>IF(ISNUMBER(I475),"yes","no")</f>
        <v/>
      </c>
      <c r="AJ475" s="101" t="n">
        <v>46295</v>
      </c>
      <c r="AK475" s="24" t="n"/>
    </row>
    <row r="476" ht="42" customHeight="1">
      <c r="A476" s="2" t="n"/>
      <c r="B476" s="27" t="inlineStr">
        <is>
          <t>GN 1/9 PP container, 100 mm</t>
        </is>
      </c>
      <c r="C476" s="27" t="inlineStr">
        <is>
          <t>Austria</t>
        </is>
      </c>
      <c r="D476" s="27" t="inlineStr">
        <is>
          <t>GGM Gastro (Austrian storefront)</t>
        </is>
      </c>
      <c r="E476" s="27" t="inlineStr">
        <is>
          <t>(12 Stück) Polypropylen-Behälter GN 1/9 - Milchig - Höhe: 100mm</t>
        </is>
      </c>
      <c r="F476" s="102" t="n">
        <v>41.99</v>
      </c>
      <c r="G476" s="27" t="inlineStr">
        <is>
          <t>EUR</t>
        </is>
      </c>
      <c r="H476" s="102">
        <f>IF(AND(AE476="yes",ISNUMBER(AD476)),AD476,"")</f>
        <v/>
      </c>
      <c r="I476" s="103">
        <f>IF(AND(AE476="yes",ISNUMBER(AD476),ISNUMBER(INDEX('Sources'!$G$7:$G$10,MATCH(AB476,'Sources'!$B$7:$B$10,0)))),AD476/INDEX('Sources'!$G$7:$G$10,MATCH(AB476,'Sources'!$B$7:$B$10,0)),"")</f>
        <v/>
      </c>
      <c r="J476" s="27" t="inlineStr">
        <is>
          <t>EXACT</t>
        </is>
      </c>
      <c r="K476" s="27" t="inlineStr">
        <is>
          <t>2026-09-30</t>
        </is>
      </c>
      <c r="L476" s="71" t="n"/>
      <c r="M476" s="27" t="n"/>
      <c r="N476" s="28" t="inlineStr">
        <is>
          <t>https://www.ggmgastro.com/de-at-eur/12-stueck-polypropylen-behaelter-gn-1-9-milchig-hoehe-100mm-gpp19100-12</t>
        </is>
      </c>
      <c r="O476" s="27" t="inlineStr">
        <is>
          <t>GGM</t>
        </is>
      </c>
      <c r="P476" s="27" t="inlineStr">
        <is>
          <t>excl.</t>
        </is>
      </c>
      <c r="Q476" s="104" t="n"/>
      <c r="R476" s="27" t="n">
        <v>12</v>
      </c>
      <c r="S476" s="27" t="inlineStr">
        <is>
          <t>set of 12</t>
        </is>
      </c>
      <c r="T476" s="27" t="inlineStr">
        <is>
          <t>EXACT</t>
        </is>
      </c>
      <c r="U476" s="27" t="inlineStr">
        <is>
          <t>Additional Austria/Czechia benchmark. Original assignment and match quality retained.</t>
        </is>
      </c>
      <c r="V476" s="102" t="n">
        <v>3.5</v>
      </c>
      <c r="W476" s="102" t="n"/>
      <c r="X476" s="27" t="inlineStr">
        <is>
          <t>research_AT.xlsx</t>
        </is>
      </c>
      <c r="Y476" s="27" t="n"/>
      <c r="Z476" s="27" t="n"/>
      <c r="AA476" s="27" t="n"/>
      <c r="AB476" s="27" t="inlineStr">
        <is>
          <t>EUR</t>
        </is>
      </c>
      <c r="AC476" s="27" t="inlineStr">
        <is>
          <t>yes</t>
        </is>
      </c>
      <c r="AD476" s="27">
        <f>IF(ISNUMBER(V476),V476,"")</f>
        <v/>
      </c>
      <c r="AE476" s="27">
        <f>IF(AND(AC476="yes",ISNUMBER(F476),IF('Compare'!$H$5="All mapped",TRUE,IF('Compare'!$H$5="EXACT only",J476="EXACT",OR(J476="EXACT",J476="CLOSE")))),"yes","no")</f>
        <v/>
      </c>
      <c r="AF476" s="27">
        <f>IF(ISNUMBER(H476),COUNTIFS($B$7:$B$608,B476,$C$7:$C$608,C476,$H$7:$H$608,"&lt;"&amp;H476,$AH$7:$AH$608,"yes")+COUNTIFS($B$7:B476,B476,$C$7:C476,C476,$H$7:H476,H476,$AH$7:AH476,"yes"),"")</f>
        <v/>
      </c>
      <c r="AG476" s="27">
        <f>IF(ISNUMBER(I476),COUNTIFS($B$7:$B$608,B476,$C$7:$C$608,C476,$I$7:$I$608,"&lt;"&amp;I476,$AI$7:$AI$608,"yes")+COUNTIFS($B$7:B476,B476,$C$7:C476,C476,$I$7:I476,I476,$AI$7:AI476,"yes"),"")</f>
        <v/>
      </c>
      <c r="AH476" s="27">
        <f>IF(ISNUMBER(H476),"yes","no")</f>
        <v/>
      </c>
      <c r="AI476" s="27">
        <f>IF(ISNUMBER(I476),"yes","no")</f>
        <v/>
      </c>
      <c r="AJ476" s="105" t="n">
        <v>46295</v>
      </c>
      <c r="AK476" s="27" t="n"/>
    </row>
    <row r="477" ht="42" customHeight="1">
      <c r="A477" s="2" t="n"/>
      <c r="B477" s="24" t="inlineStr">
        <is>
          <t>GN 1/9 PP container, 100 mm</t>
        </is>
      </c>
      <c r="C477" s="24" t="inlineStr">
        <is>
          <t>Austria</t>
        </is>
      </c>
      <c r="D477" s="24" t="inlineStr">
        <is>
          <t>Gastro Star</t>
        </is>
      </c>
      <c r="E477" s="24" t="inlineStr">
        <is>
          <t>Polypropylen Behälter GN 1/9 – 176x108x100mm</t>
        </is>
      </c>
      <c r="F477" s="98" t="n">
        <v>2.3</v>
      </c>
      <c r="G477" s="24" t="inlineStr">
        <is>
          <t>EUR</t>
        </is>
      </c>
      <c r="H477" s="98">
        <f>IF(AND(AE477="yes",ISNUMBER(AD477)),AD477,"")</f>
        <v/>
      </c>
      <c r="I477" s="99">
        <f>IF(AND(AE477="yes",ISNUMBER(AD477),ISNUMBER(INDEX('Sources'!$G$7:$G$10,MATCH(AB477,'Sources'!$B$7:$B$10,0)))),AD477/INDEX('Sources'!$G$7:$G$10,MATCH(AB477,'Sources'!$B$7:$B$10,0)),"")</f>
        <v/>
      </c>
      <c r="J477" s="24" t="inlineStr">
        <is>
          <t>EXACT</t>
        </is>
      </c>
      <c r="K477" s="24" t="inlineStr">
        <is>
          <t>2026-09-30</t>
        </is>
      </c>
      <c r="L477" s="71" t="n"/>
      <c r="M477" s="24" t="n"/>
      <c r="N477" s="25" t="inlineStr">
        <is>
          <t>https://www.gastro-star.at/produkt/polypropylenbehaeltergn19-176x108x100mm/</t>
        </is>
      </c>
      <c r="O477" s="24" t="inlineStr">
        <is>
          <t>Hendi</t>
        </is>
      </c>
      <c r="P477" s="24" t="inlineStr">
        <is>
          <t>excl.</t>
        </is>
      </c>
      <c r="Q477" s="100" t="n"/>
      <c r="R477" s="24" t="n">
        <v>1</v>
      </c>
      <c r="S477" s="24" t="n"/>
      <c r="T477" s="24" t="inlineStr">
        <is>
          <t>EXACT</t>
        </is>
      </c>
      <c r="U477" s="24" t="inlineStr">
        <is>
          <t>Additional Austria/Czechia benchmark. Original assignment and match quality retained.</t>
        </is>
      </c>
      <c r="V477" s="98" t="n">
        <v>2.3</v>
      </c>
      <c r="W477" s="98" t="n"/>
      <c r="X477" s="24" t="inlineStr">
        <is>
          <t>research_AT.xlsx</t>
        </is>
      </c>
      <c r="Y477" s="24" t="n"/>
      <c r="Z477" s="24" t="n"/>
      <c r="AA477" s="24" t="n"/>
      <c r="AB477" s="24" t="inlineStr">
        <is>
          <t>EUR</t>
        </is>
      </c>
      <c r="AC477" s="24" t="inlineStr">
        <is>
          <t>yes</t>
        </is>
      </c>
      <c r="AD477" s="24">
        <f>IF(ISNUMBER(V477),V477,"")</f>
        <v/>
      </c>
      <c r="AE477" s="24">
        <f>IF(AND(AC477="yes",ISNUMBER(F477),IF('Compare'!$H$5="All mapped",TRUE,IF('Compare'!$H$5="EXACT only",J477="EXACT",OR(J477="EXACT",J477="CLOSE")))),"yes","no")</f>
        <v/>
      </c>
      <c r="AF477" s="24">
        <f>IF(ISNUMBER(H477),COUNTIFS($B$7:$B$608,B477,$C$7:$C$608,C477,$H$7:$H$608,"&lt;"&amp;H477,$AH$7:$AH$608,"yes")+COUNTIFS($B$7:B477,B477,$C$7:C477,C477,$H$7:H477,H477,$AH$7:AH477,"yes"),"")</f>
        <v/>
      </c>
      <c r="AG477" s="24">
        <f>IF(ISNUMBER(I477),COUNTIFS($B$7:$B$608,B477,$C$7:$C$608,C477,$I$7:$I$608,"&lt;"&amp;I477,$AI$7:$AI$608,"yes")+COUNTIFS($B$7:B477,B477,$C$7:C477,C477,$I$7:I477,I477,$AI$7:AI477,"yes"),"")</f>
        <v/>
      </c>
      <c r="AH477" s="24">
        <f>IF(ISNUMBER(H477),"yes","no")</f>
        <v/>
      </c>
      <c r="AI477" s="24">
        <f>IF(ISNUMBER(I477),"yes","no")</f>
        <v/>
      </c>
      <c r="AJ477" s="101" t="n">
        <v>46295</v>
      </c>
      <c r="AK477" s="24" t="n"/>
    </row>
    <row r="478" ht="42" customHeight="1">
      <c r="A478" s="2" t="n"/>
      <c r="B478" s="27" t="inlineStr">
        <is>
          <t>GN 1/9 PP container, 100 mm</t>
        </is>
      </c>
      <c r="C478" s="27" t="inlineStr">
        <is>
          <t>Austria</t>
        </is>
      </c>
      <c r="D478" s="27" t="inlineStr">
        <is>
          <t>GastroHero Österreich</t>
        </is>
      </c>
      <c r="E478" s="27" t="inlineStr">
        <is>
          <t>Hendi GN-Behälter mit Deckel und HACCP-Clips, GN 1/9, 100 mm, 1 L, PP</t>
        </is>
      </c>
      <c r="F478" s="102" t="n">
        <v>5.59</v>
      </c>
      <c r="G478" s="27" t="inlineStr">
        <is>
          <t>EUR</t>
        </is>
      </c>
      <c r="H478" s="102">
        <f>IF(AND(AE478="yes",ISNUMBER(AD478)),AD478,"")</f>
        <v/>
      </c>
      <c r="I478" s="103">
        <f>IF(AND(AE478="yes",ISNUMBER(AD478),ISNUMBER(INDEX('Sources'!$G$7:$G$10,MATCH(AB478,'Sources'!$B$7:$B$10,0)))),AD478/INDEX('Sources'!$G$7:$G$10,MATCH(AB478,'Sources'!$B$7:$B$10,0)),"")</f>
        <v/>
      </c>
      <c r="J478" s="27" t="inlineStr">
        <is>
          <t>CLOSE</t>
        </is>
      </c>
      <c r="K478" s="27" t="inlineStr">
        <is>
          <t>2026-09-30</t>
        </is>
      </c>
      <c r="L478" s="71" t="n"/>
      <c r="M478" s="27" t="inlineStr">
        <is>
          <t>Includes lid and HACCP clips</t>
        </is>
      </c>
      <c r="N478" s="28" t="inlineStr">
        <is>
          <t>https://www.gastro-hero.at/products/hendi-gn-behaelter-mit-deckel-und-haccp-clips-gn-19-100-mm-1-l-pp-873137</t>
        </is>
      </c>
      <c r="O478" s="27" t="inlineStr">
        <is>
          <t>Hendi</t>
        </is>
      </c>
      <c r="P478" s="27" t="inlineStr">
        <is>
          <t>excl.</t>
        </is>
      </c>
      <c r="Q478" s="104" t="n"/>
      <c r="R478" s="27" t="n">
        <v>1</v>
      </c>
      <c r="S478" s="27" t="n"/>
      <c r="T478" s="27" t="inlineStr">
        <is>
          <t>CLOSE</t>
        </is>
      </c>
      <c r="U478" s="27" t="inlineStr">
        <is>
          <t>Additional Austria/Czechia benchmark. Original assignment and match quality retained.</t>
        </is>
      </c>
      <c r="V478" s="102" t="n">
        <v>5.59</v>
      </c>
      <c r="W478" s="102" t="n"/>
      <c r="X478" s="27" t="inlineStr">
        <is>
          <t>research_AT.xlsx</t>
        </is>
      </c>
      <c r="Y478" s="27" t="n"/>
      <c r="Z478" s="27" t="n"/>
      <c r="AA478" s="27" t="n"/>
      <c r="AB478" s="27" t="inlineStr">
        <is>
          <t>EUR</t>
        </is>
      </c>
      <c r="AC478" s="27" t="inlineStr">
        <is>
          <t>yes</t>
        </is>
      </c>
      <c r="AD478" s="27">
        <f>IF(ISNUMBER(V478),V478,"")</f>
        <v/>
      </c>
      <c r="AE478" s="27">
        <f>IF(AND(AC478="yes",ISNUMBER(F478),IF('Compare'!$H$5="All mapped",TRUE,IF('Compare'!$H$5="EXACT only",J478="EXACT",OR(J478="EXACT",J478="CLOSE")))),"yes","no")</f>
        <v/>
      </c>
      <c r="AF478" s="27">
        <f>IF(ISNUMBER(H478),COUNTIFS($B$7:$B$608,B478,$C$7:$C$608,C478,$H$7:$H$608,"&lt;"&amp;H478,$AH$7:$AH$608,"yes")+COUNTIFS($B$7:B478,B478,$C$7:C478,C478,$H$7:H478,H478,$AH$7:AH478,"yes"),"")</f>
        <v/>
      </c>
      <c r="AG478" s="27">
        <f>IF(ISNUMBER(I478),COUNTIFS($B$7:$B$608,B478,$C$7:$C$608,C478,$I$7:$I$608,"&lt;"&amp;I478,$AI$7:$AI$608,"yes")+COUNTIFS($B$7:B478,B478,$C$7:C478,C478,$I$7:I478,I478,$AI$7:AI478,"yes"),"")</f>
        <v/>
      </c>
      <c r="AH478" s="27">
        <f>IF(ISNUMBER(H478),"yes","no")</f>
        <v/>
      </c>
      <c r="AI478" s="27">
        <f>IF(ISNUMBER(I478),"yes","no")</f>
        <v/>
      </c>
      <c r="AJ478" s="105" t="n">
        <v>46295</v>
      </c>
      <c r="AK478" s="27" t="n"/>
    </row>
    <row r="479" ht="42" customHeight="1">
      <c r="A479" s="2" t="n"/>
      <c r="B479" s="24" t="inlineStr">
        <is>
          <t>GN 1/9 PP container, 100 mm</t>
        </is>
      </c>
      <c r="C479" s="24" t="inlineStr">
        <is>
          <t>Austria</t>
        </is>
      </c>
      <c r="D479" s="24" t="inlineStr">
        <is>
          <t>Gastrodax</t>
        </is>
      </c>
      <c r="E479" s="24" t="inlineStr">
        <is>
          <t>Hendi Gastronorm-Behälter 1/9, 0,9L, Transparent, 176x108x(H)100mm (HACCP-Aufbewahrungsbehälter)</t>
        </is>
      </c>
      <c r="F479" s="98" t="n">
        <v>14.64</v>
      </c>
      <c r="G479" s="24" t="inlineStr">
        <is>
          <t>EUR</t>
        </is>
      </c>
      <c r="H479" s="98">
        <f>IF(AND(AE479="yes",ISNUMBER(AD479)),AD479,"")</f>
        <v/>
      </c>
      <c r="I479" s="99">
        <f>IF(AND(AE479="yes",ISNUMBER(AD479),ISNUMBER(INDEX('Sources'!$G$7:$G$10,MATCH(AB479,'Sources'!$B$7:$B$10,0)))),AD479/INDEX('Sources'!$G$7:$G$10,MATCH(AB479,'Sources'!$B$7:$B$10,0)),"")</f>
        <v/>
      </c>
      <c r="J479" s="24" t="inlineStr">
        <is>
          <t>EXACT</t>
        </is>
      </c>
      <c r="K479" s="24" t="inlineStr">
        <is>
          <t>2026-09-30</t>
        </is>
      </c>
      <c r="L479" s="71" t="n"/>
      <c r="M479" s="24" t="inlineStr">
        <is>
          <t>Hendi HACCP storage line (PP); material not stated on this page</t>
        </is>
      </c>
      <c r="N479" s="25" t="inlineStr">
        <is>
          <t>https://www.gastrodax.de/hendi-haccp-aufbewahrungsbehaelter-gn-1-9-1-l-transparent-176-x-108-x-h-100-mm</t>
        </is>
      </c>
      <c r="O479" s="24" t="inlineStr">
        <is>
          <t>Hendi</t>
        </is>
      </c>
      <c r="P479" s="24" t="inlineStr">
        <is>
          <t>excl.</t>
        </is>
      </c>
      <c r="Q479" s="100" t="n"/>
      <c r="R479" s="24" t="n">
        <v>1</v>
      </c>
      <c r="S479" s="24" t="n"/>
      <c r="T479" s="24" t="inlineStr">
        <is>
          <t>EXACT</t>
        </is>
      </c>
      <c r="U479" s="24" t="inlineStr">
        <is>
          <t>Additional Austria/Czechia benchmark. Original assignment and match quality retained.</t>
        </is>
      </c>
      <c r="V479" s="98" t="n">
        <v>14.64</v>
      </c>
      <c r="W479" s="98" t="n"/>
      <c r="X479" s="24" t="inlineStr">
        <is>
          <t>research_AT.xlsx</t>
        </is>
      </c>
      <c r="Y479" s="24" t="n"/>
      <c r="Z479" s="24" t="n"/>
      <c r="AA479" s="24" t="n"/>
      <c r="AB479" s="24" t="inlineStr">
        <is>
          <t>EUR</t>
        </is>
      </c>
      <c r="AC479" s="24" t="inlineStr">
        <is>
          <t>yes</t>
        </is>
      </c>
      <c r="AD479" s="24">
        <f>IF(ISNUMBER(V479),V479,"")</f>
        <v/>
      </c>
      <c r="AE479" s="24">
        <f>IF(AND(AC479="yes",ISNUMBER(F479),IF('Compare'!$H$5="All mapped",TRUE,IF('Compare'!$H$5="EXACT only",J479="EXACT",OR(J479="EXACT",J479="CLOSE")))),"yes","no")</f>
        <v/>
      </c>
      <c r="AF479" s="24">
        <f>IF(ISNUMBER(H479),COUNTIFS($B$7:$B$608,B479,$C$7:$C$608,C479,$H$7:$H$608,"&lt;"&amp;H479,$AH$7:$AH$608,"yes")+COUNTIFS($B$7:B479,B479,$C$7:C479,C479,$H$7:H479,H479,$AH$7:AH479,"yes"),"")</f>
        <v/>
      </c>
      <c r="AG479" s="24">
        <f>IF(ISNUMBER(I479),COUNTIFS($B$7:$B$608,B479,$C$7:$C$608,C479,$I$7:$I$608,"&lt;"&amp;I479,$AI$7:$AI$608,"yes")+COUNTIFS($B$7:B479,B479,$C$7:C479,C479,$I$7:I479,I479,$AI$7:AI479,"yes"),"")</f>
        <v/>
      </c>
      <c r="AH479" s="24">
        <f>IF(ISNUMBER(H479),"yes","no")</f>
        <v/>
      </c>
      <c r="AI479" s="24">
        <f>IF(ISNUMBER(I479),"yes","no")</f>
        <v/>
      </c>
      <c r="AJ479" s="101" t="n">
        <v>46295</v>
      </c>
      <c r="AK479" s="24" t="n"/>
    </row>
    <row r="480" ht="42" customHeight="1">
      <c r="A480" s="2" t="n"/>
      <c r="B480" s="27" t="inlineStr">
        <is>
          <t>GN 1/9 PP container, 100 mm</t>
        </is>
      </c>
      <c r="C480" s="27" t="inlineStr">
        <is>
          <t>Austria</t>
        </is>
      </c>
      <c r="D480" s="27" t="inlineStr">
        <is>
          <t>Intergastro (AT shop)</t>
        </is>
      </c>
      <c r="E480" s="27" t="inlineStr">
        <is>
          <t>Gastronorm-Schale GN 1/9 x 100 mm Kunststoff transparent (Cambro PP)</t>
        </is>
      </c>
      <c r="F480" s="102" t="n">
        <v>3.58</v>
      </c>
      <c r="G480" s="27" t="inlineStr">
        <is>
          <t>EUR</t>
        </is>
      </c>
      <c r="H480" s="102">
        <f>IF(AND(AE480="yes",ISNUMBER(AD480)),AD480,"")</f>
        <v/>
      </c>
      <c r="I480" s="103">
        <f>IF(AND(AE480="yes",ISNUMBER(AD480),ISNUMBER(INDEX('Sources'!$G$7:$G$10,MATCH(AB480,'Sources'!$B$7:$B$10,0)))),AD480/INDEX('Sources'!$G$7:$G$10,MATCH(AB480,'Sources'!$B$7:$B$10,0)),"")</f>
        <v/>
      </c>
      <c r="J480" s="27" t="inlineStr">
        <is>
          <t>EXACT</t>
        </is>
      </c>
      <c r="K480" s="27" t="inlineStr">
        <is>
          <t>2026-09-30</t>
        </is>
      </c>
      <c r="L480" s="71" t="n"/>
      <c r="M480" s="27" t="inlineStr">
        <is>
          <t>Price per piece, sold in VPE of 6</t>
        </is>
      </c>
      <c r="N480" s="28" t="inlineStr">
        <is>
          <t>https://www.intergastro.at/gastronorm-schale-gn-1-9-x-100-mm-kunststoff-transparent-252816</t>
        </is>
      </c>
      <c r="O480" s="27" t="inlineStr">
        <is>
          <t>Cambro</t>
        </is>
      </c>
      <c r="P480" s="27" t="inlineStr">
        <is>
          <t>excl.</t>
        </is>
      </c>
      <c r="Q480" s="104" t="n"/>
      <c r="R480" s="27" t="n">
        <v>1</v>
      </c>
      <c r="S480" s="27" t="n"/>
      <c r="T480" s="27" t="inlineStr">
        <is>
          <t>EXACT</t>
        </is>
      </c>
      <c r="U480" s="27" t="inlineStr">
        <is>
          <t>Additional Austria/Czechia benchmark. Original assignment and match quality retained.</t>
        </is>
      </c>
      <c r="V480" s="102" t="n">
        <v>3.58</v>
      </c>
      <c r="W480" s="102" t="n"/>
      <c r="X480" s="27" t="inlineStr">
        <is>
          <t>research_AT.xlsx</t>
        </is>
      </c>
      <c r="Y480" s="27" t="n"/>
      <c r="Z480" s="27" t="n"/>
      <c r="AA480" s="27" t="n"/>
      <c r="AB480" s="27" t="inlineStr">
        <is>
          <t>EUR</t>
        </is>
      </c>
      <c r="AC480" s="27" t="inlineStr">
        <is>
          <t>yes</t>
        </is>
      </c>
      <c r="AD480" s="27">
        <f>IF(ISNUMBER(V480),V480,"")</f>
        <v/>
      </c>
      <c r="AE480" s="27">
        <f>IF(AND(AC480="yes",ISNUMBER(F480),IF('Compare'!$H$5="All mapped",TRUE,IF('Compare'!$H$5="EXACT only",J480="EXACT",OR(J480="EXACT",J480="CLOSE")))),"yes","no")</f>
        <v/>
      </c>
      <c r="AF480" s="27">
        <f>IF(ISNUMBER(H480),COUNTIFS($B$7:$B$608,B480,$C$7:$C$608,C480,$H$7:$H$608,"&lt;"&amp;H480,$AH$7:$AH$608,"yes")+COUNTIFS($B$7:B480,B480,$C$7:C480,C480,$H$7:H480,H480,$AH$7:AH480,"yes"),"")</f>
        <v/>
      </c>
      <c r="AG480" s="27">
        <f>IF(ISNUMBER(I480),COUNTIFS($B$7:$B$608,B480,$C$7:$C$608,C480,$I$7:$I$608,"&lt;"&amp;I480,$AI$7:$AI$608,"yes")+COUNTIFS($B$7:B480,B480,$C$7:C480,C480,$I$7:I480,I480,$AI$7:AI480,"yes"),"")</f>
        <v/>
      </c>
      <c r="AH480" s="27">
        <f>IF(ISNUMBER(H480),"yes","no")</f>
        <v/>
      </c>
      <c r="AI480" s="27">
        <f>IF(ISNUMBER(I480),"yes","no")</f>
        <v/>
      </c>
      <c r="AJ480" s="105" t="n">
        <v>46295</v>
      </c>
      <c r="AK480" s="27" t="n"/>
    </row>
    <row r="481" ht="42" customHeight="1">
      <c r="A481" s="2" t="n"/>
      <c r="B481" s="24" t="inlineStr">
        <is>
          <t>GN 1/9 PP container, 100 mm</t>
        </is>
      </c>
      <c r="C481" s="24" t="inlineStr">
        <is>
          <t>Austria</t>
        </is>
      </c>
      <c r="D481" s="24" t="inlineStr">
        <is>
          <t>Jungheinrich PROFISHOP Austria</t>
        </is>
      </c>
      <c r="E481" s="24" t="inlineStr">
        <is>
          <t>Stalgast ARAVEN Gastronormbehälter mit Deckel, Polypropylen, GN 1/9 (100 mm)</t>
        </is>
      </c>
      <c r="F481" s="98" t="n">
        <v>17.5</v>
      </c>
      <c r="G481" s="24" t="inlineStr">
        <is>
          <t>EUR</t>
        </is>
      </c>
      <c r="H481" s="98">
        <f>IF(AND(AE481="yes",ISNUMBER(AD481)),AD481,"")</f>
        <v/>
      </c>
      <c r="I481" s="99">
        <f>IF(AND(AE481="yes",ISNUMBER(AD481),ISNUMBER(INDEX('Sources'!$G$7:$G$10,MATCH(AB481,'Sources'!$B$7:$B$10,0)))),AD481/INDEX('Sources'!$G$7:$G$10,MATCH(AB481,'Sources'!$B$7:$B$10,0)),"")</f>
        <v/>
      </c>
      <c r="J481" s="24" t="inlineStr">
        <is>
          <t>CLOSE</t>
        </is>
      </c>
      <c r="K481" s="24" t="inlineStr">
        <is>
          <t>2026-09-30</t>
        </is>
      </c>
      <c r="L481" s="71" t="n"/>
      <c r="M481" s="24" t="inlineStr">
        <is>
          <t>Includes lid</t>
        </is>
      </c>
      <c r="N481" s="25" t="inlineStr">
        <is>
          <t>https://www.jh-profishop.at/p/stalgast-araven-gastronormbehaelter-mit-deckel-polypropylen-gn-1-9-100-mm-928375-347898/</t>
        </is>
      </c>
      <c r="O481" s="24" t="inlineStr">
        <is>
          <t>Stalgast / Araven</t>
        </is>
      </c>
      <c r="P481" s="24" t="inlineStr">
        <is>
          <t>excl.</t>
        </is>
      </c>
      <c r="Q481" s="100" t="n"/>
      <c r="R481" s="24" t="n">
        <v>1</v>
      </c>
      <c r="S481" s="24" t="n"/>
      <c r="T481" s="24" t="inlineStr">
        <is>
          <t>CLOSE</t>
        </is>
      </c>
      <c r="U481" s="24" t="inlineStr">
        <is>
          <t>Additional Austria/Czechia benchmark. Original assignment and match quality retained.</t>
        </is>
      </c>
      <c r="V481" s="98" t="n">
        <v>17.5</v>
      </c>
      <c r="W481" s="98" t="n"/>
      <c r="X481" s="24" t="inlineStr">
        <is>
          <t>research_AT.xlsx</t>
        </is>
      </c>
      <c r="Y481" s="24" t="n"/>
      <c r="Z481" s="24" t="n"/>
      <c r="AA481" s="24" t="n"/>
      <c r="AB481" s="24" t="inlineStr">
        <is>
          <t>EUR</t>
        </is>
      </c>
      <c r="AC481" s="24" t="inlineStr">
        <is>
          <t>yes</t>
        </is>
      </c>
      <c r="AD481" s="24">
        <f>IF(ISNUMBER(V481),V481,"")</f>
        <v/>
      </c>
      <c r="AE481" s="24">
        <f>IF(AND(AC481="yes",ISNUMBER(F481),IF('Compare'!$H$5="All mapped",TRUE,IF('Compare'!$H$5="EXACT only",J481="EXACT",OR(J481="EXACT",J481="CLOSE")))),"yes","no")</f>
        <v/>
      </c>
      <c r="AF481" s="24">
        <f>IF(ISNUMBER(H481),COUNTIFS($B$7:$B$608,B481,$C$7:$C$608,C481,$H$7:$H$608,"&lt;"&amp;H481,$AH$7:$AH$608,"yes")+COUNTIFS($B$7:B481,B481,$C$7:C481,C481,$H$7:H481,H481,$AH$7:AH481,"yes"),"")</f>
        <v/>
      </c>
      <c r="AG481" s="24">
        <f>IF(ISNUMBER(I481),COUNTIFS($B$7:$B$608,B481,$C$7:$C$608,C481,$I$7:$I$608,"&lt;"&amp;I481,$AI$7:$AI$608,"yes")+COUNTIFS($B$7:B481,B481,$C$7:C481,C481,$I$7:I481,I481,$AI$7:AI481,"yes"),"")</f>
        <v/>
      </c>
      <c r="AH481" s="24">
        <f>IF(ISNUMBER(H481),"yes","no")</f>
        <v/>
      </c>
      <c r="AI481" s="24">
        <f>IF(ISNUMBER(I481),"yes","no")</f>
        <v/>
      </c>
      <c r="AJ481" s="101" t="n">
        <v>46295</v>
      </c>
      <c r="AK481" s="24" t="n"/>
    </row>
    <row r="482" ht="42" customHeight="1">
      <c r="A482" s="2" t="n"/>
      <c r="B482" s="27" t="inlineStr">
        <is>
          <t>GN 1/9 PP container, 100 mm</t>
        </is>
      </c>
      <c r="C482" s="27" t="inlineStr">
        <is>
          <t>Austria</t>
        </is>
      </c>
      <c r="D482" s="27" t="inlineStr">
        <is>
          <t>shopbuero.com</t>
        </is>
      </c>
      <c r="E482" s="27" t="inlineStr">
        <is>
          <t>GN-Behälter - Inhalt 0,9 l - GN 1/9 (176 x 108 mm) - 100 mm - Polypropylen</t>
        </is>
      </c>
      <c r="F482" s="102" t="n">
        <v>2.1</v>
      </c>
      <c r="G482" s="27" t="inlineStr">
        <is>
          <t>EUR</t>
        </is>
      </c>
      <c r="H482" s="102">
        <f>IF(AND(AE482="yes",ISNUMBER(AD482)),AD482,"")</f>
        <v/>
      </c>
      <c r="I482" s="103">
        <f>IF(AND(AE482="yes",ISNUMBER(AD482),ISNUMBER(INDEX('Sources'!$G$7:$G$10,MATCH(AB482,'Sources'!$B$7:$B$10,0)))),AD482/INDEX('Sources'!$G$7:$G$10,MATCH(AB482,'Sources'!$B$7:$B$10,0)),"")</f>
        <v/>
      </c>
      <c r="J482" s="27" t="inlineStr">
        <is>
          <t>EXACT</t>
        </is>
      </c>
      <c r="K482" s="27" t="inlineStr">
        <is>
          <t>2026-09-30</t>
        </is>
      </c>
      <c r="L482" s="71" t="n"/>
      <c r="M482" s="27" t="inlineStr">
        <is>
          <t>Regular price 3.30</t>
        </is>
      </c>
      <c r="N482" s="28" t="inlineStr">
        <is>
          <t>https://shopbuero.com/gn-behaelter-inhalt-0-9-l-gn-1-9-176-x-108-mm-100-mm-polypropylen/530051-C</t>
        </is>
      </c>
      <c r="O482" s="27" t="inlineStr">
        <is>
          <t>Schneider</t>
        </is>
      </c>
      <c r="P482" s="27" t="inlineStr">
        <is>
          <t>excl.</t>
        </is>
      </c>
      <c r="Q482" s="104" t="n"/>
      <c r="R482" s="27" t="n">
        <v>1</v>
      </c>
      <c r="S482" s="27" t="n"/>
      <c r="T482" s="27" t="inlineStr">
        <is>
          <t>EXACT</t>
        </is>
      </c>
      <c r="U482" s="27" t="inlineStr">
        <is>
          <t>Additional Austria/Czechia benchmark. Original assignment and match quality retained.</t>
        </is>
      </c>
      <c r="V482" s="102" t="n">
        <v>2.1</v>
      </c>
      <c r="W482" s="102" t="n"/>
      <c r="X482" s="27" t="inlineStr">
        <is>
          <t>research_AT.xlsx</t>
        </is>
      </c>
      <c r="Y482" s="27" t="n"/>
      <c r="Z482" s="27" t="n"/>
      <c r="AA482" s="27" t="n"/>
      <c r="AB482" s="27" t="inlineStr">
        <is>
          <t>EUR</t>
        </is>
      </c>
      <c r="AC482" s="27" t="inlineStr">
        <is>
          <t>yes</t>
        </is>
      </c>
      <c r="AD482" s="27">
        <f>IF(ISNUMBER(V482),V482,"")</f>
        <v/>
      </c>
      <c r="AE482" s="27">
        <f>IF(AND(AC482="yes",ISNUMBER(F482),IF('Compare'!$H$5="All mapped",TRUE,IF('Compare'!$H$5="EXACT only",J482="EXACT",OR(J482="EXACT",J482="CLOSE")))),"yes","no")</f>
        <v/>
      </c>
      <c r="AF482" s="27">
        <f>IF(ISNUMBER(H482),COUNTIFS($B$7:$B$608,B482,$C$7:$C$608,C482,$H$7:$H$608,"&lt;"&amp;H482,$AH$7:$AH$608,"yes")+COUNTIFS($B$7:B482,B482,$C$7:C482,C482,$H$7:H482,H482,$AH$7:AH482,"yes"),"")</f>
        <v/>
      </c>
      <c r="AG482" s="27">
        <f>IF(ISNUMBER(I482),COUNTIFS($B$7:$B$608,B482,$C$7:$C$608,C482,$I$7:$I$608,"&lt;"&amp;I482,$AI$7:$AI$608,"yes")+COUNTIFS($B$7:B482,B482,$C$7:C482,C482,$I$7:I482,I482,$AI$7:AI482,"yes"),"")</f>
        <v/>
      </c>
      <c r="AH482" s="27">
        <f>IF(ISNUMBER(H482),"yes","no")</f>
        <v/>
      </c>
      <c r="AI482" s="27">
        <f>IF(ISNUMBER(I482),"yes","no")</f>
        <v/>
      </c>
      <c r="AJ482" s="105" t="n">
        <v>46295</v>
      </c>
      <c r="AK482" s="27" t="n"/>
    </row>
    <row r="483" ht="42" customHeight="1">
      <c r="A483" s="2" t="n"/>
      <c r="B483" s="24" t="inlineStr">
        <is>
          <t>GN 1/9 PP container, 100 mm</t>
        </is>
      </c>
      <c r="C483" s="24" t="inlineStr">
        <is>
          <t>Czech</t>
        </is>
      </c>
      <c r="D483" s="24" t="inlineStr">
        <is>
          <t>GGM Gastro (CZ storefront)</t>
        </is>
      </c>
      <c r="E483" s="24" t="inlineStr">
        <is>
          <t>(12 ks) Polypropylenová nádoba GN 1/9 - Mléčná - Výška: 100 mm</t>
        </is>
      </c>
      <c r="F483" s="98" t="n">
        <v>997.66</v>
      </c>
      <c r="G483" s="24" t="inlineStr">
        <is>
          <t>CZK</t>
        </is>
      </c>
      <c r="H483" s="98">
        <f>IF(AND(AE483="yes",ISNUMBER(AD483)),AD483,"")</f>
        <v/>
      </c>
      <c r="I483" s="99">
        <f>IF(AND(AE483="yes",ISNUMBER(AD483),ISNUMBER(INDEX('Sources'!$G$7:$G$10,MATCH(AB483,'Sources'!$B$7:$B$10,0)))),AD483/INDEX('Sources'!$G$7:$G$10,MATCH(AB483,'Sources'!$B$7:$B$10,0)),"")</f>
        <v/>
      </c>
      <c r="J483" s="24" t="inlineStr">
        <is>
          <t>EXACT</t>
        </is>
      </c>
      <c r="K483" s="24" t="inlineStr">
        <is>
          <t>2026-09-30</t>
        </is>
      </c>
      <c r="L483" s="71" t="n"/>
      <c r="M483" s="24" t="n"/>
      <c r="N483" s="25" t="inlineStr">
        <is>
          <t>https://www.ggmgastro.com/cs-cz-czk/12-ks-polypropylenova-nadoba-gn-1-9-mlecna-vyska-100-mm-gpp19100-12</t>
        </is>
      </c>
      <c r="O483" s="24" t="inlineStr">
        <is>
          <t>GGM</t>
        </is>
      </c>
      <c r="P483" s="24" t="inlineStr">
        <is>
          <t>excl.</t>
        </is>
      </c>
      <c r="Q483" s="100" t="n">
        <v>0.19</v>
      </c>
      <c r="R483" s="24" t="n">
        <v>12</v>
      </c>
      <c r="S483" s="24" t="inlineStr">
        <is>
          <t>per pack</t>
        </is>
      </c>
      <c r="T483" s="24" t="inlineStr">
        <is>
          <t>EXACT</t>
        </is>
      </c>
      <c r="U483" s="24" t="inlineStr">
        <is>
          <t>Additional Austria/Czechia benchmark. Original assignment and match quality retained.</t>
        </is>
      </c>
      <c r="V483" s="98" t="n"/>
      <c r="W483" s="98" t="n"/>
      <c r="X483" s="24" t="inlineStr">
        <is>
          <t>research_CZ.xlsx</t>
        </is>
      </c>
      <c r="Y483" s="24" t="n"/>
      <c r="Z483" s="24" t="n"/>
      <c r="AA483" s="24" t="n"/>
      <c r="AB483" s="24" t="inlineStr">
        <is>
          <t>CZK</t>
        </is>
      </c>
      <c r="AC483" s="24" t="inlineStr">
        <is>
          <t>yes</t>
        </is>
      </c>
      <c r="AD483" s="24">
        <f>IF(OR(F483="",Q483="",R483=""),"",ROUND(IF(P483="incl.",F483/(1+Q483),F483)/IF(S483="per pack",R483,1),2))</f>
        <v/>
      </c>
      <c r="AE483" s="24">
        <f>IF(AND(AC483="yes",ISNUMBER(F483),IF('Compare'!$H$5="All mapped",TRUE,IF('Compare'!$H$5="EXACT only",J483="EXACT",OR(J483="EXACT",J483="CLOSE")))),"yes","no")</f>
        <v/>
      </c>
      <c r="AF483" s="24">
        <f>IF(ISNUMBER(H483),COUNTIFS($B$7:$B$608,B483,$C$7:$C$608,C483,$H$7:$H$608,"&lt;"&amp;H483,$AH$7:$AH$608,"yes")+COUNTIFS($B$7:B483,B483,$C$7:C483,C483,$H$7:H483,H483,$AH$7:AH483,"yes"),"")</f>
        <v/>
      </c>
      <c r="AG483" s="24">
        <f>IF(ISNUMBER(I483),COUNTIFS($B$7:$B$608,B483,$C$7:$C$608,C483,$I$7:$I$608,"&lt;"&amp;I483,$AI$7:$AI$608,"yes")+COUNTIFS($B$7:B483,B483,$C$7:C483,C483,$I$7:I483,I483,$AI$7:AI483,"yes"),"")</f>
        <v/>
      </c>
      <c r="AH483" s="24">
        <f>IF(ISNUMBER(H483),"yes","no")</f>
        <v/>
      </c>
      <c r="AI483" s="24">
        <f>IF(ISNUMBER(I483),"yes","no")</f>
        <v/>
      </c>
      <c r="AJ483" s="101" t="n">
        <v>46295</v>
      </c>
      <c r="AK483" s="24" t="n"/>
    </row>
    <row r="484" ht="42" customHeight="1">
      <c r="A484" s="2" t="n"/>
      <c r="B484" s="27" t="inlineStr">
        <is>
          <t>GN 1/9 PP container, 100 mm</t>
        </is>
      </c>
      <c r="C484" s="27" t="inlineStr">
        <is>
          <t>Czech</t>
        </is>
      </c>
      <c r="D484" s="27" t="inlineStr">
        <is>
          <t>Gastromania</t>
        </is>
      </c>
      <c r="E484" s="27" t="inlineStr">
        <is>
          <t>Nádoba z polypropylénu GN 1/9, 100 mm | STALGAST, Bufet Safe</t>
        </is>
      </c>
      <c r="F484" s="102" t="n">
        <v>83</v>
      </c>
      <c r="G484" s="27" t="inlineStr">
        <is>
          <t>CZK</t>
        </is>
      </c>
      <c r="H484" s="102">
        <f>IF(AND(AE484="yes",ISNUMBER(AD484)),AD484,"")</f>
        <v/>
      </c>
      <c r="I484" s="103">
        <f>IF(AND(AE484="yes",ISNUMBER(AD484),ISNUMBER(INDEX('Sources'!$G$7:$G$10,MATCH(AB484,'Sources'!$B$7:$B$10,0)))),AD484/INDEX('Sources'!$G$7:$G$10,MATCH(AB484,'Sources'!$B$7:$B$10,0)),"")</f>
        <v/>
      </c>
      <c r="J484" s="27" t="inlineStr">
        <is>
          <t>EXACT</t>
        </is>
      </c>
      <c r="K484" s="27" t="inlineStr">
        <is>
          <t>2026-09-30</t>
        </is>
      </c>
      <c r="L484" s="71" t="n"/>
      <c r="M484" s="27" t="inlineStr">
        <is>
          <t>HENDI Profi Line PP 95, Cambro 105 CZK; price incl. 21% VAT as published in product data (current price, in stock)</t>
        </is>
      </c>
      <c r="N484" s="28" t="inlineStr">
        <is>
          <t>https://www.gastromania.cz/gastronadoby-polypropylenove/nadoba-z-polypropylenu-gn-1-9-100-mm-stalgast-bufet-safe</t>
        </is>
      </c>
      <c r="O484" s="27" t="inlineStr">
        <is>
          <t>Stalgast</t>
        </is>
      </c>
      <c r="P484" s="27" t="inlineStr">
        <is>
          <t>incl.</t>
        </is>
      </c>
      <c r="Q484" s="104" t="n">
        <v>0.21</v>
      </c>
      <c r="R484" s="27" t="n">
        <v>1</v>
      </c>
      <c r="S484" s="27" t="inlineStr">
        <is>
          <t>per piece</t>
        </is>
      </c>
      <c r="T484" s="27" t="inlineStr">
        <is>
          <t>EXACT</t>
        </is>
      </c>
      <c r="U484" s="27" t="inlineStr">
        <is>
          <t>Additional Austria/Czechia benchmark. Original assignment and match quality retained.</t>
        </is>
      </c>
      <c r="V484" s="102" t="n"/>
      <c r="W484" s="102" t="n"/>
      <c r="X484" s="27" t="inlineStr">
        <is>
          <t>research_CZ.xlsx</t>
        </is>
      </c>
      <c r="Y484" s="27" t="n"/>
      <c r="Z484" s="27" t="n"/>
      <c r="AA484" s="27" t="n"/>
      <c r="AB484" s="27" t="inlineStr">
        <is>
          <t>CZK</t>
        </is>
      </c>
      <c r="AC484" s="27" t="inlineStr">
        <is>
          <t>yes</t>
        </is>
      </c>
      <c r="AD484" s="27">
        <f>IF(OR(F484="",Q484="",R484=""),"",ROUND(IF(P484="incl.",F484/(1+Q484),F484)/IF(S484="per pack",R484,1),2))</f>
        <v/>
      </c>
      <c r="AE484" s="27">
        <f>IF(AND(AC484="yes",ISNUMBER(F484),IF('Compare'!$H$5="All mapped",TRUE,IF('Compare'!$H$5="EXACT only",J484="EXACT",OR(J484="EXACT",J484="CLOSE")))),"yes","no")</f>
        <v/>
      </c>
      <c r="AF484" s="27">
        <f>IF(ISNUMBER(H484),COUNTIFS($B$7:$B$608,B484,$C$7:$C$608,C484,$H$7:$H$608,"&lt;"&amp;H484,$AH$7:$AH$608,"yes")+COUNTIFS($B$7:B484,B484,$C$7:C484,C484,$H$7:H484,H484,$AH$7:AH484,"yes"),"")</f>
        <v/>
      </c>
      <c r="AG484" s="27">
        <f>IF(ISNUMBER(I484),COUNTIFS($B$7:$B$608,B484,$C$7:$C$608,C484,$I$7:$I$608,"&lt;"&amp;I484,$AI$7:$AI$608,"yes")+COUNTIFS($B$7:B484,B484,$C$7:C484,C484,$I$7:I484,I484,$AI$7:AI484,"yes"),"")</f>
        <v/>
      </c>
      <c r="AH484" s="27">
        <f>IF(ISNUMBER(H484),"yes","no")</f>
        <v/>
      </c>
      <c r="AI484" s="27">
        <f>IF(ISNUMBER(I484),"yes","no")</f>
        <v/>
      </c>
      <c r="AJ484" s="105" t="n">
        <v>46295</v>
      </c>
      <c r="AK484" s="27" t="n"/>
    </row>
    <row r="485" ht="42" customHeight="1">
      <c r="A485" s="2" t="n"/>
      <c r="B485" s="24" t="inlineStr">
        <is>
          <t>GN 1/9 PP container, 100 mm</t>
        </is>
      </c>
      <c r="C485" s="24" t="inlineStr">
        <is>
          <t>Czech</t>
        </is>
      </c>
      <c r="D485" s="24" t="inlineStr">
        <is>
          <t>Gastrozone</t>
        </is>
      </c>
      <c r="E485" s="24" t="inlineStr">
        <is>
          <t>APS GN-nádoba Polypropylen, GN 1/9, objem: 1,00 litr, hloubka: 100 mm</t>
        </is>
      </c>
      <c r="F485" s="98" t="n">
        <v>124</v>
      </c>
      <c r="G485" s="24" t="inlineStr">
        <is>
          <t>CZK</t>
        </is>
      </c>
      <c r="H485" s="98">
        <f>IF(AND(AE485="yes",ISNUMBER(AD485)),AD485,"")</f>
        <v/>
      </c>
      <c r="I485" s="99">
        <f>IF(AND(AE485="yes",ISNUMBER(AD485),ISNUMBER(INDEX('Sources'!$G$7:$G$10,MATCH(AB485,'Sources'!$B$7:$B$10,0)))),AD485/INDEX('Sources'!$G$7:$G$10,MATCH(AB485,'Sources'!$B$7:$B$10,0)),"")</f>
        <v/>
      </c>
      <c r="J485" s="24" t="inlineStr">
        <is>
          <t>EXACT</t>
        </is>
      </c>
      <c r="K485" s="24" t="inlineStr">
        <is>
          <t>2026-09-30</t>
        </is>
      </c>
      <c r="L485" s="71" t="n"/>
      <c r="M485" s="24" t="inlineStr">
        <is>
          <t>102.48 CZK bez DPH; availability not shown as in stock; Pujadas PP 1/9 100 in stock 159 CZK</t>
        </is>
      </c>
      <c r="N485" s="25" t="inlineStr">
        <is>
          <t>https://www.gastrozone.cz/aps-gn-nadoba-z-polypropylenu-gn-1-9-obsah-1-00-litru-hloubka-100-mm.html</t>
        </is>
      </c>
      <c r="O485" s="24" t="inlineStr">
        <is>
          <t>APS</t>
        </is>
      </c>
      <c r="P485" s="24" t="inlineStr">
        <is>
          <t>incl.</t>
        </is>
      </c>
      <c r="Q485" s="100" t="n">
        <v>0.21</v>
      </c>
      <c r="R485" s="24" t="n">
        <v>1</v>
      </c>
      <c r="S485" s="24" t="inlineStr">
        <is>
          <t>per piece</t>
        </is>
      </c>
      <c r="T485" s="24" t="inlineStr">
        <is>
          <t>EXACT</t>
        </is>
      </c>
      <c r="U485" s="24" t="inlineStr">
        <is>
          <t>Additional Austria/Czechia benchmark. Original assignment and match quality retained.</t>
        </is>
      </c>
      <c r="V485" s="98" t="n"/>
      <c r="W485" s="98" t="n"/>
      <c r="X485" s="24" t="inlineStr">
        <is>
          <t>research_CZ.xlsx</t>
        </is>
      </c>
      <c r="Y485" s="24" t="n"/>
      <c r="Z485" s="24" t="n"/>
      <c r="AA485" s="24" t="n"/>
      <c r="AB485" s="24" t="inlineStr">
        <is>
          <t>CZK</t>
        </is>
      </c>
      <c r="AC485" s="24" t="inlineStr">
        <is>
          <t>yes</t>
        </is>
      </c>
      <c r="AD485" s="24">
        <f>IF(OR(F485="",Q485="",R485=""),"",ROUND(IF(P485="incl.",F485/(1+Q485),F485)/IF(S485="per pack",R485,1),2))</f>
        <v/>
      </c>
      <c r="AE485" s="24">
        <f>IF(AND(AC485="yes",ISNUMBER(F485),IF('Compare'!$H$5="All mapped",TRUE,IF('Compare'!$H$5="EXACT only",J485="EXACT",OR(J485="EXACT",J485="CLOSE")))),"yes","no")</f>
        <v/>
      </c>
      <c r="AF485" s="24">
        <f>IF(ISNUMBER(H485),COUNTIFS($B$7:$B$608,B485,$C$7:$C$608,C485,$H$7:$H$608,"&lt;"&amp;H485,$AH$7:$AH$608,"yes")+COUNTIFS($B$7:B485,B485,$C$7:C485,C485,$H$7:H485,H485,$AH$7:AH485,"yes"),"")</f>
        <v/>
      </c>
      <c r="AG485" s="24">
        <f>IF(ISNUMBER(I485),COUNTIFS($B$7:$B$608,B485,$C$7:$C$608,C485,$I$7:$I$608,"&lt;"&amp;I485,$AI$7:$AI$608,"yes")+COUNTIFS($B$7:B485,B485,$C$7:C485,C485,$I$7:I485,I485,$AI$7:AI485,"yes"),"")</f>
        <v/>
      </c>
      <c r="AH485" s="24">
        <f>IF(ISNUMBER(H485),"yes","no")</f>
        <v/>
      </c>
      <c r="AI485" s="24">
        <f>IF(ISNUMBER(I485),"yes","no")</f>
        <v/>
      </c>
      <c r="AJ485" s="101" t="n">
        <v>46295</v>
      </c>
      <c r="AK485" s="24" t="n"/>
    </row>
    <row r="486" ht="42" customHeight="1">
      <c r="A486" s="2" t="n"/>
      <c r="B486" s="27" t="inlineStr">
        <is>
          <t>GN 1/9 PP container, 100 mm</t>
        </is>
      </c>
      <c r="C486" s="27" t="inlineStr">
        <is>
          <t>Czech</t>
        </is>
      </c>
      <c r="D486" s="27" t="inlineStr">
        <is>
          <t>TOMGAST</t>
        </is>
      </c>
      <c r="E486" s="27" t="inlineStr">
        <is>
          <t>Gastronádoba polypropylenová GN 1/9 100 mm</t>
        </is>
      </c>
      <c r="F486" s="102" t="n">
        <v>105</v>
      </c>
      <c r="G486" s="27" t="inlineStr">
        <is>
          <t>CZK</t>
        </is>
      </c>
      <c r="H486" s="102">
        <f>IF(AND(AE486="yes",ISNUMBER(AD486)),AD486,"")</f>
        <v/>
      </c>
      <c r="I486" s="103">
        <f>IF(AND(AE486="yes",ISNUMBER(AD486),ISNUMBER(INDEX('Sources'!$G$7:$G$10,MATCH(AB486,'Sources'!$B$7:$B$10,0)))),AD486/INDEX('Sources'!$G$7:$G$10,MATCH(AB486,'Sources'!$B$7:$B$10,0)),"")</f>
        <v/>
      </c>
      <c r="J486" s="27" t="inlineStr">
        <is>
          <t>EXACT</t>
        </is>
      </c>
      <c r="K486" s="27" t="inlineStr">
        <is>
          <t>2026-09-30</t>
        </is>
      </c>
      <c r="L486" s="71" t="n"/>
      <c r="M486" s="27" t="inlineStr">
        <is>
          <t>Code R-MP19100; 87 CZK bez DPH. A clearance item MP-19100 (TOMGAST brand, "only until stock runs out") is 74 CZK incl.</t>
        </is>
      </c>
      <c r="N486" s="28" t="inlineStr">
        <is>
          <t>https://www.tomgast.cz/gastronadoba-polypropylenova-gn-1-9-100-mm/</t>
        </is>
      </c>
      <c r="O486" s="27" t="inlineStr">
        <is>
          <t>Cambro</t>
        </is>
      </c>
      <c r="P486" s="27" t="inlineStr">
        <is>
          <t>incl.</t>
        </is>
      </c>
      <c r="Q486" s="104" t="n">
        <v>0.21</v>
      </c>
      <c r="R486" s="27" t="n">
        <v>1</v>
      </c>
      <c r="S486" s="27" t="inlineStr">
        <is>
          <t>per piece</t>
        </is>
      </c>
      <c r="T486" s="27" t="inlineStr">
        <is>
          <t>EXACT</t>
        </is>
      </c>
      <c r="U486" s="27" t="inlineStr">
        <is>
          <t>Additional Austria/Czechia benchmark. Original assignment and match quality retained.</t>
        </is>
      </c>
      <c r="V486" s="102" t="n"/>
      <c r="W486" s="102" t="n"/>
      <c r="X486" s="27" t="inlineStr">
        <is>
          <t>research_CZ.xlsx</t>
        </is>
      </c>
      <c r="Y486" s="27" t="n"/>
      <c r="Z486" s="27" t="n"/>
      <c r="AA486" s="27" t="n"/>
      <c r="AB486" s="27" t="inlineStr">
        <is>
          <t>CZK</t>
        </is>
      </c>
      <c r="AC486" s="27" t="inlineStr">
        <is>
          <t>yes</t>
        </is>
      </c>
      <c r="AD486" s="27">
        <f>IF(OR(F486="",Q486="",R486=""),"",ROUND(IF(P486="incl.",F486/(1+Q486),F486)/IF(S486="per pack",R486,1),2))</f>
        <v/>
      </c>
      <c r="AE486" s="27">
        <f>IF(AND(AC486="yes",ISNUMBER(F486),IF('Compare'!$H$5="All mapped",TRUE,IF('Compare'!$H$5="EXACT only",J486="EXACT",OR(J486="EXACT",J486="CLOSE")))),"yes","no")</f>
        <v/>
      </c>
      <c r="AF486" s="27">
        <f>IF(ISNUMBER(H486),COUNTIFS($B$7:$B$608,B486,$C$7:$C$608,C486,$H$7:$H$608,"&lt;"&amp;H486,$AH$7:$AH$608,"yes")+COUNTIFS($B$7:B486,B486,$C$7:C486,C486,$H$7:H486,H486,$AH$7:AH486,"yes"),"")</f>
        <v/>
      </c>
      <c r="AG486" s="27">
        <f>IF(ISNUMBER(I486),COUNTIFS($B$7:$B$608,B486,$C$7:$C$608,C486,$I$7:$I$608,"&lt;"&amp;I486,$AI$7:$AI$608,"yes")+COUNTIFS($B$7:B486,B486,$C$7:C486,C486,$I$7:I486,I486,$AI$7:AI486,"yes"),"")</f>
        <v/>
      </c>
      <c r="AH486" s="27">
        <f>IF(ISNUMBER(H486),"yes","no")</f>
        <v/>
      </c>
      <c r="AI486" s="27">
        <f>IF(ISNUMBER(I486),"yes","no")</f>
        <v/>
      </c>
      <c r="AJ486" s="105" t="n">
        <v>46295</v>
      </c>
      <c r="AK486" s="27" t="n"/>
    </row>
    <row r="487" ht="42" customHeight="1">
      <c r="A487" s="2" t="n"/>
      <c r="B487" s="24" t="inlineStr">
        <is>
          <t>Squeeze bottle 250 ml, PP, single tip</t>
        </is>
      </c>
      <c r="C487" s="24" t="inlineStr">
        <is>
          <t>Austria</t>
        </is>
      </c>
      <c r="D487" s="24" t="inlineStr">
        <is>
          <t>ALLPAX Österreich</t>
        </is>
      </c>
      <c r="E487" s="24" t="inlineStr">
        <is>
          <t>Hendi Quetschflasche in Transparent, 200 ml</t>
        </is>
      </c>
      <c r="F487" s="98" t="n">
        <v>1.27</v>
      </c>
      <c r="G487" s="24" t="inlineStr">
        <is>
          <t>EUR</t>
        </is>
      </c>
      <c r="H487" s="98">
        <f>IF(AND(AE487="yes",ISNUMBER(AD487)),AD487,"")</f>
        <v/>
      </c>
      <c r="I487" s="99">
        <f>IF(AND(AE487="yes",ISNUMBER(AD487),ISNUMBER(INDEX('Sources'!$G$7:$G$10,MATCH(AB487,'Sources'!$B$7:$B$10,0)))),AD487/INDEX('Sources'!$G$7:$G$10,MATCH(AB487,'Sources'!$B$7:$B$10,0)),"")</f>
        <v/>
      </c>
      <c r="J487" s="24" t="inlineStr">
        <is>
          <t>CLOSE</t>
        </is>
      </c>
      <c r="K487" s="24" t="inlineStr">
        <is>
          <t>2026-09-30</t>
        </is>
      </c>
      <c r="L487" s="71" t="n"/>
      <c r="M487" s="24" t="inlineStr">
        <is>
          <t>200 ml (vs 250); plastic type not stated; cap</t>
        </is>
      </c>
      <c r="N487" s="25" t="inlineStr">
        <is>
          <t>https://www.allpax.at/product_info.php/info/Hendi-Quetschflasche-in-Transparent-200-ml.html</t>
        </is>
      </c>
      <c r="O487" s="24" t="inlineStr">
        <is>
          <t>Hendi</t>
        </is>
      </c>
      <c r="P487" s="24" t="inlineStr">
        <is>
          <t>excl.</t>
        </is>
      </c>
      <c r="Q487" s="100" t="n"/>
      <c r="R487" s="24" t="n">
        <v>1</v>
      </c>
      <c r="S487" s="24" t="n"/>
      <c r="T487" s="24" t="inlineStr">
        <is>
          <t>CLOSE</t>
        </is>
      </c>
      <c r="U487" s="24" t="inlineStr">
        <is>
          <t>Additional Austria/Czechia benchmark. Original assignment and match quality retained.</t>
        </is>
      </c>
      <c r="V487" s="98" t="n">
        <v>1.27</v>
      </c>
      <c r="W487" s="98" t="n"/>
      <c r="X487" s="24" t="inlineStr">
        <is>
          <t>research_AT.xlsx</t>
        </is>
      </c>
      <c r="Y487" s="24" t="n"/>
      <c r="Z487" s="24" t="n"/>
      <c r="AA487" s="24" t="n"/>
      <c r="AB487" s="24" t="inlineStr">
        <is>
          <t>EUR</t>
        </is>
      </c>
      <c r="AC487" s="24" t="inlineStr">
        <is>
          <t>yes</t>
        </is>
      </c>
      <c r="AD487" s="24">
        <f>IF(ISNUMBER(V487),V487,"")</f>
        <v/>
      </c>
      <c r="AE487" s="24">
        <f>IF(AND(AC487="yes",ISNUMBER(F487),IF('Compare'!$H$5="All mapped",TRUE,IF('Compare'!$H$5="EXACT only",J487="EXACT",OR(J487="EXACT",J487="CLOSE")))),"yes","no")</f>
        <v/>
      </c>
      <c r="AF487" s="24">
        <f>IF(ISNUMBER(H487),COUNTIFS($B$7:$B$608,B487,$C$7:$C$608,C487,$H$7:$H$608,"&lt;"&amp;H487,$AH$7:$AH$608,"yes")+COUNTIFS($B$7:B487,B487,$C$7:C487,C487,$H$7:H487,H487,$AH$7:AH487,"yes"),"")</f>
        <v/>
      </c>
      <c r="AG487" s="24">
        <f>IF(ISNUMBER(I487),COUNTIFS($B$7:$B$608,B487,$C$7:$C$608,C487,$I$7:$I$608,"&lt;"&amp;I487,$AI$7:$AI$608,"yes")+COUNTIFS($B$7:B487,B487,$C$7:C487,C487,$I$7:I487,I487,$AI$7:AI487,"yes"),"")</f>
        <v/>
      </c>
      <c r="AH487" s="24">
        <f>IF(ISNUMBER(H487),"yes","no")</f>
        <v/>
      </c>
      <c r="AI487" s="24">
        <f>IF(ISNUMBER(I487),"yes","no")</f>
        <v/>
      </c>
      <c r="AJ487" s="101" t="n">
        <v>46295</v>
      </c>
      <c r="AK487" s="24" t="n"/>
    </row>
    <row r="488" ht="42" customHeight="1">
      <c r="A488" s="2" t="n"/>
      <c r="B488" s="27" t="inlineStr">
        <is>
          <t>Squeeze bottle 250 ml, PP, single tip</t>
        </is>
      </c>
      <c r="C488" s="27" t="inlineStr">
        <is>
          <t>Austria</t>
        </is>
      </c>
      <c r="D488" s="27" t="inlineStr">
        <is>
          <t>GastroHero Österreich</t>
        </is>
      </c>
      <c r="E488" s="27" t="inlineStr">
        <is>
          <t>Dosierflasche, weiß, 250 ml, Schraubdeckel und Verschlusskappe</t>
        </is>
      </c>
      <c r="F488" s="102" t="n">
        <v>6.59</v>
      </c>
      <c r="G488" s="27" t="inlineStr">
        <is>
          <t>EUR</t>
        </is>
      </c>
      <c r="H488" s="102">
        <f>IF(AND(AE488="yes",ISNUMBER(AD488)),AD488,"")</f>
        <v/>
      </c>
      <c r="I488" s="103">
        <f>IF(AND(AE488="yes",ISNUMBER(AD488),ISNUMBER(INDEX('Sources'!$G$7:$G$10,MATCH(AB488,'Sources'!$B$7:$B$10,0)))),AD488/INDEX('Sources'!$G$7:$G$10,MATCH(AB488,'Sources'!$B$7:$B$10,0)),"")</f>
        <v/>
      </c>
      <c r="J488" s="27" t="inlineStr">
        <is>
          <t>CLOSE</t>
        </is>
      </c>
      <c r="K488" s="27" t="inlineStr">
        <is>
          <t>2026-09-30</t>
        </is>
      </c>
      <c r="L488" s="71" t="n"/>
      <c r="M488" s="27" t="inlineStr">
        <is>
          <t>Material not stated on page</t>
        </is>
      </c>
      <c r="N488" s="28" t="inlineStr">
        <is>
          <t>https://www.gastro-hero.at/products/dosierflasche-weiss-250-ml-schraubdeckel-und-verschlusskappe-1460251</t>
        </is>
      </c>
      <c r="O488" s="27" t="inlineStr">
        <is>
          <t>Contacto</t>
        </is>
      </c>
      <c r="P488" s="27" t="inlineStr">
        <is>
          <t>excl.</t>
        </is>
      </c>
      <c r="Q488" s="104" t="n"/>
      <c r="R488" s="27" t="n">
        <v>1</v>
      </c>
      <c r="S488" s="27" t="n"/>
      <c r="T488" s="27" t="inlineStr">
        <is>
          <t>CLOSE</t>
        </is>
      </c>
      <c r="U488" s="27" t="inlineStr">
        <is>
          <t>Additional Austria/Czechia benchmark. Original assignment and match quality retained.</t>
        </is>
      </c>
      <c r="V488" s="102" t="n">
        <v>6.59</v>
      </c>
      <c r="W488" s="102" t="n"/>
      <c r="X488" s="27" t="inlineStr">
        <is>
          <t>research_AT.xlsx</t>
        </is>
      </c>
      <c r="Y488" s="27" t="n"/>
      <c r="Z488" s="27" t="n"/>
      <c r="AA488" s="27" t="n"/>
      <c r="AB488" s="27" t="inlineStr">
        <is>
          <t>EUR</t>
        </is>
      </c>
      <c r="AC488" s="27" t="inlineStr">
        <is>
          <t>yes</t>
        </is>
      </c>
      <c r="AD488" s="27">
        <f>IF(ISNUMBER(V488),V488,"")</f>
        <v/>
      </c>
      <c r="AE488" s="27">
        <f>IF(AND(AC488="yes",ISNUMBER(F488),IF('Compare'!$H$5="All mapped",TRUE,IF('Compare'!$H$5="EXACT only",J488="EXACT",OR(J488="EXACT",J488="CLOSE")))),"yes","no")</f>
        <v/>
      </c>
      <c r="AF488" s="27">
        <f>IF(ISNUMBER(H488),COUNTIFS($B$7:$B$608,B488,$C$7:$C$608,C488,$H$7:$H$608,"&lt;"&amp;H488,$AH$7:$AH$608,"yes")+COUNTIFS($B$7:B488,B488,$C$7:C488,C488,$H$7:H488,H488,$AH$7:AH488,"yes"),"")</f>
        <v/>
      </c>
      <c r="AG488" s="27">
        <f>IF(ISNUMBER(I488),COUNTIFS($B$7:$B$608,B488,$C$7:$C$608,C488,$I$7:$I$608,"&lt;"&amp;I488,$AI$7:$AI$608,"yes")+COUNTIFS($B$7:B488,B488,$C$7:C488,C488,$I$7:I488,I488,$AI$7:AI488,"yes"),"")</f>
        <v/>
      </c>
      <c r="AH488" s="27">
        <f>IF(ISNUMBER(H488),"yes","no")</f>
        <v/>
      </c>
      <c r="AI488" s="27">
        <f>IF(ISNUMBER(I488),"yes","no")</f>
        <v/>
      </c>
      <c r="AJ488" s="105" t="n">
        <v>46295</v>
      </c>
      <c r="AK488" s="27" t="n"/>
    </row>
    <row r="489" ht="42" customHeight="1">
      <c r="A489" s="2" t="n"/>
      <c r="B489" s="24" t="inlineStr">
        <is>
          <t>Squeeze bottle 250 ml, PP, single tip</t>
        </is>
      </c>
      <c r="C489" s="24" t="inlineStr">
        <is>
          <t>Austria</t>
        </is>
      </c>
      <c r="D489" s="24" t="inlineStr">
        <is>
          <t>Gastrodax</t>
        </is>
      </c>
      <c r="E489" s="24" t="inlineStr">
        <is>
          <t>Contacto Quetschflasche 0,25 l</t>
        </is>
      </c>
      <c r="F489" s="98" t="n">
        <v>0.84</v>
      </c>
      <c r="G489" s="24" t="inlineStr">
        <is>
          <t>EUR</t>
        </is>
      </c>
      <c r="H489" s="98">
        <f>IF(AND(AE489="yes",ISNUMBER(AD489)),AD489,"")</f>
        <v/>
      </c>
      <c r="I489" s="99">
        <f>IF(AND(AE489="yes",ISNUMBER(AD489),ISNUMBER(INDEX('Sources'!$G$7:$G$10,MATCH(AB489,'Sources'!$B$7:$B$10,0)))),AD489/INDEX('Sources'!$G$7:$G$10,MATCH(AB489,'Sources'!$B$7:$B$10,0)),"")</f>
        <v/>
      </c>
      <c r="J489" s="24" t="inlineStr">
        <is>
          <t>CLOSE</t>
        </is>
      </c>
      <c r="K489" s="24" t="inlineStr">
        <is>
          <t>2026-09-30</t>
        </is>
      </c>
      <c r="L489" s="71" t="n"/>
      <c r="M489" s="24" t="inlineStr">
        <is>
          <t>Polyethylene (not PP), screw cap with closure cap; sale price (normal 1.05)</t>
        </is>
      </c>
      <c r="N489" s="25" t="inlineStr">
        <is>
          <t>https://www.gastrodax.de/contacto-quetschflasche-0-25-l-1</t>
        </is>
      </c>
      <c r="O489" s="24" t="inlineStr">
        <is>
          <t>Contacto</t>
        </is>
      </c>
      <c r="P489" s="24" t="inlineStr">
        <is>
          <t>excl.</t>
        </is>
      </c>
      <c r="Q489" s="100" t="n"/>
      <c r="R489" s="24" t="n">
        <v>1</v>
      </c>
      <c r="S489" s="24" t="n"/>
      <c r="T489" s="24" t="inlineStr">
        <is>
          <t>CLOSE</t>
        </is>
      </c>
      <c r="U489" s="24" t="inlineStr">
        <is>
          <t>Additional Austria/Czechia benchmark. Original assignment and match quality retained.</t>
        </is>
      </c>
      <c r="V489" s="98" t="n">
        <v>0.84</v>
      </c>
      <c r="W489" s="98" t="n"/>
      <c r="X489" s="24" t="inlineStr">
        <is>
          <t>research_AT.xlsx</t>
        </is>
      </c>
      <c r="Y489" s="24" t="n"/>
      <c r="Z489" s="24" t="n"/>
      <c r="AA489" s="24" t="n"/>
      <c r="AB489" s="24" t="inlineStr">
        <is>
          <t>EUR</t>
        </is>
      </c>
      <c r="AC489" s="24" t="inlineStr">
        <is>
          <t>yes</t>
        </is>
      </c>
      <c r="AD489" s="24">
        <f>IF(ISNUMBER(V489),V489,"")</f>
        <v/>
      </c>
      <c r="AE489" s="24">
        <f>IF(AND(AC489="yes",ISNUMBER(F489),IF('Compare'!$H$5="All mapped",TRUE,IF('Compare'!$H$5="EXACT only",J489="EXACT",OR(J489="EXACT",J489="CLOSE")))),"yes","no")</f>
        <v/>
      </c>
      <c r="AF489" s="24">
        <f>IF(ISNUMBER(H489),COUNTIFS($B$7:$B$608,B489,$C$7:$C$608,C489,$H$7:$H$608,"&lt;"&amp;H489,$AH$7:$AH$608,"yes")+COUNTIFS($B$7:B489,B489,$C$7:C489,C489,$H$7:H489,H489,$AH$7:AH489,"yes"),"")</f>
        <v/>
      </c>
      <c r="AG489" s="24">
        <f>IF(ISNUMBER(I489),COUNTIFS($B$7:$B$608,B489,$C$7:$C$608,C489,$I$7:$I$608,"&lt;"&amp;I489,$AI$7:$AI$608,"yes")+COUNTIFS($B$7:B489,B489,$C$7:C489,C489,$I$7:I489,I489,$AI$7:AI489,"yes"),"")</f>
        <v/>
      </c>
      <c r="AH489" s="24">
        <f>IF(ISNUMBER(H489),"yes","no")</f>
        <v/>
      </c>
      <c r="AI489" s="24">
        <f>IF(ISNUMBER(I489),"yes","no")</f>
        <v/>
      </c>
      <c r="AJ489" s="101" t="n">
        <v>46295</v>
      </c>
      <c r="AK489" s="24" t="n"/>
    </row>
    <row r="490" ht="42" customHeight="1">
      <c r="A490" s="2" t="n"/>
      <c r="B490" s="27" t="inlineStr">
        <is>
          <t>Squeeze bottle 250 ml, PP, single tip</t>
        </is>
      </c>
      <c r="C490" s="27" t="inlineStr">
        <is>
          <t>Austria</t>
        </is>
      </c>
      <c r="D490" s="27" t="inlineStr">
        <is>
          <t>Gastroladen.at (Harotec GmbH)</t>
        </is>
      </c>
      <c r="E490" s="27" t="inlineStr">
        <is>
          <t>Vogue Quetschflasche klar 237ml</t>
        </is>
      </c>
      <c r="F490" s="102" t="n">
        <v>1.29</v>
      </c>
      <c r="G490" s="27" t="inlineStr">
        <is>
          <t>EUR</t>
        </is>
      </c>
      <c r="H490" s="102">
        <f>IF(AND(AE490="yes",ISNUMBER(AD490)),AD490,"")</f>
        <v/>
      </c>
      <c r="I490" s="103">
        <f>IF(AND(AE490="yes",ISNUMBER(AD490),ISNUMBER(INDEX('Sources'!$G$7:$G$10,MATCH(AB490,'Sources'!$B$7:$B$10,0)))),AD490/INDEX('Sources'!$G$7:$G$10,MATCH(AB490,'Sources'!$B$7:$B$10,0)),"")</f>
        <v/>
      </c>
      <c r="J490" s="27" t="inlineStr">
        <is>
          <t>CLOSE</t>
        </is>
      </c>
      <c r="K490" s="27" t="inlineStr">
        <is>
          <t>2026-09-30</t>
        </is>
      </c>
      <c r="L490" s="71" t="n"/>
      <c r="M490" s="27" t="inlineStr">
        <is>
          <t>237 ml, polyethylene (not PP)</t>
        </is>
      </c>
      <c r="N490" s="28" t="inlineStr">
        <is>
          <t>https://www.gastroladen.at/G16771B@GN-K062/Vogue-Quetschflasche-klar-237ml.htm</t>
        </is>
      </c>
      <c r="O490" s="27" t="inlineStr">
        <is>
          <t>Vogue</t>
        </is>
      </c>
      <c r="P490" s="27" t="inlineStr">
        <is>
          <t>incl.</t>
        </is>
      </c>
      <c r="Q490" s="104" t="n"/>
      <c r="R490" s="27" t="n">
        <v>1</v>
      </c>
      <c r="S490" s="27" t="n"/>
      <c r="T490" s="27" t="inlineStr">
        <is>
          <t>CLOSE</t>
        </is>
      </c>
      <c r="U490" s="27" t="inlineStr">
        <is>
          <t>Additional Austria/Czechia benchmark. Original assignment and match quality retained.</t>
        </is>
      </c>
      <c r="V490" s="102" t="n">
        <v>1.08</v>
      </c>
      <c r="W490" s="102" t="n"/>
      <c r="X490" s="27" t="inlineStr">
        <is>
          <t>research_AT.xlsx</t>
        </is>
      </c>
      <c r="Y490" s="27" t="n"/>
      <c r="Z490" s="27" t="n"/>
      <c r="AA490" s="27" t="n"/>
      <c r="AB490" s="27" t="inlineStr">
        <is>
          <t>EUR</t>
        </is>
      </c>
      <c r="AC490" s="27" t="inlineStr">
        <is>
          <t>yes</t>
        </is>
      </c>
      <c r="AD490" s="27">
        <f>IF(ISNUMBER(V490),V490,"")</f>
        <v/>
      </c>
      <c r="AE490" s="27">
        <f>IF(AND(AC490="yes",ISNUMBER(F490),IF('Compare'!$H$5="All mapped",TRUE,IF('Compare'!$H$5="EXACT only",J490="EXACT",OR(J490="EXACT",J490="CLOSE")))),"yes","no")</f>
        <v/>
      </c>
      <c r="AF490" s="27">
        <f>IF(ISNUMBER(H490),COUNTIFS($B$7:$B$608,B490,$C$7:$C$608,C490,$H$7:$H$608,"&lt;"&amp;H490,$AH$7:$AH$608,"yes")+COUNTIFS($B$7:B490,B490,$C$7:C490,C490,$H$7:H490,H490,$AH$7:AH490,"yes"),"")</f>
        <v/>
      </c>
      <c r="AG490" s="27">
        <f>IF(ISNUMBER(I490),COUNTIFS($B$7:$B$608,B490,$C$7:$C$608,C490,$I$7:$I$608,"&lt;"&amp;I490,$AI$7:$AI$608,"yes")+COUNTIFS($B$7:B490,B490,$C$7:C490,C490,$I$7:I490,I490,$AI$7:AI490,"yes"),"")</f>
        <v/>
      </c>
      <c r="AH490" s="27">
        <f>IF(ISNUMBER(H490),"yes","no")</f>
        <v/>
      </c>
      <c r="AI490" s="27">
        <f>IF(ISNUMBER(I490),"yes","no")</f>
        <v/>
      </c>
      <c r="AJ490" s="105" t="n">
        <v>46295</v>
      </c>
      <c r="AK490" s="27" t="n"/>
    </row>
    <row r="491" ht="42" customHeight="1">
      <c r="A491" s="2" t="n"/>
      <c r="B491" s="24" t="inlineStr">
        <is>
          <t>Squeeze bottle 250 ml, PP, single tip</t>
        </is>
      </c>
      <c r="C491" s="24" t="inlineStr">
        <is>
          <t>Austria</t>
        </is>
      </c>
      <c r="D491" s="24" t="inlineStr">
        <is>
          <t>Intergastro (AT shop)</t>
        </is>
      </c>
      <c r="E491" s="24" t="inlineStr">
        <is>
          <t>Quetschflasche Kunststoff 250 ml weiß transluzent Schraubdeckel</t>
        </is>
      </c>
      <c r="F491" s="98" t="n">
        <v>0.8100000000000001</v>
      </c>
      <c r="G491" s="24" t="inlineStr">
        <is>
          <t>EUR</t>
        </is>
      </c>
      <c r="H491" s="98">
        <f>IF(AND(AE491="yes",ISNUMBER(AD491)),AD491,"")</f>
        <v/>
      </c>
      <c r="I491" s="99">
        <f>IF(AND(AE491="yes",ISNUMBER(AD491),ISNUMBER(INDEX('Sources'!$G$7:$G$10,MATCH(AB491,'Sources'!$B$7:$B$10,0)))),AD491/INDEX('Sources'!$G$7:$G$10,MATCH(AB491,'Sources'!$B$7:$B$10,0)),"")</f>
        <v/>
      </c>
      <c r="J491" s="24" t="inlineStr">
        <is>
          <t>CLOSE</t>
        </is>
      </c>
      <c r="K491" s="24" t="inlineStr">
        <is>
          <t>2026-09-30</t>
        </is>
      </c>
      <c r="L491" s="71" t="n"/>
      <c r="M491" s="24" t="inlineStr">
        <is>
          <t>Polyethylene (not PP)</t>
        </is>
      </c>
      <c r="N491" s="25" t="inlineStr">
        <is>
          <t>https://www.intergastro.at/quetschflasche-kunststoff-250-ml-weiss-transluzent-schraubdeckel-50-mm-h-190-mm-247045</t>
        </is>
      </c>
      <c r="O491" s="24" t="inlineStr">
        <is>
          <t>Contacto</t>
        </is>
      </c>
      <c r="P491" s="24" t="inlineStr">
        <is>
          <t>excl.</t>
        </is>
      </c>
      <c r="Q491" s="100" t="n"/>
      <c r="R491" s="24" t="n">
        <v>1</v>
      </c>
      <c r="S491" s="24" t="n"/>
      <c r="T491" s="24" t="inlineStr">
        <is>
          <t>CLOSE</t>
        </is>
      </c>
      <c r="U491" s="24" t="inlineStr">
        <is>
          <t>Additional Austria/Czechia benchmark. Original assignment and match quality retained.</t>
        </is>
      </c>
      <c r="V491" s="98" t="n">
        <v>0.8100000000000001</v>
      </c>
      <c r="W491" s="98" t="n"/>
      <c r="X491" s="24" t="inlineStr">
        <is>
          <t>research_AT.xlsx</t>
        </is>
      </c>
      <c r="Y491" s="24" t="n"/>
      <c r="Z491" s="24" t="n"/>
      <c r="AA491" s="24" t="n"/>
      <c r="AB491" s="24" t="inlineStr">
        <is>
          <t>EUR</t>
        </is>
      </c>
      <c r="AC491" s="24" t="inlineStr">
        <is>
          <t>yes</t>
        </is>
      </c>
      <c r="AD491" s="24">
        <f>IF(ISNUMBER(V491),V491,"")</f>
        <v/>
      </c>
      <c r="AE491" s="24">
        <f>IF(AND(AC491="yes",ISNUMBER(F491),IF('Compare'!$H$5="All mapped",TRUE,IF('Compare'!$H$5="EXACT only",J491="EXACT",OR(J491="EXACT",J491="CLOSE")))),"yes","no")</f>
        <v/>
      </c>
      <c r="AF491" s="24">
        <f>IF(ISNUMBER(H491),COUNTIFS($B$7:$B$608,B491,$C$7:$C$608,C491,$H$7:$H$608,"&lt;"&amp;H491,$AH$7:$AH$608,"yes")+COUNTIFS($B$7:B491,B491,$C$7:C491,C491,$H$7:H491,H491,$AH$7:AH491,"yes"),"")</f>
        <v/>
      </c>
      <c r="AG491" s="24">
        <f>IF(ISNUMBER(I491),COUNTIFS($B$7:$B$608,B491,$C$7:$C$608,C491,$I$7:$I$608,"&lt;"&amp;I491,$AI$7:$AI$608,"yes")+COUNTIFS($B$7:B491,B491,$C$7:C491,C491,$I$7:I491,I491,$AI$7:AI491,"yes"),"")</f>
        <v/>
      </c>
      <c r="AH491" s="24">
        <f>IF(ISNUMBER(H491),"yes","no")</f>
        <v/>
      </c>
      <c r="AI491" s="24">
        <f>IF(ISNUMBER(I491),"yes","no")</f>
        <v/>
      </c>
      <c r="AJ491" s="101" t="n">
        <v>46295</v>
      </c>
      <c r="AK491" s="24" t="n"/>
    </row>
    <row r="492" ht="42" customHeight="1">
      <c r="A492" s="2" t="n"/>
      <c r="B492" s="27" t="inlineStr">
        <is>
          <t>Squeeze bottle 250 ml, PP, single tip</t>
        </is>
      </c>
      <c r="C492" s="27" t="inlineStr">
        <is>
          <t>Czech</t>
        </is>
      </c>
      <c r="D492" s="27" t="inlineStr">
        <is>
          <t>Gastro Novotný</t>
        </is>
      </c>
      <c r="E492" s="27" t="inlineStr">
        <is>
          <t>Láhev plastová dávkovací čirá 354ml</t>
        </is>
      </c>
      <c r="F492" s="102" t="n">
        <v>29</v>
      </c>
      <c r="G492" s="27" t="inlineStr">
        <is>
          <t>CZK</t>
        </is>
      </c>
      <c r="H492" s="102">
        <f>IF(AND(AE492="yes",ISNUMBER(AD492)),AD492,"")</f>
        <v/>
      </c>
      <c r="I492" s="103">
        <f>IF(AND(AE492="yes",ISNUMBER(AD492),ISNUMBER(INDEX('Sources'!$G$7:$G$10,MATCH(AB492,'Sources'!$B$7:$B$10,0)))),AD492/INDEX('Sources'!$G$7:$G$10,MATCH(AB492,'Sources'!$B$7:$B$10,0)),"")</f>
        <v/>
      </c>
      <c r="J492" s="27" t="inlineStr">
        <is>
          <t>APPROX</t>
        </is>
      </c>
      <c r="K492" s="27" t="inlineStr">
        <is>
          <t>2026-09-30</t>
        </is>
      </c>
      <c r="L492" s="71" t="n"/>
      <c r="M492" s="27" t="inlineStr">
        <is>
          <t>354 ml instead of 250 ml; plastic type not stated. Smallest squeeze bottle listed; 35.09 CZK incl. VAT</t>
        </is>
      </c>
      <c r="N492" s="28" t="inlineStr">
        <is>
          <t>https://eshop.gastronovotny.cz/lahev-plastova-davkovaci-cira-354ml--255046026/</t>
        </is>
      </c>
      <c r="O492" s="27" t="n"/>
      <c r="P492" s="27" t="inlineStr">
        <is>
          <t>excl.</t>
        </is>
      </c>
      <c r="Q492" s="104" t="n">
        <v>0.21</v>
      </c>
      <c r="R492" s="27" t="n">
        <v>1</v>
      </c>
      <c r="S492" s="27" t="inlineStr">
        <is>
          <t>per piece</t>
        </is>
      </c>
      <c r="T492" s="27" t="inlineStr">
        <is>
          <t>APPROX</t>
        </is>
      </c>
      <c r="U492" s="27" t="inlineStr">
        <is>
          <t>Additional Austria/Czechia benchmark. Original assignment and match quality retained.</t>
        </is>
      </c>
      <c r="V492" s="102" t="n"/>
      <c r="W492" s="102" t="n"/>
      <c r="X492" s="27" t="inlineStr">
        <is>
          <t>research_CZ.xlsx</t>
        </is>
      </c>
      <c r="Y492" s="27" t="n"/>
      <c r="Z492" s="27" t="n"/>
      <c r="AA492" s="27" t="n"/>
      <c r="AB492" s="27" t="inlineStr">
        <is>
          <t>CZK</t>
        </is>
      </c>
      <c r="AC492" s="27" t="inlineStr">
        <is>
          <t>yes</t>
        </is>
      </c>
      <c r="AD492" s="27">
        <f>IF(OR(F492="",Q492="",R492=""),"",ROUND(IF(P492="incl.",F492/(1+Q492),F492)/IF(S492="per pack",R492,1),2))</f>
        <v/>
      </c>
      <c r="AE492" s="27">
        <f>IF(AND(AC492="yes",ISNUMBER(F492),IF('Compare'!$H$5="All mapped",TRUE,IF('Compare'!$H$5="EXACT only",J492="EXACT",OR(J492="EXACT",J492="CLOSE")))),"yes","no")</f>
        <v/>
      </c>
      <c r="AF492" s="27">
        <f>IF(ISNUMBER(H492),COUNTIFS($B$7:$B$608,B492,$C$7:$C$608,C492,$H$7:$H$608,"&lt;"&amp;H492,$AH$7:$AH$608,"yes")+COUNTIFS($B$7:B492,B492,$C$7:C492,C492,$H$7:H492,H492,$AH$7:AH492,"yes"),"")</f>
        <v/>
      </c>
      <c r="AG492" s="27">
        <f>IF(ISNUMBER(I492),COUNTIFS($B$7:$B$608,B492,$C$7:$C$608,C492,$I$7:$I$608,"&lt;"&amp;I492,$AI$7:$AI$608,"yes")+COUNTIFS($B$7:B492,B492,$C$7:C492,C492,$I$7:I492,I492,$AI$7:AI492,"yes"),"")</f>
        <v/>
      </c>
      <c r="AH492" s="27">
        <f>IF(ISNUMBER(H492),"yes","no")</f>
        <v/>
      </c>
      <c r="AI492" s="27">
        <f>IF(ISNUMBER(I492),"yes","no")</f>
        <v/>
      </c>
      <c r="AJ492" s="105" t="n">
        <v>46295</v>
      </c>
      <c r="AK492" s="27" t="n"/>
    </row>
    <row r="493" ht="42" customHeight="1">
      <c r="A493" s="2" t="n"/>
      <c r="B493" s="24" t="inlineStr">
        <is>
          <t>Squeeze bottle 250 ml, PP, single tip</t>
        </is>
      </c>
      <c r="C493" s="24" t="inlineStr">
        <is>
          <t>Czech</t>
        </is>
      </c>
      <c r="D493" s="24" t="inlineStr">
        <is>
          <t>Gastromania</t>
        </is>
      </c>
      <c r="E493" s="24" t="inlineStr">
        <is>
          <t>Dávkovač na omáčky z polyethylenu 0,25 l průhledný | CONTACTO, 1460/251</t>
        </is>
      </c>
      <c r="F493" s="98" t="n">
        <v>43</v>
      </c>
      <c r="G493" s="24" t="inlineStr">
        <is>
          <t>CZK</t>
        </is>
      </c>
      <c r="H493" s="98">
        <f>IF(AND(AE493="yes",ISNUMBER(AD493)),AD493,"")</f>
        <v/>
      </c>
      <c r="I493" s="99">
        <f>IF(AND(AE493="yes",ISNUMBER(AD493),ISNUMBER(INDEX('Sources'!$G$7:$G$10,MATCH(AB493,'Sources'!$B$7:$B$10,0)))),AD493/INDEX('Sources'!$G$7:$G$10,MATCH(AB493,'Sources'!$B$7:$B$10,0)),"")</f>
        <v/>
      </c>
      <c r="J493" s="24" t="inlineStr">
        <is>
          <t>CLOSE</t>
        </is>
      </c>
      <c r="K493" s="24" t="inlineStr">
        <is>
          <t>2026-09-30</t>
        </is>
      </c>
      <c r="L493" s="71" t="n"/>
      <c r="M493" s="24" t="inlineStr">
        <is>
          <t>250 ml but polyethylene (not PP); 35 CZK bez DPH shown; price incl. 21% VAT as published in product data (current price, in stock)</t>
        </is>
      </c>
      <c r="N493" s="25" t="inlineStr">
        <is>
          <t>https://www.gastromania.cz/davkovace-omacek/davkovac-na-omacky-z-polyethylenu-0-25-l-pruhledny-contacto-1460-251</t>
        </is>
      </c>
      <c r="O493" s="24" t="inlineStr">
        <is>
          <t>Contacto</t>
        </is>
      </c>
      <c r="P493" s="24" t="inlineStr">
        <is>
          <t>incl.</t>
        </is>
      </c>
      <c r="Q493" s="100" t="n">
        <v>0.21</v>
      </c>
      <c r="R493" s="24" t="n">
        <v>1</v>
      </c>
      <c r="S493" s="24" t="inlineStr">
        <is>
          <t>per piece</t>
        </is>
      </c>
      <c r="T493" s="24" t="inlineStr">
        <is>
          <t>CLOSE</t>
        </is>
      </c>
      <c r="U493" s="24" t="inlineStr">
        <is>
          <t>Additional Austria/Czechia benchmark. Original assignment and match quality retained.</t>
        </is>
      </c>
      <c r="V493" s="98" t="n"/>
      <c r="W493" s="98" t="n"/>
      <c r="X493" s="24" t="inlineStr">
        <is>
          <t>research_CZ.xlsx</t>
        </is>
      </c>
      <c r="Y493" s="24" t="n"/>
      <c r="Z493" s="24" t="n"/>
      <c r="AA493" s="24" t="n"/>
      <c r="AB493" s="24" t="inlineStr">
        <is>
          <t>CZK</t>
        </is>
      </c>
      <c r="AC493" s="24" t="inlineStr">
        <is>
          <t>yes</t>
        </is>
      </c>
      <c r="AD493" s="24">
        <f>IF(OR(F493="",Q493="",R493=""),"",ROUND(IF(P493="incl.",F493/(1+Q493),F493)/IF(S493="per pack",R493,1),2))</f>
        <v/>
      </c>
      <c r="AE493" s="24">
        <f>IF(AND(AC493="yes",ISNUMBER(F493),IF('Compare'!$H$5="All mapped",TRUE,IF('Compare'!$H$5="EXACT only",J493="EXACT",OR(J493="EXACT",J493="CLOSE")))),"yes","no")</f>
        <v/>
      </c>
      <c r="AF493" s="24">
        <f>IF(ISNUMBER(H493),COUNTIFS($B$7:$B$608,B493,$C$7:$C$608,C493,$H$7:$H$608,"&lt;"&amp;H493,$AH$7:$AH$608,"yes")+COUNTIFS($B$7:B493,B493,$C$7:C493,C493,$H$7:H493,H493,$AH$7:AH493,"yes"),"")</f>
        <v/>
      </c>
      <c r="AG493" s="24">
        <f>IF(ISNUMBER(I493),COUNTIFS($B$7:$B$608,B493,$C$7:$C$608,C493,$I$7:$I$608,"&lt;"&amp;I493,$AI$7:$AI$608,"yes")+COUNTIFS($B$7:B493,B493,$C$7:C493,C493,$I$7:I493,I493,$AI$7:AI493,"yes"),"")</f>
        <v/>
      </c>
      <c r="AH493" s="24">
        <f>IF(ISNUMBER(H493),"yes","no")</f>
        <v/>
      </c>
      <c r="AI493" s="24">
        <f>IF(ISNUMBER(I493),"yes","no")</f>
        <v/>
      </c>
      <c r="AJ493" s="101" t="n">
        <v>46295</v>
      </c>
      <c r="AK493" s="24" t="n"/>
    </row>
    <row r="494" ht="42" customHeight="1">
      <c r="A494" s="2" t="n"/>
      <c r="B494" s="27" t="inlineStr">
        <is>
          <t>Squeeze bottle 250 ml, PP, single tip</t>
        </is>
      </c>
      <c r="C494" s="27" t="inlineStr">
        <is>
          <t>Czech</t>
        </is>
      </c>
      <c r="D494" s="27" t="inlineStr">
        <is>
          <t>Gastrozone</t>
        </is>
      </c>
      <c r="E494" s="27" t="inlineStr">
        <is>
          <t>Araven Mini Dávkovací láhev na omáčky, obsah: 0,25 l</t>
        </is>
      </c>
      <c r="F494" s="102" t="n">
        <v>99</v>
      </c>
      <c r="G494" s="27" t="inlineStr">
        <is>
          <t>CZK</t>
        </is>
      </c>
      <c r="H494" s="102">
        <f>IF(AND(AE494="yes",ISNUMBER(AD494)),AD494,"")</f>
        <v/>
      </c>
      <c r="I494" s="103">
        <f>IF(AND(AE494="yes",ISNUMBER(AD494),ISNUMBER(INDEX('Sources'!$G$7:$G$10,MATCH(AB494,'Sources'!$B$7:$B$10,0)))),AD494/INDEX('Sources'!$G$7:$G$10,MATCH(AB494,'Sources'!$B$7:$B$10,0)),"")</f>
        <v/>
      </c>
      <c r="J494" s="27" t="inlineStr">
        <is>
          <t>CLOSE</t>
        </is>
      </c>
      <c r="K494" s="27" t="inlineStr">
        <is>
          <t>2026-09-30</t>
        </is>
      </c>
      <c r="L494" s="71" t="n"/>
      <c r="M494" s="27" t="inlineStr">
        <is>
          <t>81.82 CZK bez DPH; 250 ml but HDPE (not PP), screw cap. HENDI 0.2 l LDPE 67 CZK</t>
        </is>
      </c>
      <c r="N494" s="28" t="inlineStr">
        <is>
          <t>https://www.gastrozone.cz/araven-mini-davkovaci-lahvicka-obsah-0-25-l-vyska-167-mm-prumer-56-mm.html</t>
        </is>
      </c>
      <c r="O494" s="27" t="inlineStr">
        <is>
          <t>Araven</t>
        </is>
      </c>
      <c r="P494" s="27" t="inlineStr">
        <is>
          <t>incl.</t>
        </is>
      </c>
      <c r="Q494" s="104" t="n">
        <v>0.21</v>
      </c>
      <c r="R494" s="27" t="n">
        <v>1</v>
      </c>
      <c r="S494" s="27" t="inlineStr">
        <is>
          <t>per piece</t>
        </is>
      </c>
      <c r="T494" s="27" t="inlineStr">
        <is>
          <t>CLOSE</t>
        </is>
      </c>
      <c r="U494" s="27" t="inlineStr">
        <is>
          <t>Additional Austria/Czechia benchmark. Original assignment and match quality retained.</t>
        </is>
      </c>
      <c r="V494" s="102" t="n"/>
      <c r="W494" s="102" t="n"/>
      <c r="X494" s="27" t="inlineStr">
        <is>
          <t>research_CZ.xlsx</t>
        </is>
      </c>
      <c r="Y494" s="27" t="n"/>
      <c r="Z494" s="27" t="n"/>
      <c r="AA494" s="27" t="n"/>
      <c r="AB494" s="27" t="inlineStr">
        <is>
          <t>CZK</t>
        </is>
      </c>
      <c r="AC494" s="27" t="inlineStr">
        <is>
          <t>yes</t>
        </is>
      </c>
      <c r="AD494" s="27">
        <f>IF(OR(F494="",Q494="",R494=""),"",ROUND(IF(P494="incl.",F494/(1+Q494),F494)/IF(S494="per pack",R494,1),2))</f>
        <v/>
      </c>
      <c r="AE494" s="27">
        <f>IF(AND(AC494="yes",ISNUMBER(F494),IF('Compare'!$H$5="All mapped",TRUE,IF('Compare'!$H$5="EXACT only",J494="EXACT",OR(J494="EXACT",J494="CLOSE")))),"yes","no")</f>
        <v/>
      </c>
      <c r="AF494" s="27">
        <f>IF(ISNUMBER(H494),COUNTIFS($B$7:$B$608,B494,$C$7:$C$608,C494,$H$7:$H$608,"&lt;"&amp;H494,$AH$7:$AH$608,"yes")+COUNTIFS($B$7:B494,B494,$C$7:C494,C494,$H$7:H494,H494,$AH$7:AH494,"yes"),"")</f>
        <v/>
      </c>
      <c r="AG494" s="27">
        <f>IF(ISNUMBER(I494),COUNTIFS($B$7:$B$608,B494,$C$7:$C$608,C494,$I$7:$I$608,"&lt;"&amp;I494,$AI$7:$AI$608,"yes")+COUNTIFS($B$7:B494,B494,$C$7:C494,C494,$I$7:I494,I494,$AI$7:AI494,"yes"),"")</f>
        <v/>
      </c>
      <c r="AH494" s="27">
        <f>IF(ISNUMBER(H494),"yes","no")</f>
        <v/>
      </c>
      <c r="AI494" s="27">
        <f>IF(ISNUMBER(I494),"yes","no")</f>
        <v/>
      </c>
      <c r="AJ494" s="105" t="n">
        <v>46295</v>
      </c>
      <c r="AK494" s="27" t="n"/>
    </row>
    <row r="495" ht="42" customHeight="1">
      <c r="A495" s="2" t="n"/>
      <c r="B495" s="24" t="inlineStr">
        <is>
          <t>Squeeze bottle 250 ml, PP, single tip</t>
        </is>
      </c>
      <c r="C495" s="24" t="inlineStr">
        <is>
          <t>Czech</t>
        </is>
      </c>
      <c r="D495" s="24" t="inlineStr">
        <is>
          <t>TOMGAST</t>
        </is>
      </c>
      <c r="E495" s="24" t="inlineStr">
        <is>
          <t>Dávkovač na omáčky  250 ml</t>
        </is>
      </c>
      <c r="F495" s="98" t="n">
        <v>52</v>
      </c>
      <c r="G495" s="24" t="inlineStr">
        <is>
          <t>CZK</t>
        </is>
      </c>
      <c r="H495" s="98">
        <f>IF(AND(AE495="yes",ISNUMBER(AD495)),AD495,"")</f>
        <v/>
      </c>
      <c r="I495" s="99">
        <f>IF(AND(AE495="yes",ISNUMBER(AD495),ISNUMBER(INDEX('Sources'!$G$7:$G$10,MATCH(AB495,'Sources'!$B$7:$B$10,0)))),AD495/INDEX('Sources'!$G$7:$G$10,MATCH(AB495,'Sources'!$B$7:$B$10,0)),"")</f>
        <v/>
      </c>
      <c r="J495" s="24" t="inlineStr">
        <is>
          <t>CLOSE</t>
        </is>
      </c>
      <c r="K495" s="24" t="inlineStr">
        <is>
          <t>2026-09-30</t>
        </is>
      </c>
      <c r="L495" s="71" t="n"/>
      <c r="M495" s="24" t="inlineStr">
        <is>
          <t>Code E-61925; 250 ml but polyethylene (not PP); 43 CZK bez DPH</t>
        </is>
      </c>
      <c r="N495" s="25" t="inlineStr">
        <is>
          <t>https://www.tomgast.cz/davkovac-na-omacky--250-ml/</t>
        </is>
      </c>
      <c r="O495" s="24" t="inlineStr">
        <is>
          <t>Laco</t>
        </is>
      </c>
      <c r="P495" s="24" t="inlineStr">
        <is>
          <t>incl.</t>
        </is>
      </c>
      <c r="Q495" s="100" t="n">
        <v>0.21</v>
      </c>
      <c r="R495" s="24" t="n">
        <v>1</v>
      </c>
      <c r="S495" s="24" t="inlineStr">
        <is>
          <t>per piece</t>
        </is>
      </c>
      <c r="T495" s="24" t="inlineStr">
        <is>
          <t>CLOSE</t>
        </is>
      </c>
      <c r="U495" s="24" t="inlineStr">
        <is>
          <t>Additional Austria/Czechia benchmark. Original assignment and match quality retained.</t>
        </is>
      </c>
      <c r="V495" s="98" t="n"/>
      <c r="W495" s="98" t="n"/>
      <c r="X495" s="24" t="inlineStr">
        <is>
          <t>research_CZ.xlsx</t>
        </is>
      </c>
      <c r="Y495" s="24" t="n"/>
      <c r="Z495" s="24" t="n"/>
      <c r="AA495" s="24" t="n"/>
      <c r="AB495" s="24" t="inlineStr">
        <is>
          <t>CZK</t>
        </is>
      </c>
      <c r="AC495" s="24" t="inlineStr">
        <is>
          <t>yes</t>
        </is>
      </c>
      <c r="AD495" s="24">
        <f>IF(OR(F495="",Q495="",R495=""),"",ROUND(IF(P495="incl.",F495/(1+Q495),F495)/IF(S495="per pack",R495,1),2))</f>
        <v/>
      </c>
      <c r="AE495" s="24">
        <f>IF(AND(AC495="yes",ISNUMBER(F495),IF('Compare'!$H$5="All mapped",TRUE,IF('Compare'!$H$5="EXACT only",J495="EXACT",OR(J495="EXACT",J495="CLOSE")))),"yes","no")</f>
        <v/>
      </c>
      <c r="AF495" s="24">
        <f>IF(ISNUMBER(H495),COUNTIFS($B$7:$B$608,B495,$C$7:$C$608,C495,$H$7:$H$608,"&lt;"&amp;H495,$AH$7:$AH$608,"yes")+COUNTIFS($B$7:B495,B495,$C$7:C495,C495,$H$7:H495,H495,$AH$7:AH495,"yes"),"")</f>
        <v/>
      </c>
      <c r="AG495" s="24">
        <f>IF(ISNUMBER(I495),COUNTIFS($B$7:$B$608,B495,$C$7:$C$608,C495,$I$7:$I$608,"&lt;"&amp;I495,$AI$7:$AI$608,"yes")+COUNTIFS($B$7:B495,B495,$C$7:C495,C495,$I$7:I495,I495,$AI$7:AI495,"yes"),"")</f>
        <v/>
      </c>
      <c r="AH495" s="24">
        <f>IF(ISNUMBER(H495),"yes","no")</f>
        <v/>
      </c>
      <c r="AI495" s="24">
        <f>IF(ISNUMBER(I495),"yes","no")</f>
        <v/>
      </c>
      <c r="AJ495" s="101" t="n">
        <v>46295</v>
      </c>
      <c r="AK495" s="24" t="n"/>
    </row>
    <row r="496" ht="42" customHeight="1">
      <c r="A496" s="2" t="n"/>
      <c r="B496" s="27" t="inlineStr">
        <is>
          <t>Squeeze bottle 750 ml, PP, single tip</t>
        </is>
      </c>
      <c r="C496" s="27" t="inlineStr">
        <is>
          <t>Austria</t>
        </is>
      </c>
      <c r="D496" s="27" t="inlineStr">
        <is>
          <t>ALLPAX Österreich</t>
        </is>
      </c>
      <c r="E496" s="27" t="inlineStr">
        <is>
          <t>Hendi Quetschflasche in Transparent, 700 ml</t>
        </is>
      </c>
      <c r="F496" s="102" t="n">
        <v>1.91</v>
      </c>
      <c r="G496" s="27" t="inlineStr">
        <is>
          <t>EUR</t>
        </is>
      </c>
      <c r="H496" s="102">
        <f>IF(AND(AE496="yes",ISNUMBER(AD496)),AD496,"")</f>
        <v/>
      </c>
      <c r="I496" s="103">
        <f>IF(AND(AE496="yes",ISNUMBER(AD496),ISNUMBER(INDEX('Sources'!$G$7:$G$10,MATCH(AB496,'Sources'!$B$7:$B$10,0)))),AD496/INDEX('Sources'!$G$7:$G$10,MATCH(AB496,'Sources'!$B$7:$B$10,0)),"")</f>
        <v/>
      </c>
      <c r="J496" s="27" t="inlineStr">
        <is>
          <t>CLOSE</t>
        </is>
      </c>
      <c r="K496" s="27" t="inlineStr">
        <is>
          <t>2026-09-30</t>
        </is>
      </c>
      <c r="L496" s="71" t="n"/>
      <c r="M496" s="27" t="inlineStr">
        <is>
          <t>700 ml; plastic type not stated; cap</t>
        </is>
      </c>
      <c r="N496" s="28" t="inlineStr">
        <is>
          <t>https://www.allpax.at/product_info.php/info/Hendi-Quetschflasche-in-Transparent-700-ml.html</t>
        </is>
      </c>
      <c r="O496" s="27" t="inlineStr">
        <is>
          <t>Hendi</t>
        </is>
      </c>
      <c r="P496" s="27" t="inlineStr">
        <is>
          <t>excl.</t>
        </is>
      </c>
      <c r="Q496" s="104" t="n"/>
      <c r="R496" s="27" t="n">
        <v>1</v>
      </c>
      <c r="S496" s="27" t="n"/>
      <c r="T496" s="27" t="inlineStr">
        <is>
          <t>CLOSE</t>
        </is>
      </c>
      <c r="U496" s="27" t="inlineStr">
        <is>
          <t>Additional Austria/Czechia benchmark. Original assignment and match quality retained.</t>
        </is>
      </c>
      <c r="V496" s="102" t="n">
        <v>1.91</v>
      </c>
      <c r="W496" s="102" t="n"/>
      <c r="X496" s="27" t="inlineStr">
        <is>
          <t>research_AT.xlsx</t>
        </is>
      </c>
      <c r="Y496" s="27" t="n"/>
      <c r="Z496" s="27" t="n"/>
      <c r="AA496" s="27" t="n"/>
      <c r="AB496" s="27" t="inlineStr">
        <is>
          <t>EUR</t>
        </is>
      </c>
      <c r="AC496" s="27" t="inlineStr">
        <is>
          <t>yes</t>
        </is>
      </c>
      <c r="AD496" s="27">
        <f>IF(ISNUMBER(V496),V496,"")</f>
        <v/>
      </c>
      <c r="AE496" s="27">
        <f>IF(AND(AC496="yes",ISNUMBER(F496),IF('Compare'!$H$5="All mapped",TRUE,IF('Compare'!$H$5="EXACT only",J496="EXACT",OR(J496="EXACT",J496="CLOSE")))),"yes","no")</f>
        <v/>
      </c>
      <c r="AF496" s="27">
        <f>IF(ISNUMBER(H496),COUNTIFS($B$7:$B$608,B496,$C$7:$C$608,C496,$H$7:$H$608,"&lt;"&amp;H496,$AH$7:$AH$608,"yes")+COUNTIFS($B$7:B496,B496,$C$7:C496,C496,$H$7:H496,H496,$AH$7:AH496,"yes"),"")</f>
        <v/>
      </c>
      <c r="AG496" s="27">
        <f>IF(ISNUMBER(I496),COUNTIFS($B$7:$B$608,B496,$C$7:$C$608,C496,$I$7:$I$608,"&lt;"&amp;I496,$AI$7:$AI$608,"yes")+COUNTIFS($B$7:B496,B496,$C$7:C496,C496,$I$7:I496,I496,$AI$7:AI496,"yes"),"")</f>
        <v/>
      </c>
      <c r="AH496" s="27">
        <f>IF(ISNUMBER(H496),"yes","no")</f>
        <v/>
      </c>
      <c r="AI496" s="27">
        <f>IF(ISNUMBER(I496),"yes","no")</f>
        <v/>
      </c>
      <c r="AJ496" s="105" t="n">
        <v>46295</v>
      </c>
      <c r="AK496" s="27" t="n"/>
    </row>
    <row r="497" ht="42" customHeight="1">
      <c r="A497" s="2" t="n"/>
      <c r="B497" s="24" t="inlineStr">
        <is>
          <t>Squeeze bottle 750 ml, PP, single tip</t>
        </is>
      </c>
      <c r="C497" s="24" t="inlineStr">
        <is>
          <t>Austria</t>
        </is>
      </c>
      <c r="D497" s="24" t="inlineStr">
        <is>
          <t>GGM Gastro (Austrian storefront)</t>
        </is>
      </c>
      <c r="E497" s="24" t="inlineStr">
        <is>
          <t>(6 Stück) Quetschflasche mit mittlerer Membran - 710ml</t>
        </is>
      </c>
      <c r="F497" s="98" t="n">
        <v>34.99</v>
      </c>
      <c r="G497" s="24" t="inlineStr">
        <is>
          <t>EUR</t>
        </is>
      </c>
      <c r="H497" s="98">
        <f>IF(AND(AE497="yes",ISNUMBER(AD497)),AD497,"")</f>
        <v/>
      </c>
      <c r="I497" s="99">
        <f>IF(AND(AE497="yes",ISNUMBER(AD497),ISNUMBER(INDEX('Sources'!$G$7:$G$10,MATCH(AB497,'Sources'!$B$7:$B$10,0)))),AD497/INDEX('Sources'!$G$7:$G$10,MATCH(AB497,'Sources'!$B$7:$B$10,0)),"")</f>
        <v/>
      </c>
      <c r="J497" s="24" t="inlineStr">
        <is>
          <t>CLOSE</t>
        </is>
      </c>
      <c r="K497" s="24" t="inlineStr">
        <is>
          <t>2026-09-30</t>
        </is>
      </c>
      <c r="L497" s="71" t="n"/>
      <c r="M497" s="24" t="inlineStr">
        <is>
          <t>710 ml, FIFO type with valve; material not stated</t>
        </is>
      </c>
      <c r="N497" s="25" t="inlineStr">
        <is>
          <t>https://www.ggmgastro.com/de-at-eur/6-stueck-quetschflasche-mit-mittlerer-membran-710ml-ffo-004</t>
        </is>
      </c>
      <c r="O497" s="24" t="inlineStr">
        <is>
          <t>GGM</t>
        </is>
      </c>
      <c r="P497" s="24" t="inlineStr">
        <is>
          <t>excl.</t>
        </is>
      </c>
      <c r="Q497" s="100" t="n"/>
      <c r="R497" s="24" t="n">
        <v>6</v>
      </c>
      <c r="S497" s="24" t="inlineStr">
        <is>
          <t>set of 6</t>
        </is>
      </c>
      <c r="T497" s="24" t="inlineStr">
        <is>
          <t>CLOSE</t>
        </is>
      </c>
      <c r="U497" s="24" t="inlineStr">
        <is>
          <t>Additional Austria/Czechia benchmark. Original assignment and match quality retained.</t>
        </is>
      </c>
      <c r="V497" s="98" t="n">
        <v>5.83</v>
      </c>
      <c r="W497" s="98" t="n"/>
      <c r="X497" s="24" t="inlineStr">
        <is>
          <t>research_AT.xlsx</t>
        </is>
      </c>
      <c r="Y497" s="24" t="n"/>
      <c r="Z497" s="24" t="n"/>
      <c r="AA497" s="24" t="n"/>
      <c r="AB497" s="24" t="inlineStr">
        <is>
          <t>EUR</t>
        </is>
      </c>
      <c r="AC497" s="24" t="inlineStr">
        <is>
          <t>yes</t>
        </is>
      </c>
      <c r="AD497" s="24">
        <f>IF(ISNUMBER(V497),V497,"")</f>
        <v/>
      </c>
      <c r="AE497" s="24">
        <f>IF(AND(AC497="yes",ISNUMBER(F497),IF('Compare'!$H$5="All mapped",TRUE,IF('Compare'!$H$5="EXACT only",J497="EXACT",OR(J497="EXACT",J497="CLOSE")))),"yes","no")</f>
        <v/>
      </c>
      <c r="AF497" s="24">
        <f>IF(ISNUMBER(H497),COUNTIFS($B$7:$B$608,B497,$C$7:$C$608,C497,$H$7:$H$608,"&lt;"&amp;H497,$AH$7:$AH$608,"yes")+COUNTIFS($B$7:B497,B497,$C$7:C497,C497,$H$7:H497,H497,$AH$7:AH497,"yes"),"")</f>
        <v/>
      </c>
      <c r="AG497" s="24">
        <f>IF(ISNUMBER(I497),COUNTIFS($B$7:$B$608,B497,$C$7:$C$608,C497,$I$7:$I$608,"&lt;"&amp;I497,$AI$7:$AI$608,"yes")+COUNTIFS($B$7:B497,B497,$C$7:C497,C497,$I$7:I497,I497,$AI$7:AI497,"yes"),"")</f>
        <v/>
      </c>
      <c r="AH497" s="24">
        <f>IF(ISNUMBER(H497),"yes","no")</f>
        <v/>
      </c>
      <c r="AI497" s="24">
        <f>IF(ISNUMBER(I497),"yes","no")</f>
        <v/>
      </c>
      <c r="AJ497" s="101" t="n">
        <v>46295</v>
      </c>
      <c r="AK497" s="24" t="n"/>
    </row>
    <row r="498" ht="42" customHeight="1">
      <c r="A498" s="2" t="n"/>
      <c r="B498" s="27" t="inlineStr">
        <is>
          <t>Squeeze bottle 750 ml, PP, single tip</t>
        </is>
      </c>
      <c r="C498" s="27" t="inlineStr">
        <is>
          <t>Austria</t>
        </is>
      </c>
      <c r="D498" s="27" t="inlineStr">
        <is>
          <t>GastroHero Österreich</t>
        </is>
      </c>
      <c r="E498" s="27" t="inlineStr">
        <is>
          <t>Vogue Quetschflasche gelb 681ml</t>
        </is>
      </c>
      <c r="F498" s="102" t="n">
        <v>1.59</v>
      </c>
      <c r="G498" s="27" t="inlineStr">
        <is>
          <t>EUR</t>
        </is>
      </c>
      <c r="H498" s="102">
        <f>IF(AND(AE498="yes",ISNUMBER(AD498)),AD498,"")</f>
        <v/>
      </c>
      <c r="I498" s="103">
        <f>IF(AND(AE498="yes",ISNUMBER(AD498),ISNUMBER(INDEX('Sources'!$G$7:$G$10,MATCH(AB498,'Sources'!$B$7:$B$10,0)))),AD498/INDEX('Sources'!$G$7:$G$10,MATCH(AB498,'Sources'!$B$7:$B$10,0)),"")</f>
        <v/>
      </c>
      <c r="J498" s="27" t="inlineStr">
        <is>
          <t>CLOSE</t>
        </is>
      </c>
      <c r="K498" s="27" t="inlineStr">
        <is>
          <t>2026-09-30</t>
        </is>
      </c>
      <c r="L498" s="71" t="n"/>
      <c r="M498" s="27" t="inlineStr">
        <is>
          <t>681 ml; material not stated on page; sale price (normal 1.69); min. qty 4</t>
        </is>
      </c>
      <c r="N498" s="28" t="inlineStr">
        <is>
          <t>https://www.gastro-hero.at/products/vogue-quetschflasche-gelb-681ml-k158</t>
        </is>
      </c>
      <c r="O498" s="27" t="inlineStr">
        <is>
          <t>Vogue</t>
        </is>
      </c>
      <c r="P498" s="27" t="inlineStr">
        <is>
          <t>excl.</t>
        </is>
      </c>
      <c r="Q498" s="104" t="n"/>
      <c r="R498" s="27" t="n">
        <v>1</v>
      </c>
      <c r="S498" s="27" t="n"/>
      <c r="T498" s="27" t="inlineStr">
        <is>
          <t>CLOSE</t>
        </is>
      </c>
      <c r="U498" s="27" t="inlineStr">
        <is>
          <t>Additional Austria/Czechia benchmark. Original assignment and match quality retained.</t>
        </is>
      </c>
      <c r="V498" s="102" t="n">
        <v>1.59</v>
      </c>
      <c r="W498" s="102" t="n"/>
      <c r="X498" s="27" t="inlineStr">
        <is>
          <t>research_AT.xlsx</t>
        </is>
      </c>
      <c r="Y498" s="27" t="n"/>
      <c r="Z498" s="27" t="n"/>
      <c r="AA498" s="27" t="n"/>
      <c r="AB498" s="27" t="inlineStr">
        <is>
          <t>EUR</t>
        </is>
      </c>
      <c r="AC498" s="27" t="inlineStr">
        <is>
          <t>yes</t>
        </is>
      </c>
      <c r="AD498" s="27">
        <f>IF(ISNUMBER(V498),V498,"")</f>
        <v/>
      </c>
      <c r="AE498" s="27">
        <f>IF(AND(AC498="yes",ISNUMBER(F498),IF('Compare'!$H$5="All mapped",TRUE,IF('Compare'!$H$5="EXACT only",J498="EXACT",OR(J498="EXACT",J498="CLOSE")))),"yes","no")</f>
        <v/>
      </c>
      <c r="AF498" s="27">
        <f>IF(ISNUMBER(H498),COUNTIFS($B$7:$B$608,B498,$C$7:$C$608,C498,$H$7:$H$608,"&lt;"&amp;H498,$AH$7:$AH$608,"yes")+COUNTIFS($B$7:B498,B498,$C$7:C498,C498,$H$7:H498,H498,$AH$7:AH498,"yes"),"")</f>
        <v/>
      </c>
      <c r="AG498" s="27">
        <f>IF(ISNUMBER(I498),COUNTIFS($B$7:$B$608,B498,$C$7:$C$608,C498,$I$7:$I$608,"&lt;"&amp;I498,$AI$7:$AI$608,"yes")+COUNTIFS($B$7:B498,B498,$C$7:C498,C498,$I$7:I498,I498,$AI$7:AI498,"yes"),"")</f>
        <v/>
      </c>
      <c r="AH498" s="27">
        <f>IF(ISNUMBER(H498),"yes","no")</f>
        <v/>
      </c>
      <c r="AI498" s="27">
        <f>IF(ISNUMBER(I498),"yes","no")</f>
        <v/>
      </c>
      <c r="AJ498" s="105" t="n">
        <v>46295</v>
      </c>
      <c r="AK498" s="27" t="n"/>
    </row>
    <row r="499" ht="42" customHeight="1">
      <c r="A499" s="2" t="n"/>
      <c r="B499" s="24" t="inlineStr">
        <is>
          <t>Squeeze bottle 750 ml, PP, single tip</t>
        </is>
      </c>
      <c r="C499" s="24" t="inlineStr">
        <is>
          <t>Austria</t>
        </is>
      </c>
      <c r="D499" s="24" t="inlineStr">
        <is>
          <t>Gastrodax</t>
        </is>
      </c>
      <c r="E499" s="24" t="inlineStr">
        <is>
          <t>Contacto Quetschflasche 0,7 l</t>
        </is>
      </c>
      <c r="F499" s="98" t="n">
        <v>1.08</v>
      </c>
      <c r="G499" s="24" t="inlineStr">
        <is>
          <t>EUR</t>
        </is>
      </c>
      <c r="H499" s="98">
        <f>IF(AND(AE499="yes",ISNUMBER(AD499)),AD499,"")</f>
        <v/>
      </c>
      <c r="I499" s="99">
        <f>IF(AND(AE499="yes",ISNUMBER(AD499),ISNUMBER(INDEX('Sources'!$G$7:$G$10,MATCH(AB499,'Sources'!$B$7:$B$10,0)))),AD499/INDEX('Sources'!$G$7:$G$10,MATCH(AB499,'Sources'!$B$7:$B$10,0)),"")</f>
        <v/>
      </c>
      <c r="J499" s="24" t="inlineStr">
        <is>
          <t>CLOSE</t>
        </is>
      </c>
      <c r="K499" s="24" t="inlineStr">
        <is>
          <t>2026-09-30</t>
        </is>
      </c>
      <c r="L499" s="71" t="n"/>
      <c r="M499" s="24" t="inlineStr">
        <is>
          <t>700 ml; polyethylene; sale price (normal 1.35). Same URL also lists a 2.56 variant</t>
        </is>
      </c>
      <c r="N499" s="25" t="inlineStr">
        <is>
          <t>https://www.gastrodax.de/contacto-quetschflasche-0-7-l-2</t>
        </is>
      </c>
      <c r="O499" s="24" t="inlineStr">
        <is>
          <t>Contacto</t>
        </is>
      </c>
      <c r="P499" s="24" t="inlineStr">
        <is>
          <t>excl.</t>
        </is>
      </c>
      <c r="Q499" s="100" t="n"/>
      <c r="R499" s="24" t="n">
        <v>1</v>
      </c>
      <c r="S499" s="24" t="n"/>
      <c r="T499" s="24" t="inlineStr">
        <is>
          <t>CLOSE</t>
        </is>
      </c>
      <c r="U499" s="24" t="inlineStr">
        <is>
          <t>Additional Austria/Czechia benchmark. Original assignment and match quality retained.</t>
        </is>
      </c>
      <c r="V499" s="98" t="n">
        <v>1.08</v>
      </c>
      <c r="W499" s="98" t="n"/>
      <c r="X499" s="24" t="inlineStr">
        <is>
          <t>research_AT.xlsx</t>
        </is>
      </c>
      <c r="Y499" s="24" t="n"/>
      <c r="Z499" s="24" t="n"/>
      <c r="AA499" s="24" t="n"/>
      <c r="AB499" s="24" t="inlineStr">
        <is>
          <t>EUR</t>
        </is>
      </c>
      <c r="AC499" s="24" t="inlineStr">
        <is>
          <t>yes</t>
        </is>
      </c>
      <c r="AD499" s="24">
        <f>IF(ISNUMBER(V499),V499,"")</f>
        <v/>
      </c>
      <c r="AE499" s="24">
        <f>IF(AND(AC499="yes",ISNUMBER(F499),IF('Compare'!$H$5="All mapped",TRUE,IF('Compare'!$H$5="EXACT only",J499="EXACT",OR(J499="EXACT",J499="CLOSE")))),"yes","no")</f>
        <v/>
      </c>
      <c r="AF499" s="24">
        <f>IF(ISNUMBER(H499),COUNTIFS($B$7:$B$608,B499,$C$7:$C$608,C499,$H$7:$H$608,"&lt;"&amp;H499,$AH$7:$AH$608,"yes")+COUNTIFS($B$7:B499,B499,$C$7:C499,C499,$H$7:H499,H499,$AH$7:AH499,"yes"),"")</f>
        <v/>
      </c>
      <c r="AG499" s="24">
        <f>IF(ISNUMBER(I499),COUNTIFS($B$7:$B$608,B499,$C$7:$C$608,C499,$I$7:$I$608,"&lt;"&amp;I499,$AI$7:$AI$608,"yes")+COUNTIFS($B$7:B499,B499,$C$7:C499,C499,$I$7:I499,I499,$AI$7:AI499,"yes"),"")</f>
        <v/>
      </c>
      <c r="AH499" s="24">
        <f>IF(ISNUMBER(H499),"yes","no")</f>
        <v/>
      </c>
      <c r="AI499" s="24">
        <f>IF(ISNUMBER(I499),"yes","no")</f>
        <v/>
      </c>
      <c r="AJ499" s="101" t="n">
        <v>46295</v>
      </c>
      <c r="AK499" s="24" t="n"/>
    </row>
    <row r="500" ht="42" customHeight="1">
      <c r="A500" s="2" t="n"/>
      <c r="B500" s="27" t="inlineStr">
        <is>
          <t>Squeeze bottle 750 ml, PP, single tip</t>
        </is>
      </c>
      <c r="C500" s="27" t="inlineStr">
        <is>
          <t>Austria</t>
        </is>
      </c>
      <c r="D500" s="27" t="inlineStr">
        <is>
          <t>Gastroladen.at (Harotec GmbH)</t>
        </is>
      </c>
      <c r="E500" s="27" t="inlineStr">
        <is>
          <t>Vogue Quetschflasche klar 681ml</t>
        </is>
      </c>
      <c r="F500" s="102" t="n">
        <v>2.69</v>
      </c>
      <c r="G500" s="27" t="inlineStr">
        <is>
          <t>EUR</t>
        </is>
      </c>
      <c r="H500" s="102">
        <f>IF(AND(AE500="yes",ISNUMBER(AD500)),AD500,"")</f>
        <v/>
      </c>
      <c r="I500" s="103">
        <f>IF(AND(AE500="yes",ISNUMBER(AD500),ISNUMBER(INDEX('Sources'!$G$7:$G$10,MATCH(AB500,'Sources'!$B$7:$B$10,0)))),AD500/INDEX('Sources'!$G$7:$G$10,MATCH(AB500,'Sources'!$B$7:$B$10,0)),"")</f>
        <v/>
      </c>
      <c r="J500" s="27" t="inlineStr">
        <is>
          <t>CLOSE</t>
        </is>
      </c>
      <c r="K500" s="27" t="inlineStr">
        <is>
          <t>2026-09-30</t>
        </is>
      </c>
      <c r="L500" s="71" t="n"/>
      <c r="M500" s="27" t="inlineStr">
        <is>
          <t>681 ml, polyethylene (not PP)</t>
        </is>
      </c>
      <c r="N500" s="28" t="inlineStr">
        <is>
          <t>https://www.gastroladen.at/G16771B@GN-K163/Vogue-Quetschflasche-klar-681ml.htm</t>
        </is>
      </c>
      <c r="O500" s="27" t="inlineStr">
        <is>
          <t>Vogue</t>
        </is>
      </c>
      <c r="P500" s="27" t="inlineStr">
        <is>
          <t>incl.</t>
        </is>
      </c>
      <c r="Q500" s="104" t="n"/>
      <c r="R500" s="27" t="n">
        <v>1</v>
      </c>
      <c r="S500" s="27" t="n"/>
      <c r="T500" s="27" t="inlineStr">
        <is>
          <t>CLOSE</t>
        </is>
      </c>
      <c r="U500" s="27" t="inlineStr">
        <is>
          <t>Additional Austria/Czechia benchmark. Original assignment and match quality retained.</t>
        </is>
      </c>
      <c r="V500" s="102" t="n">
        <v>2.24</v>
      </c>
      <c r="W500" s="102" t="n"/>
      <c r="X500" s="27" t="inlineStr">
        <is>
          <t>research_AT.xlsx</t>
        </is>
      </c>
      <c r="Y500" s="27" t="n"/>
      <c r="Z500" s="27" t="n"/>
      <c r="AA500" s="27" t="n"/>
      <c r="AB500" s="27" t="inlineStr">
        <is>
          <t>EUR</t>
        </is>
      </c>
      <c r="AC500" s="27" t="inlineStr">
        <is>
          <t>yes</t>
        </is>
      </c>
      <c r="AD500" s="27">
        <f>IF(ISNUMBER(V500),V500,"")</f>
        <v/>
      </c>
      <c r="AE500" s="27">
        <f>IF(AND(AC500="yes",ISNUMBER(F500),IF('Compare'!$H$5="All mapped",TRUE,IF('Compare'!$H$5="EXACT only",J500="EXACT",OR(J500="EXACT",J500="CLOSE")))),"yes","no")</f>
        <v/>
      </c>
      <c r="AF500" s="27">
        <f>IF(ISNUMBER(H500),COUNTIFS($B$7:$B$608,B500,$C$7:$C$608,C500,$H$7:$H$608,"&lt;"&amp;H500,$AH$7:$AH$608,"yes")+COUNTIFS($B$7:B500,B500,$C$7:C500,C500,$H$7:H500,H500,$AH$7:AH500,"yes"),"")</f>
        <v/>
      </c>
      <c r="AG500" s="27">
        <f>IF(ISNUMBER(I500),COUNTIFS($B$7:$B$608,B500,$C$7:$C$608,C500,$I$7:$I$608,"&lt;"&amp;I500,$AI$7:$AI$608,"yes")+COUNTIFS($B$7:B500,B500,$C$7:C500,C500,$I$7:I500,I500,$AI$7:AI500,"yes"),"")</f>
        <v/>
      </c>
      <c r="AH500" s="27">
        <f>IF(ISNUMBER(H500),"yes","no")</f>
        <v/>
      </c>
      <c r="AI500" s="27">
        <f>IF(ISNUMBER(I500),"yes","no")</f>
        <v/>
      </c>
      <c r="AJ500" s="105" t="n">
        <v>46295</v>
      </c>
      <c r="AK500" s="27" t="n"/>
    </row>
    <row r="501" ht="42" customHeight="1">
      <c r="A501" s="2" t="n"/>
      <c r="B501" s="24" t="inlineStr">
        <is>
          <t>Squeeze bottle 750 ml, PP, single tip</t>
        </is>
      </c>
      <c r="C501" s="24" t="inlineStr">
        <is>
          <t>Austria</t>
        </is>
      </c>
      <c r="D501" s="24" t="inlineStr">
        <is>
          <t>Intergastro (AT shop)</t>
        </is>
      </c>
      <c r="E501" s="24" t="inlineStr">
        <is>
          <t>Quetschflasche 700 ml Kunststoff weiß transluzent Schraubdeckel</t>
        </is>
      </c>
      <c r="F501" s="98" t="n">
        <v>1.06</v>
      </c>
      <c r="G501" s="24" t="inlineStr">
        <is>
          <t>EUR</t>
        </is>
      </c>
      <c r="H501" s="98">
        <f>IF(AND(AE501="yes",ISNUMBER(AD501)),AD501,"")</f>
        <v/>
      </c>
      <c r="I501" s="99">
        <f>IF(AND(AE501="yes",ISNUMBER(AD501),ISNUMBER(INDEX('Sources'!$G$7:$G$10,MATCH(AB501,'Sources'!$B$7:$B$10,0)))),AD501/INDEX('Sources'!$G$7:$G$10,MATCH(AB501,'Sources'!$B$7:$B$10,0)),"")</f>
        <v/>
      </c>
      <c r="J501" s="24" t="inlineStr">
        <is>
          <t>CLOSE</t>
        </is>
      </c>
      <c r="K501" s="24" t="inlineStr">
        <is>
          <t>2026-09-30</t>
        </is>
      </c>
      <c r="L501" s="71" t="n"/>
      <c r="M501" s="24" t="inlineStr">
        <is>
          <t>700 ml, polyethylene (not PP)</t>
        </is>
      </c>
      <c r="N501" s="25" t="inlineStr">
        <is>
          <t>https://www.intergastro.at/quetschflasche-700-ml-kunststoff-weiss-transluzent-schraubdeckel-65-mm-h-240-mm-247043</t>
        </is>
      </c>
      <c r="O501" s="24" t="inlineStr">
        <is>
          <t>Contacto</t>
        </is>
      </c>
      <c r="P501" s="24" t="inlineStr">
        <is>
          <t>excl.</t>
        </is>
      </c>
      <c r="Q501" s="100" t="n"/>
      <c r="R501" s="24" t="n">
        <v>1</v>
      </c>
      <c r="S501" s="24" t="n"/>
      <c r="T501" s="24" t="inlineStr">
        <is>
          <t>CLOSE</t>
        </is>
      </c>
      <c r="U501" s="24" t="inlineStr">
        <is>
          <t>Additional Austria/Czechia benchmark. Original assignment and match quality retained.</t>
        </is>
      </c>
      <c r="V501" s="98" t="n">
        <v>1.06</v>
      </c>
      <c r="W501" s="98" t="n"/>
      <c r="X501" s="24" t="inlineStr">
        <is>
          <t>research_AT.xlsx</t>
        </is>
      </c>
      <c r="Y501" s="24" t="n"/>
      <c r="Z501" s="24" t="n"/>
      <c r="AA501" s="24" t="n"/>
      <c r="AB501" s="24" t="inlineStr">
        <is>
          <t>EUR</t>
        </is>
      </c>
      <c r="AC501" s="24" t="inlineStr">
        <is>
          <t>yes</t>
        </is>
      </c>
      <c r="AD501" s="24">
        <f>IF(ISNUMBER(V501),V501,"")</f>
        <v/>
      </c>
      <c r="AE501" s="24">
        <f>IF(AND(AC501="yes",ISNUMBER(F501),IF('Compare'!$H$5="All mapped",TRUE,IF('Compare'!$H$5="EXACT only",J501="EXACT",OR(J501="EXACT",J501="CLOSE")))),"yes","no")</f>
        <v/>
      </c>
      <c r="AF501" s="24">
        <f>IF(ISNUMBER(H501),COUNTIFS($B$7:$B$608,B501,$C$7:$C$608,C501,$H$7:$H$608,"&lt;"&amp;H501,$AH$7:$AH$608,"yes")+COUNTIFS($B$7:B501,B501,$C$7:C501,C501,$H$7:H501,H501,$AH$7:AH501,"yes"),"")</f>
        <v/>
      </c>
      <c r="AG501" s="24">
        <f>IF(ISNUMBER(I501),COUNTIFS($B$7:$B$608,B501,$C$7:$C$608,C501,$I$7:$I$608,"&lt;"&amp;I501,$AI$7:$AI$608,"yes")+COUNTIFS($B$7:B501,B501,$C$7:C501,C501,$I$7:I501,I501,$AI$7:AI501,"yes"),"")</f>
        <v/>
      </c>
      <c r="AH501" s="24">
        <f>IF(ISNUMBER(H501),"yes","no")</f>
        <v/>
      </c>
      <c r="AI501" s="24">
        <f>IF(ISNUMBER(I501),"yes","no")</f>
        <v/>
      </c>
      <c r="AJ501" s="101" t="n">
        <v>46295</v>
      </c>
      <c r="AK501" s="24" t="n"/>
    </row>
    <row r="502" ht="42" customHeight="1">
      <c r="A502" s="2" t="n"/>
      <c r="B502" s="27" t="inlineStr">
        <is>
          <t>Squeeze bottle 750 ml, PP, single tip</t>
        </is>
      </c>
      <c r="C502" s="27" t="inlineStr">
        <is>
          <t>Czech</t>
        </is>
      </c>
      <c r="D502" s="27" t="inlineStr">
        <is>
          <t>GGM Gastro (CZ storefront)</t>
        </is>
      </c>
      <c r="E502" s="27" t="inlineStr">
        <is>
          <t>(6 ks) Stlačovací lahev na omáčky se středovou membránou - 710 ml</t>
        </is>
      </c>
      <c r="F502" s="102" t="n">
        <v>827.28</v>
      </c>
      <c r="G502" s="27" t="inlineStr">
        <is>
          <t>CZK</t>
        </is>
      </c>
      <c r="H502" s="102">
        <f>IF(AND(AE502="yes",ISNUMBER(AD502)),AD502,"")</f>
        <v/>
      </c>
      <c r="I502" s="103">
        <f>IF(AND(AE502="yes",ISNUMBER(AD502),ISNUMBER(INDEX('Sources'!$G$7:$G$10,MATCH(AB502,'Sources'!$B$7:$B$10,0)))),AD502/INDEX('Sources'!$G$7:$G$10,MATCH(AB502,'Sources'!$B$7:$B$10,0)),"")</f>
        <v/>
      </c>
      <c r="J502" s="27" t="inlineStr">
        <is>
          <t>CLOSE</t>
        </is>
      </c>
      <c r="K502" s="27" t="inlineStr">
        <is>
          <t>2026-09-30</t>
        </is>
      </c>
      <c r="L502" s="71" t="n"/>
      <c r="M502" s="27" t="inlineStr">
        <is>
          <t>710 ml FIFO bottle with valve, screw cap and closing cap; material not stated</t>
        </is>
      </c>
      <c r="N502" s="28" t="inlineStr">
        <is>
          <t>https://www.ggmgastro.com/cs-cz-czk/6-ks-stlacovaci-lahev-na-omacky-se-stredovou-membranou-710-ml-se-sroubovacim-uzaverem-a-uzaviraci-cepickou-ffo-004</t>
        </is>
      </c>
      <c r="O502" s="27" t="inlineStr">
        <is>
          <t>GGM</t>
        </is>
      </c>
      <c r="P502" s="27" t="inlineStr">
        <is>
          <t>excl.</t>
        </is>
      </c>
      <c r="Q502" s="104" t="n">
        <v>0.19</v>
      </c>
      <c r="R502" s="27" t="n">
        <v>6</v>
      </c>
      <c r="S502" s="27" t="inlineStr">
        <is>
          <t>per pack</t>
        </is>
      </c>
      <c r="T502" s="27" t="inlineStr">
        <is>
          <t>CLOSE</t>
        </is>
      </c>
      <c r="U502" s="27" t="inlineStr">
        <is>
          <t>Additional Austria/Czechia benchmark. Original assignment and match quality retained.</t>
        </is>
      </c>
      <c r="V502" s="102" t="n"/>
      <c r="W502" s="102" t="n"/>
      <c r="X502" s="27" t="inlineStr">
        <is>
          <t>research_CZ.xlsx</t>
        </is>
      </c>
      <c r="Y502" s="27" t="n"/>
      <c r="Z502" s="27" t="n"/>
      <c r="AA502" s="27" t="n"/>
      <c r="AB502" s="27" t="inlineStr">
        <is>
          <t>CZK</t>
        </is>
      </c>
      <c r="AC502" s="27" t="inlineStr">
        <is>
          <t>yes</t>
        </is>
      </c>
      <c r="AD502" s="27">
        <f>IF(OR(F502="",Q502="",R502=""),"",ROUND(IF(P502="incl.",F502/(1+Q502),F502)/IF(S502="per pack",R502,1),2))</f>
        <v/>
      </c>
      <c r="AE502" s="27">
        <f>IF(AND(AC502="yes",ISNUMBER(F502),IF('Compare'!$H$5="All mapped",TRUE,IF('Compare'!$H$5="EXACT only",J502="EXACT",OR(J502="EXACT",J502="CLOSE")))),"yes","no")</f>
        <v/>
      </c>
      <c r="AF502" s="27">
        <f>IF(ISNUMBER(H502),COUNTIFS($B$7:$B$608,B502,$C$7:$C$608,C502,$H$7:$H$608,"&lt;"&amp;H502,$AH$7:$AH$608,"yes")+COUNTIFS($B$7:B502,B502,$C$7:C502,C502,$H$7:H502,H502,$AH$7:AH502,"yes"),"")</f>
        <v/>
      </c>
      <c r="AG502" s="27">
        <f>IF(ISNUMBER(I502),COUNTIFS($B$7:$B$608,B502,$C$7:$C$608,C502,$I$7:$I$608,"&lt;"&amp;I502,$AI$7:$AI$608,"yes")+COUNTIFS($B$7:B502,B502,$C$7:C502,C502,$I$7:I502,I502,$AI$7:AI502,"yes"),"")</f>
        <v/>
      </c>
      <c r="AH502" s="27">
        <f>IF(ISNUMBER(H502),"yes","no")</f>
        <v/>
      </c>
      <c r="AI502" s="27">
        <f>IF(ISNUMBER(I502),"yes","no")</f>
        <v/>
      </c>
      <c r="AJ502" s="105" t="n">
        <v>46295</v>
      </c>
      <c r="AK502" s="27" t="n"/>
    </row>
    <row r="503" ht="42" customHeight="1">
      <c r="A503" s="2" t="n"/>
      <c r="B503" s="24" t="inlineStr">
        <is>
          <t>Squeeze bottle 750 ml, PP, single tip</t>
        </is>
      </c>
      <c r="C503" s="24" t="inlineStr">
        <is>
          <t>Czech</t>
        </is>
      </c>
      <c r="D503" s="24" t="inlineStr">
        <is>
          <t>Gastro Novotný</t>
        </is>
      </c>
      <c r="E503" s="24" t="inlineStr">
        <is>
          <t>Plastová láhev zdobící 708ml</t>
        </is>
      </c>
      <c r="F503" s="98" t="n">
        <v>39</v>
      </c>
      <c r="G503" s="24" t="inlineStr">
        <is>
          <t>CZK</t>
        </is>
      </c>
      <c r="H503" s="98">
        <f>IF(AND(AE503="yes",ISNUMBER(AD503)),AD503,"")</f>
        <v/>
      </c>
      <c r="I503" s="99">
        <f>IF(AND(AE503="yes",ISNUMBER(AD503),ISNUMBER(INDEX('Sources'!$G$7:$G$10,MATCH(AB503,'Sources'!$B$7:$B$10,0)))),AD503/INDEX('Sources'!$G$7:$G$10,MATCH(AB503,'Sources'!$B$7:$B$10,0)),"")</f>
        <v/>
      </c>
      <c r="J503" s="24" t="inlineStr">
        <is>
          <t>CLOSE</t>
        </is>
      </c>
      <c r="K503" s="24" t="inlineStr">
        <is>
          <t>2026-09-30</t>
        </is>
      </c>
      <c r="L503" s="71" t="n"/>
      <c r="M503" s="24" t="inlineStr">
        <is>
          <t>Code 255047026; 708 ml decorating squeeze bottle, single tip; plastic type not stated (flagged); 47.19 CZK incl. VAT</t>
        </is>
      </c>
      <c r="N503" s="25" t="inlineStr">
        <is>
          <t>https://eshop.gastronovotny.cz/plastova-lahev-zdobici-708ml--255047026/</t>
        </is>
      </c>
      <c r="O503" s="24" t="n"/>
      <c r="P503" s="24" t="inlineStr">
        <is>
          <t>excl.</t>
        </is>
      </c>
      <c r="Q503" s="100" t="n">
        <v>0.21</v>
      </c>
      <c r="R503" s="24" t="n">
        <v>1</v>
      </c>
      <c r="S503" s="24" t="inlineStr">
        <is>
          <t>per piece</t>
        </is>
      </c>
      <c r="T503" s="24" t="inlineStr">
        <is>
          <t>CLOSE</t>
        </is>
      </c>
      <c r="U503" s="24" t="inlineStr">
        <is>
          <t>Additional Austria/Czechia benchmark. Original assignment and match quality retained.</t>
        </is>
      </c>
      <c r="V503" s="98" t="n"/>
      <c r="W503" s="98" t="n"/>
      <c r="X503" s="24" t="inlineStr">
        <is>
          <t>research_CZ.xlsx</t>
        </is>
      </c>
      <c r="Y503" s="24" t="n"/>
      <c r="Z503" s="24" t="n"/>
      <c r="AA503" s="24" t="n"/>
      <c r="AB503" s="24" t="inlineStr">
        <is>
          <t>CZK</t>
        </is>
      </c>
      <c r="AC503" s="24" t="inlineStr">
        <is>
          <t>yes</t>
        </is>
      </c>
      <c r="AD503" s="24">
        <f>IF(OR(F503="",Q503="",R503=""),"",ROUND(IF(P503="incl.",F503/(1+Q503),F503)/IF(S503="per pack",R503,1),2))</f>
        <v/>
      </c>
      <c r="AE503" s="24">
        <f>IF(AND(AC503="yes",ISNUMBER(F503),IF('Compare'!$H$5="All mapped",TRUE,IF('Compare'!$H$5="EXACT only",J503="EXACT",OR(J503="EXACT",J503="CLOSE")))),"yes","no")</f>
        <v/>
      </c>
      <c r="AF503" s="24">
        <f>IF(ISNUMBER(H503),COUNTIFS($B$7:$B$608,B503,$C$7:$C$608,C503,$H$7:$H$608,"&lt;"&amp;H503,$AH$7:$AH$608,"yes")+COUNTIFS($B$7:B503,B503,$C$7:C503,C503,$H$7:H503,H503,$AH$7:AH503,"yes"),"")</f>
        <v/>
      </c>
      <c r="AG503" s="24">
        <f>IF(ISNUMBER(I503),COUNTIFS($B$7:$B$608,B503,$C$7:$C$608,C503,$I$7:$I$608,"&lt;"&amp;I503,$AI$7:$AI$608,"yes")+COUNTIFS($B$7:B503,B503,$C$7:C503,C503,$I$7:I503,I503,$AI$7:AI503,"yes"),"")</f>
        <v/>
      </c>
      <c r="AH503" s="24">
        <f>IF(ISNUMBER(H503),"yes","no")</f>
        <v/>
      </c>
      <c r="AI503" s="24">
        <f>IF(ISNUMBER(I503),"yes","no")</f>
        <v/>
      </c>
      <c r="AJ503" s="101" t="n">
        <v>46295</v>
      </c>
      <c r="AK503" s="24" t="n"/>
    </row>
    <row r="504" ht="42" customHeight="1">
      <c r="A504" s="2" t="n"/>
      <c r="B504" s="27" t="inlineStr">
        <is>
          <t>Squeeze bottle 750 ml, PP, single tip</t>
        </is>
      </c>
      <c r="C504" s="27" t="inlineStr">
        <is>
          <t>Czech</t>
        </is>
      </c>
      <c r="D504" s="27" t="inlineStr">
        <is>
          <t>Gastromania</t>
        </is>
      </c>
      <c r="E504" s="27" t="inlineStr">
        <is>
          <t>Dávkovač na omáčky 720 ml, transparentní | TOM-GAST, MA-966</t>
        </is>
      </c>
      <c r="F504" s="102" t="n">
        <v>34</v>
      </c>
      <c r="G504" s="27" t="inlineStr">
        <is>
          <t>CZK</t>
        </is>
      </c>
      <c r="H504" s="102">
        <f>IF(AND(AE504="yes",ISNUMBER(AD504)),AD504,"")</f>
        <v/>
      </c>
      <c r="I504" s="103">
        <f>IF(AND(AE504="yes",ISNUMBER(AD504),ISNUMBER(INDEX('Sources'!$G$7:$G$10,MATCH(AB504,'Sources'!$B$7:$B$10,0)))),AD504/INDEX('Sources'!$G$7:$G$10,MATCH(AB504,'Sources'!$B$7:$B$10,0)),"")</f>
        <v/>
      </c>
      <c r="J504" s="27" t="inlineStr">
        <is>
          <t>CLOSE</t>
        </is>
      </c>
      <c r="K504" s="27" t="inlineStr">
        <is>
          <t>2026-09-30</t>
        </is>
      </c>
      <c r="L504" s="71" t="n"/>
      <c r="M504" s="27" t="inlineStr">
        <is>
          <t>720 ml, polyethylene (not PP); Contacto PE 0.7 l 55 CZK, APS 0.76 l set of 6 361 CZK; price incl. 21% VAT as published in product data (current price, in stock)</t>
        </is>
      </c>
      <c r="N504" s="28" t="inlineStr">
        <is>
          <t>https://www.gastromania.cz/davkovace-omacek/davkovac-na-omacky-720-ml-transparentni-tom-gast-ma-966</t>
        </is>
      </c>
      <c r="O504" s="27" t="inlineStr">
        <is>
          <t>TOMGAST</t>
        </is>
      </c>
      <c r="P504" s="27" t="inlineStr">
        <is>
          <t>incl.</t>
        </is>
      </c>
      <c r="Q504" s="104" t="n">
        <v>0.21</v>
      </c>
      <c r="R504" s="27" t="n">
        <v>1</v>
      </c>
      <c r="S504" s="27" t="inlineStr">
        <is>
          <t>per piece</t>
        </is>
      </c>
      <c r="T504" s="27" t="inlineStr">
        <is>
          <t>CLOSE</t>
        </is>
      </c>
      <c r="U504" s="27" t="inlineStr">
        <is>
          <t>Additional Austria/Czechia benchmark. Original assignment and match quality retained.</t>
        </is>
      </c>
      <c r="V504" s="102" t="n"/>
      <c r="W504" s="102" t="n"/>
      <c r="X504" s="27" t="inlineStr">
        <is>
          <t>research_CZ.xlsx</t>
        </is>
      </c>
      <c r="Y504" s="27" t="n"/>
      <c r="Z504" s="27" t="n"/>
      <c r="AA504" s="27" t="n"/>
      <c r="AB504" s="27" t="inlineStr">
        <is>
          <t>CZK</t>
        </is>
      </c>
      <c r="AC504" s="27" t="inlineStr">
        <is>
          <t>yes</t>
        </is>
      </c>
      <c r="AD504" s="27">
        <f>IF(OR(F504="",Q504="",R504=""),"",ROUND(IF(P504="incl.",F504/(1+Q504),F504)/IF(S504="per pack",R504,1),2))</f>
        <v/>
      </c>
      <c r="AE504" s="27">
        <f>IF(AND(AC504="yes",ISNUMBER(F504),IF('Compare'!$H$5="All mapped",TRUE,IF('Compare'!$H$5="EXACT only",J504="EXACT",OR(J504="EXACT",J504="CLOSE")))),"yes","no")</f>
        <v/>
      </c>
      <c r="AF504" s="27">
        <f>IF(ISNUMBER(H504),COUNTIFS($B$7:$B$608,B504,$C$7:$C$608,C504,$H$7:$H$608,"&lt;"&amp;H504,$AH$7:$AH$608,"yes")+COUNTIFS($B$7:B504,B504,$C$7:C504,C504,$H$7:H504,H504,$AH$7:AH504,"yes"),"")</f>
        <v/>
      </c>
      <c r="AG504" s="27">
        <f>IF(ISNUMBER(I504),COUNTIFS($B$7:$B$608,B504,$C$7:$C$608,C504,$I$7:$I$608,"&lt;"&amp;I504,$AI$7:$AI$608,"yes")+COUNTIFS($B$7:B504,B504,$C$7:C504,C504,$I$7:I504,I504,$AI$7:AI504,"yes"),"")</f>
        <v/>
      </c>
      <c r="AH504" s="27">
        <f>IF(ISNUMBER(H504),"yes","no")</f>
        <v/>
      </c>
      <c r="AI504" s="27">
        <f>IF(ISNUMBER(I504),"yes","no")</f>
        <v/>
      </c>
      <c r="AJ504" s="105" t="n">
        <v>46295</v>
      </c>
      <c r="AK504" s="27" t="n"/>
    </row>
    <row r="505" ht="42" customHeight="1">
      <c r="A505" s="2" t="n"/>
      <c r="B505" s="24" t="inlineStr">
        <is>
          <t>Squeeze bottle 750 ml, PP, single tip</t>
        </is>
      </c>
      <c r="C505" s="24" t="inlineStr">
        <is>
          <t>Czech</t>
        </is>
      </c>
      <c r="D505" s="24" t="inlineStr">
        <is>
          <t>Gastrozone</t>
        </is>
      </c>
      <c r="E505" s="24" t="inlineStr">
        <is>
          <t>ARAVEN Mačkací láhev, LDPE, ø: 75 mm, výška: 273 mm, objem: 0,75 L, bílá</t>
        </is>
      </c>
      <c r="F505" s="98" t="n">
        <v>154</v>
      </c>
      <c r="G505" s="24" t="inlineStr">
        <is>
          <t>CZK</t>
        </is>
      </c>
      <c r="H505" s="98">
        <f>IF(AND(AE505="yes",ISNUMBER(AD505)),AD505,"")</f>
        <v/>
      </c>
      <c r="I505" s="99">
        <f>IF(AND(AE505="yes",ISNUMBER(AD505),ISNUMBER(INDEX('Sources'!$G$7:$G$10,MATCH(AB505,'Sources'!$B$7:$B$10,0)))),AD505/INDEX('Sources'!$G$7:$G$10,MATCH(AB505,'Sources'!$B$7:$B$10,0)),"")</f>
        <v/>
      </c>
      <c r="J505" s="24" t="inlineStr">
        <is>
          <t>CLOSE</t>
        </is>
      </c>
      <c r="K505" s="24" t="inlineStr">
        <is>
          <t>2026-09-30</t>
        </is>
      </c>
      <c r="L505" s="71" t="n"/>
      <c r="M505" s="24" t="inlineStr">
        <is>
          <t>127.27 CZK bez DPH; 750 ml but LDPE (not PP). Cheaper: Contacto 700 ml PE 54 CZK, HENDI 0.7 l LDPE 74 CZK</t>
        </is>
      </c>
      <c r="N505" s="25" t="inlineStr">
        <is>
          <t>https://www.gastrozone.cz/araven-stlacovaci-lahev-ldpe-o-75-mm-vyska-273-mm-objem-0-75-l-bila.html</t>
        </is>
      </c>
      <c r="O505" s="24" t="inlineStr">
        <is>
          <t>Araven</t>
        </is>
      </c>
      <c r="P505" s="24" t="inlineStr">
        <is>
          <t>incl.</t>
        </is>
      </c>
      <c r="Q505" s="100" t="n">
        <v>0.21</v>
      </c>
      <c r="R505" s="24" t="n">
        <v>1</v>
      </c>
      <c r="S505" s="24" t="inlineStr">
        <is>
          <t>per piece</t>
        </is>
      </c>
      <c r="T505" s="24" t="inlineStr">
        <is>
          <t>CLOSE</t>
        </is>
      </c>
      <c r="U505" s="24" t="inlineStr">
        <is>
          <t>Additional Austria/Czechia benchmark. Original assignment and match quality retained.</t>
        </is>
      </c>
      <c r="V505" s="98" t="n"/>
      <c r="W505" s="98" t="n"/>
      <c r="X505" s="24" t="inlineStr">
        <is>
          <t>research_CZ.xlsx</t>
        </is>
      </c>
      <c r="Y505" s="24" t="n"/>
      <c r="Z505" s="24" t="n"/>
      <c r="AA505" s="24" t="n"/>
      <c r="AB505" s="24" t="inlineStr">
        <is>
          <t>CZK</t>
        </is>
      </c>
      <c r="AC505" s="24" t="inlineStr">
        <is>
          <t>yes</t>
        </is>
      </c>
      <c r="AD505" s="24">
        <f>IF(OR(F505="",Q505="",R505=""),"",ROUND(IF(P505="incl.",F505/(1+Q505),F505)/IF(S505="per pack",R505,1),2))</f>
        <v/>
      </c>
      <c r="AE505" s="24">
        <f>IF(AND(AC505="yes",ISNUMBER(F505),IF('Compare'!$H$5="All mapped",TRUE,IF('Compare'!$H$5="EXACT only",J505="EXACT",OR(J505="EXACT",J505="CLOSE")))),"yes","no")</f>
        <v/>
      </c>
      <c r="AF505" s="24">
        <f>IF(ISNUMBER(H505),COUNTIFS($B$7:$B$608,B505,$C$7:$C$608,C505,$H$7:$H$608,"&lt;"&amp;H505,$AH$7:$AH$608,"yes")+COUNTIFS($B$7:B505,B505,$C$7:C505,C505,$H$7:H505,H505,$AH$7:AH505,"yes"),"")</f>
        <v/>
      </c>
      <c r="AG505" s="24">
        <f>IF(ISNUMBER(I505),COUNTIFS($B$7:$B$608,B505,$C$7:$C$608,C505,$I$7:$I$608,"&lt;"&amp;I505,$AI$7:$AI$608,"yes")+COUNTIFS($B$7:B505,B505,$C$7:C505,C505,$I$7:I505,I505,$AI$7:AI505,"yes"),"")</f>
        <v/>
      </c>
      <c r="AH505" s="24">
        <f>IF(ISNUMBER(H505),"yes","no")</f>
        <v/>
      </c>
      <c r="AI505" s="24">
        <f>IF(ISNUMBER(I505),"yes","no")</f>
        <v/>
      </c>
      <c r="AJ505" s="101" t="n">
        <v>46295</v>
      </c>
      <c r="AK505" s="24" t="n"/>
    </row>
    <row r="506" ht="42" customHeight="1">
      <c r="A506" s="2" t="n"/>
      <c r="B506" s="27" t="inlineStr">
        <is>
          <t>Squeeze bottle 750 ml, PP, single tip</t>
        </is>
      </c>
      <c r="C506" s="27" t="inlineStr">
        <is>
          <t>Czech</t>
        </is>
      </c>
      <c r="D506" s="27" t="inlineStr">
        <is>
          <t>TOMGAST</t>
        </is>
      </c>
      <c r="E506" s="27" t="inlineStr">
        <is>
          <t>Dávkovač na omáčky 720 ml, transparentní</t>
        </is>
      </c>
      <c r="F506" s="102" t="n">
        <v>34</v>
      </c>
      <c r="G506" s="27" t="inlineStr">
        <is>
          <t>CZK</t>
        </is>
      </c>
      <c r="H506" s="102">
        <f>IF(AND(AE506="yes",ISNUMBER(AD506)),AD506,"")</f>
        <v/>
      </c>
      <c r="I506" s="103">
        <f>IF(AND(AE506="yes",ISNUMBER(AD506),ISNUMBER(INDEX('Sources'!$G$7:$G$10,MATCH(AB506,'Sources'!$B$7:$B$10,0)))),AD506/INDEX('Sources'!$G$7:$G$10,MATCH(AB506,'Sources'!$B$7:$B$10,0)),"")</f>
        <v/>
      </c>
      <c r="J506" s="27" t="inlineStr">
        <is>
          <t>CLOSE</t>
        </is>
      </c>
      <c r="K506" s="27" t="inlineStr">
        <is>
          <t>2026-09-30</t>
        </is>
      </c>
      <c r="L506" s="71" t="n"/>
      <c r="M506" s="27" t="inlineStr">
        <is>
          <t>Code MA-966; 720 ml, polyethylene (not PP); 28 CZK bez DPH. Laco 700 ml (E-61970) is 64 CZK incl.</t>
        </is>
      </c>
      <c r="N506" s="28" t="inlineStr">
        <is>
          <t>https://www.tomgast.cz/davkovac-na-omacky-720-ml--transparentni/</t>
        </is>
      </c>
      <c r="O506" s="27" t="inlineStr">
        <is>
          <t>TOMGAST</t>
        </is>
      </c>
      <c r="P506" s="27" t="inlineStr">
        <is>
          <t>incl.</t>
        </is>
      </c>
      <c r="Q506" s="104" t="n">
        <v>0.21</v>
      </c>
      <c r="R506" s="27" t="n">
        <v>1</v>
      </c>
      <c r="S506" s="27" t="inlineStr">
        <is>
          <t>per piece</t>
        </is>
      </c>
      <c r="T506" s="27" t="inlineStr">
        <is>
          <t>CLOSE</t>
        </is>
      </c>
      <c r="U506" s="27" t="inlineStr">
        <is>
          <t>Additional Austria/Czechia benchmark. Original assignment and match quality retained.</t>
        </is>
      </c>
      <c r="V506" s="102" t="n"/>
      <c r="W506" s="102" t="n"/>
      <c r="X506" s="27" t="inlineStr">
        <is>
          <t>research_CZ.xlsx</t>
        </is>
      </c>
      <c r="Y506" s="27" t="n"/>
      <c r="Z506" s="27" t="n"/>
      <c r="AA506" s="27" t="n"/>
      <c r="AB506" s="27" t="inlineStr">
        <is>
          <t>CZK</t>
        </is>
      </c>
      <c r="AC506" s="27" t="inlineStr">
        <is>
          <t>yes</t>
        </is>
      </c>
      <c r="AD506" s="27">
        <f>IF(OR(F506="",Q506="",R506=""),"",ROUND(IF(P506="incl.",F506/(1+Q506),F506)/IF(S506="per pack",R506,1),2))</f>
        <v/>
      </c>
      <c r="AE506" s="27">
        <f>IF(AND(AC506="yes",ISNUMBER(F506),IF('Compare'!$H$5="All mapped",TRUE,IF('Compare'!$H$5="EXACT only",J506="EXACT",OR(J506="EXACT",J506="CLOSE")))),"yes","no")</f>
        <v/>
      </c>
      <c r="AF506" s="27">
        <f>IF(ISNUMBER(H506),COUNTIFS($B$7:$B$608,B506,$C$7:$C$608,C506,$H$7:$H$608,"&lt;"&amp;H506,$AH$7:$AH$608,"yes")+COUNTIFS($B$7:B506,B506,$C$7:C506,C506,$H$7:H506,H506,$AH$7:AH506,"yes"),"")</f>
        <v/>
      </c>
      <c r="AG506" s="27">
        <f>IF(ISNUMBER(I506),COUNTIFS($B$7:$B$608,B506,$C$7:$C$608,C506,$I$7:$I$608,"&lt;"&amp;I506,$AI$7:$AI$608,"yes")+COUNTIFS($B$7:B506,B506,$C$7:C506,C506,$I$7:I506,I506,$AI$7:AI506,"yes"),"")</f>
        <v/>
      </c>
      <c r="AH506" s="27">
        <f>IF(ISNUMBER(H506),"yes","no")</f>
        <v/>
      </c>
      <c r="AI506" s="27">
        <f>IF(ISNUMBER(I506),"yes","no")</f>
        <v/>
      </c>
      <c r="AJ506" s="105" t="n">
        <v>46295</v>
      </c>
      <c r="AK506" s="27" t="n"/>
    </row>
    <row r="507" ht="42" customHeight="1">
      <c r="A507" s="2" t="n"/>
      <c r="B507" s="24" t="inlineStr">
        <is>
          <t>Red PE cutting board 400 × 300 × 20 mm</t>
        </is>
      </c>
      <c r="C507" s="24" t="inlineStr">
        <is>
          <t>Austria</t>
        </is>
      </c>
      <c r="D507" s="24" t="inlineStr">
        <is>
          <t>ALLPAX Österreich</t>
        </is>
      </c>
      <c r="E507" s="24" t="inlineStr">
        <is>
          <t>Hendi Schneidebrett 45 x 30 cm in Rot</t>
        </is>
      </c>
      <c r="F507" s="98" t="n">
        <v>11.59</v>
      </c>
      <c r="G507" s="24" t="inlineStr">
        <is>
          <t>EUR</t>
        </is>
      </c>
      <c r="H507" s="98">
        <f>IF(AND(AE507="yes",ISNUMBER(AD507)),AD507,"")</f>
        <v/>
      </c>
      <c r="I507" s="99">
        <f>IF(AND(AE507="yes",ISNUMBER(AD507),ISNUMBER(INDEX('Sources'!$G$7:$G$10,MATCH(AB507,'Sources'!$B$7:$B$10,0)))),AD507/INDEX('Sources'!$G$7:$G$10,MATCH(AB507,'Sources'!$B$7:$B$10,0)),"")</f>
        <v/>
      </c>
      <c r="J507" s="24" t="inlineStr">
        <is>
          <t>APPROX</t>
        </is>
      </c>
      <c r="K507" s="24" t="inlineStr">
        <is>
          <t>2026-09-30</t>
        </is>
      </c>
      <c r="L507" s="71" t="n"/>
      <c r="M507" s="24" t="inlineStr">
        <is>
          <t>Red, 450x300x13 mm (vs 400x300x20)</t>
        </is>
      </c>
      <c r="N507" s="25" t="inlineStr">
        <is>
          <t>https://www.allpax.at/product_info.php/info/Hendi-Schneidebrett-45-x-30-cm-in-Rot.html</t>
        </is>
      </c>
      <c r="O507" s="24" t="inlineStr">
        <is>
          <t>Hendi</t>
        </is>
      </c>
      <c r="P507" s="24" t="inlineStr">
        <is>
          <t>excl.</t>
        </is>
      </c>
      <c r="Q507" s="100" t="n"/>
      <c r="R507" s="24" t="n">
        <v>1</v>
      </c>
      <c r="S507" s="24" t="n"/>
      <c r="T507" s="24" t="inlineStr">
        <is>
          <t>APPROX</t>
        </is>
      </c>
      <c r="U507" s="24" t="inlineStr">
        <is>
          <t>Additional Austria/Czechia benchmark. Original assignment and match quality retained.</t>
        </is>
      </c>
      <c r="V507" s="98" t="n">
        <v>11.59</v>
      </c>
      <c r="W507" s="98" t="n"/>
      <c r="X507" s="24" t="inlineStr">
        <is>
          <t>research_AT.xlsx</t>
        </is>
      </c>
      <c r="Y507" s="24" t="n"/>
      <c r="Z507" s="24" t="n"/>
      <c r="AA507" s="24" t="n"/>
      <c r="AB507" s="24" t="inlineStr">
        <is>
          <t>EUR</t>
        </is>
      </c>
      <c r="AC507" s="24" t="inlineStr">
        <is>
          <t>yes</t>
        </is>
      </c>
      <c r="AD507" s="24">
        <f>IF(ISNUMBER(V507),V507,"")</f>
        <v/>
      </c>
      <c r="AE507" s="24">
        <f>IF(AND(AC507="yes",ISNUMBER(F507),IF('Compare'!$H$5="All mapped",TRUE,IF('Compare'!$H$5="EXACT only",J507="EXACT",OR(J507="EXACT",J507="CLOSE")))),"yes","no")</f>
        <v/>
      </c>
      <c r="AF507" s="24">
        <f>IF(ISNUMBER(H507),COUNTIFS($B$7:$B$608,B507,$C$7:$C$608,C507,$H$7:$H$608,"&lt;"&amp;H507,$AH$7:$AH$608,"yes")+COUNTIFS($B$7:B507,B507,$C$7:C507,C507,$H$7:H507,H507,$AH$7:AH507,"yes"),"")</f>
        <v/>
      </c>
      <c r="AG507" s="24">
        <f>IF(ISNUMBER(I507),COUNTIFS($B$7:$B$608,B507,$C$7:$C$608,C507,$I$7:$I$608,"&lt;"&amp;I507,$AI$7:$AI$608,"yes")+COUNTIFS($B$7:B507,B507,$C$7:C507,C507,$I$7:I507,I507,$AI$7:AI507,"yes"),"")</f>
        <v/>
      </c>
      <c r="AH507" s="24">
        <f>IF(ISNUMBER(H507),"yes","no")</f>
        <v/>
      </c>
      <c r="AI507" s="24">
        <f>IF(ISNUMBER(I507),"yes","no")</f>
        <v/>
      </c>
      <c r="AJ507" s="101" t="n">
        <v>46295</v>
      </c>
      <c r="AK507" s="24" t="n"/>
    </row>
    <row r="508" ht="42" customHeight="1">
      <c r="A508" s="2" t="n"/>
      <c r="B508" s="27" t="inlineStr">
        <is>
          <t>Red PE cutting board 400 × 300 × 20 mm</t>
        </is>
      </c>
      <c r="C508" s="27" t="inlineStr">
        <is>
          <t>Austria</t>
        </is>
      </c>
      <c r="D508" s="27" t="inlineStr">
        <is>
          <t>GGM Gastro (Austrian storefront)</t>
        </is>
      </c>
      <c r="E508" s="27" t="inlineStr">
        <is>
          <t>Schneidebrett - 250x400mm - HACCP-Konform - Rot</t>
        </is>
      </c>
      <c r="F508" s="102" t="n">
        <v>16.99</v>
      </c>
      <c r="G508" s="27" t="inlineStr">
        <is>
          <t>EUR</t>
        </is>
      </c>
      <c r="H508" s="102">
        <f>IF(AND(AE508="yes",ISNUMBER(AD508)),AD508,"")</f>
        <v/>
      </c>
      <c r="I508" s="103">
        <f>IF(AND(AE508="yes",ISNUMBER(AD508),ISNUMBER(INDEX('Sources'!$G$7:$G$10,MATCH(AB508,'Sources'!$B$7:$B$10,0)))),AD508/INDEX('Sources'!$G$7:$G$10,MATCH(AB508,'Sources'!$B$7:$B$10,0)),"")</f>
        <v/>
      </c>
      <c r="J508" s="27" t="inlineStr">
        <is>
          <t>APPROX</t>
        </is>
      </c>
      <c r="K508" s="27" t="inlineStr">
        <is>
          <t>2026-09-30</t>
        </is>
      </c>
      <c r="L508" s="71" t="n"/>
      <c r="M508" s="27" t="inlineStr">
        <is>
          <t>Red HACCP board but 250x400 mm (vs 400x300)</t>
        </is>
      </c>
      <c r="N508" s="28" t="inlineStr">
        <is>
          <t>https://www.ggmgastro.com/de-at-eur/schneidebrett-250x400mm-haccp-konform-rot-sbp25r</t>
        </is>
      </c>
      <c r="O508" s="27" t="inlineStr">
        <is>
          <t>GGM</t>
        </is>
      </c>
      <c r="P508" s="27" t="inlineStr">
        <is>
          <t>excl.</t>
        </is>
      </c>
      <c r="Q508" s="104" t="n"/>
      <c r="R508" s="27" t="n">
        <v>1</v>
      </c>
      <c r="S508" s="27" t="n"/>
      <c r="T508" s="27" t="inlineStr">
        <is>
          <t>APPROX</t>
        </is>
      </c>
      <c r="U508" s="27" t="inlineStr">
        <is>
          <t>Additional Austria/Czechia benchmark. Original assignment and match quality retained.</t>
        </is>
      </c>
      <c r="V508" s="102" t="n">
        <v>16.99</v>
      </c>
      <c r="W508" s="102" t="n"/>
      <c r="X508" s="27" t="inlineStr">
        <is>
          <t>research_AT.xlsx</t>
        </is>
      </c>
      <c r="Y508" s="27" t="n"/>
      <c r="Z508" s="27" t="n"/>
      <c r="AA508" s="27" t="n"/>
      <c r="AB508" s="27" t="inlineStr">
        <is>
          <t>EUR</t>
        </is>
      </c>
      <c r="AC508" s="27" t="inlineStr">
        <is>
          <t>yes</t>
        </is>
      </c>
      <c r="AD508" s="27">
        <f>IF(ISNUMBER(V508),V508,"")</f>
        <v/>
      </c>
      <c r="AE508" s="27">
        <f>IF(AND(AC508="yes",ISNUMBER(F508),IF('Compare'!$H$5="All mapped",TRUE,IF('Compare'!$H$5="EXACT only",J508="EXACT",OR(J508="EXACT",J508="CLOSE")))),"yes","no")</f>
        <v/>
      </c>
      <c r="AF508" s="27">
        <f>IF(ISNUMBER(H508),COUNTIFS($B$7:$B$608,B508,$C$7:$C$608,C508,$H$7:$H$608,"&lt;"&amp;H508,$AH$7:$AH$608,"yes")+COUNTIFS($B$7:B508,B508,$C$7:C508,C508,$H$7:H508,H508,$AH$7:AH508,"yes"),"")</f>
        <v/>
      </c>
      <c r="AG508" s="27">
        <f>IF(ISNUMBER(I508),COUNTIFS($B$7:$B$608,B508,$C$7:$C$608,C508,$I$7:$I$608,"&lt;"&amp;I508,$AI$7:$AI$608,"yes")+COUNTIFS($B$7:B508,B508,$C$7:C508,C508,$I$7:I508,I508,$AI$7:AI508,"yes"),"")</f>
        <v/>
      </c>
      <c r="AH508" s="27">
        <f>IF(ISNUMBER(H508),"yes","no")</f>
        <v/>
      </c>
      <c r="AI508" s="27">
        <f>IF(ISNUMBER(I508),"yes","no")</f>
        <v/>
      </c>
      <c r="AJ508" s="105" t="n">
        <v>46295</v>
      </c>
      <c r="AK508" s="27" t="n"/>
    </row>
    <row r="509" ht="42" customHeight="1">
      <c r="A509" s="2" t="n"/>
      <c r="B509" s="24" t="inlineStr">
        <is>
          <t>Red PE cutting board 400 × 300 × 20 mm</t>
        </is>
      </c>
      <c r="C509" s="24" t="inlineStr">
        <is>
          <t>Austria</t>
        </is>
      </c>
      <c r="D509" s="24" t="inlineStr">
        <is>
          <t>GastroHero Österreich</t>
        </is>
      </c>
      <c r="E509" s="24" t="inlineStr">
        <is>
          <t>Schneidbrett 45 x 30 x 1,3 cm - HDPE rot</t>
        </is>
      </c>
      <c r="F509" s="98" t="n">
        <v>26.29</v>
      </c>
      <c r="G509" s="24" t="inlineStr">
        <is>
          <t>EUR</t>
        </is>
      </c>
      <c r="H509" s="98">
        <f>IF(AND(AE509="yes",ISNUMBER(AD509)),AD509,"")</f>
        <v/>
      </c>
      <c r="I509" s="99">
        <f>IF(AND(AE509="yes",ISNUMBER(AD509),ISNUMBER(INDEX('Sources'!$G$7:$G$10,MATCH(AB509,'Sources'!$B$7:$B$10,0)))),AD509/INDEX('Sources'!$G$7:$G$10,MATCH(AB509,'Sources'!$B$7:$B$10,0)),"")</f>
        <v/>
      </c>
      <c r="J509" s="24" t="inlineStr">
        <is>
          <t>APPROX</t>
        </is>
      </c>
      <c r="K509" s="24" t="inlineStr">
        <is>
          <t>2026-09-30</t>
        </is>
      </c>
      <c r="L509" s="71" t="n"/>
      <c r="M509" s="24" t="inlineStr">
        <is>
          <t>Red HDPE but 450x300x13 mm (vs 400x300x20)</t>
        </is>
      </c>
      <c r="N509" s="25" t="inlineStr">
        <is>
          <t>https://www.gastro-hero.at/products/schneidbrett-45-x-30-x-1-3-cm-hdpe-rot</t>
        </is>
      </c>
      <c r="O509" s="24" t="inlineStr">
        <is>
          <t>Hendi</t>
        </is>
      </c>
      <c r="P509" s="24" t="inlineStr">
        <is>
          <t>excl.</t>
        </is>
      </c>
      <c r="Q509" s="100" t="n"/>
      <c r="R509" s="24" t="n">
        <v>1</v>
      </c>
      <c r="S509" s="24" t="n"/>
      <c r="T509" s="24" t="inlineStr">
        <is>
          <t>APPROX</t>
        </is>
      </c>
      <c r="U509" s="24" t="inlineStr">
        <is>
          <t>Additional Austria/Czechia benchmark. Original assignment and match quality retained.</t>
        </is>
      </c>
      <c r="V509" s="98" t="n">
        <v>26.29</v>
      </c>
      <c r="W509" s="98" t="n"/>
      <c r="X509" s="24" t="inlineStr">
        <is>
          <t>research_AT.xlsx</t>
        </is>
      </c>
      <c r="Y509" s="24" t="n"/>
      <c r="Z509" s="24" t="n"/>
      <c r="AA509" s="24" t="n"/>
      <c r="AB509" s="24" t="inlineStr">
        <is>
          <t>EUR</t>
        </is>
      </c>
      <c r="AC509" s="24" t="inlineStr">
        <is>
          <t>yes</t>
        </is>
      </c>
      <c r="AD509" s="24">
        <f>IF(ISNUMBER(V509),V509,"")</f>
        <v/>
      </c>
      <c r="AE509" s="24">
        <f>IF(AND(AC509="yes",ISNUMBER(F509),IF('Compare'!$H$5="All mapped",TRUE,IF('Compare'!$H$5="EXACT only",J509="EXACT",OR(J509="EXACT",J509="CLOSE")))),"yes","no")</f>
        <v/>
      </c>
      <c r="AF509" s="24">
        <f>IF(ISNUMBER(H509),COUNTIFS($B$7:$B$608,B509,$C$7:$C$608,C509,$H$7:$H$608,"&lt;"&amp;H509,$AH$7:$AH$608,"yes")+COUNTIFS($B$7:B509,B509,$C$7:C509,C509,$H$7:H509,H509,$AH$7:AH509,"yes"),"")</f>
        <v/>
      </c>
      <c r="AG509" s="24">
        <f>IF(ISNUMBER(I509),COUNTIFS($B$7:$B$608,B509,$C$7:$C$608,C509,$I$7:$I$608,"&lt;"&amp;I509,$AI$7:$AI$608,"yes")+COUNTIFS($B$7:B509,B509,$C$7:C509,C509,$I$7:I509,I509,$AI$7:AI509,"yes"),"")</f>
        <v/>
      </c>
      <c r="AH509" s="24">
        <f>IF(ISNUMBER(H509),"yes","no")</f>
        <v/>
      </c>
      <c r="AI509" s="24">
        <f>IF(ISNUMBER(I509),"yes","no")</f>
        <v/>
      </c>
      <c r="AJ509" s="101" t="n">
        <v>46295</v>
      </c>
      <c r="AK509" s="24" t="n"/>
    </row>
    <row r="510" ht="42" customHeight="1">
      <c r="A510" s="2" t="n"/>
      <c r="B510" s="27" t="inlineStr">
        <is>
          <t>Red PE cutting board 400 × 300 × 20 mm</t>
        </is>
      </c>
      <c r="C510" s="27" t="inlineStr">
        <is>
          <t>Austria</t>
        </is>
      </c>
      <c r="D510" s="27" t="inlineStr">
        <is>
          <t>Gastrodax</t>
        </is>
      </c>
      <c r="E510" s="27" t="inlineStr">
        <is>
          <t>Hendi Schneidbretter HACCP 450x300, Rot</t>
        </is>
      </c>
      <c r="F510" s="102" t="n">
        <v>16.88</v>
      </c>
      <c r="G510" s="27" t="inlineStr">
        <is>
          <t>EUR</t>
        </is>
      </c>
      <c r="H510" s="102">
        <f>IF(AND(AE510="yes",ISNUMBER(AD510)),AD510,"")</f>
        <v/>
      </c>
      <c r="I510" s="103">
        <f>IF(AND(AE510="yes",ISNUMBER(AD510),ISNUMBER(INDEX('Sources'!$G$7:$G$10,MATCH(AB510,'Sources'!$B$7:$B$10,0)))),AD510/INDEX('Sources'!$G$7:$G$10,MATCH(AB510,'Sources'!$B$7:$B$10,0)),"")</f>
        <v/>
      </c>
      <c r="J510" s="27" t="inlineStr">
        <is>
          <t>APPROX</t>
        </is>
      </c>
      <c r="K510" s="27" t="inlineStr">
        <is>
          <t>2026-09-30</t>
        </is>
      </c>
      <c r="L510" s="71" t="n"/>
      <c r="M510" s="27" t="inlineStr">
        <is>
          <t>Red, 450x300 mm (vs 400x300); thickness not checked</t>
        </is>
      </c>
      <c r="N510" s="28" t="inlineStr">
        <is>
          <t>https://www.gastrodax.de/hendi-schneidbretter-haccp-450-x-300-mm-rot</t>
        </is>
      </c>
      <c r="O510" s="27" t="inlineStr">
        <is>
          <t>Hendi</t>
        </is>
      </c>
      <c r="P510" s="27" t="inlineStr">
        <is>
          <t>excl.</t>
        </is>
      </c>
      <c r="Q510" s="104" t="n"/>
      <c r="R510" s="27" t="n">
        <v>1</v>
      </c>
      <c r="S510" s="27" t="n"/>
      <c r="T510" s="27" t="inlineStr">
        <is>
          <t>APPROX</t>
        </is>
      </c>
      <c r="U510" s="27" t="inlineStr">
        <is>
          <t>Additional Austria/Czechia benchmark. Original assignment and match quality retained.</t>
        </is>
      </c>
      <c r="V510" s="102" t="n">
        <v>16.88</v>
      </c>
      <c r="W510" s="102" t="n"/>
      <c r="X510" s="27" t="inlineStr">
        <is>
          <t>research_AT.xlsx</t>
        </is>
      </c>
      <c r="Y510" s="27" t="n"/>
      <c r="Z510" s="27" t="n"/>
      <c r="AA510" s="27" t="n"/>
      <c r="AB510" s="27" t="inlineStr">
        <is>
          <t>EUR</t>
        </is>
      </c>
      <c r="AC510" s="27" t="inlineStr">
        <is>
          <t>yes</t>
        </is>
      </c>
      <c r="AD510" s="27">
        <f>IF(ISNUMBER(V510),V510,"")</f>
        <v/>
      </c>
      <c r="AE510" s="27">
        <f>IF(AND(AC510="yes",ISNUMBER(F510),IF('Compare'!$H$5="All mapped",TRUE,IF('Compare'!$H$5="EXACT only",J510="EXACT",OR(J510="EXACT",J510="CLOSE")))),"yes","no")</f>
        <v/>
      </c>
      <c r="AF510" s="27">
        <f>IF(ISNUMBER(H510),COUNTIFS($B$7:$B$608,B510,$C$7:$C$608,C510,$H$7:$H$608,"&lt;"&amp;H510,$AH$7:$AH$608,"yes")+COUNTIFS($B$7:B510,B510,$C$7:C510,C510,$H$7:H510,H510,$AH$7:AH510,"yes"),"")</f>
        <v/>
      </c>
      <c r="AG510" s="27">
        <f>IF(ISNUMBER(I510),COUNTIFS($B$7:$B$608,B510,$C$7:$C$608,C510,$I$7:$I$608,"&lt;"&amp;I510,$AI$7:$AI$608,"yes")+COUNTIFS($B$7:B510,B510,$C$7:C510,C510,$I$7:I510,I510,$AI$7:AI510,"yes"),"")</f>
        <v/>
      </c>
      <c r="AH510" s="27">
        <f>IF(ISNUMBER(H510),"yes","no")</f>
        <v/>
      </c>
      <c r="AI510" s="27">
        <f>IF(ISNUMBER(I510),"yes","no")</f>
        <v/>
      </c>
      <c r="AJ510" s="105" t="n">
        <v>46295</v>
      </c>
      <c r="AK510" s="27" t="n"/>
    </row>
    <row r="511" ht="42" customHeight="1">
      <c r="A511" s="2" t="n"/>
      <c r="B511" s="24" t="inlineStr">
        <is>
          <t>Red PE cutting board 400 × 300 × 20 mm</t>
        </is>
      </c>
      <c r="C511" s="24" t="inlineStr">
        <is>
          <t>Austria</t>
        </is>
      </c>
      <c r="D511" s="24" t="inlineStr">
        <is>
          <t>Gastroladen.at (Harotec GmbH)</t>
        </is>
      </c>
      <c r="E511" s="24" t="inlineStr">
        <is>
          <t>Hygiplas standard Schneidebrett mit hoher Dichte rot 450x300x12mm</t>
        </is>
      </c>
      <c r="F511" s="98" t="n">
        <v>15.89</v>
      </c>
      <c r="G511" s="24" t="inlineStr">
        <is>
          <t>EUR</t>
        </is>
      </c>
      <c r="H511" s="98">
        <f>IF(AND(AE511="yes",ISNUMBER(AD511)),AD511,"")</f>
        <v/>
      </c>
      <c r="I511" s="99">
        <f>IF(AND(AE511="yes",ISNUMBER(AD511),ISNUMBER(INDEX('Sources'!$G$7:$G$10,MATCH(AB511,'Sources'!$B$7:$B$10,0)))),AD511/INDEX('Sources'!$G$7:$G$10,MATCH(AB511,'Sources'!$B$7:$B$10,0)),"")</f>
        <v/>
      </c>
      <c r="J511" s="24" t="inlineStr">
        <is>
          <t>APPROX</t>
        </is>
      </c>
      <c r="K511" s="24" t="inlineStr">
        <is>
          <t>2026-09-30</t>
        </is>
      </c>
      <c r="L511" s="71" t="n"/>
      <c r="M511" s="24" t="inlineStr">
        <is>
          <t>Red HDPE but 450x300x12 mm (vs 400x300x20)</t>
        </is>
      </c>
      <c r="N511" s="25" t="inlineStr">
        <is>
          <t>https://www.gastroladen.at/2310@GN-J010/Hygiplas-standard-Schneidebrett-mit-hoher-Dichte-rot.htm</t>
        </is>
      </c>
      <c r="O511" s="24" t="inlineStr">
        <is>
          <t>Hygiplas</t>
        </is>
      </c>
      <c r="P511" s="24" t="inlineStr">
        <is>
          <t>incl.</t>
        </is>
      </c>
      <c r="Q511" s="100" t="n"/>
      <c r="R511" s="24" t="n">
        <v>1</v>
      </c>
      <c r="S511" s="24" t="n"/>
      <c r="T511" s="24" t="inlineStr">
        <is>
          <t>APPROX</t>
        </is>
      </c>
      <c r="U511" s="24" t="inlineStr">
        <is>
          <t>Additional Austria/Czechia benchmark. Original assignment and match quality retained.</t>
        </is>
      </c>
      <c r="V511" s="98" t="n">
        <v>13.24</v>
      </c>
      <c r="W511" s="98" t="n"/>
      <c r="X511" s="24" t="inlineStr">
        <is>
          <t>research_AT.xlsx</t>
        </is>
      </c>
      <c r="Y511" s="24" t="n"/>
      <c r="Z511" s="24" t="n"/>
      <c r="AA511" s="24" t="n"/>
      <c r="AB511" s="24" t="inlineStr">
        <is>
          <t>EUR</t>
        </is>
      </c>
      <c r="AC511" s="24" t="inlineStr">
        <is>
          <t>yes</t>
        </is>
      </c>
      <c r="AD511" s="24">
        <f>IF(ISNUMBER(V511),V511,"")</f>
        <v/>
      </c>
      <c r="AE511" s="24">
        <f>IF(AND(AC511="yes",ISNUMBER(F511),IF('Compare'!$H$5="All mapped",TRUE,IF('Compare'!$H$5="EXACT only",J511="EXACT",OR(J511="EXACT",J511="CLOSE")))),"yes","no")</f>
        <v/>
      </c>
      <c r="AF511" s="24">
        <f>IF(ISNUMBER(H511),COUNTIFS($B$7:$B$608,B511,$C$7:$C$608,C511,$H$7:$H$608,"&lt;"&amp;H511,$AH$7:$AH$608,"yes")+COUNTIFS($B$7:B511,B511,$C$7:C511,C511,$H$7:H511,H511,$AH$7:AH511,"yes"),"")</f>
        <v/>
      </c>
      <c r="AG511" s="24">
        <f>IF(ISNUMBER(I511),COUNTIFS($B$7:$B$608,B511,$C$7:$C$608,C511,$I$7:$I$608,"&lt;"&amp;I511,$AI$7:$AI$608,"yes")+COUNTIFS($B$7:B511,B511,$C$7:C511,C511,$I$7:I511,I511,$AI$7:AI511,"yes"),"")</f>
        <v/>
      </c>
      <c r="AH511" s="24">
        <f>IF(ISNUMBER(H511),"yes","no")</f>
        <v/>
      </c>
      <c r="AI511" s="24">
        <f>IF(ISNUMBER(I511),"yes","no")</f>
        <v/>
      </c>
      <c r="AJ511" s="101" t="n">
        <v>46295</v>
      </c>
      <c r="AK511" s="24" t="n"/>
    </row>
    <row r="512" ht="42" customHeight="1">
      <c r="A512" s="2" t="n"/>
      <c r="B512" s="27" t="inlineStr">
        <is>
          <t>Red PE cutting board 400 × 300 × 20 mm</t>
        </is>
      </c>
      <c r="C512" s="27" t="inlineStr">
        <is>
          <t>Austria</t>
        </is>
      </c>
      <c r="D512" s="27" t="inlineStr">
        <is>
          <t>Intergastro (AT shop)</t>
        </is>
      </c>
      <c r="E512" s="27" t="inlineStr">
        <is>
          <t>Schneidebrett rot HDPE 500, 400 mm x 300 mm</t>
        </is>
      </c>
      <c r="F512" s="102" t="n">
        <v>20.96</v>
      </c>
      <c r="G512" s="27" t="inlineStr">
        <is>
          <t>EUR</t>
        </is>
      </c>
      <c r="H512" s="102">
        <f>IF(AND(AE512="yes",ISNUMBER(AD512)),AD512,"")</f>
        <v/>
      </c>
      <c r="I512" s="103">
        <f>IF(AND(AE512="yes",ISNUMBER(AD512),ISNUMBER(INDEX('Sources'!$G$7:$G$10,MATCH(AB512,'Sources'!$B$7:$B$10,0)))),AD512/INDEX('Sources'!$G$7:$G$10,MATCH(AB512,'Sources'!$B$7:$B$10,0)),"")</f>
        <v/>
      </c>
      <c r="J512" s="27" t="inlineStr">
        <is>
          <t>EXACT</t>
        </is>
      </c>
      <c r="K512" s="27" t="inlineStr">
        <is>
          <t>2026-09-30</t>
        </is>
      </c>
      <c r="L512" s="71" t="n"/>
      <c r="M512" s="27" t="inlineStr">
        <is>
          <t>Red HDPE; 20 mm per the series size list (400 x 300 x H 20 mm)</t>
        </is>
      </c>
      <c r="N512" s="28" t="inlineStr">
        <is>
          <t>https://www.intergastro.at/schneidebrett-rot-hdpe-500-400-mm-x-300-mm-997227</t>
        </is>
      </c>
      <c r="O512" s="27" t="inlineStr">
        <is>
          <t>Comas</t>
        </is>
      </c>
      <c r="P512" s="27" t="inlineStr">
        <is>
          <t>excl.</t>
        </is>
      </c>
      <c r="Q512" s="104" t="n"/>
      <c r="R512" s="27" t="n">
        <v>1</v>
      </c>
      <c r="S512" s="27" t="n"/>
      <c r="T512" s="27" t="inlineStr">
        <is>
          <t>EXACT</t>
        </is>
      </c>
      <c r="U512" s="27" t="inlineStr">
        <is>
          <t>Additional Austria/Czechia benchmark. Original assignment and match quality retained.</t>
        </is>
      </c>
      <c r="V512" s="102" t="n">
        <v>20.96</v>
      </c>
      <c r="W512" s="102" t="n"/>
      <c r="X512" s="27" t="inlineStr">
        <is>
          <t>research_AT.xlsx</t>
        </is>
      </c>
      <c r="Y512" s="27" t="n"/>
      <c r="Z512" s="27" t="n"/>
      <c r="AA512" s="27" t="n"/>
      <c r="AB512" s="27" t="inlineStr">
        <is>
          <t>EUR</t>
        </is>
      </c>
      <c r="AC512" s="27" t="inlineStr">
        <is>
          <t>yes</t>
        </is>
      </c>
      <c r="AD512" s="27">
        <f>IF(ISNUMBER(V512),V512,"")</f>
        <v/>
      </c>
      <c r="AE512" s="27">
        <f>IF(AND(AC512="yes",ISNUMBER(F512),IF('Compare'!$H$5="All mapped",TRUE,IF('Compare'!$H$5="EXACT only",J512="EXACT",OR(J512="EXACT",J512="CLOSE")))),"yes","no")</f>
        <v/>
      </c>
      <c r="AF512" s="27">
        <f>IF(ISNUMBER(H512),COUNTIFS($B$7:$B$608,B512,$C$7:$C$608,C512,$H$7:$H$608,"&lt;"&amp;H512,$AH$7:$AH$608,"yes")+COUNTIFS($B$7:B512,B512,$C$7:C512,C512,$H$7:H512,H512,$AH$7:AH512,"yes"),"")</f>
        <v/>
      </c>
      <c r="AG512" s="27">
        <f>IF(ISNUMBER(I512),COUNTIFS($B$7:$B$608,B512,$C$7:$C$608,C512,$I$7:$I$608,"&lt;"&amp;I512,$AI$7:$AI$608,"yes")+COUNTIFS($B$7:B512,B512,$C$7:C512,C512,$I$7:I512,I512,$AI$7:AI512,"yes"),"")</f>
        <v/>
      </c>
      <c r="AH512" s="27">
        <f>IF(ISNUMBER(H512),"yes","no")</f>
        <v/>
      </c>
      <c r="AI512" s="27">
        <f>IF(ISNUMBER(I512),"yes","no")</f>
        <v/>
      </c>
      <c r="AJ512" s="105" t="n">
        <v>46295</v>
      </c>
      <c r="AK512" s="27" t="n"/>
    </row>
    <row r="513" ht="42" customHeight="1">
      <c r="A513" s="2" t="n"/>
      <c r="B513" s="24" t="inlineStr">
        <is>
          <t>Red PE cutting board 400 × 300 × 20 mm</t>
        </is>
      </c>
      <c r="C513" s="24" t="inlineStr">
        <is>
          <t>Austria</t>
        </is>
      </c>
      <c r="D513" s="24" t="inlineStr">
        <is>
          <t>Jungheinrich PROFISHOP Austria</t>
        </is>
      </c>
      <c r="E513" s="24" t="inlineStr">
        <is>
          <t>Stalgast Schneidbrett, HACCP, Farbe rot, 450 x 300 x 13 mm</t>
        </is>
      </c>
      <c r="F513" s="98" t="n">
        <v>18.1</v>
      </c>
      <c r="G513" s="24" t="inlineStr">
        <is>
          <t>EUR</t>
        </is>
      </c>
      <c r="H513" s="98">
        <f>IF(AND(AE513="yes",ISNUMBER(AD513)),AD513,"")</f>
        <v/>
      </c>
      <c r="I513" s="99">
        <f>IF(AND(AE513="yes",ISNUMBER(AD513),ISNUMBER(INDEX('Sources'!$G$7:$G$10,MATCH(AB513,'Sources'!$B$7:$B$10,0)))),AD513/INDEX('Sources'!$G$7:$G$10,MATCH(AB513,'Sources'!$B$7:$B$10,0)),"")</f>
        <v/>
      </c>
      <c r="J513" s="24" t="inlineStr">
        <is>
          <t>APPROX</t>
        </is>
      </c>
      <c r="K513" s="24" t="inlineStr">
        <is>
          <t>2026-09-30</t>
        </is>
      </c>
      <c r="L513" s="71" t="n"/>
      <c r="M513" s="24" t="inlineStr">
        <is>
          <t>Red but 450x300x13 mm (vs 400x300x20)</t>
        </is>
      </c>
      <c r="N513" s="25" t="inlineStr">
        <is>
          <t>https://www.jh-profishop.at/p/stalgast-schneidbrett-haccp-farbe-rot-450-x-300-x-13-mm-bxtxh-928724-348321/</t>
        </is>
      </c>
      <c r="O513" s="24" t="inlineStr">
        <is>
          <t>Stalgast</t>
        </is>
      </c>
      <c r="P513" s="24" t="inlineStr">
        <is>
          <t>excl.</t>
        </is>
      </c>
      <c r="Q513" s="100" t="n"/>
      <c r="R513" s="24" t="n">
        <v>1</v>
      </c>
      <c r="S513" s="24" t="n"/>
      <c r="T513" s="24" t="inlineStr">
        <is>
          <t>APPROX</t>
        </is>
      </c>
      <c r="U513" s="24" t="inlineStr">
        <is>
          <t>Additional Austria/Czechia benchmark. Original assignment and match quality retained.</t>
        </is>
      </c>
      <c r="V513" s="98" t="n">
        <v>18.1</v>
      </c>
      <c r="W513" s="98" t="n"/>
      <c r="X513" s="24" t="inlineStr">
        <is>
          <t>research_AT.xlsx</t>
        </is>
      </c>
      <c r="Y513" s="24" t="n"/>
      <c r="Z513" s="24" t="n"/>
      <c r="AA513" s="24" t="n"/>
      <c r="AB513" s="24" t="inlineStr">
        <is>
          <t>EUR</t>
        </is>
      </c>
      <c r="AC513" s="24" t="inlineStr">
        <is>
          <t>yes</t>
        </is>
      </c>
      <c r="AD513" s="24">
        <f>IF(ISNUMBER(V513),V513,"")</f>
        <v/>
      </c>
      <c r="AE513" s="24">
        <f>IF(AND(AC513="yes",ISNUMBER(F513),IF('Compare'!$H$5="All mapped",TRUE,IF('Compare'!$H$5="EXACT only",J513="EXACT",OR(J513="EXACT",J513="CLOSE")))),"yes","no")</f>
        <v/>
      </c>
      <c r="AF513" s="24">
        <f>IF(ISNUMBER(H513),COUNTIFS($B$7:$B$608,B513,$C$7:$C$608,C513,$H$7:$H$608,"&lt;"&amp;H513,$AH$7:$AH$608,"yes")+COUNTIFS($B$7:B513,B513,$C$7:C513,C513,$H$7:H513,H513,$AH$7:AH513,"yes"),"")</f>
        <v/>
      </c>
      <c r="AG513" s="24">
        <f>IF(ISNUMBER(I513),COUNTIFS($B$7:$B$608,B513,$C$7:$C$608,C513,$I$7:$I$608,"&lt;"&amp;I513,$AI$7:$AI$608,"yes")+COUNTIFS($B$7:B513,B513,$C$7:C513,C513,$I$7:I513,I513,$AI$7:AI513,"yes"),"")</f>
        <v/>
      </c>
      <c r="AH513" s="24">
        <f>IF(ISNUMBER(H513),"yes","no")</f>
        <v/>
      </c>
      <c r="AI513" s="24">
        <f>IF(ISNUMBER(I513),"yes","no")</f>
        <v/>
      </c>
      <c r="AJ513" s="101" t="n">
        <v>46295</v>
      </c>
      <c r="AK513" s="24" t="n"/>
    </row>
    <row r="514" ht="42" customHeight="1">
      <c r="A514" s="2" t="n"/>
      <c r="B514" s="27" t="inlineStr">
        <is>
          <t>Red PE cutting board 400 × 300 × 20 mm</t>
        </is>
      </c>
      <c r="C514" s="27" t="inlineStr">
        <is>
          <t>Czech</t>
        </is>
      </c>
      <c r="D514" s="27" t="inlineStr">
        <is>
          <t>GGM Gastro (CZ storefront)</t>
        </is>
      </c>
      <c r="E514" s="27" t="inlineStr">
        <is>
          <t>Krájecí deska - EN 250x400 - Dle HACCP - Červená</t>
        </is>
      </c>
      <c r="F514" s="102" t="n">
        <v>413.52</v>
      </c>
      <c r="G514" s="27" t="inlineStr">
        <is>
          <t>CZK</t>
        </is>
      </c>
      <c r="H514" s="102">
        <f>IF(AND(AE514="yes",ISNUMBER(AD514)),AD514,"")</f>
        <v/>
      </c>
      <c r="I514" s="103">
        <f>IF(AND(AE514="yes",ISNUMBER(AD514),ISNUMBER(INDEX('Sources'!$G$7:$G$10,MATCH(AB514,'Sources'!$B$7:$B$10,0)))),AD514/INDEX('Sources'!$G$7:$G$10,MATCH(AB514,'Sources'!$B$7:$B$10,0)),"")</f>
        <v/>
      </c>
      <c r="J514" s="27" t="inlineStr">
        <is>
          <t>APPROX</t>
        </is>
      </c>
      <c r="K514" s="27" t="inlineStr">
        <is>
          <t>2026-09-30</t>
        </is>
      </c>
      <c r="L514" s="71" t="n"/>
      <c r="M514" s="27" t="inlineStr">
        <is>
          <t>Red HACCP board but 250x400 mm (vs 400x300)</t>
        </is>
      </c>
      <c r="N514" s="28" t="inlineStr">
        <is>
          <t>https://www.ggmgastro.com/cs-cz-czk/krajeci-deska-en-250x400-dle-haccp-cervena-sbp25r</t>
        </is>
      </c>
      <c r="O514" s="27" t="inlineStr">
        <is>
          <t>GGM</t>
        </is>
      </c>
      <c r="P514" s="27" t="inlineStr">
        <is>
          <t>excl.</t>
        </is>
      </c>
      <c r="Q514" s="104" t="n">
        <v>0.19</v>
      </c>
      <c r="R514" s="27" t="n">
        <v>1</v>
      </c>
      <c r="S514" s="27" t="inlineStr">
        <is>
          <t>per piece</t>
        </is>
      </c>
      <c r="T514" s="27" t="inlineStr">
        <is>
          <t>APPROX</t>
        </is>
      </c>
      <c r="U514" s="27" t="inlineStr">
        <is>
          <t>Additional Austria/Czechia benchmark. Original assignment and match quality retained.</t>
        </is>
      </c>
      <c r="V514" s="102" t="n"/>
      <c r="W514" s="102" t="n"/>
      <c r="X514" s="27" t="inlineStr">
        <is>
          <t>research_CZ.xlsx</t>
        </is>
      </c>
      <c r="Y514" s="27" t="n"/>
      <c r="Z514" s="27" t="n"/>
      <c r="AA514" s="27" t="n"/>
      <c r="AB514" s="27" t="inlineStr">
        <is>
          <t>CZK</t>
        </is>
      </c>
      <c r="AC514" s="27" t="inlineStr">
        <is>
          <t>yes</t>
        </is>
      </c>
      <c r="AD514" s="27">
        <f>IF(OR(F514="",Q514="",R514=""),"",ROUND(IF(P514="incl.",F514/(1+Q514),F514)/IF(S514="per pack",R514,1),2))</f>
        <v/>
      </c>
      <c r="AE514" s="27">
        <f>IF(AND(AC514="yes",ISNUMBER(F514),IF('Compare'!$H$5="All mapped",TRUE,IF('Compare'!$H$5="EXACT only",J514="EXACT",OR(J514="EXACT",J514="CLOSE")))),"yes","no")</f>
        <v/>
      </c>
      <c r="AF514" s="27">
        <f>IF(ISNUMBER(H514),COUNTIFS($B$7:$B$608,B514,$C$7:$C$608,C514,$H$7:$H$608,"&lt;"&amp;H514,$AH$7:$AH$608,"yes")+COUNTIFS($B$7:B514,B514,$C$7:C514,C514,$H$7:H514,H514,$AH$7:AH514,"yes"),"")</f>
        <v/>
      </c>
      <c r="AG514" s="27">
        <f>IF(ISNUMBER(I514),COUNTIFS($B$7:$B$608,B514,$C$7:$C$608,C514,$I$7:$I$608,"&lt;"&amp;I514,$AI$7:$AI$608,"yes")+COUNTIFS($B$7:B514,B514,$C$7:C514,C514,$I$7:I514,I514,$AI$7:AI514,"yes"),"")</f>
        <v/>
      </c>
      <c r="AH514" s="27">
        <f>IF(ISNUMBER(H514),"yes","no")</f>
        <v/>
      </c>
      <c r="AI514" s="27">
        <f>IF(ISNUMBER(I514),"yes","no")</f>
        <v/>
      </c>
      <c r="AJ514" s="105" t="n">
        <v>46295</v>
      </c>
      <c r="AK514" s="27" t="n"/>
    </row>
    <row r="515" ht="42" customHeight="1">
      <c r="A515" s="2" t="n"/>
      <c r="B515" s="24" t="inlineStr">
        <is>
          <t>Red PE cutting board 400 × 300 × 20 mm</t>
        </is>
      </c>
      <c r="C515" s="24" t="inlineStr">
        <is>
          <t>Czech</t>
        </is>
      </c>
      <c r="D515" s="24" t="inlineStr">
        <is>
          <t>Gastromania</t>
        </is>
      </c>
      <c r="E515" s="24" t="inlineStr">
        <is>
          <t>Krájecí deska HACCP, červená, 450x300 mm | HENDI, 827017</t>
        </is>
      </c>
      <c r="F515" s="98" t="n">
        <v>304</v>
      </c>
      <c r="G515" s="24" t="inlineStr">
        <is>
          <t>CZK</t>
        </is>
      </c>
      <c r="H515" s="98">
        <f>IF(AND(AE515="yes",ISNUMBER(AD515)),AD515,"")</f>
        <v/>
      </c>
      <c r="I515" s="99">
        <f>IF(AND(AE515="yes",ISNUMBER(AD515),ISNUMBER(INDEX('Sources'!$G$7:$G$10,MATCH(AB515,'Sources'!$B$7:$B$10,0)))),AD515/INDEX('Sources'!$G$7:$G$10,MATCH(AB515,'Sources'!$B$7:$B$10,0)),"")</f>
        <v/>
      </c>
      <c r="J515" s="24" t="inlineStr">
        <is>
          <t>APPROX</t>
        </is>
      </c>
      <c r="K515" s="24" t="inlineStr">
        <is>
          <t>2026-09-30</t>
        </is>
      </c>
      <c r="L515" s="71" t="n"/>
      <c r="M515" s="24" t="inlineStr">
        <is>
          <t>Red PE but 450 x 300 mm (no 400 x 300 board listed); thickness not in title; 251 CZK bez DPH; price incl. 21% VAT as published in product data (current price, in stock)</t>
        </is>
      </c>
      <c r="N515" s="25" t="inlineStr">
        <is>
          <t>https://www.gastromania.cz/plastove-krajeci-desky-haccp/krajeci-deska-haccp-cervena-450x300-mm-hendi-827017</t>
        </is>
      </c>
      <c r="O515" s="24" t="inlineStr">
        <is>
          <t>Hendi</t>
        </is>
      </c>
      <c r="P515" s="24" t="inlineStr">
        <is>
          <t>incl.</t>
        </is>
      </c>
      <c r="Q515" s="100" t="n">
        <v>0.21</v>
      </c>
      <c r="R515" s="24" t="n">
        <v>1</v>
      </c>
      <c r="S515" s="24" t="inlineStr">
        <is>
          <t>per piece</t>
        </is>
      </c>
      <c r="T515" s="24" t="inlineStr">
        <is>
          <t>APPROX</t>
        </is>
      </c>
      <c r="U515" s="24" t="inlineStr">
        <is>
          <t>Additional Austria/Czechia benchmark. Original assignment and match quality retained.</t>
        </is>
      </c>
      <c r="V515" s="98" t="n"/>
      <c r="W515" s="98" t="n"/>
      <c r="X515" s="24" t="inlineStr">
        <is>
          <t>research_CZ.xlsx</t>
        </is>
      </c>
      <c r="Y515" s="24" t="n"/>
      <c r="Z515" s="24" t="n"/>
      <c r="AA515" s="24" t="n"/>
      <c r="AB515" s="24" t="inlineStr">
        <is>
          <t>CZK</t>
        </is>
      </c>
      <c r="AC515" s="24" t="inlineStr">
        <is>
          <t>yes</t>
        </is>
      </c>
      <c r="AD515" s="24">
        <f>IF(OR(F515="",Q515="",R515=""),"",ROUND(IF(P515="incl.",F515/(1+Q515),F515)/IF(S515="per pack",R515,1),2))</f>
        <v/>
      </c>
      <c r="AE515" s="24">
        <f>IF(AND(AC515="yes",ISNUMBER(F515),IF('Compare'!$H$5="All mapped",TRUE,IF('Compare'!$H$5="EXACT only",J515="EXACT",OR(J515="EXACT",J515="CLOSE")))),"yes","no")</f>
        <v/>
      </c>
      <c r="AF515" s="24">
        <f>IF(ISNUMBER(H515),COUNTIFS($B$7:$B$608,B515,$C$7:$C$608,C515,$H$7:$H$608,"&lt;"&amp;H515,$AH$7:$AH$608,"yes")+COUNTIFS($B$7:B515,B515,$C$7:C515,C515,$H$7:H515,H515,$AH$7:AH515,"yes"),"")</f>
        <v/>
      </c>
      <c r="AG515" s="24">
        <f>IF(ISNUMBER(I515),COUNTIFS($B$7:$B$608,B515,$C$7:$C$608,C515,$I$7:$I$608,"&lt;"&amp;I515,$AI$7:$AI$608,"yes")+COUNTIFS($B$7:B515,B515,$C$7:C515,C515,$I$7:I515,I515,$AI$7:AI515,"yes"),"")</f>
        <v/>
      </c>
      <c r="AH515" s="24">
        <f>IF(ISNUMBER(H515),"yes","no")</f>
        <v/>
      </c>
      <c r="AI515" s="24">
        <f>IF(ISNUMBER(I515),"yes","no")</f>
        <v/>
      </c>
      <c r="AJ515" s="101" t="n">
        <v>46295</v>
      </c>
      <c r="AK515" s="24" t="n"/>
    </row>
    <row r="516" ht="42" customHeight="1">
      <c r="A516" s="2" t="n"/>
      <c r="B516" s="27" t="inlineStr">
        <is>
          <t>Red PE cutting board 400 × 300 × 20 mm</t>
        </is>
      </c>
      <c r="C516" s="27" t="inlineStr">
        <is>
          <t>Czech</t>
        </is>
      </c>
      <c r="D516" s="27" t="inlineStr">
        <is>
          <t>Gastrozone</t>
        </is>
      </c>
      <c r="E516" s="27" t="inlineStr">
        <is>
          <t>Gastro Prkénko krájecí plastové 40x30x2 cm, s drážkou, bílé</t>
        </is>
      </c>
      <c r="F516" s="102" t="n">
        <v>1082</v>
      </c>
      <c r="G516" s="27" t="inlineStr">
        <is>
          <t>CZK</t>
        </is>
      </c>
      <c r="H516" s="102">
        <f>IF(AND(AE516="yes",ISNUMBER(AD516)),AD516,"")</f>
        <v/>
      </c>
      <c r="I516" s="103">
        <f>IF(AND(AE516="yes",ISNUMBER(AD516),ISNUMBER(INDEX('Sources'!$G$7:$G$10,MATCH(AB516,'Sources'!$B$7:$B$10,0)))),AD516/INDEX('Sources'!$G$7:$G$10,MATCH(AB516,'Sources'!$B$7:$B$10,0)),"")</f>
        <v/>
      </c>
      <c r="J516" s="27" t="inlineStr">
        <is>
          <t>CLOSE</t>
        </is>
      </c>
      <c r="K516" s="27" t="inlineStr">
        <is>
          <t>2026-09-30</t>
        </is>
      </c>
      <c r="L516" s="71" t="n"/>
      <c r="M516" s="27" t="inlineStr">
        <is>
          <t>894.21 CZK bez DPH; 400 x 300 x 20 mm with groove, but white (red only in 10 mm: 619 CZK incl.); material stated only as "Plast" (PE not confirmed)</t>
        </is>
      </c>
      <c r="N516" s="28" t="inlineStr">
        <is>
          <t>https://www.gastrozone.cz/gastro-prkenko-krajeci-plastove-40x30x2-cm-s-drazkou-bile.html</t>
        </is>
      </c>
      <c r="O516" s="27" t="inlineStr">
        <is>
          <t>Gastro</t>
        </is>
      </c>
      <c r="P516" s="27" t="inlineStr">
        <is>
          <t>incl.</t>
        </is>
      </c>
      <c r="Q516" s="104" t="n">
        <v>0.21</v>
      </c>
      <c r="R516" s="27" t="n">
        <v>1</v>
      </c>
      <c r="S516" s="27" t="inlineStr">
        <is>
          <t>per piece</t>
        </is>
      </c>
      <c r="T516" s="27" t="inlineStr">
        <is>
          <t>CLOSE</t>
        </is>
      </c>
      <c r="U516" s="27" t="inlineStr">
        <is>
          <t>Additional Austria/Czechia benchmark. Original assignment and match quality retained.</t>
        </is>
      </c>
      <c r="V516" s="102" t="n"/>
      <c r="W516" s="102" t="n"/>
      <c r="X516" s="27" t="inlineStr">
        <is>
          <t>research_CZ.xlsx</t>
        </is>
      </c>
      <c r="Y516" s="27" t="n"/>
      <c r="Z516" s="27" t="n"/>
      <c r="AA516" s="27" t="n"/>
      <c r="AB516" s="27" t="inlineStr">
        <is>
          <t>CZK</t>
        </is>
      </c>
      <c r="AC516" s="27" t="inlineStr">
        <is>
          <t>yes</t>
        </is>
      </c>
      <c r="AD516" s="27">
        <f>IF(OR(F516="",Q516="",R516=""),"",ROUND(IF(P516="incl.",F516/(1+Q516),F516)/IF(S516="per pack",R516,1),2))</f>
        <v/>
      </c>
      <c r="AE516" s="27">
        <f>IF(AND(AC516="yes",ISNUMBER(F516),IF('Compare'!$H$5="All mapped",TRUE,IF('Compare'!$H$5="EXACT only",J516="EXACT",OR(J516="EXACT",J516="CLOSE")))),"yes","no")</f>
        <v/>
      </c>
      <c r="AF516" s="27">
        <f>IF(ISNUMBER(H516),COUNTIFS($B$7:$B$608,B516,$C$7:$C$608,C516,$H$7:$H$608,"&lt;"&amp;H516,$AH$7:$AH$608,"yes")+COUNTIFS($B$7:B516,B516,$C$7:C516,C516,$H$7:H516,H516,$AH$7:AH516,"yes"),"")</f>
        <v/>
      </c>
      <c r="AG516" s="27">
        <f>IF(ISNUMBER(I516),COUNTIFS($B$7:$B$608,B516,$C$7:$C$608,C516,$I$7:$I$608,"&lt;"&amp;I516,$AI$7:$AI$608,"yes")+COUNTIFS($B$7:B516,B516,$C$7:C516,C516,$I$7:I516,I516,$AI$7:AI516,"yes"),"")</f>
        <v/>
      </c>
      <c r="AH516" s="27">
        <f>IF(ISNUMBER(H516),"yes","no")</f>
        <v/>
      </c>
      <c r="AI516" s="27">
        <f>IF(ISNUMBER(I516),"yes","no")</f>
        <v/>
      </c>
      <c r="AJ516" s="105" t="n">
        <v>46295</v>
      </c>
      <c r="AK516" s="27" t="n"/>
    </row>
    <row r="517" ht="42" customHeight="1">
      <c r="A517" s="2" t="n"/>
      <c r="B517" s="24" t="inlineStr">
        <is>
          <t>Red PE cutting board 400 × 300 × 20 mm</t>
        </is>
      </c>
      <c r="C517" s="24" t="inlineStr">
        <is>
          <t>Czech</t>
        </is>
      </c>
      <c r="D517" s="24" t="inlineStr">
        <is>
          <t>TOMGAST</t>
        </is>
      </c>
      <c r="E517" s="24" t="inlineStr">
        <is>
          <t>Deska 450 × 300 × 13 mm, červená</t>
        </is>
      </c>
      <c r="F517" s="98" t="n">
        <v>353</v>
      </c>
      <c r="G517" s="24" t="inlineStr">
        <is>
          <t>CZK</t>
        </is>
      </c>
      <c r="H517" s="98">
        <f>IF(AND(AE517="yes",ISNUMBER(AD517)),AD517,"")</f>
        <v/>
      </c>
      <c r="I517" s="99">
        <f>IF(AND(AE517="yes",ISNUMBER(AD517),ISNUMBER(INDEX('Sources'!$G$7:$G$10,MATCH(AB517,'Sources'!$B$7:$B$10,0)))),AD517/INDEX('Sources'!$G$7:$G$10,MATCH(AB517,'Sources'!$B$7:$B$10,0)),"")</f>
        <v/>
      </c>
      <c r="J517" s="24" t="inlineStr">
        <is>
          <t>APPROX</t>
        </is>
      </c>
      <c r="K517" s="24" t="inlineStr">
        <is>
          <t>2026-09-30</t>
        </is>
      </c>
      <c r="L517" s="71" t="n"/>
      <c r="M517" s="24" t="inlineStr">
        <is>
          <t>Code T-3045-R; red PE but 450 x 300 x 13 mm (no red 400 x 300 x 20 listed); 292 CZK bez DPH</t>
        </is>
      </c>
      <c r="N517" s="25" t="inlineStr">
        <is>
          <t>https://www.tomgast.cz/deska-450--300--13-mm--cervena/</t>
        </is>
      </c>
      <c r="O517" s="24" t="inlineStr">
        <is>
          <t>TOMGAST</t>
        </is>
      </c>
      <c r="P517" s="24" t="inlineStr">
        <is>
          <t>incl.</t>
        </is>
      </c>
      <c r="Q517" s="100" t="n">
        <v>0.21</v>
      </c>
      <c r="R517" s="24" t="n">
        <v>1</v>
      </c>
      <c r="S517" s="24" t="inlineStr">
        <is>
          <t>per piece</t>
        </is>
      </c>
      <c r="T517" s="24" t="inlineStr">
        <is>
          <t>APPROX</t>
        </is>
      </c>
      <c r="U517" s="24" t="inlineStr">
        <is>
          <t>Additional Austria/Czechia benchmark. Original assignment and match quality retained.</t>
        </is>
      </c>
      <c r="V517" s="98" t="n"/>
      <c r="W517" s="98" t="n"/>
      <c r="X517" s="24" t="inlineStr">
        <is>
          <t>research_CZ.xlsx</t>
        </is>
      </c>
      <c r="Y517" s="24" t="n"/>
      <c r="Z517" s="24" t="n"/>
      <c r="AA517" s="24" t="n"/>
      <c r="AB517" s="24" t="inlineStr">
        <is>
          <t>CZK</t>
        </is>
      </c>
      <c r="AC517" s="24" t="inlineStr">
        <is>
          <t>yes</t>
        </is>
      </c>
      <c r="AD517" s="24">
        <f>IF(OR(F517="",Q517="",R517=""),"",ROUND(IF(P517="incl.",F517/(1+Q517),F517)/IF(S517="per pack",R517,1),2))</f>
        <v/>
      </c>
      <c r="AE517" s="24">
        <f>IF(AND(AC517="yes",ISNUMBER(F517),IF('Compare'!$H$5="All mapped",TRUE,IF('Compare'!$H$5="EXACT only",J517="EXACT",OR(J517="EXACT",J517="CLOSE")))),"yes","no")</f>
        <v/>
      </c>
      <c r="AF517" s="24">
        <f>IF(ISNUMBER(H517),COUNTIFS($B$7:$B$608,B517,$C$7:$C$608,C517,$H$7:$H$608,"&lt;"&amp;H517,$AH$7:$AH$608,"yes")+COUNTIFS($B$7:B517,B517,$C$7:C517,C517,$H$7:H517,H517,$AH$7:AH517,"yes"),"")</f>
        <v/>
      </c>
      <c r="AG517" s="24">
        <f>IF(ISNUMBER(I517),COUNTIFS($B$7:$B$608,B517,$C$7:$C$608,C517,$I$7:$I$608,"&lt;"&amp;I517,$AI$7:$AI$608,"yes")+COUNTIFS($B$7:B517,B517,$C$7:C517,C517,$I$7:I517,I517,$AI$7:AI517,"yes"),"")</f>
        <v/>
      </c>
      <c r="AH517" s="24">
        <f>IF(ISNUMBER(H517),"yes","no")</f>
        <v/>
      </c>
      <c r="AI517" s="24">
        <f>IF(ISNUMBER(I517),"yes","no")</f>
        <v/>
      </c>
      <c r="AJ517" s="101" t="n">
        <v>46295</v>
      </c>
      <c r="AK517" s="24" t="n"/>
    </row>
    <row r="518" ht="42" customHeight="1">
      <c r="A518" s="2" t="n"/>
      <c r="B518" s="27" t="inlineStr">
        <is>
          <t>PP dough box 600 × 400 × 75 mm, no lid</t>
        </is>
      </c>
      <c r="C518" s="27" t="inlineStr">
        <is>
          <t>Austria</t>
        </is>
      </c>
      <c r="D518" s="27" t="inlineStr">
        <is>
          <t>GGM Gastro (Austrian storefront)</t>
        </is>
      </c>
      <c r="E518" s="27" t="inlineStr">
        <is>
          <t>9-tlg Teigbehälter-Set - 8 Behälter &amp; 1 Deckel - EN 600x400 - Höhe: 75mm - Polypropylen</t>
        </is>
      </c>
      <c r="F518" s="102" t="n">
        <v>72.98999999999999</v>
      </c>
      <c r="G518" s="27" t="inlineStr">
        <is>
          <t>EUR</t>
        </is>
      </c>
      <c r="H518" s="102">
        <f>IF(AND(AE518="yes",ISNUMBER(AD518)),AD518,"")</f>
        <v/>
      </c>
      <c r="I518" s="103">
        <f>IF(AND(AE518="yes",ISNUMBER(AD518),ISNUMBER(INDEX('Sources'!$G$7:$G$10,MATCH(AB518,'Sources'!$B$7:$B$10,0)))),AD518/INDEX('Sources'!$G$7:$G$10,MATCH(AB518,'Sources'!$B$7:$B$10,0)),"")</f>
        <v/>
      </c>
      <c r="J518" s="27" t="inlineStr">
        <is>
          <t>CLOSE</t>
        </is>
      </c>
      <c r="K518" s="27" t="inlineStr">
        <is>
          <t>2026-09-30</t>
        </is>
      </c>
      <c r="L518" s="71" t="n"/>
      <c r="M518" s="27" t="inlineStr">
        <is>
          <t>Only sold as set of 8 PP boxes plus 1 lid; net per box includes a share of the lid</t>
        </is>
      </c>
      <c r="N518" s="28" t="inlineStr">
        <is>
          <t>https://www.ggmgastro.com/de-at-eur/9-tlg-teigbehaelter-set-8-behaelter-und-1-deckel-en-600x400-hoehe-75mm-polypropylen-weiss-tbpp647</t>
        </is>
      </c>
      <c r="O518" s="27" t="inlineStr">
        <is>
          <t>GGM</t>
        </is>
      </c>
      <c r="P518" s="27" t="inlineStr">
        <is>
          <t>excl.</t>
        </is>
      </c>
      <c r="Q518" s="104" t="n"/>
      <c r="R518" s="27" t="n">
        <v>8</v>
      </c>
      <c r="S518" s="27" t="inlineStr">
        <is>
          <t>8 boxes + 1 lid</t>
        </is>
      </c>
      <c r="T518" s="27" t="inlineStr">
        <is>
          <t>CLOSE</t>
        </is>
      </c>
      <c r="U518" s="27" t="inlineStr">
        <is>
          <t>Additional Austria/Czechia benchmark. Original assignment and match quality retained.</t>
        </is>
      </c>
      <c r="V518" s="102" t="n">
        <v>9.119999999999999</v>
      </c>
      <c r="W518" s="102" t="n"/>
      <c r="X518" s="27" t="inlineStr">
        <is>
          <t>research_AT.xlsx</t>
        </is>
      </c>
      <c r="Y518" s="27" t="n"/>
      <c r="Z518" s="27" t="n"/>
      <c r="AA518" s="27" t="n"/>
      <c r="AB518" s="27" t="inlineStr">
        <is>
          <t>EUR</t>
        </is>
      </c>
      <c r="AC518" s="27" t="inlineStr">
        <is>
          <t>yes</t>
        </is>
      </c>
      <c r="AD518" s="27">
        <f>IF(ISNUMBER(V518),V518,"")</f>
        <v/>
      </c>
      <c r="AE518" s="27">
        <f>IF(AND(AC518="yes",ISNUMBER(F518),IF('Compare'!$H$5="All mapped",TRUE,IF('Compare'!$H$5="EXACT only",J518="EXACT",OR(J518="EXACT",J518="CLOSE")))),"yes","no")</f>
        <v/>
      </c>
      <c r="AF518" s="27">
        <f>IF(ISNUMBER(H518),COUNTIFS($B$7:$B$608,B518,$C$7:$C$608,C518,$H$7:$H$608,"&lt;"&amp;H518,$AH$7:$AH$608,"yes")+COUNTIFS($B$7:B518,B518,$C$7:C518,C518,$H$7:H518,H518,$AH$7:AH518,"yes"),"")</f>
        <v/>
      </c>
      <c r="AG518" s="27">
        <f>IF(ISNUMBER(I518),COUNTIFS($B$7:$B$608,B518,$C$7:$C$608,C518,$I$7:$I$608,"&lt;"&amp;I518,$AI$7:$AI$608,"yes")+COUNTIFS($B$7:B518,B518,$C$7:C518,C518,$I$7:I518,I518,$AI$7:AI518,"yes"),"")</f>
        <v/>
      </c>
      <c r="AH518" s="27">
        <f>IF(ISNUMBER(H518),"yes","no")</f>
        <v/>
      </c>
      <c r="AI518" s="27">
        <f>IF(ISNUMBER(I518),"yes","no")</f>
        <v/>
      </c>
      <c r="AJ518" s="105" t="n">
        <v>46295</v>
      </c>
      <c r="AK518" s="27" t="n"/>
    </row>
    <row r="519" ht="42" customHeight="1">
      <c r="A519" s="2" t="n"/>
      <c r="B519" s="24" t="inlineStr">
        <is>
          <t>PP dough box 600 × 400 × 75 mm, no lid</t>
        </is>
      </c>
      <c r="C519" s="24" t="inlineStr">
        <is>
          <t>Austria</t>
        </is>
      </c>
      <c r="D519" s="24" t="inlineStr">
        <is>
          <t>Gastrodax</t>
        </is>
      </c>
      <c r="E519" s="24" t="inlineStr">
        <is>
          <t>WAS Pizzaballenbehälter 60 x 40 x 8 cm Polypropylen</t>
        </is>
      </c>
      <c r="F519" s="98" t="n">
        <v>38</v>
      </c>
      <c r="G519" s="24" t="inlineStr">
        <is>
          <t>EUR</t>
        </is>
      </c>
      <c r="H519" s="98">
        <f>IF(AND(AE519="yes",ISNUMBER(AD519)),AD519,"")</f>
        <v/>
      </c>
      <c r="I519" s="99">
        <f>IF(AND(AE519="yes",ISNUMBER(AD519),ISNUMBER(INDEX('Sources'!$G$7:$G$10,MATCH(AB519,'Sources'!$B$7:$B$10,0)))),AD519/INDEX('Sources'!$G$7:$G$10,MATCH(AB519,'Sources'!$B$7:$B$10,0)),"")</f>
        <v/>
      </c>
      <c r="J519" s="24" t="inlineStr">
        <is>
          <t>CLOSE</t>
        </is>
      </c>
      <c r="K519" s="24" t="inlineStr">
        <is>
          <t>2026-09-30</t>
        </is>
      </c>
      <c r="L519" s="71" t="n"/>
      <c r="M519" s="24" t="inlineStr">
        <is>
          <t>80 mm instead of 75 mm; PP; no lid</t>
        </is>
      </c>
      <c r="N519" s="25" t="inlineStr">
        <is>
          <t>https://www.gastrodax.de/was-pizzaballenbehaelter-60-x-40-x-8-cm-polypropylen</t>
        </is>
      </c>
      <c r="O519" s="24" t="inlineStr">
        <is>
          <t>WAS Germany</t>
        </is>
      </c>
      <c r="P519" s="24" t="inlineStr">
        <is>
          <t>excl.</t>
        </is>
      </c>
      <c r="Q519" s="100" t="n"/>
      <c r="R519" s="24" t="n">
        <v>1</v>
      </c>
      <c r="S519" s="24" t="n"/>
      <c r="T519" s="24" t="inlineStr">
        <is>
          <t>CLOSE</t>
        </is>
      </c>
      <c r="U519" s="24" t="inlineStr">
        <is>
          <t>Additional Austria/Czechia benchmark. Original assignment and match quality retained.</t>
        </is>
      </c>
      <c r="V519" s="98" t="n">
        <v>38</v>
      </c>
      <c r="W519" s="98" t="n"/>
      <c r="X519" s="24" t="inlineStr">
        <is>
          <t>research_AT.xlsx</t>
        </is>
      </c>
      <c r="Y519" s="24" t="n"/>
      <c r="Z519" s="24" t="n"/>
      <c r="AA519" s="24" t="n"/>
      <c r="AB519" s="24" t="inlineStr">
        <is>
          <t>EUR</t>
        </is>
      </c>
      <c r="AC519" s="24" t="inlineStr">
        <is>
          <t>yes</t>
        </is>
      </c>
      <c r="AD519" s="24">
        <f>IF(ISNUMBER(V519),V519,"")</f>
        <v/>
      </c>
      <c r="AE519" s="24">
        <f>IF(AND(AC519="yes",ISNUMBER(F519),IF('Compare'!$H$5="All mapped",TRUE,IF('Compare'!$H$5="EXACT only",J519="EXACT",OR(J519="EXACT",J519="CLOSE")))),"yes","no")</f>
        <v/>
      </c>
      <c r="AF519" s="24">
        <f>IF(ISNUMBER(H519),COUNTIFS($B$7:$B$608,B519,$C$7:$C$608,C519,$H$7:$H$608,"&lt;"&amp;H519,$AH$7:$AH$608,"yes")+COUNTIFS($B$7:B519,B519,$C$7:C519,C519,$H$7:H519,H519,$AH$7:AH519,"yes"),"")</f>
        <v/>
      </c>
      <c r="AG519" s="24">
        <f>IF(ISNUMBER(I519),COUNTIFS($B$7:$B$608,B519,$C$7:$C$608,C519,$I$7:$I$608,"&lt;"&amp;I519,$AI$7:$AI$608,"yes")+COUNTIFS($B$7:B519,B519,$C$7:C519,C519,$I$7:I519,I519,$AI$7:AI519,"yes"),"")</f>
        <v/>
      </c>
      <c r="AH519" s="24">
        <f>IF(ISNUMBER(H519),"yes","no")</f>
        <v/>
      </c>
      <c r="AI519" s="24">
        <f>IF(ISNUMBER(I519),"yes","no")</f>
        <v/>
      </c>
      <c r="AJ519" s="101" t="n">
        <v>46295</v>
      </c>
      <c r="AK519" s="24" t="n"/>
    </row>
    <row r="520" ht="42" customHeight="1">
      <c r="A520" s="2" t="n"/>
      <c r="B520" s="27" t="inlineStr">
        <is>
          <t>PP dough box 600 × 400 × 75 mm, no lid</t>
        </is>
      </c>
      <c r="C520" s="27" t="inlineStr">
        <is>
          <t>Austria</t>
        </is>
      </c>
      <c r="D520" s="27" t="inlineStr">
        <is>
          <t>Gastroladen.at (Harotec GmbH)</t>
        </is>
      </c>
      <c r="E520" s="27" t="inlineStr">
        <is>
          <t>Cambro Pizzateigkiste aus Polyethylen 60x40x7cm</t>
        </is>
      </c>
      <c r="F520" s="102" t="n">
        <v>29.9</v>
      </c>
      <c r="G520" s="27" t="inlineStr">
        <is>
          <t>EUR</t>
        </is>
      </c>
      <c r="H520" s="102">
        <f>IF(AND(AE520="yes",ISNUMBER(AD520)),AD520,"")</f>
        <v/>
      </c>
      <c r="I520" s="103">
        <f>IF(AND(AE520="yes",ISNUMBER(AD520),ISNUMBER(INDEX('Sources'!$G$7:$G$10,MATCH(AB520,'Sources'!$B$7:$B$10,0)))),AD520/INDEX('Sources'!$G$7:$G$10,MATCH(AB520,'Sources'!$B$7:$B$10,0)),"")</f>
        <v/>
      </c>
      <c r="J520" s="27" t="inlineStr">
        <is>
          <t>CLOSE</t>
        </is>
      </c>
      <c r="K520" s="27" t="inlineStr">
        <is>
          <t>2026-09-30</t>
        </is>
      </c>
      <c r="L520" s="71" t="n"/>
      <c r="M520" s="27" t="inlineStr">
        <is>
          <t>Polyethylene (not PP), 70 mm high; no lid</t>
        </is>
      </c>
      <c r="N520" s="28" t="inlineStr">
        <is>
          <t>https://www.gastroladen.at/G16888@GN-FS330/Cambro-Pizzateigkiste-aus-Polyethylen-60x40x7cm.htm</t>
        </is>
      </c>
      <c r="O520" s="27" t="inlineStr">
        <is>
          <t>Cambro</t>
        </is>
      </c>
      <c r="P520" s="27" t="inlineStr">
        <is>
          <t>incl.</t>
        </is>
      </c>
      <c r="Q520" s="104" t="n"/>
      <c r="R520" s="27" t="n">
        <v>1</v>
      </c>
      <c r="S520" s="27" t="n"/>
      <c r="T520" s="27" t="inlineStr">
        <is>
          <t>CLOSE</t>
        </is>
      </c>
      <c r="U520" s="27" t="inlineStr">
        <is>
          <t>Additional Austria/Czechia benchmark. Original assignment and match quality retained.</t>
        </is>
      </c>
      <c r="V520" s="102" t="n">
        <v>24.92</v>
      </c>
      <c r="W520" s="102" t="n"/>
      <c r="X520" s="27" t="inlineStr">
        <is>
          <t>research_AT.xlsx</t>
        </is>
      </c>
      <c r="Y520" s="27" t="n"/>
      <c r="Z520" s="27" t="n"/>
      <c r="AA520" s="27" t="n"/>
      <c r="AB520" s="27" t="inlineStr">
        <is>
          <t>EUR</t>
        </is>
      </c>
      <c r="AC520" s="27" t="inlineStr">
        <is>
          <t>yes</t>
        </is>
      </c>
      <c r="AD520" s="27">
        <f>IF(ISNUMBER(V520),V520,"")</f>
        <v/>
      </c>
      <c r="AE520" s="27">
        <f>IF(AND(AC520="yes",ISNUMBER(F520),IF('Compare'!$H$5="All mapped",TRUE,IF('Compare'!$H$5="EXACT only",J520="EXACT",OR(J520="EXACT",J520="CLOSE")))),"yes","no")</f>
        <v/>
      </c>
      <c r="AF520" s="27">
        <f>IF(ISNUMBER(H520),COUNTIFS($B$7:$B$608,B520,$C$7:$C$608,C520,$H$7:$H$608,"&lt;"&amp;H520,$AH$7:$AH$608,"yes")+COUNTIFS($B$7:B520,B520,$C$7:C520,C520,$H$7:H520,H520,$AH$7:AH520,"yes"),"")</f>
        <v/>
      </c>
      <c r="AG520" s="27">
        <f>IF(ISNUMBER(I520),COUNTIFS($B$7:$B$608,B520,$C$7:$C$608,C520,$I$7:$I$608,"&lt;"&amp;I520,$AI$7:$AI$608,"yes")+COUNTIFS($B$7:B520,B520,$C$7:C520,C520,$I$7:I520,I520,$AI$7:AI520,"yes"),"")</f>
        <v/>
      </c>
      <c r="AH520" s="27">
        <f>IF(ISNUMBER(H520),"yes","no")</f>
        <v/>
      </c>
      <c r="AI520" s="27">
        <f>IF(ISNUMBER(I520),"yes","no")</f>
        <v/>
      </c>
      <c r="AJ520" s="105" t="n">
        <v>46295</v>
      </c>
      <c r="AK520" s="27" t="n"/>
    </row>
    <row r="521" ht="42" customHeight="1">
      <c r="A521" s="2" t="n"/>
      <c r="B521" s="24" t="inlineStr">
        <is>
          <t>PP dough box 600 × 400 × 75 mm, no lid</t>
        </is>
      </c>
      <c r="C521" s="24" t="inlineStr">
        <is>
          <t>Austria</t>
        </is>
      </c>
      <c r="D521" s="24" t="inlineStr">
        <is>
          <t>Intergastro (AT shop)</t>
        </is>
      </c>
      <c r="E521" s="24" t="inlineStr">
        <is>
          <t>Pizzaballenbehälter weiß 600 x 400 x 80 mm, PP</t>
        </is>
      </c>
      <c r="F521" s="98" t="n">
        <v>10.01</v>
      </c>
      <c r="G521" s="24" t="inlineStr">
        <is>
          <t>EUR</t>
        </is>
      </c>
      <c r="H521" s="98">
        <f>IF(AND(AE521="yes",ISNUMBER(AD521)),AD521,"")</f>
        <v/>
      </c>
      <c r="I521" s="99">
        <f>IF(AND(AE521="yes",ISNUMBER(AD521),ISNUMBER(INDEX('Sources'!$G$7:$G$10,MATCH(AB521,'Sources'!$B$7:$B$10,0)))),AD521/INDEX('Sources'!$G$7:$G$10,MATCH(AB521,'Sources'!$B$7:$B$10,0)),"")</f>
        <v/>
      </c>
      <c r="J521" s="24" t="inlineStr">
        <is>
          <t>CLOSE</t>
        </is>
      </c>
      <c r="K521" s="24" t="inlineStr">
        <is>
          <t>2026-09-30</t>
        </is>
      </c>
      <c r="L521" s="71" t="n"/>
      <c r="M521" s="24" t="inlineStr">
        <is>
          <t>80 mm instead of 75 mm; PP; no lid. Contacto 600x400x75 (material not stated) 10.02</t>
        </is>
      </c>
      <c r="N521" s="25" t="inlineStr">
        <is>
          <t>https://www.intergastro.at/pizzaballenbehaelter-weiss-600-mm-x-400-mm-h-80-mm-967927</t>
        </is>
      </c>
      <c r="O521" s="24" t="inlineStr">
        <is>
          <t>WAS Germany</t>
        </is>
      </c>
      <c r="P521" s="24" t="inlineStr">
        <is>
          <t>excl.</t>
        </is>
      </c>
      <c r="Q521" s="100" t="n"/>
      <c r="R521" s="24" t="n">
        <v>1</v>
      </c>
      <c r="S521" s="24" t="n"/>
      <c r="T521" s="24" t="inlineStr">
        <is>
          <t>CLOSE</t>
        </is>
      </c>
      <c r="U521" s="24" t="inlineStr">
        <is>
          <t>Additional Austria/Czechia benchmark. Original assignment and match quality retained.</t>
        </is>
      </c>
      <c r="V521" s="98" t="n">
        <v>10.01</v>
      </c>
      <c r="W521" s="98" t="n"/>
      <c r="X521" s="24" t="inlineStr">
        <is>
          <t>research_AT.xlsx</t>
        </is>
      </c>
      <c r="Y521" s="24" t="n"/>
      <c r="Z521" s="24" t="n"/>
      <c r="AA521" s="24" t="n"/>
      <c r="AB521" s="24" t="inlineStr">
        <is>
          <t>EUR</t>
        </is>
      </c>
      <c r="AC521" s="24" t="inlineStr">
        <is>
          <t>yes</t>
        </is>
      </c>
      <c r="AD521" s="24">
        <f>IF(ISNUMBER(V521),V521,"")</f>
        <v/>
      </c>
      <c r="AE521" s="24">
        <f>IF(AND(AC521="yes",ISNUMBER(F521),IF('Compare'!$H$5="All mapped",TRUE,IF('Compare'!$H$5="EXACT only",J521="EXACT",OR(J521="EXACT",J521="CLOSE")))),"yes","no")</f>
        <v/>
      </c>
      <c r="AF521" s="24">
        <f>IF(ISNUMBER(H521),COUNTIFS($B$7:$B$608,B521,$C$7:$C$608,C521,$H$7:$H$608,"&lt;"&amp;H521,$AH$7:$AH$608,"yes")+COUNTIFS($B$7:B521,B521,$C$7:C521,C521,$H$7:H521,H521,$AH$7:AH521,"yes"),"")</f>
        <v/>
      </c>
      <c r="AG521" s="24">
        <f>IF(ISNUMBER(I521),COUNTIFS($B$7:$B$608,B521,$C$7:$C$608,C521,$I$7:$I$608,"&lt;"&amp;I521,$AI$7:$AI$608,"yes")+COUNTIFS($B$7:B521,B521,$C$7:C521,C521,$I$7:I521,I521,$AI$7:AI521,"yes"),"")</f>
        <v/>
      </c>
      <c r="AH521" s="24">
        <f>IF(ISNUMBER(H521),"yes","no")</f>
        <v/>
      </c>
      <c r="AI521" s="24">
        <f>IF(ISNUMBER(I521),"yes","no")</f>
        <v/>
      </c>
      <c r="AJ521" s="101" t="n">
        <v>46295</v>
      </c>
      <c r="AK521" s="24" t="n"/>
    </row>
    <row r="522" ht="42" customHeight="1">
      <c r="A522" s="2" t="n"/>
      <c r="B522" s="27" t="inlineStr">
        <is>
          <t>PP dough box 600 × 400 × 75 mm, no lid</t>
        </is>
      </c>
      <c r="C522" s="27" t="inlineStr">
        <is>
          <t>Austria</t>
        </is>
      </c>
      <c r="D522" s="27" t="inlineStr">
        <is>
          <t>Jungheinrich PROFISHOP Austria</t>
        </is>
      </c>
      <c r="E522" s="27" t="inlineStr">
        <is>
          <t>Stalgast Pizzaballenbehälter aus Polypropylen 600 x 400 x 70 mm</t>
        </is>
      </c>
      <c r="F522" s="102" t="n">
        <v>34.9</v>
      </c>
      <c r="G522" s="27" t="inlineStr">
        <is>
          <t>EUR</t>
        </is>
      </c>
      <c r="H522" s="102">
        <f>IF(AND(AE522="yes",ISNUMBER(AD522)),AD522,"")</f>
        <v/>
      </c>
      <c r="I522" s="103">
        <f>IF(AND(AE522="yes",ISNUMBER(AD522),ISNUMBER(INDEX('Sources'!$G$7:$G$10,MATCH(AB522,'Sources'!$B$7:$B$10,0)))),AD522/INDEX('Sources'!$G$7:$G$10,MATCH(AB522,'Sources'!$B$7:$B$10,0)),"")</f>
        <v/>
      </c>
      <c r="J522" s="27" t="inlineStr">
        <is>
          <t>CLOSE</t>
        </is>
      </c>
      <c r="K522" s="27" t="inlineStr">
        <is>
          <t>2026-09-30</t>
        </is>
      </c>
      <c r="L522" s="71" t="n"/>
      <c r="M522" s="27" t="inlineStr">
        <is>
          <t>70 mm instead of 75 mm; PP per title</t>
        </is>
      </c>
      <c r="N522" s="28" t="inlineStr">
        <is>
          <t>https://www.jh-profishop.at/p/stalgast-pizzaballenbehaelter-aus-polypropylen-600-x-400-x-70-mm-bxtxh-929475-349073/</t>
        </is>
      </c>
      <c r="O522" s="27" t="inlineStr">
        <is>
          <t>Stalgast</t>
        </is>
      </c>
      <c r="P522" s="27" t="inlineStr">
        <is>
          <t>excl.</t>
        </is>
      </c>
      <c r="Q522" s="104" t="n"/>
      <c r="R522" s="27" t="n">
        <v>1</v>
      </c>
      <c r="S522" s="27" t="n"/>
      <c r="T522" s="27" t="inlineStr">
        <is>
          <t>CLOSE</t>
        </is>
      </c>
      <c r="U522" s="27" t="inlineStr">
        <is>
          <t>Additional Austria/Czechia benchmark. Original assignment and match quality retained.</t>
        </is>
      </c>
      <c r="V522" s="102" t="n">
        <v>34.9</v>
      </c>
      <c r="W522" s="102" t="n"/>
      <c r="X522" s="27" t="inlineStr">
        <is>
          <t>research_AT.xlsx</t>
        </is>
      </c>
      <c r="Y522" s="27" t="n"/>
      <c r="Z522" s="27" t="n"/>
      <c r="AA522" s="27" t="n"/>
      <c r="AB522" s="27" t="inlineStr">
        <is>
          <t>EUR</t>
        </is>
      </c>
      <c r="AC522" s="27" t="inlineStr">
        <is>
          <t>yes</t>
        </is>
      </c>
      <c r="AD522" s="27">
        <f>IF(ISNUMBER(V522),V522,"")</f>
        <v/>
      </c>
      <c r="AE522" s="27">
        <f>IF(AND(AC522="yes",ISNUMBER(F522),IF('Compare'!$H$5="All mapped",TRUE,IF('Compare'!$H$5="EXACT only",J522="EXACT",OR(J522="EXACT",J522="CLOSE")))),"yes","no")</f>
        <v/>
      </c>
      <c r="AF522" s="27">
        <f>IF(ISNUMBER(H522),COUNTIFS($B$7:$B$608,B522,$C$7:$C$608,C522,$H$7:$H$608,"&lt;"&amp;H522,$AH$7:$AH$608,"yes")+COUNTIFS($B$7:B522,B522,$C$7:C522,C522,$H$7:H522,H522,$AH$7:AH522,"yes"),"")</f>
        <v/>
      </c>
      <c r="AG522" s="27">
        <f>IF(ISNUMBER(I522),COUNTIFS($B$7:$B$608,B522,$C$7:$C$608,C522,$I$7:$I$608,"&lt;"&amp;I522,$AI$7:$AI$608,"yes")+COUNTIFS($B$7:B522,B522,$C$7:C522,C522,$I$7:I522,I522,$AI$7:AI522,"yes"),"")</f>
        <v/>
      </c>
      <c r="AH522" s="27">
        <f>IF(ISNUMBER(H522),"yes","no")</f>
        <v/>
      </c>
      <c r="AI522" s="27">
        <f>IF(ISNUMBER(I522),"yes","no")</f>
        <v/>
      </c>
      <c r="AJ522" s="105" t="n">
        <v>46295</v>
      </c>
      <c r="AK522" s="27" t="n"/>
    </row>
    <row r="523" ht="42" customHeight="1">
      <c r="A523" s="2" t="n"/>
      <c r="B523" s="24" t="inlineStr">
        <is>
          <t>PP dough box 600 × 400 × 75 mm, no lid</t>
        </is>
      </c>
      <c r="C523" s="24" t="inlineStr">
        <is>
          <t>Austria</t>
        </is>
      </c>
      <c r="D523" s="24" t="inlineStr">
        <is>
          <t>shopbuero.com</t>
        </is>
      </c>
      <c r="E523" s="24" t="inlineStr">
        <is>
          <t>Teigwanne - ohne Deckel - 60,0 x 40,0 x 8,2 cm - 13 l - Polypropylen</t>
        </is>
      </c>
      <c r="F523" s="98" t="n">
        <v>18</v>
      </c>
      <c r="G523" s="24" t="inlineStr">
        <is>
          <t>EUR</t>
        </is>
      </c>
      <c r="H523" s="98">
        <f>IF(AND(AE523="yes",ISNUMBER(AD523)),AD523,"")</f>
        <v/>
      </c>
      <c r="I523" s="99">
        <f>IF(AND(AE523="yes",ISNUMBER(AD523),ISNUMBER(INDEX('Sources'!$G$7:$G$10,MATCH(AB523,'Sources'!$B$7:$B$10,0)))),AD523/INDEX('Sources'!$G$7:$G$10,MATCH(AB523,'Sources'!$B$7:$B$10,0)),"")</f>
        <v/>
      </c>
      <c r="J523" s="24" t="inlineStr">
        <is>
          <t>CLOSE</t>
        </is>
      </c>
      <c r="K523" s="24" t="inlineStr">
        <is>
          <t>2026-09-30</t>
        </is>
      </c>
      <c r="L523" s="71" t="n"/>
      <c r="M523" s="24" t="inlineStr">
        <is>
          <t>82 mm instead of 75 mm; PP, no lid; regular price 28.20. APS PE 600x400x75: 8.80</t>
        </is>
      </c>
      <c r="N523" s="25" t="inlineStr">
        <is>
          <t>https://shopbuero.com/teigwanne-ohne-deckel-weiss-rechteckig-60-0-x-40-0-x-8-2-cm-inhalt-13-l-polypropylen/202180-C</t>
        </is>
      </c>
      <c r="O523" s="24" t="inlineStr">
        <is>
          <t>Schneider</t>
        </is>
      </c>
      <c r="P523" s="24" t="inlineStr">
        <is>
          <t>excl.</t>
        </is>
      </c>
      <c r="Q523" s="100" t="n"/>
      <c r="R523" s="24" t="n">
        <v>1</v>
      </c>
      <c r="S523" s="24" t="n"/>
      <c r="T523" s="24" t="inlineStr">
        <is>
          <t>CLOSE</t>
        </is>
      </c>
      <c r="U523" s="24" t="inlineStr">
        <is>
          <t>Additional Austria/Czechia benchmark. Original assignment and match quality retained.</t>
        </is>
      </c>
      <c r="V523" s="98" t="n">
        <v>18</v>
      </c>
      <c r="W523" s="98" t="n"/>
      <c r="X523" s="24" t="inlineStr">
        <is>
          <t>research_AT.xlsx</t>
        </is>
      </c>
      <c r="Y523" s="24" t="n"/>
      <c r="Z523" s="24" t="n"/>
      <c r="AA523" s="24" t="n"/>
      <c r="AB523" s="24" t="inlineStr">
        <is>
          <t>EUR</t>
        </is>
      </c>
      <c r="AC523" s="24" t="inlineStr">
        <is>
          <t>yes</t>
        </is>
      </c>
      <c r="AD523" s="24">
        <f>IF(ISNUMBER(V523),V523,"")</f>
        <v/>
      </c>
      <c r="AE523" s="24">
        <f>IF(AND(AC523="yes",ISNUMBER(F523),IF('Compare'!$H$5="All mapped",TRUE,IF('Compare'!$H$5="EXACT only",J523="EXACT",OR(J523="EXACT",J523="CLOSE")))),"yes","no")</f>
        <v/>
      </c>
      <c r="AF523" s="24">
        <f>IF(ISNUMBER(H523),COUNTIFS($B$7:$B$608,B523,$C$7:$C$608,C523,$H$7:$H$608,"&lt;"&amp;H523,$AH$7:$AH$608,"yes")+COUNTIFS($B$7:B523,B523,$C$7:C523,C523,$H$7:H523,H523,$AH$7:AH523,"yes"),"")</f>
        <v/>
      </c>
      <c r="AG523" s="24">
        <f>IF(ISNUMBER(I523),COUNTIFS($B$7:$B$608,B523,$C$7:$C$608,C523,$I$7:$I$608,"&lt;"&amp;I523,$AI$7:$AI$608,"yes")+COUNTIFS($B$7:B523,B523,$C$7:C523,C523,$I$7:I523,I523,$AI$7:AI523,"yes"),"")</f>
        <v/>
      </c>
      <c r="AH523" s="24">
        <f>IF(ISNUMBER(H523),"yes","no")</f>
        <v/>
      </c>
      <c r="AI523" s="24">
        <f>IF(ISNUMBER(I523),"yes","no")</f>
        <v/>
      </c>
      <c r="AJ523" s="101" t="n">
        <v>46295</v>
      </c>
      <c r="AK523" s="24" t="n"/>
    </row>
    <row r="524" ht="42" customHeight="1">
      <c r="A524" s="2" t="n"/>
      <c r="B524" s="27" t="inlineStr">
        <is>
          <t>PP dough box 600 × 400 × 75 mm, no lid</t>
        </is>
      </c>
      <c r="C524" s="27" t="inlineStr">
        <is>
          <t>Czech</t>
        </is>
      </c>
      <c r="D524" s="27" t="inlineStr">
        <is>
          <t>GGM Gastro (CZ storefront)</t>
        </is>
      </c>
      <c r="E524" s="27" t="inlineStr">
        <is>
          <t>(9 tlg) Přepravka na těsto-set - 8 nádob &amp; 1 víko - EN 600x400 - Výška: 75 mm - Polypropylen</t>
        </is>
      </c>
      <c r="F524" s="102" t="n">
        <v>1752.16</v>
      </c>
      <c r="G524" s="27" t="inlineStr">
        <is>
          <t>CZK</t>
        </is>
      </c>
      <c r="H524" s="102">
        <f>IF(AND(AE524="yes",ISNUMBER(AD524)),AD524,"")</f>
        <v/>
      </c>
      <c r="I524" s="103">
        <f>IF(AND(AE524="yes",ISNUMBER(AD524),ISNUMBER(INDEX('Sources'!$G$7:$G$10,MATCH(AB524,'Sources'!$B$7:$B$10,0)))),AD524/INDEX('Sources'!$G$7:$G$10,MATCH(AB524,'Sources'!$B$7:$B$10,0)),"")</f>
        <v/>
      </c>
      <c r="J524" s="27" t="inlineStr">
        <is>
          <t>CLOSE</t>
        </is>
      </c>
      <c r="K524" s="27" t="inlineStr">
        <is>
          <t>2026-09-30</t>
        </is>
      </c>
      <c r="L524" s="71" t="n"/>
      <c r="M524" s="27" t="inlineStr">
        <is>
          <t>Sold only as set of 8 PP boxes plus 1 lid; per-box price includes a share of the lid</t>
        </is>
      </c>
      <c r="N524" s="28" t="inlineStr">
        <is>
          <t>https://www.ggmgastro.com/cs-cz-czk/9-tlg-prepravka-na-testo-set-8-nadob-und-1-viko-en-600x400-vyska-75-mm-polypropylen-bila-tbpp647</t>
        </is>
      </c>
      <c r="O524" s="27" t="inlineStr">
        <is>
          <t>GGM</t>
        </is>
      </c>
      <c r="P524" s="27" t="inlineStr">
        <is>
          <t>excl.</t>
        </is>
      </c>
      <c r="Q524" s="104" t="n">
        <v>0.19</v>
      </c>
      <c r="R524" s="27" t="n">
        <v>8</v>
      </c>
      <c r="S524" s="27" t="inlineStr">
        <is>
          <t>per pack</t>
        </is>
      </c>
      <c r="T524" s="27" t="inlineStr">
        <is>
          <t>CLOSE</t>
        </is>
      </c>
      <c r="U524" s="27" t="inlineStr">
        <is>
          <t>Additional Austria/Czechia benchmark. Original assignment and match quality retained.</t>
        </is>
      </c>
      <c r="V524" s="102" t="n"/>
      <c r="W524" s="102" t="n"/>
      <c r="X524" s="27" t="inlineStr">
        <is>
          <t>research_CZ.xlsx</t>
        </is>
      </c>
      <c r="Y524" s="27" t="n"/>
      <c r="Z524" s="27" t="n"/>
      <c r="AA524" s="27" t="n"/>
      <c r="AB524" s="27" t="inlineStr">
        <is>
          <t>CZK</t>
        </is>
      </c>
      <c r="AC524" s="27" t="inlineStr">
        <is>
          <t>yes</t>
        </is>
      </c>
      <c r="AD524" s="27">
        <f>IF(OR(F524="",Q524="",R524=""),"",ROUND(IF(P524="incl.",F524/(1+Q524),F524)/IF(S524="per pack",R524,1),2))</f>
        <v/>
      </c>
      <c r="AE524" s="27">
        <f>IF(AND(AC524="yes",ISNUMBER(F524),IF('Compare'!$H$5="All mapped",TRUE,IF('Compare'!$H$5="EXACT only",J524="EXACT",OR(J524="EXACT",J524="CLOSE")))),"yes","no")</f>
        <v/>
      </c>
      <c r="AF524" s="27">
        <f>IF(ISNUMBER(H524),COUNTIFS($B$7:$B$608,B524,$C$7:$C$608,C524,$H$7:$H$608,"&lt;"&amp;H524,$AH$7:$AH$608,"yes")+COUNTIFS($B$7:B524,B524,$C$7:C524,C524,$H$7:H524,H524,$AH$7:AH524,"yes"),"")</f>
        <v/>
      </c>
      <c r="AG524" s="27">
        <f>IF(ISNUMBER(I524),COUNTIFS($B$7:$B$608,B524,$C$7:$C$608,C524,$I$7:$I$608,"&lt;"&amp;I524,$AI$7:$AI$608,"yes")+COUNTIFS($B$7:B524,B524,$C$7:C524,C524,$I$7:I524,I524,$AI$7:AI524,"yes"),"")</f>
        <v/>
      </c>
      <c r="AH524" s="27">
        <f>IF(ISNUMBER(H524),"yes","no")</f>
        <v/>
      </c>
      <c r="AI524" s="27">
        <f>IF(ISNUMBER(I524),"yes","no")</f>
        <v/>
      </c>
      <c r="AJ524" s="105" t="n">
        <v>46295</v>
      </c>
      <c r="AK524" s="27" t="n"/>
    </row>
    <row r="525" ht="42" customHeight="1">
      <c r="A525" s="2" t="n"/>
      <c r="B525" s="24" t="inlineStr">
        <is>
          <t>PP dough box 600 × 400 × 75 mm, no lid</t>
        </is>
      </c>
      <c r="C525" s="24" t="inlineStr">
        <is>
          <t>Czech</t>
        </is>
      </c>
      <c r="D525" s="24" t="inlineStr">
        <is>
          <t>Gastro Novotný</t>
        </is>
      </c>
      <c r="E525" s="24" t="inlineStr">
        <is>
          <t>Přepravka na pizzu 60x40x9cm</t>
        </is>
      </c>
      <c r="F525" s="98" t="n">
        <v>390</v>
      </c>
      <c r="G525" s="24" t="inlineStr">
        <is>
          <t>CZK</t>
        </is>
      </c>
      <c r="H525" s="98">
        <f>IF(AND(AE525="yes",ISNUMBER(AD525)),AD525,"")</f>
        <v/>
      </c>
      <c r="I525" s="99">
        <f>IF(AND(AE525="yes",ISNUMBER(AD525),ISNUMBER(INDEX('Sources'!$G$7:$G$10,MATCH(AB525,'Sources'!$B$7:$B$10,0)))),AD525/INDEX('Sources'!$G$7:$G$10,MATCH(AB525,'Sources'!$B$7:$B$10,0)),"")</f>
        <v/>
      </c>
      <c r="J525" s="24" t="inlineStr">
        <is>
          <t>APPROX</t>
        </is>
      </c>
      <c r="K525" s="24" t="inlineStr">
        <is>
          <t>2026-09-30</t>
        </is>
      </c>
      <c r="L525" s="71" t="n"/>
      <c r="M525" s="24" t="inlineStr">
        <is>
          <t>600 x 400 x 90 mm (not 75 mm); material not stated on page. Availability "Na dotaz"; 471.90 CZK incl. VAT</t>
        </is>
      </c>
      <c r="N525" s="25" t="inlineStr">
        <is>
          <t>https://eshop.gastronovotny.cz/prepravka-na-pizzu-60x40x9cm--1841762-09/</t>
        </is>
      </c>
      <c r="O525" s="24" t="n"/>
      <c r="P525" s="24" t="inlineStr">
        <is>
          <t>excl.</t>
        </is>
      </c>
      <c r="Q525" s="100" t="n">
        <v>0.21</v>
      </c>
      <c r="R525" s="24" t="n">
        <v>1</v>
      </c>
      <c r="S525" s="24" t="inlineStr">
        <is>
          <t>per piece</t>
        </is>
      </c>
      <c r="T525" s="24" t="inlineStr">
        <is>
          <t>APPROX</t>
        </is>
      </c>
      <c r="U525" s="24" t="inlineStr">
        <is>
          <t>Additional Austria/Czechia benchmark. Original assignment and match quality retained.</t>
        </is>
      </c>
      <c r="V525" s="98" t="n"/>
      <c r="W525" s="98" t="n"/>
      <c r="X525" s="24" t="inlineStr">
        <is>
          <t>research_CZ.xlsx</t>
        </is>
      </c>
      <c r="Y525" s="24" t="n"/>
      <c r="Z525" s="24" t="n"/>
      <c r="AA525" s="24" t="n"/>
      <c r="AB525" s="24" t="inlineStr">
        <is>
          <t>CZK</t>
        </is>
      </c>
      <c r="AC525" s="24" t="inlineStr">
        <is>
          <t>yes</t>
        </is>
      </c>
      <c r="AD525" s="24">
        <f>IF(OR(F525="",Q525="",R525=""),"",ROUND(IF(P525="incl.",F525/(1+Q525),F525)/IF(S525="per pack",R525,1),2))</f>
        <v/>
      </c>
      <c r="AE525" s="24">
        <f>IF(AND(AC525="yes",ISNUMBER(F525),IF('Compare'!$H$5="All mapped",TRUE,IF('Compare'!$H$5="EXACT only",J525="EXACT",OR(J525="EXACT",J525="CLOSE")))),"yes","no")</f>
        <v/>
      </c>
      <c r="AF525" s="24">
        <f>IF(ISNUMBER(H525),COUNTIFS($B$7:$B$608,B525,$C$7:$C$608,C525,$H$7:$H$608,"&lt;"&amp;H525,$AH$7:$AH$608,"yes")+COUNTIFS($B$7:B525,B525,$C$7:C525,C525,$H$7:H525,H525,$AH$7:AH525,"yes"),"")</f>
        <v/>
      </c>
      <c r="AG525" s="24">
        <f>IF(ISNUMBER(I525),COUNTIFS($B$7:$B$608,B525,$C$7:$C$608,C525,$I$7:$I$608,"&lt;"&amp;I525,$AI$7:$AI$608,"yes")+COUNTIFS($B$7:B525,B525,$C$7:C525,C525,$I$7:I525,I525,$AI$7:AI525,"yes"),"")</f>
        <v/>
      </c>
      <c r="AH525" s="24">
        <f>IF(ISNUMBER(H525),"yes","no")</f>
        <v/>
      </c>
      <c r="AI525" s="24">
        <f>IF(ISNUMBER(I525),"yes","no")</f>
        <v/>
      </c>
      <c r="AJ525" s="101" t="n">
        <v>46295</v>
      </c>
      <c r="AK525" s="24" t="n"/>
    </row>
    <row r="526" ht="52" customHeight="1">
      <c r="A526" s="2" t="n"/>
      <c r="B526" s="27" t="inlineStr">
        <is>
          <t>PP dough box 600 × 400 × 75 mm, no lid</t>
        </is>
      </c>
      <c r="C526" s="27" t="inlineStr">
        <is>
          <t>Czech</t>
        </is>
      </c>
      <c r="D526" s="27" t="inlineStr">
        <is>
          <t>Gastromania</t>
        </is>
      </c>
      <c r="E526" s="27" t="inlineStr">
        <is>
          <t>Přepravka na pizzu 60x40x7,5 cm | TOM-GAST, ZT-6040</t>
        </is>
      </c>
      <c r="F526" s="102" t="n">
        <v>339</v>
      </c>
      <c r="G526" s="27" t="inlineStr">
        <is>
          <t>CZK</t>
        </is>
      </c>
      <c r="H526" s="102">
        <f>IF(AND(AE526="yes",ISNUMBER(AD526)),AD526,"")</f>
        <v/>
      </c>
      <c r="I526" s="103">
        <f>IF(AND(AE526="yes",ISNUMBER(AD526),ISNUMBER(INDEX('Sources'!$G$7:$G$10,MATCH(AB526,'Sources'!$B$7:$B$10,0)))),AD526/INDEX('Sources'!$G$7:$G$10,MATCH(AB526,'Sources'!$B$7:$B$10,0)),"")</f>
        <v/>
      </c>
      <c r="J526" s="27" t="inlineStr">
        <is>
          <t>EXACT</t>
        </is>
      </c>
      <c r="K526" s="27" t="inlineStr">
        <is>
          <t>2026-09-30</t>
        </is>
      </c>
      <c r="L526" s="71" t="n"/>
      <c r="M526" s="27" t="inlineStr">
        <is>
          <t>PP 600 x 400 x 75 mm (same item as tomgast.cz); Hendi 880906 PET 75 mm 392, Contacto 2510/600 473 CZK; price incl. 21% VAT as published in product data (current price, in stock)</t>
        </is>
      </c>
      <c r="N526" s="28" t="inlineStr">
        <is>
          <t>https://www.gastromania.cz/kose-na-pizza-testo/prepravka-na-pizzu-60x40x7-5-cm-tom-gast-zt-6040</t>
        </is>
      </c>
      <c r="O526" s="27" t="inlineStr">
        <is>
          <t>TOMGAST</t>
        </is>
      </c>
      <c r="P526" s="27" t="inlineStr">
        <is>
          <t>incl.</t>
        </is>
      </c>
      <c r="Q526" s="104" t="n">
        <v>0.21</v>
      </c>
      <c r="R526" s="27" t="n">
        <v>1</v>
      </c>
      <c r="S526" s="27" t="inlineStr">
        <is>
          <t>per piece</t>
        </is>
      </c>
      <c r="T526" s="27" t="inlineStr">
        <is>
          <t>EXACT</t>
        </is>
      </c>
      <c r="U526" s="27" t="inlineStr">
        <is>
          <t>Additional Austria/Czechia benchmark. Original assignment and match quality retained.</t>
        </is>
      </c>
      <c r="V526" s="102" t="n"/>
      <c r="W526" s="102" t="n"/>
      <c r="X526" s="27" t="inlineStr">
        <is>
          <t>research_CZ.xlsx</t>
        </is>
      </c>
      <c r="Y526" s="27" t="n"/>
      <c r="Z526" s="27" t="n"/>
      <c r="AA526" s="27" t="n"/>
      <c r="AB526" s="27" t="inlineStr">
        <is>
          <t>CZK</t>
        </is>
      </c>
      <c r="AC526" s="27" t="inlineStr">
        <is>
          <t>yes</t>
        </is>
      </c>
      <c r="AD526" s="27">
        <f>IF(OR(F526="",Q526="",R526=""),"",ROUND(IF(P526="incl.",F526/(1+Q526),F526)/IF(S526="per pack",R526,1),2))</f>
        <v/>
      </c>
      <c r="AE526" s="27">
        <f>IF(AND(AC526="yes",ISNUMBER(F526),IF('Compare'!$H$5="All mapped",TRUE,IF('Compare'!$H$5="EXACT only",J526="EXACT",OR(J526="EXACT",J526="CLOSE")))),"yes","no")</f>
        <v/>
      </c>
      <c r="AF526" s="27">
        <f>IF(ISNUMBER(H526),COUNTIFS($B$7:$B$608,B526,$C$7:$C$608,C526,$H$7:$H$608,"&lt;"&amp;H526,$AH$7:$AH$608,"yes")+COUNTIFS($B$7:B526,B526,$C$7:C526,C526,$H$7:H526,H526,$AH$7:AH526,"yes"),"")</f>
        <v/>
      </c>
      <c r="AG526" s="27">
        <f>IF(ISNUMBER(I526),COUNTIFS($B$7:$B$608,B526,$C$7:$C$608,C526,$I$7:$I$608,"&lt;"&amp;I526,$AI$7:$AI$608,"yes")+COUNTIFS($B$7:B526,B526,$C$7:C526,C526,$I$7:I526,I526,$AI$7:AI526,"yes"),"")</f>
        <v/>
      </c>
      <c r="AH526" s="27">
        <f>IF(ISNUMBER(H526),"yes","no")</f>
        <v/>
      </c>
      <c r="AI526" s="27">
        <f>IF(ISNUMBER(I526),"yes","no")</f>
        <v/>
      </c>
      <c r="AJ526" s="105" t="n">
        <v>46295</v>
      </c>
      <c r="AK526" s="27" t="n"/>
    </row>
    <row r="527" ht="42" customHeight="1">
      <c r="A527" s="2" t="n"/>
      <c r="B527" s="24" t="inlineStr">
        <is>
          <t>PP dough box 600 × 400 × 75 mm, no lid</t>
        </is>
      </c>
      <c r="C527" s="24" t="inlineStr">
        <is>
          <t>Czech</t>
        </is>
      </c>
      <c r="D527" s="24" t="inlineStr">
        <is>
          <t>Gastrozone</t>
        </is>
      </c>
      <c r="E527" s="24" t="inlineStr">
        <is>
          <t>Nádoba AmerBox Kitchen Line na pizza těsto, 600 × 400 mm, 14 l</t>
        </is>
      </c>
      <c r="F527" s="98" t="n">
        <v>285</v>
      </c>
      <c r="G527" s="24" t="inlineStr">
        <is>
          <t>CZK</t>
        </is>
      </c>
      <c r="H527" s="98">
        <f>IF(AND(AE527="yes",ISNUMBER(AD527)),AD527,"")</f>
        <v/>
      </c>
      <c r="I527" s="99">
        <f>IF(AND(AE527="yes",ISNUMBER(AD527),ISNUMBER(INDEX('Sources'!$G$7:$G$10,MATCH(AB527,'Sources'!$B$7:$B$10,0)))),AD527/INDEX('Sources'!$G$7:$G$10,MATCH(AB527,'Sources'!$B$7:$B$10,0)),"")</f>
        <v/>
      </c>
      <c r="J527" s="24" t="inlineStr">
        <is>
          <t>CLOSE</t>
        </is>
      </c>
      <c r="K527" s="24" t="inlineStr">
        <is>
          <t>2026-09-30</t>
        </is>
      </c>
      <c r="L527" s="71" t="n"/>
      <c r="M527" s="24" t="inlineStr">
        <is>
          <t>235.54 CZK bez DPH; code HEN-880906; 600 x 400 x 75 mm but PET (not PP); lid sold separately</t>
        </is>
      </c>
      <c r="N527" s="25" t="inlineStr">
        <is>
          <t>https://www.gastrozone.cz/nadoba-na-pizza-testo-600x400-amerbox-kitchen-line-14l-600x400x-h-75mm.html</t>
        </is>
      </c>
      <c r="O527" s="24" t="inlineStr">
        <is>
          <t>AmerBox (Hendi)</t>
        </is>
      </c>
      <c r="P527" s="24" t="inlineStr">
        <is>
          <t>incl.</t>
        </is>
      </c>
      <c r="Q527" s="100" t="n">
        <v>0.21</v>
      </c>
      <c r="R527" s="24" t="n">
        <v>1</v>
      </c>
      <c r="S527" s="24" t="inlineStr">
        <is>
          <t>per piece</t>
        </is>
      </c>
      <c r="T527" s="24" t="inlineStr">
        <is>
          <t>CLOSE</t>
        </is>
      </c>
      <c r="U527" s="24" t="inlineStr">
        <is>
          <t>Additional Austria/Czechia benchmark. Original assignment and match quality retained.</t>
        </is>
      </c>
      <c r="V527" s="98" t="n"/>
      <c r="W527" s="98" t="n"/>
      <c r="X527" s="24" t="inlineStr">
        <is>
          <t>research_CZ.xlsx</t>
        </is>
      </c>
      <c r="Y527" s="24" t="n"/>
      <c r="Z527" s="24" t="n"/>
      <c r="AA527" s="24" t="n"/>
      <c r="AB527" s="24" t="inlineStr">
        <is>
          <t>CZK</t>
        </is>
      </c>
      <c r="AC527" s="24" t="inlineStr">
        <is>
          <t>yes</t>
        </is>
      </c>
      <c r="AD527" s="24">
        <f>IF(OR(F527="",Q527="",R527=""),"",ROUND(IF(P527="incl.",F527/(1+Q527),F527)/IF(S527="per pack",R527,1),2))</f>
        <v/>
      </c>
      <c r="AE527" s="24">
        <f>IF(AND(AC527="yes",ISNUMBER(F527),IF('Compare'!$H$5="All mapped",TRUE,IF('Compare'!$H$5="EXACT only",J527="EXACT",OR(J527="EXACT",J527="CLOSE")))),"yes","no")</f>
        <v/>
      </c>
      <c r="AF527" s="24">
        <f>IF(ISNUMBER(H527),COUNTIFS($B$7:$B$608,B527,$C$7:$C$608,C527,$H$7:$H$608,"&lt;"&amp;H527,$AH$7:$AH$608,"yes")+COUNTIFS($B$7:B527,B527,$C$7:C527,C527,$H$7:H527,H527,$AH$7:AH527,"yes"),"")</f>
        <v/>
      </c>
      <c r="AG527" s="24">
        <f>IF(ISNUMBER(I527),COUNTIFS($B$7:$B$608,B527,$C$7:$C$608,C527,$I$7:$I$608,"&lt;"&amp;I527,$AI$7:$AI$608,"yes")+COUNTIFS($B$7:B527,B527,$C$7:C527,C527,$I$7:I527,I527,$AI$7:AI527,"yes"),"")</f>
        <v/>
      </c>
      <c r="AH527" s="24">
        <f>IF(ISNUMBER(H527),"yes","no")</f>
        <v/>
      </c>
      <c r="AI527" s="24">
        <f>IF(ISNUMBER(I527),"yes","no")</f>
        <v/>
      </c>
      <c r="AJ527" s="101" t="n">
        <v>46295</v>
      </c>
      <c r="AK527" s="24" t="n"/>
    </row>
    <row r="528" ht="42" customHeight="1">
      <c r="A528" s="2" t="n"/>
      <c r="B528" s="27" t="inlineStr">
        <is>
          <t>PP dough box 600 × 400 × 75 mm, no lid</t>
        </is>
      </c>
      <c r="C528" s="27" t="inlineStr">
        <is>
          <t>Czech</t>
        </is>
      </c>
      <c r="D528" s="27" t="inlineStr">
        <is>
          <t>TOMGAST</t>
        </is>
      </c>
      <c r="E528" s="27" t="inlineStr">
        <is>
          <t>Přepravka na pizzu 60 × 40 × 7,5 cm</t>
        </is>
      </c>
      <c r="F528" s="102" t="n">
        <v>339</v>
      </c>
      <c r="G528" s="27" t="inlineStr">
        <is>
          <t>CZK</t>
        </is>
      </c>
      <c r="H528" s="102">
        <f>IF(AND(AE528="yes",ISNUMBER(AD528)),AD528,"")</f>
        <v/>
      </c>
      <c r="I528" s="103">
        <f>IF(AND(AE528="yes",ISNUMBER(AD528),ISNUMBER(INDEX('Sources'!$G$7:$G$10,MATCH(AB528,'Sources'!$B$7:$B$10,0)))),AD528/INDEX('Sources'!$G$7:$G$10,MATCH(AB528,'Sources'!$B$7:$B$10,0)),"")</f>
        <v/>
      </c>
      <c r="J528" s="27" t="inlineStr">
        <is>
          <t>EXACT</t>
        </is>
      </c>
      <c r="K528" s="27" t="inlineStr">
        <is>
          <t>2026-09-30</t>
        </is>
      </c>
      <c r="L528" s="71" t="n"/>
      <c r="M528" s="27" t="inlineStr">
        <is>
          <t>Code ZT-6040; PP, 600 x 400 x 75 mm, lid sold separately; 280 CZK bez DPH</t>
        </is>
      </c>
      <c r="N528" s="28" t="inlineStr">
        <is>
          <t>https://www.tomgast.cz/prepravka-na-pizzu-60--40--7-5-cm/</t>
        </is>
      </c>
      <c r="O528" s="27" t="inlineStr">
        <is>
          <t>TOMGAST</t>
        </is>
      </c>
      <c r="P528" s="27" t="inlineStr">
        <is>
          <t>incl.</t>
        </is>
      </c>
      <c r="Q528" s="104" t="n">
        <v>0.21</v>
      </c>
      <c r="R528" s="27" t="n">
        <v>1</v>
      </c>
      <c r="S528" s="27" t="inlineStr">
        <is>
          <t>per piece</t>
        </is>
      </c>
      <c r="T528" s="27" t="inlineStr">
        <is>
          <t>EXACT</t>
        </is>
      </c>
      <c r="U528" s="27" t="inlineStr">
        <is>
          <t>Additional Austria/Czechia benchmark. Original assignment and match quality retained.</t>
        </is>
      </c>
      <c r="V528" s="102" t="n"/>
      <c r="W528" s="102" t="n"/>
      <c r="X528" s="27" t="inlineStr">
        <is>
          <t>research_CZ.xlsx</t>
        </is>
      </c>
      <c r="Y528" s="27" t="n"/>
      <c r="Z528" s="27" t="n"/>
      <c r="AA528" s="27" t="n"/>
      <c r="AB528" s="27" t="inlineStr">
        <is>
          <t>CZK</t>
        </is>
      </c>
      <c r="AC528" s="27" t="inlineStr">
        <is>
          <t>yes</t>
        </is>
      </c>
      <c r="AD528" s="27">
        <f>IF(OR(F528="",Q528="",R528=""),"",ROUND(IF(P528="incl.",F528/(1+Q528),F528)/IF(S528="per pack",R528,1),2))</f>
        <v/>
      </c>
      <c r="AE528" s="27">
        <f>IF(AND(AC528="yes",ISNUMBER(F528),IF('Compare'!$H$5="All mapped",TRUE,IF('Compare'!$H$5="EXACT only",J528="EXACT",OR(J528="EXACT",J528="CLOSE")))),"yes","no")</f>
        <v/>
      </c>
      <c r="AF528" s="27">
        <f>IF(ISNUMBER(H528),COUNTIFS($B$7:$B$608,B528,$C$7:$C$608,C528,$H$7:$H$608,"&lt;"&amp;H528,$AH$7:$AH$608,"yes")+COUNTIFS($B$7:B528,B528,$C$7:C528,C528,$H$7:H528,H528,$AH$7:AH528,"yes"),"")</f>
        <v/>
      </c>
      <c r="AG528" s="27">
        <f>IF(ISNUMBER(I528),COUNTIFS($B$7:$B$608,B528,$C$7:$C$608,C528,$I$7:$I$608,"&lt;"&amp;I528,$AI$7:$AI$608,"yes")+COUNTIFS($B$7:B528,B528,$C$7:C528,C528,$I$7:I528,I528,$AI$7:AI528,"yes"),"")</f>
        <v/>
      </c>
      <c r="AH528" s="27">
        <f>IF(ISNUMBER(H528),"yes","no")</f>
        <v/>
      </c>
      <c r="AI528" s="27">
        <f>IF(ISNUMBER(I528),"yes","no")</f>
        <v/>
      </c>
      <c r="AJ528" s="105" t="n">
        <v>46295</v>
      </c>
      <c r="AK528" s="27" t="n"/>
    </row>
    <row r="529" ht="42" customHeight="1">
      <c r="A529" s="2" t="n"/>
      <c r="B529" s="24" t="inlineStr">
        <is>
          <t>GN 1/1 PC container, 100 mm</t>
        </is>
      </c>
      <c r="C529" s="24" t="inlineStr">
        <is>
          <t>Austria</t>
        </is>
      </c>
      <c r="D529" s="24" t="inlineStr">
        <is>
          <t>ALLPAX Österreich</t>
        </is>
      </c>
      <c r="E529" s="24" t="inlineStr">
        <is>
          <t>PC GN 1/1 Höhe 100 mm schwarz</t>
        </is>
      </c>
      <c r="F529" s="98" t="n">
        <v>6.4</v>
      </c>
      <c r="G529" s="24" t="inlineStr">
        <is>
          <t>EUR</t>
        </is>
      </c>
      <c r="H529" s="98">
        <f>IF(AND(AE529="yes",ISNUMBER(AD529)),AD529,"")</f>
        <v/>
      </c>
      <c r="I529" s="99">
        <f>IF(AND(AE529="yes",ISNUMBER(AD529),ISNUMBER(INDEX('Sources'!$G$7:$G$10,MATCH(AB529,'Sources'!$B$7:$B$10,0)))),AD529/INDEX('Sources'!$G$7:$G$10,MATCH(AB529,'Sources'!$B$7:$B$10,0)),"")</f>
        <v/>
      </c>
      <c r="J529" s="24" t="inlineStr">
        <is>
          <t>EXACT</t>
        </is>
      </c>
      <c r="K529" s="24" t="inlineStr">
        <is>
          <t>2026-09-30</t>
        </is>
      </c>
      <c r="L529" s="71" t="n"/>
      <c r="M529" s="24" t="inlineStr">
        <is>
          <t>'jetzt' price; regular 9.09; available from week 49/2026</t>
        </is>
      </c>
      <c r="N529" s="25" t="inlineStr">
        <is>
          <t>https://www.allpax.at/product_info.php/info/PC-GN-1-1-Hoehe-100-mm-schwarz.html</t>
        </is>
      </c>
      <c r="O529" s="24" t="n"/>
      <c r="P529" s="24" t="inlineStr">
        <is>
          <t>excl.</t>
        </is>
      </c>
      <c r="Q529" s="100" t="n"/>
      <c r="R529" s="24" t="n">
        <v>1</v>
      </c>
      <c r="S529" s="24" t="n"/>
      <c r="T529" s="24" t="inlineStr">
        <is>
          <t>EXACT</t>
        </is>
      </c>
      <c r="U529" s="24" t="inlineStr">
        <is>
          <t>Additional Austria/Czechia benchmark. Original assignment and match quality retained.</t>
        </is>
      </c>
      <c r="V529" s="98" t="n">
        <v>6.4</v>
      </c>
      <c r="W529" s="98" t="n"/>
      <c r="X529" s="24" t="inlineStr">
        <is>
          <t>research_AT.xlsx</t>
        </is>
      </c>
      <c r="Y529" s="24" t="n"/>
      <c r="Z529" s="24" t="n"/>
      <c r="AA529" s="24" t="n"/>
      <c r="AB529" s="24" t="inlineStr">
        <is>
          <t>EUR</t>
        </is>
      </c>
      <c r="AC529" s="24" t="inlineStr">
        <is>
          <t>yes</t>
        </is>
      </c>
      <c r="AD529" s="24">
        <f>IF(ISNUMBER(V529),V529,"")</f>
        <v/>
      </c>
      <c r="AE529" s="24">
        <f>IF(AND(AC529="yes",ISNUMBER(F529),IF('Compare'!$H$5="All mapped",TRUE,IF('Compare'!$H$5="EXACT only",J529="EXACT",OR(J529="EXACT",J529="CLOSE")))),"yes","no")</f>
        <v/>
      </c>
      <c r="AF529" s="24">
        <f>IF(ISNUMBER(H529),COUNTIFS($B$7:$B$608,B529,$C$7:$C$608,C529,$H$7:$H$608,"&lt;"&amp;H529,$AH$7:$AH$608,"yes")+COUNTIFS($B$7:B529,B529,$C$7:C529,C529,$H$7:H529,H529,$AH$7:AH529,"yes"),"")</f>
        <v/>
      </c>
      <c r="AG529" s="24">
        <f>IF(ISNUMBER(I529),COUNTIFS($B$7:$B$608,B529,$C$7:$C$608,C529,$I$7:$I$608,"&lt;"&amp;I529,$AI$7:$AI$608,"yes")+COUNTIFS($B$7:B529,B529,$C$7:C529,C529,$I$7:I529,I529,$AI$7:AI529,"yes"),"")</f>
        <v/>
      </c>
      <c r="AH529" s="24">
        <f>IF(ISNUMBER(H529),"yes","no")</f>
        <v/>
      </c>
      <c r="AI529" s="24">
        <f>IF(ISNUMBER(I529),"yes","no")</f>
        <v/>
      </c>
      <c r="AJ529" s="101" t="n">
        <v>46295</v>
      </c>
      <c r="AK529" s="24" t="n"/>
    </row>
    <row r="530" ht="42" customHeight="1">
      <c r="A530" s="2" t="n"/>
      <c r="B530" s="27" t="inlineStr">
        <is>
          <t>GN 1/1 PC container, 100 mm</t>
        </is>
      </c>
      <c r="C530" s="27" t="inlineStr">
        <is>
          <t>Austria</t>
        </is>
      </c>
      <c r="D530" s="27" t="inlineStr">
        <is>
          <t>GGM Gastro (Austrian storefront)</t>
        </is>
      </c>
      <c r="E530" s="27" t="inlineStr">
        <is>
          <t>(6 Stück) Polycarbonat-Behälter GN 1/1 - Schwarz - Höhe: 100mm</t>
        </is>
      </c>
      <c r="F530" s="102" t="n">
        <v>54.99</v>
      </c>
      <c r="G530" s="27" t="inlineStr">
        <is>
          <t>EUR</t>
        </is>
      </c>
      <c r="H530" s="102">
        <f>IF(AND(AE530="yes",ISNUMBER(AD530)),AD530,"")</f>
        <v/>
      </c>
      <c r="I530" s="103">
        <f>IF(AND(AE530="yes",ISNUMBER(AD530),ISNUMBER(INDEX('Sources'!$G$7:$G$10,MATCH(AB530,'Sources'!$B$7:$B$10,0)))),AD530/INDEX('Sources'!$G$7:$G$10,MATCH(AB530,'Sources'!$B$7:$B$10,0)),"")</f>
        <v/>
      </c>
      <c r="J530" s="27" t="inlineStr">
        <is>
          <t>EXACT</t>
        </is>
      </c>
      <c r="K530" s="27" t="inlineStr">
        <is>
          <t>2026-09-30</t>
        </is>
      </c>
      <c r="L530" s="71" t="n"/>
      <c r="M530" s="27" t="inlineStr">
        <is>
          <t>Black PC</t>
        </is>
      </c>
      <c r="N530" s="28" t="inlineStr">
        <is>
          <t>https://www.ggmgastro.com/de-at-eur/6-stueck-polycarbonat-behaelter-gn-1-1-schwarz-hoehe-100mm-gpcp11100s</t>
        </is>
      </c>
      <c r="O530" s="27" t="inlineStr">
        <is>
          <t>GGM</t>
        </is>
      </c>
      <c r="P530" s="27" t="inlineStr">
        <is>
          <t>excl.</t>
        </is>
      </c>
      <c r="Q530" s="104" t="n"/>
      <c r="R530" s="27" t="n">
        <v>6</v>
      </c>
      <c r="S530" s="27" t="inlineStr">
        <is>
          <t>set of 6</t>
        </is>
      </c>
      <c r="T530" s="27" t="inlineStr">
        <is>
          <t>EXACT</t>
        </is>
      </c>
      <c r="U530" s="27" t="inlineStr">
        <is>
          <t>Additional Austria/Czechia benchmark. Original assignment and match quality retained.</t>
        </is>
      </c>
      <c r="V530" s="102" t="n">
        <v>9.17</v>
      </c>
      <c r="W530" s="102" t="n"/>
      <c r="X530" s="27" t="inlineStr">
        <is>
          <t>research_AT.xlsx</t>
        </is>
      </c>
      <c r="Y530" s="27" t="n"/>
      <c r="Z530" s="27" t="n"/>
      <c r="AA530" s="27" t="n"/>
      <c r="AB530" s="27" t="inlineStr">
        <is>
          <t>EUR</t>
        </is>
      </c>
      <c r="AC530" s="27" t="inlineStr">
        <is>
          <t>yes</t>
        </is>
      </c>
      <c r="AD530" s="27">
        <f>IF(ISNUMBER(V530),V530,"")</f>
        <v/>
      </c>
      <c r="AE530" s="27">
        <f>IF(AND(AC530="yes",ISNUMBER(F530),IF('Compare'!$H$5="All mapped",TRUE,IF('Compare'!$H$5="EXACT only",J530="EXACT",OR(J530="EXACT",J530="CLOSE")))),"yes","no")</f>
        <v/>
      </c>
      <c r="AF530" s="27">
        <f>IF(ISNUMBER(H530),COUNTIFS($B$7:$B$608,B530,$C$7:$C$608,C530,$H$7:$H$608,"&lt;"&amp;H530,$AH$7:$AH$608,"yes")+COUNTIFS($B$7:B530,B530,$C$7:C530,C530,$H$7:H530,H530,$AH$7:AH530,"yes"),"")</f>
        <v/>
      </c>
      <c r="AG530" s="27">
        <f>IF(ISNUMBER(I530),COUNTIFS($B$7:$B$608,B530,$C$7:$C$608,C530,$I$7:$I$608,"&lt;"&amp;I530,$AI$7:$AI$608,"yes")+COUNTIFS($B$7:B530,B530,$C$7:C530,C530,$I$7:I530,I530,$AI$7:AI530,"yes"),"")</f>
        <v/>
      </c>
      <c r="AH530" s="27">
        <f>IF(ISNUMBER(H530),"yes","no")</f>
        <v/>
      </c>
      <c r="AI530" s="27">
        <f>IF(ISNUMBER(I530),"yes","no")</f>
        <v/>
      </c>
      <c r="AJ530" s="105" t="n">
        <v>46295</v>
      </c>
      <c r="AK530" s="27" t="n"/>
    </row>
    <row r="531" ht="42" customHeight="1">
      <c r="A531" s="2" t="n"/>
      <c r="B531" s="24" t="inlineStr">
        <is>
          <t>GN 1/1 PC container, 100 mm</t>
        </is>
      </c>
      <c r="C531" s="24" t="inlineStr">
        <is>
          <t>Austria</t>
        </is>
      </c>
      <c r="D531" s="24" t="inlineStr">
        <is>
          <t>Gastro Star</t>
        </is>
      </c>
      <c r="E531" s="24" t="inlineStr">
        <is>
          <t>RIEBER GN 1/1 Polycarbonat-Behälter - Tiefe 100mm</t>
        </is>
      </c>
      <c r="F531" s="98" t="n">
        <v>28</v>
      </c>
      <c r="G531" s="24" t="inlineStr">
        <is>
          <t>EUR</t>
        </is>
      </c>
      <c r="H531" s="98">
        <f>IF(AND(AE531="yes",ISNUMBER(AD531)),AD531,"")</f>
        <v/>
      </c>
      <c r="I531" s="99">
        <f>IF(AND(AE531="yes",ISNUMBER(AD531),ISNUMBER(INDEX('Sources'!$G$7:$G$10,MATCH(AB531,'Sources'!$B$7:$B$10,0)))),AD531/INDEX('Sources'!$G$7:$G$10,MATCH(AB531,'Sources'!$B$7:$B$10,0)),"")</f>
        <v/>
      </c>
      <c r="J531" s="24" t="inlineStr">
        <is>
          <t>EXACT</t>
        </is>
      </c>
      <c r="K531" s="24" t="inlineStr">
        <is>
          <t>2026-09-30</t>
        </is>
      </c>
      <c r="L531" s="71" t="n"/>
      <c r="M531" s="24" t="n"/>
      <c r="N531" s="25" t="inlineStr">
        <is>
          <t>https://www.gastro-star.at/produkt/riebergn11polycarbonat-behaelter-tiefe100mm/</t>
        </is>
      </c>
      <c r="O531" s="24" t="inlineStr">
        <is>
          <t>Rieber</t>
        </is>
      </c>
      <c r="P531" s="24" t="inlineStr">
        <is>
          <t>excl.</t>
        </is>
      </c>
      <c r="Q531" s="100" t="n"/>
      <c r="R531" s="24" t="n">
        <v>1</v>
      </c>
      <c r="S531" s="24" t="n"/>
      <c r="T531" s="24" t="inlineStr">
        <is>
          <t>EXACT</t>
        </is>
      </c>
      <c r="U531" s="24" t="inlineStr">
        <is>
          <t>Additional Austria/Czechia benchmark. Original assignment and match quality retained.</t>
        </is>
      </c>
      <c r="V531" s="98" t="n">
        <v>28</v>
      </c>
      <c r="W531" s="98" t="n"/>
      <c r="X531" s="24" t="inlineStr">
        <is>
          <t>research_AT.xlsx</t>
        </is>
      </c>
      <c r="Y531" s="24" t="n"/>
      <c r="Z531" s="24" t="n"/>
      <c r="AA531" s="24" t="n"/>
      <c r="AB531" s="24" t="inlineStr">
        <is>
          <t>EUR</t>
        </is>
      </c>
      <c r="AC531" s="24" t="inlineStr">
        <is>
          <t>yes</t>
        </is>
      </c>
      <c r="AD531" s="24">
        <f>IF(ISNUMBER(V531),V531,"")</f>
        <v/>
      </c>
      <c r="AE531" s="24">
        <f>IF(AND(AC531="yes",ISNUMBER(F531),IF('Compare'!$H$5="All mapped",TRUE,IF('Compare'!$H$5="EXACT only",J531="EXACT",OR(J531="EXACT",J531="CLOSE")))),"yes","no")</f>
        <v/>
      </c>
      <c r="AF531" s="24">
        <f>IF(ISNUMBER(H531),COUNTIFS($B$7:$B$608,B531,$C$7:$C$608,C531,$H$7:$H$608,"&lt;"&amp;H531,$AH$7:$AH$608,"yes")+COUNTIFS($B$7:B531,B531,$C$7:C531,C531,$H$7:H531,H531,$AH$7:AH531,"yes"),"")</f>
        <v/>
      </c>
      <c r="AG531" s="24">
        <f>IF(ISNUMBER(I531),COUNTIFS($B$7:$B$608,B531,$C$7:$C$608,C531,$I$7:$I$608,"&lt;"&amp;I531,$AI$7:$AI$608,"yes")+COUNTIFS($B$7:B531,B531,$C$7:C531,C531,$I$7:I531,I531,$AI$7:AI531,"yes"),"")</f>
        <v/>
      </c>
      <c r="AH531" s="24">
        <f>IF(ISNUMBER(H531),"yes","no")</f>
        <v/>
      </c>
      <c r="AI531" s="24">
        <f>IF(ISNUMBER(I531),"yes","no")</f>
        <v/>
      </c>
      <c r="AJ531" s="101" t="n">
        <v>46295</v>
      </c>
      <c r="AK531" s="24" t="n"/>
    </row>
    <row r="532" ht="42" customHeight="1">
      <c r="A532" s="2" t="n"/>
      <c r="B532" s="27" t="inlineStr">
        <is>
          <t>GN 1/1 PC container, 100 mm</t>
        </is>
      </c>
      <c r="C532" s="27" t="inlineStr">
        <is>
          <t>Austria</t>
        </is>
      </c>
      <c r="D532" s="27" t="inlineStr">
        <is>
          <t>GastroHero Österreich</t>
        </is>
      </c>
      <c r="E532" s="27" t="inlineStr">
        <is>
          <t>Vogue GN-Behälter 1/1 Polycarbonat - Tiefe 100 mm</t>
        </is>
      </c>
      <c r="F532" s="102" t="n">
        <v>18.09</v>
      </c>
      <c r="G532" s="27" t="inlineStr">
        <is>
          <t>EUR</t>
        </is>
      </c>
      <c r="H532" s="102">
        <f>IF(AND(AE532="yes",ISNUMBER(AD532)),AD532,"")</f>
        <v/>
      </c>
      <c r="I532" s="103">
        <f>IF(AND(AE532="yes",ISNUMBER(AD532),ISNUMBER(INDEX('Sources'!$G$7:$G$10,MATCH(AB532,'Sources'!$B$7:$B$10,0)))),AD532/INDEX('Sources'!$G$7:$G$10,MATCH(AB532,'Sources'!$B$7:$B$10,0)),"")</f>
        <v/>
      </c>
      <c r="J532" s="27" t="inlineStr">
        <is>
          <t>EXACT</t>
        </is>
      </c>
      <c r="K532" s="27" t="inlineStr">
        <is>
          <t>2026-09-30</t>
        </is>
      </c>
      <c r="L532" s="71" t="n"/>
      <c r="M532" s="27" t="inlineStr">
        <is>
          <t>Sale price (normal 19.79); min. qty 4</t>
        </is>
      </c>
      <c r="N532" s="28" t="inlineStr">
        <is>
          <t>https://www.gastro-hero.at/products/vogue-gn-behaelter-11-polycarbonat-tiefe-100-mm-u225</t>
        </is>
      </c>
      <c r="O532" s="27" t="inlineStr">
        <is>
          <t>Vogue</t>
        </is>
      </c>
      <c r="P532" s="27" t="inlineStr">
        <is>
          <t>excl.</t>
        </is>
      </c>
      <c r="Q532" s="104" t="n"/>
      <c r="R532" s="27" t="n">
        <v>1</v>
      </c>
      <c r="S532" s="27" t="n"/>
      <c r="T532" s="27" t="inlineStr">
        <is>
          <t>EXACT</t>
        </is>
      </c>
      <c r="U532" s="27" t="inlineStr">
        <is>
          <t>Additional Austria/Czechia benchmark. Original assignment and match quality retained.</t>
        </is>
      </c>
      <c r="V532" s="102" t="n">
        <v>18.09</v>
      </c>
      <c r="W532" s="102" t="n"/>
      <c r="X532" s="27" t="inlineStr">
        <is>
          <t>research_AT.xlsx</t>
        </is>
      </c>
      <c r="Y532" s="27" t="n"/>
      <c r="Z532" s="27" t="n"/>
      <c r="AA532" s="27" t="n"/>
      <c r="AB532" s="27" t="inlineStr">
        <is>
          <t>EUR</t>
        </is>
      </c>
      <c r="AC532" s="27" t="inlineStr">
        <is>
          <t>yes</t>
        </is>
      </c>
      <c r="AD532" s="27">
        <f>IF(ISNUMBER(V532),V532,"")</f>
        <v/>
      </c>
      <c r="AE532" s="27">
        <f>IF(AND(AC532="yes",ISNUMBER(F532),IF('Compare'!$H$5="All mapped",TRUE,IF('Compare'!$H$5="EXACT only",J532="EXACT",OR(J532="EXACT",J532="CLOSE")))),"yes","no")</f>
        <v/>
      </c>
      <c r="AF532" s="27">
        <f>IF(ISNUMBER(H532),COUNTIFS($B$7:$B$608,B532,$C$7:$C$608,C532,$H$7:$H$608,"&lt;"&amp;H532,$AH$7:$AH$608,"yes")+COUNTIFS($B$7:B532,B532,$C$7:C532,C532,$H$7:H532,H532,$AH$7:AH532,"yes"),"")</f>
        <v/>
      </c>
      <c r="AG532" s="27">
        <f>IF(ISNUMBER(I532),COUNTIFS($B$7:$B$608,B532,$C$7:$C$608,C532,$I$7:$I$608,"&lt;"&amp;I532,$AI$7:$AI$608,"yes")+COUNTIFS($B$7:B532,B532,$C$7:C532,C532,$I$7:I532,I532,$AI$7:AI532,"yes"),"")</f>
        <v/>
      </c>
      <c r="AH532" s="27">
        <f>IF(ISNUMBER(H532),"yes","no")</f>
        <v/>
      </c>
      <c r="AI532" s="27">
        <f>IF(ISNUMBER(I532),"yes","no")</f>
        <v/>
      </c>
      <c r="AJ532" s="105" t="n">
        <v>46295</v>
      </c>
      <c r="AK532" s="27" t="n"/>
    </row>
    <row r="533" ht="42" customHeight="1">
      <c r="A533" s="2" t="n"/>
      <c r="B533" s="24" t="inlineStr">
        <is>
          <t>GN 1/1 PC container, 100 mm</t>
        </is>
      </c>
      <c r="C533" s="24" t="inlineStr">
        <is>
          <t>Austria</t>
        </is>
      </c>
      <c r="D533" s="24" t="inlineStr">
        <is>
          <t>Gastrodax</t>
        </is>
      </c>
      <c r="E533" s="24" t="inlineStr">
        <is>
          <t>Hendi Gastronorm-Behälter 1/1, 14L, Transparent, 530x325x(H)100mm (Polycarbonat)</t>
        </is>
      </c>
      <c r="F533" s="98" t="n">
        <v>29.25</v>
      </c>
      <c r="G533" s="24" t="inlineStr">
        <is>
          <t>EUR</t>
        </is>
      </c>
      <c r="H533" s="98">
        <f>IF(AND(AE533="yes",ISNUMBER(AD533)),AD533,"")</f>
        <v/>
      </c>
      <c r="I533" s="99">
        <f>IF(AND(AE533="yes",ISNUMBER(AD533),ISNUMBER(INDEX('Sources'!$G$7:$G$10,MATCH(AB533,'Sources'!$B$7:$B$10,0)))),AD533/INDEX('Sources'!$G$7:$G$10,MATCH(AB533,'Sources'!$B$7:$B$10,0)),"")</f>
        <v/>
      </c>
      <c r="J533" s="24" t="inlineStr">
        <is>
          <t>EXACT</t>
        </is>
      </c>
      <c r="K533" s="24" t="inlineStr">
        <is>
          <t>2026-09-30</t>
        </is>
      </c>
      <c r="L533" s="71" t="n"/>
      <c r="M533" s="24" t="inlineStr">
        <is>
          <t>Contacto PC GN 1/1 100 mm 16.72 (sale, normal 20.90)</t>
        </is>
      </c>
      <c r="N533" s="25" t="inlineStr">
        <is>
          <t>https://www.gastrodax.de/hendi-gastronorm-behaelter-gn-1-1-14-l-polykarbonat-transparent-530-x-325-x-h-100-mm</t>
        </is>
      </c>
      <c r="O533" s="24" t="inlineStr">
        <is>
          <t>Hendi</t>
        </is>
      </c>
      <c r="P533" s="24" t="inlineStr">
        <is>
          <t>excl.</t>
        </is>
      </c>
      <c r="Q533" s="100" t="n"/>
      <c r="R533" s="24" t="n">
        <v>1</v>
      </c>
      <c r="S533" s="24" t="n"/>
      <c r="T533" s="24" t="inlineStr">
        <is>
          <t>EXACT</t>
        </is>
      </c>
      <c r="U533" s="24" t="inlineStr">
        <is>
          <t>Additional Austria/Czechia benchmark. Original assignment and match quality retained.</t>
        </is>
      </c>
      <c r="V533" s="98" t="n">
        <v>29.25</v>
      </c>
      <c r="W533" s="98" t="n"/>
      <c r="X533" s="24" t="inlineStr">
        <is>
          <t>research_AT.xlsx</t>
        </is>
      </c>
      <c r="Y533" s="24" t="n"/>
      <c r="Z533" s="24" t="n"/>
      <c r="AA533" s="24" t="n"/>
      <c r="AB533" s="24" t="inlineStr">
        <is>
          <t>EUR</t>
        </is>
      </c>
      <c r="AC533" s="24" t="inlineStr">
        <is>
          <t>yes</t>
        </is>
      </c>
      <c r="AD533" s="24">
        <f>IF(ISNUMBER(V533),V533,"")</f>
        <v/>
      </c>
      <c r="AE533" s="24">
        <f>IF(AND(AC533="yes",ISNUMBER(F533),IF('Compare'!$H$5="All mapped",TRUE,IF('Compare'!$H$5="EXACT only",J533="EXACT",OR(J533="EXACT",J533="CLOSE")))),"yes","no")</f>
        <v/>
      </c>
      <c r="AF533" s="24">
        <f>IF(ISNUMBER(H533),COUNTIFS($B$7:$B$608,B533,$C$7:$C$608,C533,$H$7:$H$608,"&lt;"&amp;H533,$AH$7:$AH$608,"yes")+COUNTIFS($B$7:B533,B533,$C$7:C533,C533,$H$7:H533,H533,$AH$7:AH533,"yes"),"")</f>
        <v/>
      </c>
      <c r="AG533" s="24">
        <f>IF(ISNUMBER(I533),COUNTIFS($B$7:$B$608,B533,$C$7:$C$608,C533,$I$7:$I$608,"&lt;"&amp;I533,$AI$7:$AI$608,"yes")+COUNTIFS($B$7:B533,B533,$C$7:C533,C533,$I$7:I533,I533,$AI$7:AI533,"yes"),"")</f>
        <v/>
      </c>
      <c r="AH533" s="24">
        <f>IF(ISNUMBER(H533),"yes","no")</f>
        <v/>
      </c>
      <c r="AI533" s="24">
        <f>IF(ISNUMBER(I533),"yes","no")</f>
        <v/>
      </c>
      <c r="AJ533" s="101" t="n">
        <v>46295</v>
      </c>
      <c r="AK533" s="24" t="n"/>
    </row>
    <row r="534" ht="42" customHeight="1">
      <c r="A534" s="2" t="n"/>
      <c r="B534" s="27" t="inlineStr">
        <is>
          <t>GN 1/1 PC container, 100 mm</t>
        </is>
      </c>
      <c r="C534" s="27" t="inlineStr">
        <is>
          <t>Austria</t>
        </is>
      </c>
      <c r="D534" s="27" t="inlineStr">
        <is>
          <t>Gastroladen.at (Harotec GmbH)</t>
        </is>
      </c>
      <c r="E534" s="27" t="inlineStr">
        <is>
          <t>Vogue Polycarbonat GN-Behälter GN1/1 100mm</t>
        </is>
      </c>
      <c r="F534" s="102" t="n">
        <v>15.39</v>
      </c>
      <c r="G534" s="27" t="inlineStr">
        <is>
          <t>EUR</t>
        </is>
      </c>
      <c r="H534" s="102">
        <f>IF(AND(AE534="yes",ISNUMBER(AD534)),AD534,"")</f>
        <v/>
      </c>
      <c r="I534" s="103">
        <f>IF(AND(AE534="yes",ISNUMBER(AD534),ISNUMBER(INDEX('Sources'!$G$7:$G$10,MATCH(AB534,'Sources'!$B$7:$B$10,0)))),AD534/INDEX('Sources'!$G$7:$G$10,MATCH(AB534,'Sources'!$B$7:$B$10,0)),"")</f>
        <v/>
      </c>
      <c r="J534" s="27" t="inlineStr">
        <is>
          <t>EXACT</t>
        </is>
      </c>
      <c r="K534" s="27" t="inlineStr">
        <is>
          <t>2026-09-30</t>
        </is>
      </c>
      <c r="L534" s="71" t="n"/>
      <c r="M534" s="27" t="inlineStr">
        <is>
          <t>Cambro PC GN 1/1 100 mm (DM729) 22.39</t>
        </is>
      </c>
      <c r="N534" s="28" t="inlineStr">
        <is>
          <t>https://www.gastroladen.at/3020@GN-U225/Vogue-Polycarbonat-GN-Beh%C3%A4lter-GN1-1-100mm.htm</t>
        </is>
      </c>
      <c r="O534" s="27" t="inlineStr">
        <is>
          <t>Vogue</t>
        </is>
      </c>
      <c r="P534" s="27" t="inlineStr">
        <is>
          <t>incl.</t>
        </is>
      </c>
      <c r="Q534" s="104" t="n"/>
      <c r="R534" s="27" t="n">
        <v>1</v>
      </c>
      <c r="S534" s="27" t="n"/>
      <c r="T534" s="27" t="inlineStr">
        <is>
          <t>EXACT</t>
        </is>
      </c>
      <c r="U534" s="27" t="inlineStr">
        <is>
          <t>Additional Austria/Czechia benchmark. Original assignment and match quality retained.</t>
        </is>
      </c>
      <c r="V534" s="102" t="n">
        <v>12.83</v>
      </c>
      <c r="W534" s="102" t="n"/>
      <c r="X534" s="27" t="inlineStr">
        <is>
          <t>research_AT.xlsx</t>
        </is>
      </c>
      <c r="Y534" s="27" t="n"/>
      <c r="Z534" s="27" t="n"/>
      <c r="AA534" s="27" t="n"/>
      <c r="AB534" s="27" t="inlineStr">
        <is>
          <t>EUR</t>
        </is>
      </c>
      <c r="AC534" s="27" t="inlineStr">
        <is>
          <t>yes</t>
        </is>
      </c>
      <c r="AD534" s="27">
        <f>IF(ISNUMBER(V534),V534,"")</f>
        <v/>
      </c>
      <c r="AE534" s="27">
        <f>IF(AND(AC534="yes",ISNUMBER(F534),IF('Compare'!$H$5="All mapped",TRUE,IF('Compare'!$H$5="EXACT only",J534="EXACT",OR(J534="EXACT",J534="CLOSE")))),"yes","no")</f>
        <v/>
      </c>
      <c r="AF534" s="27">
        <f>IF(ISNUMBER(H534),COUNTIFS($B$7:$B$608,B534,$C$7:$C$608,C534,$H$7:$H$608,"&lt;"&amp;H534,$AH$7:$AH$608,"yes")+COUNTIFS($B$7:B534,B534,$C$7:C534,C534,$H$7:H534,H534,$AH$7:AH534,"yes"),"")</f>
        <v/>
      </c>
      <c r="AG534" s="27">
        <f>IF(ISNUMBER(I534),COUNTIFS($B$7:$B$608,B534,$C$7:$C$608,C534,$I$7:$I$608,"&lt;"&amp;I534,$AI$7:$AI$608,"yes")+COUNTIFS($B$7:B534,B534,$C$7:C534,C534,$I$7:I534,I534,$AI$7:AI534,"yes"),"")</f>
        <v/>
      </c>
      <c r="AH534" s="27">
        <f>IF(ISNUMBER(H534),"yes","no")</f>
        <v/>
      </c>
      <c r="AI534" s="27">
        <f>IF(ISNUMBER(I534),"yes","no")</f>
        <v/>
      </c>
      <c r="AJ534" s="105" t="n">
        <v>46295</v>
      </c>
      <c r="AK534" s="27" t="n"/>
    </row>
    <row r="535" ht="42" customHeight="1">
      <c r="A535" s="2" t="n"/>
      <c r="B535" s="24" t="inlineStr">
        <is>
          <t>GN 1/1 PC container, 100 mm</t>
        </is>
      </c>
      <c r="C535" s="24" t="inlineStr">
        <is>
          <t>Austria</t>
        </is>
      </c>
      <c r="D535" s="24" t="inlineStr">
        <is>
          <t>Intergastro (AT shop)</t>
        </is>
      </c>
      <c r="E535" s="24" t="inlineStr">
        <is>
          <t>Gastronorm Behälter GN 1/1 GN 96 BLACK Polycarbonat schwarz H 100 mm</t>
        </is>
      </c>
      <c r="F535" s="98" t="n">
        <v>20.65</v>
      </c>
      <c r="G535" s="24" t="inlineStr">
        <is>
          <t>EUR</t>
        </is>
      </c>
      <c r="H535" s="98">
        <f>IF(AND(AE535="yes",ISNUMBER(AD535)),AD535,"")</f>
        <v/>
      </c>
      <c r="I535" s="99">
        <f>IF(AND(AE535="yes",ISNUMBER(AD535),ISNUMBER(INDEX('Sources'!$G$7:$G$10,MATCH(AB535,'Sources'!$B$7:$B$10,0)))),AD535/INDEX('Sources'!$G$7:$G$10,MATCH(AB535,'Sources'!$B$7:$B$10,0)),"")</f>
        <v/>
      </c>
      <c r="J535" s="24" t="inlineStr">
        <is>
          <t>EXACT</t>
        </is>
      </c>
      <c r="K535" s="24" t="inlineStr">
        <is>
          <t>2026-09-30</t>
        </is>
      </c>
      <c r="L535" s="71" t="n"/>
      <c r="M535" s="24" t="inlineStr">
        <is>
          <t>Black PC</t>
        </is>
      </c>
      <c r="N535" s="25" t="inlineStr">
        <is>
          <t>https://www.intergastro.at/gastronorm-behaelter-gn-1-1-gn-96-black-polycarbonat-schwarz-h-100-mm-1016769</t>
        </is>
      </c>
      <c r="O535" s="24" t="inlineStr">
        <is>
          <t>WAS Germany</t>
        </is>
      </c>
      <c r="P535" s="24" t="inlineStr">
        <is>
          <t>excl.</t>
        </is>
      </c>
      <c r="Q535" s="100" t="n"/>
      <c r="R535" s="24" t="n">
        <v>1</v>
      </c>
      <c r="S535" s="24" t="n"/>
      <c r="T535" s="24" t="inlineStr">
        <is>
          <t>EXACT</t>
        </is>
      </c>
      <c r="U535" s="24" t="inlineStr">
        <is>
          <t>Additional Austria/Czechia benchmark. Original assignment and match quality retained.</t>
        </is>
      </c>
      <c r="V535" s="98" t="n">
        <v>20.65</v>
      </c>
      <c r="W535" s="98" t="n"/>
      <c r="X535" s="24" t="inlineStr">
        <is>
          <t>research_AT.xlsx</t>
        </is>
      </c>
      <c r="Y535" s="24" t="n"/>
      <c r="Z535" s="24" t="n"/>
      <c r="AA535" s="24" t="n"/>
      <c r="AB535" s="24" t="inlineStr">
        <is>
          <t>EUR</t>
        </is>
      </c>
      <c r="AC535" s="24" t="inlineStr">
        <is>
          <t>yes</t>
        </is>
      </c>
      <c r="AD535" s="24">
        <f>IF(ISNUMBER(V535),V535,"")</f>
        <v/>
      </c>
      <c r="AE535" s="24">
        <f>IF(AND(AC535="yes",ISNUMBER(F535),IF('Compare'!$H$5="All mapped",TRUE,IF('Compare'!$H$5="EXACT only",J535="EXACT",OR(J535="EXACT",J535="CLOSE")))),"yes","no")</f>
        <v/>
      </c>
      <c r="AF535" s="24">
        <f>IF(ISNUMBER(H535),COUNTIFS($B$7:$B$608,B535,$C$7:$C$608,C535,$H$7:$H$608,"&lt;"&amp;H535,$AH$7:$AH$608,"yes")+COUNTIFS($B$7:B535,B535,$C$7:C535,C535,$H$7:H535,H535,$AH$7:AH535,"yes"),"")</f>
        <v/>
      </c>
      <c r="AG535" s="24">
        <f>IF(ISNUMBER(I535),COUNTIFS($B$7:$B$608,B535,$C$7:$C$608,C535,$I$7:$I$608,"&lt;"&amp;I535,$AI$7:$AI$608,"yes")+COUNTIFS($B$7:B535,B535,$C$7:C535,C535,$I$7:I535,I535,$AI$7:AI535,"yes"),"")</f>
        <v/>
      </c>
      <c r="AH535" s="24">
        <f>IF(ISNUMBER(H535),"yes","no")</f>
        <v/>
      </c>
      <c r="AI535" s="24">
        <f>IF(ISNUMBER(I535),"yes","no")</f>
        <v/>
      </c>
      <c r="AJ535" s="101" t="n">
        <v>46295</v>
      </c>
      <c r="AK535" s="24" t="n"/>
    </row>
    <row r="536" ht="42" customHeight="1">
      <c r="A536" s="2" t="n"/>
      <c r="B536" s="27" t="inlineStr">
        <is>
          <t>GN 1/1 PC container, 100 mm</t>
        </is>
      </c>
      <c r="C536" s="27" t="inlineStr">
        <is>
          <t>Austria</t>
        </is>
      </c>
      <c r="D536" s="27" t="inlineStr">
        <is>
          <t>shopbuero.com</t>
        </is>
      </c>
      <c r="E536" s="27" t="inlineStr">
        <is>
          <t>GN-Behälter - GN 1/1 (530 x 325 mm) - 100 mm - Inhalt 13,3 l - Polycarbonat</t>
        </is>
      </c>
      <c r="F536" s="102" t="n">
        <v>17</v>
      </c>
      <c r="G536" s="27" t="inlineStr">
        <is>
          <t>EUR</t>
        </is>
      </c>
      <c r="H536" s="102">
        <f>IF(AND(AE536="yes",ISNUMBER(AD536)),AD536,"")</f>
        <v/>
      </c>
      <c r="I536" s="103">
        <f>IF(AND(AE536="yes",ISNUMBER(AD536),ISNUMBER(INDEX('Sources'!$G$7:$G$10,MATCH(AB536,'Sources'!$B$7:$B$10,0)))),AD536/INDEX('Sources'!$G$7:$G$10,MATCH(AB536,'Sources'!$B$7:$B$10,0)),"")</f>
        <v/>
      </c>
      <c r="J536" s="27" t="inlineStr">
        <is>
          <t>EXACT</t>
        </is>
      </c>
      <c r="K536" s="27" t="inlineStr">
        <is>
          <t>2026-09-30</t>
        </is>
      </c>
      <c r="L536" s="71" t="n"/>
      <c r="M536" s="27" t="inlineStr">
        <is>
          <t>Regular price 27.75</t>
        </is>
      </c>
      <c r="N536" s="28" t="inlineStr">
        <is>
          <t>https://shopbuero.com/gn-behaelter-gn-1-1-530-x-325-mm-100-mm-inhalt-13-3-l-polycarbonat/530101-C</t>
        </is>
      </c>
      <c r="O536" s="27" t="inlineStr">
        <is>
          <t>Schneider</t>
        </is>
      </c>
      <c r="P536" s="27" t="inlineStr">
        <is>
          <t>excl.</t>
        </is>
      </c>
      <c r="Q536" s="104" t="n"/>
      <c r="R536" s="27" t="n">
        <v>1</v>
      </c>
      <c r="S536" s="27" t="n"/>
      <c r="T536" s="27" t="inlineStr">
        <is>
          <t>EXACT</t>
        </is>
      </c>
      <c r="U536" s="27" t="inlineStr">
        <is>
          <t>Additional Austria/Czechia benchmark. Original assignment and match quality retained.</t>
        </is>
      </c>
      <c r="V536" s="102" t="n">
        <v>17</v>
      </c>
      <c r="W536" s="102" t="n"/>
      <c r="X536" s="27" t="inlineStr">
        <is>
          <t>research_AT.xlsx</t>
        </is>
      </c>
      <c r="Y536" s="27" t="n"/>
      <c r="Z536" s="27" t="n"/>
      <c r="AA536" s="27" t="n"/>
      <c r="AB536" s="27" t="inlineStr">
        <is>
          <t>EUR</t>
        </is>
      </c>
      <c r="AC536" s="27" t="inlineStr">
        <is>
          <t>yes</t>
        </is>
      </c>
      <c r="AD536" s="27">
        <f>IF(ISNUMBER(V536),V536,"")</f>
        <v/>
      </c>
      <c r="AE536" s="27">
        <f>IF(AND(AC536="yes",ISNUMBER(F536),IF('Compare'!$H$5="All mapped",TRUE,IF('Compare'!$H$5="EXACT only",J536="EXACT",OR(J536="EXACT",J536="CLOSE")))),"yes","no")</f>
        <v/>
      </c>
      <c r="AF536" s="27">
        <f>IF(ISNUMBER(H536),COUNTIFS($B$7:$B$608,B536,$C$7:$C$608,C536,$H$7:$H$608,"&lt;"&amp;H536,$AH$7:$AH$608,"yes")+COUNTIFS($B$7:B536,B536,$C$7:C536,C536,$H$7:H536,H536,$AH$7:AH536,"yes"),"")</f>
        <v/>
      </c>
      <c r="AG536" s="27">
        <f>IF(ISNUMBER(I536),COUNTIFS($B$7:$B$608,B536,$C$7:$C$608,C536,$I$7:$I$608,"&lt;"&amp;I536,$AI$7:$AI$608,"yes")+COUNTIFS($B$7:B536,B536,$C$7:C536,C536,$I$7:I536,I536,$AI$7:AI536,"yes"),"")</f>
        <v/>
      </c>
      <c r="AH536" s="27">
        <f>IF(ISNUMBER(H536),"yes","no")</f>
        <v/>
      </c>
      <c r="AI536" s="27">
        <f>IF(ISNUMBER(I536),"yes","no")</f>
        <v/>
      </c>
      <c r="AJ536" s="105" t="n">
        <v>46295</v>
      </c>
      <c r="AK536" s="27" t="n"/>
    </row>
    <row r="537" ht="42" customHeight="1">
      <c r="A537" s="2" t="n"/>
      <c r="B537" s="24" t="inlineStr">
        <is>
          <t>GN 1/1 PC container, 100 mm</t>
        </is>
      </c>
      <c r="C537" s="24" t="inlineStr">
        <is>
          <t>Czech</t>
        </is>
      </c>
      <c r="D537" s="24" t="inlineStr">
        <is>
          <t>GGM Gastro (CZ storefront)</t>
        </is>
      </c>
      <c r="E537" s="24" t="inlineStr">
        <is>
          <t>(6 ks) Gastronádoba GN GN 1/1 - polykarbonát - černá - výška: 100 mm</t>
        </is>
      </c>
      <c r="F537" s="98" t="n">
        <v>1314.06</v>
      </c>
      <c r="G537" s="24" t="inlineStr">
        <is>
          <t>CZK</t>
        </is>
      </c>
      <c r="H537" s="98">
        <f>IF(AND(AE537="yes",ISNUMBER(AD537)),AD537,"")</f>
        <v/>
      </c>
      <c r="I537" s="99">
        <f>IF(AND(AE537="yes",ISNUMBER(AD537),ISNUMBER(INDEX('Sources'!$G$7:$G$10,MATCH(AB537,'Sources'!$B$7:$B$10,0)))),AD537/INDEX('Sources'!$G$7:$G$10,MATCH(AB537,'Sources'!$B$7:$B$10,0)),"")</f>
        <v/>
      </c>
      <c r="J537" s="24" t="inlineStr">
        <is>
          <t>EXACT</t>
        </is>
      </c>
      <c r="K537" s="24" t="inlineStr">
        <is>
          <t>2026-09-30</t>
        </is>
      </c>
      <c r="L537" s="71" t="n"/>
      <c r="M537" s="24" t="inlineStr">
        <is>
          <t>Black PC</t>
        </is>
      </c>
      <c r="N537" s="25" t="inlineStr">
        <is>
          <t>https://www.ggmgastro.com/cs-cz-czk/6-ks-gastronadoba-gn-gn-1-1-polykarbonat-cerna-vyska-100-mm-gpcp11100s</t>
        </is>
      </c>
      <c r="O537" s="24" t="inlineStr">
        <is>
          <t>GGM</t>
        </is>
      </c>
      <c r="P537" s="24" t="inlineStr">
        <is>
          <t>excl.</t>
        </is>
      </c>
      <c r="Q537" s="100" t="n">
        <v>0.19</v>
      </c>
      <c r="R537" s="24" t="n">
        <v>6</v>
      </c>
      <c r="S537" s="24" t="inlineStr">
        <is>
          <t>per pack</t>
        </is>
      </c>
      <c r="T537" s="24" t="inlineStr">
        <is>
          <t>EXACT</t>
        </is>
      </c>
      <c r="U537" s="24" t="inlineStr">
        <is>
          <t>Additional Austria/Czechia benchmark. Original assignment and match quality retained.</t>
        </is>
      </c>
      <c r="V537" s="98" t="n"/>
      <c r="W537" s="98" t="n"/>
      <c r="X537" s="24" t="inlineStr">
        <is>
          <t>research_CZ.xlsx</t>
        </is>
      </c>
      <c r="Y537" s="24" t="n"/>
      <c r="Z537" s="24" t="n"/>
      <c r="AA537" s="24" t="n"/>
      <c r="AB537" s="24" t="inlineStr">
        <is>
          <t>CZK</t>
        </is>
      </c>
      <c r="AC537" s="24" t="inlineStr">
        <is>
          <t>yes</t>
        </is>
      </c>
      <c r="AD537" s="24">
        <f>IF(OR(F537="",Q537="",R537=""),"",ROUND(IF(P537="incl.",F537/(1+Q537),F537)/IF(S537="per pack",R537,1),2))</f>
        <v/>
      </c>
      <c r="AE537" s="24">
        <f>IF(AND(AC537="yes",ISNUMBER(F537),IF('Compare'!$H$5="All mapped",TRUE,IF('Compare'!$H$5="EXACT only",J537="EXACT",OR(J537="EXACT",J537="CLOSE")))),"yes","no")</f>
        <v/>
      </c>
      <c r="AF537" s="24">
        <f>IF(ISNUMBER(H537),COUNTIFS($B$7:$B$608,B537,$C$7:$C$608,C537,$H$7:$H$608,"&lt;"&amp;H537,$AH$7:$AH$608,"yes")+COUNTIFS($B$7:B537,B537,$C$7:C537,C537,$H$7:H537,H537,$AH$7:AH537,"yes"),"")</f>
        <v/>
      </c>
      <c r="AG537" s="24">
        <f>IF(ISNUMBER(I537),COUNTIFS($B$7:$B$608,B537,$C$7:$C$608,C537,$I$7:$I$608,"&lt;"&amp;I537,$AI$7:$AI$608,"yes")+COUNTIFS($B$7:B537,B537,$C$7:C537,C537,$I$7:I537,I537,$AI$7:AI537,"yes"),"")</f>
        <v/>
      </c>
      <c r="AH537" s="24">
        <f>IF(ISNUMBER(H537),"yes","no")</f>
        <v/>
      </c>
      <c r="AI537" s="24">
        <f>IF(ISNUMBER(I537),"yes","no")</f>
        <v/>
      </c>
      <c r="AJ537" s="101" t="n">
        <v>46295</v>
      </c>
      <c r="AK537" s="24" t="n"/>
    </row>
    <row r="538" ht="42" customHeight="1">
      <c r="A538" s="2" t="n"/>
      <c r="B538" s="27" t="inlineStr">
        <is>
          <t>GN 1/1 PC container, 100 mm</t>
        </is>
      </c>
      <c r="C538" s="27" t="inlineStr">
        <is>
          <t>Czech</t>
        </is>
      </c>
      <c r="D538" s="27" t="inlineStr">
        <is>
          <t>Gastro Novotný</t>
        </is>
      </c>
      <c r="E538" s="27" t="inlineStr">
        <is>
          <t>Gastronádoba PC 1/1 100</t>
        </is>
      </c>
      <c r="F538" s="102" t="n">
        <v>289</v>
      </c>
      <c r="G538" s="27" t="inlineStr">
        <is>
          <t>CZK</t>
        </is>
      </c>
      <c r="H538" s="102">
        <f>IF(AND(AE538="yes",ISNUMBER(AD538)),AD538,"")</f>
        <v/>
      </c>
      <c r="I538" s="103">
        <f>IF(AND(AE538="yes",ISNUMBER(AD538),ISNUMBER(INDEX('Sources'!$G$7:$G$10,MATCH(AB538,'Sources'!$B$7:$B$10,0)))),AD538/INDEX('Sources'!$G$7:$G$10,MATCH(AB538,'Sources'!$B$7:$B$10,0)),"")</f>
        <v/>
      </c>
      <c r="J538" s="27" t="inlineStr">
        <is>
          <t>EXACT</t>
        </is>
      </c>
      <c r="K538" s="27" t="inlineStr">
        <is>
          <t>2026-09-30</t>
        </is>
      </c>
      <c r="L538" s="71" t="n"/>
      <c r="M538" s="27" t="inlineStr">
        <is>
          <t>Code 0835126; availability "Na dotaz"; 349.69 CZK incl. VAT</t>
        </is>
      </c>
      <c r="N538" s="28" t="inlineStr">
        <is>
          <t>https://eshop.gastronovotny.cz/gastronadoba-pc-1-1-100--0835126/</t>
        </is>
      </c>
      <c r="O538" s="27" t="n"/>
      <c r="P538" s="27" t="inlineStr">
        <is>
          <t>excl.</t>
        </is>
      </c>
      <c r="Q538" s="104" t="n">
        <v>0.21</v>
      </c>
      <c r="R538" s="27" t="n">
        <v>1</v>
      </c>
      <c r="S538" s="27" t="inlineStr">
        <is>
          <t>per piece</t>
        </is>
      </c>
      <c r="T538" s="27" t="inlineStr">
        <is>
          <t>EXACT</t>
        </is>
      </c>
      <c r="U538" s="27" t="inlineStr">
        <is>
          <t>Additional Austria/Czechia benchmark. Original assignment and match quality retained.</t>
        </is>
      </c>
      <c r="V538" s="102" t="n"/>
      <c r="W538" s="102" t="n"/>
      <c r="X538" s="27" t="inlineStr">
        <is>
          <t>research_CZ.xlsx</t>
        </is>
      </c>
      <c r="Y538" s="27" t="n"/>
      <c r="Z538" s="27" t="n"/>
      <c r="AA538" s="27" t="n"/>
      <c r="AB538" s="27" t="inlineStr">
        <is>
          <t>CZK</t>
        </is>
      </c>
      <c r="AC538" s="27" t="inlineStr">
        <is>
          <t>yes</t>
        </is>
      </c>
      <c r="AD538" s="27">
        <f>IF(OR(F538="",Q538="",R538=""),"",ROUND(IF(P538="incl.",F538/(1+Q538),F538)/IF(S538="per pack",R538,1),2))</f>
        <v/>
      </c>
      <c r="AE538" s="27">
        <f>IF(AND(AC538="yes",ISNUMBER(F538),IF('Compare'!$H$5="All mapped",TRUE,IF('Compare'!$H$5="EXACT only",J538="EXACT",OR(J538="EXACT",J538="CLOSE")))),"yes","no")</f>
        <v/>
      </c>
      <c r="AF538" s="27">
        <f>IF(ISNUMBER(H538),COUNTIFS($B$7:$B$608,B538,$C$7:$C$608,C538,$H$7:$H$608,"&lt;"&amp;H538,$AH$7:$AH$608,"yes")+COUNTIFS($B$7:B538,B538,$C$7:C538,C538,$H$7:H538,H538,$AH$7:AH538,"yes"),"")</f>
        <v/>
      </c>
      <c r="AG538" s="27">
        <f>IF(ISNUMBER(I538),COUNTIFS($B$7:$B$608,B538,$C$7:$C$608,C538,$I$7:$I$608,"&lt;"&amp;I538,$AI$7:$AI$608,"yes")+COUNTIFS($B$7:B538,B538,$C$7:C538,C538,$I$7:I538,I538,$AI$7:AI538,"yes"),"")</f>
        <v/>
      </c>
      <c r="AH538" s="27">
        <f>IF(ISNUMBER(H538),"yes","no")</f>
        <v/>
      </c>
      <c r="AI538" s="27">
        <f>IF(ISNUMBER(I538),"yes","no")</f>
        <v/>
      </c>
      <c r="AJ538" s="105" t="n">
        <v>46295</v>
      </c>
      <c r="AK538" s="27" t="n"/>
    </row>
    <row r="539" ht="42" customHeight="1">
      <c r="A539" s="2" t="n"/>
      <c r="B539" s="24" t="inlineStr">
        <is>
          <t>GN 1/1 PC container, 100 mm</t>
        </is>
      </c>
      <c r="C539" s="24" t="inlineStr">
        <is>
          <t>Czech</t>
        </is>
      </c>
      <c r="D539" s="24" t="inlineStr">
        <is>
          <t>Gastromania</t>
        </is>
      </c>
      <c r="E539" s="24" t="inlineStr">
        <is>
          <t>Gastro nádoba GN 1/1 100 mm, polykarbonát | YATO, YG-00391</t>
        </is>
      </c>
      <c r="F539" s="98" t="n">
        <v>294</v>
      </c>
      <c r="G539" s="24" t="inlineStr">
        <is>
          <t>CZK</t>
        </is>
      </c>
      <c r="H539" s="98">
        <f>IF(AND(AE539="yes",ISNUMBER(AD539)),AD539,"")</f>
        <v/>
      </c>
      <c r="I539" s="99">
        <f>IF(AND(AE539="yes",ISNUMBER(AD539),ISNUMBER(INDEX('Sources'!$G$7:$G$10,MATCH(AB539,'Sources'!$B$7:$B$10,0)))),AD539/INDEX('Sources'!$G$7:$G$10,MATCH(AB539,'Sources'!$B$7:$B$10,0)),"")</f>
        <v/>
      </c>
      <c r="J539" s="24" t="inlineStr">
        <is>
          <t>EXACT</t>
        </is>
      </c>
      <c r="K539" s="24" t="inlineStr">
        <is>
          <t>2026-09-30</t>
        </is>
      </c>
      <c r="L539" s="71" t="n"/>
      <c r="M539" s="24" t="inlineStr">
        <is>
          <t>Stalgast Bufet PC 482, Cambro 509 CZK; price incl. 21% VAT as published in product data (current price, in stock)</t>
        </is>
      </c>
      <c r="N539" s="25" t="inlineStr">
        <is>
          <t>https://www.gastromania.cz/gastronadoby-polykarbonatove/gastro-nadoba-gn-1-1-100-mm-polykarbonat-yato-yg-00391</t>
        </is>
      </c>
      <c r="O539" s="24" t="inlineStr">
        <is>
          <t>Yato</t>
        </is>
      </c>
      <c r="P539" s="24" t="inlineStr">
        <is>
          <t>incl.</t>
        </is>
      </c>
      <c r="Q539" s="100" t="n">
        <v>0.21</v>
      </c>
      <c r="R539" s="24" t="n">
        <v>1</v>
      </c>
      <c r="S539" s="24" t="inlineStr">
        <is>
          <t>per piece</t>
        </is>
      </c>
      <c r="T539" s="24" t="inlineStr">
        <is>
          <t>EXACT</t>
        </is>
      </c>
      <c r="U539" s="24" t="inlineStr">
        <is>
          <t>Additional Austria/Czechia benchmark. Original assignment and match quality retained.</t>
        </is>
      </c>
      <c r="V539" s="98" t="n"/>
      <c r="W539" s="98" t="n"/>
      <c r="X539" s="24" t="inlineStr">
        <is>
          <t>research_CZ.xlsx</t>
        </is>
      </c>
      <c r="Y539" s="24" t="n"/>
      <c r="Z539" s="24" t="n"/>
      <c r="AA539" s="24" t="n"/>
      <c r="AB539" s="24" t="inlineStr">
        <is>
          <t>CZK</t>
        </is>
      </c>
      <c r="AC539" s="24" t="inlineStr">
        <is>
          <t>yes</t>
        </is>
      </c>
      <c r="AD539" s="24">
        <f>IF(OR(F539="",Q539="",R539=""),"",ROUND(IF(P539="incl.",F539/(1+Q539),F539)/IF(S539="per pack",R539,1),2))</f>
        <v/>
      </c>
      <c r="AE539" s="24">
        <f>IF(AND(AC539="yes",ISNUMBER(F539),IF('Compare'!$H$5="All mapped",TRUE,IF('Compare'!$H$5="EXACT only",J539="EXACT",OR(J539="EXACT",J539="CLOSE")))),"yes","no")</f>
        <v/>
      </c>
      <c r="AF539" s="24">
        <f>IF(ISNUMBER(H539),COUNTIFS($B$7:$B$608,B539,$C$7:$C$608,C539,$H$7:$H$608,"&lt;"&amp;H539,$AH$7:$AH$608,"yes")+COUNTIFS($B$7:B539,B539,$C$7:C539,C539,$H$7:H539,H539,$AH$7:AH539,"yes"),"")</f>
        <v/>
      </c>
      <c r="AG539" s="24">
        <f>IF(ISNUMBER(I539),COUNTIFS($B$7:$B$608,B539,$C$7:$C$608,C539,$I$7:$I$608,"&lt;"&amp;I539,$AI$7:$AI$608,"yes")+COUNTIFS($B$7:B539,B539,$C$7:C539,C539,$I$7:I539,I539,$AI$7:AI539,"yes"),"")</f>
        <v/>
      </c>
      <c r="AH539" s="24">
        <f>IF(ISNUMBER(H539),"yes","no")</f>
        <v/>
      </c>
      <c r="AI539" s="24">
        <f>IF(ISNUMBER(I539),"yes","no")</f>
        <v/>
      </c>
      <c r="AJ539" s="101" t="n">
        <v>46295</v>
      </c>
      <c r="AK539" s="24" t="n"/>
    </row>
    <row r="540" ht="42" customHeight="1">
      <c r="A540" s="2" t="n"/>
      <c r="B540" s="27" t="inlineStr">
        <is>
          <t>GN 1/1 PC container, 100 mm</t>
        </is>
      </c>
      <c r="C540" s="27" t="inlineStr">
        <is>
          <t>Czech</t>
        </is>
      </c>
      <c r="D540" s="27" t="inlineStr">
        <is>
          <t>Gastrozone</t>
        </is>
      </c>
      <c r="E540" s="27" t="inlineStr">
        <is>
          <t>ARAVEN Gastronádoba GN 1/1, polykarbonát, hloubka: 100 mm, objem: 13,4 L</t>
        </is>
      </c>
      <c r="F540" s="102" t="n">
        <v>635</v>
      </c>
      <c r="G540" s="27" t="inlineStr">
        <is>
          <t>CZK</t>
        </is>
      </c>
      <c r="H540" s="102">
        <f>IF(AND(AE540="yes",ISNUMBER(AD540)),AD540,"")</f>
        <v/>
      </c>
      <c r="I540" s="103">
        <f>IF(AND(AE540="yes",ISNUMBER(AD540),ISNUMBER(INDEX('Sources'!$G$7:$G$10,MATCH(AB540,'Sources'!$B$7:$B$10,0)))),AD540/INDEX('Sources'!$G$7:$G$10,MATCH(AB540,'Sources'!$B$7:$B$10,0)),"")</f>
        <v/>
      </c>
      <c r="J540" s="27" t="inlineStr">
        <is>
          <t>EXACT</t>
        </is>
      </c>
      <c r="K540" s="27" t="inlineStr">
        <is>
          <t>2026-09-30</t>
        </is>
      </c>
      <c r="L540" s="71" t="n"/>
      <c r="M540" s="27" t="inlineStr">
        <is>
          <t>524.79 CZK bez DPH; APS 683, Pujadas 815 CZK</t>
        </is>
      </c>
      <c r="N540" s="28" t="inlineStr">
        <is>
          <t>https://www.gastrozone.cz/araven-gn-nadoba-1-1-polykarbonat-hloubka-100-mm-objem-13-4-l.html</t>
        </is>
      </c>
      <c r="O540" s="27" t="inlineStr">
        <is>
          <t>Araven</t>
        </is>
      </c>
      <c r="P540" s="27" t="inlineStr">
        <is>
          <t>incl.</t>
        </is>
      </c>
      <c r="Q540" s="104" t="n">
        <v>0.21</v>
      </c>
      <c r="R540" s="27" t="n">
        <v>1</v>
      </c>
      <c r="S540" s="27" t="inlineStr">
        <is>
          <t>per piece</t>
        </is>
      </c>
      <c r="T540" s="27" t="inlineStr">
        <is>
          <t>EXACT</t>
        </is>
      </c>
      <c r="U540" s="27" t="inlineStr">
        <is>
          <t>Additional Austria/Czechia benchmark. Original assignment and match quality retained.</t>
        </is>
      </c>
      <c r="V540" s="102" t="n"/>
      <c r="W540" s="102" t="n"/>
      <c r="X540" s="27" t="inlineStr">
        <is>
          <t>research_CZ.xlsx</t>
        </is>
      </c>
      <c r="Y540" s="27" t="n"/>
      <c r="Z540" s="27" t="n"/>
      <c r="AA540" s="27" t="n"/>
      <c r="AB540" s="27" t="inlineStr">
        <is>
          <t>CZK</t>
        </is>
      </c>
      <c r="AC540" s="27" t="inlineStr">
        <is>
          <t>yes</t>
        </is>
      </c>
      <c r="AD540" s="27">
        <f>IF(OR(F540="",Q540="",R540=""),"",ROUND(IF(P540="incl.",F540/(1+Q540),F540)/IF(S540="per pack",R540,1),2))</f>
        <v/>
      </c>
      <c r="AE540" s="27">
        <f>IF(AND(AC540="yes",ISNUMBER(F540),IF('Compare'!$H$5="All mapped",TRUE,IF('Compare'!$H$5="EXACT only",J540="EXACT",OR(J540="EXACT",J540="CLOSE")))),"yes","no")</f>
        <v/>
      </c>
      <c r="AF540" s="27">
        <f>IF(ISNUMBER(H540),COUNTIFS($B$7:$B$608,B540,$C$7:$C$608,C540,$H$7:$H$608,"&lt;"&amp;H540,$AH$7:$AH$608,"yes")+COUNTIFS($B$7:B540,B540,$C$7:C540,C540,$H$7:H540,H540,$AH$7:AH540,"yes"),"")</f>
        <v/>
      </c>
      <c r="AG540" s="27">
        <f>IF(ISNUMBER(I540),COUNTIFS($B$7:$B$608,B540,$C$7:$C$608,C540,$I$7:$I$608,"&lt;"&amp;I540,$AI$7:$AI$608,"yes")+COUNTIFS($B$7:B540,B540,$C$7:C540,C540,$I$7:I540,I540,$AI$7:AI540,"yes"),"")</f>
        <v/>
      </c>
      <c r="AH540" s="27">
        <f>IF(ISNUMBER(H540),"yes","no")</f>
        <v/>
      </c>
      <c r="AI540" s="27">
        <f>IF(ISNUMBER(I540),"yes","no")</f>
        <v/>
      </c>
      <c r="AJ540" s="105" t="n">
        <v>46295</v>
      </c>
      <c r="AK540" s="27" t="n"/>
    </row>
    <row r="541" ht="42" customHeight="1">
      <c r="A541" s="2" t="n"/>
      <c r="B541" s="24" t="inlineStr">
        <is>
          <t>GN 1/1 PC container, 100 mm</t>
        </is>
      </c>
      <c r="C541" s="24" t="inlineStr">
        <is>
          <t>Czech</t>
        </is>
      </c>
      <c r="D541" s="24" t="inlineStr">
        <is>
          <t>TOMGAST</t>
        </is>
      </c>
      <c r="E541" s="24" t="inlineStr">
        <is>
          <t>Gastronádoba polykarbonátová GN 1/1 100 mm</t>
        </is>
      </c>
      <c r="F541" s="98" t="n">
        <v>509</v>
      </c>
      <c r="G541" s="24" t="inlineStr">
        <is>
          <t>CZK</t>
        </is>
      </c>
      <c r="H541" s="98">
        <f>IF(AND(AE541="yes",ISNUMBER(AD541)),AD541,"")</f>
        <v/>
      </c>
      <c r="I541" s="99">
        <f>IF(AND(AE541="yes",ISNUMBER(AD541),ISNUMBER(INDEX('Sources'!$G$7:$G$10,MATCH(AB541,'Sources'!$B$7:$B$10,0)))),AD541/INDEX('Sources'!$G$7:$G$10,MATCH(AB541,'Sources'!$B$7:$B$10,0)),"")</f>
        <v/>
      </c>
      <c r="J541" s="24" t="inlineStr">
        <is>
          <t>EXACT</t>
        </is>
      </c>
      <c r="K541" s="24" t="inlineStr">
        <is>
          <t>2026-09-30</t>
        </is>
      </c>
      <c r="L541" s="71" t="n"/>
      <c r="M541" s="24" t="inlineStr">
        <is>
          <t>Code R-M211100; 421 CZK bez DPH. Second PC line M2-11100 is 426 CZK incl.</t>
        </is>
      </c>
      <c r="N541" s="25" t="inlineStr">
        <is>
          <t>https://www.tomgast.cz/gastronadoba-polykarbonatova-gn-1-1-100-mm-2/</t>
        </is>
      </c>
      <c r="O541" s="24" t="inlineStr">
        <is>
          <t>Cambro</t>
        </is>
      </c>
      <c r="P541" s="24" t="inlineStr">
        <is>
          <t>incl.</t>
        </is>
      </c>
      <c r="Q541" s="100" t="n">
        <v>0.21</v>
      </c>
      <c r="R541" s="24" t="n">
        <v>1</v>
      </c>
      <c r="S541" s="24" t="inlineStr">
        <is>
          <t>per piece</t>
        </is>
      </c>
      <c r="T541" s="24" t="inlineStr">
        <is>
          <t>EXACT</t>
        </is>
      </c>
      <c r="U541" s="24" t="inlineStr">
        <is>
          <t>Additional Austria/Czechia benchmark. Original assignment and match quality retained.</t>
        </is>
      </c>
      <c r="V541" s="98" t="n"/>
      <c r="W541" s="98" t="n"/>
      <c r="X541" s="24" t="inlineStr">
        <is>
          <t>research_CZ.xlsx</t>
        </is>
      </c>
      <c r="Y541" s="24" t="n"/>
      <c r="Z541" s="24" t="n"/>
      <c r="AA541" s="24" t="n"/>
      <c r="AB541" s="24" t="inlineStr">
        <is>
          <t>CZK</t>
        </is>
      </c>
      <c r="AC541" s="24" t="inlineStr">
        <is>
          <t>yes</t>
        </is>
      </c>
      <c r="AD541" s="24">
        <f>IF(OR(F541="",Q541="",R541=""),"",ROUND(IF(P541="incl.",F541/(1+Q541),F541)/IF(S541="per pack",R541,1),2))</f>
        <v/>
      </c>
      <c r="AE541" s="24">
        <f>IF(AND(AC541="yes",ISNUMBER(F541),IF('Compare'!$H$5="All mapped",TRUE,IF('Compare'!$H$5="EXACT only",J541="EXACT",OR(J541="EXACT",J541="CLOSE")))),"yes","no")</f>
        <v/>
      </c>
      <c r="AF541" s="24">
        <f>IF(ISNUMBER(H541),COUNTIFS($B$7:$B$608,B541,$C$7:$C$608,C541,$H$7:$H$608,"&lt;"&amp;H541,$AH$7:$AH$608,"yes")+COUNTIFS($B$7:B541,B541,$C$7:C541,C541,$H$7:H541,H541,$AH$7:AH541,"yes"),"")</f>
        <v/>
      </c>
      <c r="AG541" s="24">
        <f>IF(ISNUMBER(I541),COUNTIFS($B$7:$B$608,B541,$C$7:$C$608,C541,$I$7:$I$608,"&lt;"&amp;I541,$AI$7:$AI$608,"yes")+COUNTIFS($B$7:B541,B541,$C$7:C541,C541,$I$7:I541,I541,$AI$7:AI541,"yes"),"")</f>
        <v/>
      </c>
      <c r="AH541" s="24">
        <f>IF(ISNUMBER(H541),"yes","no")</f>
        <v/>
      </c>
      <c r="AI541" s="24">
        <f>IF(ISNUMBER(I541),"yes","no")</f>
        <v/>
      </c>
      <c r="AJ541" s="101" t="n">
        <v>46295</v>
      </c>
      <c r="AK541" s="24" t="n"/>
    </row>
    <row r="542" ht="42" customHeight="1">
      <c r="A542" s="2" t="n"/>
      <c r="B542" s="27" t="inlineStr">
        <is>
          <t>GN 1/6 PC container, 100 mm</t>
        </is>
      </c>
      <c r="C542" s="27" t="inlineStr">
        <is>
          <t>Austria</t>
        </is>
      </c>
      <c r="D542" s="27" t="inlineStr">
        <is>
          <t>ALLPAX Österreich</t>
        </is>
      </c>
      <c r="E542" s="27" t="inlineStr">
        <is>
          <t>PC GN 1/6 Höhe 100 mm schwarz</t>
        </is>
      </c>
      <c r="F542" s="102" t="n">
        <v>3.23</v>
      </c>
      <c r="G542" s="27" t="inlineStr">
        <is>
          <t>EUR</t>
        </is>
      </c>
      <c r="H542" s="102">
        <f>IF(AND(AE542="yes",ISNUMBER(AD542)),AD542,"")</f>
        <v/>
      </c>
      <c r="I542" s="103">
        <f>IF(AND(AE542="yes",ISNUMBER(AD542),ISNUMBER(INDEX('Sources'!$G$7:$G$10,MATCH(AB542,'Sources'!$B$7:$B$10,0)))),AD542/INDEX('Sources'!$G$7:$G$10,MATCH(AB542,'Sources'!$B$7:$B$10,0)),"")</f>
        <v/>
      </c>
      <c r="J542" s="27" t="inlineStr">
        <is>
          <t>EXACT</t>
        </is>
      </c>
      <c r="K542" s="27" t="inlineStr">
        <is>
          <t>2026-09-30</t>
        </is>
      </c>
      <c r="L542" s="71" t="n"/>
      <c r="M542" s="27" t="inlineStr">
        <is>
          <t>Regular 4.59</t>
        </is>
      </c>
      <c r="N542" s="28" t="inlineStr">
        <is>
          <t>https://www.allpax.at/product_info.php/info/PC-GN-1-6-Hoehe-100-mm-schwarz.html</t>
        </is>
      </c>
      <c r="O542" s="27" t="n"/>
      <c r="P542" s="27" t="inlineStr">
        <is>
          <t>excl.</t>
        </is>
      </c>
      <c r="Q542" s="104" t="n"/>
      <c r="R542" s="27" t="n">
        <v>1</v>
      </c>
      <c r="S542" s="27" t="n"/>
      <c r="T542" s="27" t="inlineStr">
        <is>
          <t>EXACT</t>
        </is>
      </c>
      <c r="U542" s="27" t="inlineStr">
        <is>
          <t>Additional Austria/Czechia benchmark. Original assignment and match quality retained.</t>
        </is>
      </c>
      <c r="V542" s="102" t="n">
        <v>3.23</v>
      </c>
      <c r="W542" s="102" t="n"/>
      <c r="X542" s="27" t="inlineStr">
        <is>
          <t>research_AT.xlsx</t>
        </is>
      </c>
      <c r="Y542" s="27" t="n"/>
      <c r="Z542" s="27" t="n"/>
      <c r="AA542" s="27" t="n"/>
      <c r="AB542" s="27" t="inlineStr">
        <is>
          <t>EUR</t>
        </is>
      </c>
      <c r="AC542" s="27" t="inlineStr">
        <is>
          <t>yes</t>
        </is>
      </c>
      <c r="AD542" s="27">
        <f>IF(ISNUMBER(V542),V542,"")</f>
        <v/>
      </c>
      <c r="AE542" s="27">
        <f>IF(AND(AC542="yes",ISNUMBER(F542),IF('Compare'!$H$5="All mapped",TRUE,IF('Compare'!$H$5="EXACT only",J542="EXACT",OR(J542="EXACT",J542="CLOSE")))),"yes","no")</f>
        <v/>
      </c>
      <c r="AF542" s="27">
        <f>IF(ISNUMBER(H542),COUNTIFS($B$7:$B$608,B542,$C$7:$C$608,C542,$H$7:$H$608,"&lt;"&amp;H542,$AH$7:$AH$608,"yes")+COUNTIFS($B$7:B542,B542,$C$7:C542,C542,$H$7:H542,H542,$AH$7:AH542,"yes"),"")</f>
        <v/>
      </c>
      <c r="AG542" s="27">
        <f>IF(ISNUMBER(I542),COUNTIFS($B$7:$B$608,B542,$C$7:$C$608,C542,$I$7:$I$608,"&lt;"&amp;I542,$AI$7:$AI$608,"yes")+COUNTIFS($B$7:B542,B542,$C$7:C542,C542,$I$7:I542,I542,$AI$7:AI542,"yes"),"")</f>
        <v/>
      </c>
      <c r="AH542" s="27">
        <f>IF(ISNUMBER(H542),"yes","no")</f>
        <v/>
      </c>
      <c r="AI542" s="27">
        <f>IF(ISNUMBER(I542),"yes","no")</f>
        <v/>
      </c>
      <c r="AJ542" s="105" t="n">
        <v>46295</v>
      </c>
      <c r="AK542" s="27" t="n"/>
    </row>
    <row r="543" ht="42" customHeight="1">
      <c r="A543" s="2" t="n"/>
      <c r="B543" s="24" t="inlineStr">
        <is>
          <t>GN 1/6 PC container, 100 mm</t>
        </is>
      </c>
      <c r="C543" s="24" t="inlineStr">
        <is>
          <t>Austria</t>
        </is>
      </c>
      <c r="D543" s="24" t="inlineStr">
        <is>
          <t>GGM Gastro (Austrian storefront)</t>
        </is>
      </c>
      <c r="E543" s="24" t="inlineStr">
        <is>
          <t>(12 Stück) Polycarbonat-Behälter GN 1/6 - Transparent - Höhe: 100mm</t>
        </is>
      </c>
      <c r="F543" s="98" t="n">
        <v>46.99</v>
      </c>
      <c r="G543" s="24" t="inlineStr">
        <is>
          <t>EUR</t>
        </is>
      </c>
      <c r="H543" s="98">
        <f>IF(AND(AE543="yes",ISNUMBER(AD543)),AD543,"")</f>
        <v/>
      </c>
      <c r="I543" s="99">
        <f>IF(AND(AE543="yes",ISNUMBER(AD543),ISNUMBER(INDEX('Sources'!$G$7:$G$10,MATCH(AB543,'Sources'!$B$7:$B$10,0)))),AD543/INDEX('Sources'!$G$7:$G$10,MATCH(AB543,'Sources'!$B$7:$B$10,0)),"")</f>
        <v/>
      </c>
      <c r="J543" s="24" t="inlineStr">
        <is>
          <t>EXACT</t>
        </is>
      </c>
      <c r="K543" s="24" t="inlineStr">
        <is>
          <t>2026-09-30</t>
        </is>
      </c>
      <c r="L543" s="71" t="n"/>
      <c r="M543" s="24" t="n"/>
      <c r="N543" s="25" t="inlineStr">
        <is>
          <t>https://www.ggmgastro.com/de-at-eur/12-stueck-polycarbonat-behaelter-gn-1-6-transparent-hoehe-100mm-gpcp16100</t>
        </is>
      </c>
      <c r="O543" s="24" t="inlineStr">
        <is>
          <t>GGM</t>
        </is>
      </c>
      <c r="P543" s="24" t="inlineStr">
        <is>
          <t>excl.</t>
        </is>
      </c>
      <c r="Q543" s="100" t="n"/>
      <c r="R543" s="24" t="n">
        <v>12</v>
      </c>
      <c r="S543" s="24" t="inlineStr">
        <is>
          <t>set of 12</t>
        </is>
      </c>
      <c r="T543" s="24" t="inlineStr">
        <is>
          <t>EXACT</t>
        </is>
      </c>
      <c r="U543" s="24" t="inlineStr">
        <is>
          <t>Additional Austria/Czechia benchmark. Original assignment and match quality retained.</t>
        </is>
      </c>
      <c r="V543" s="98" t="n">
        <v>3.92</v>
      </c>
      <c r="W543" s="98" t="n"/>
      <c r="X543" s="24" t="inlineStr">
        <is>
          <t>research_AT.xlsx</t>
        </is>
      </c>
      <c r="Y543" s="24" t="n"/>
      <c r="Z543" s="24" t="n"/>
      <c r="AA543" s="24" t="n"/>
      <c r="AB543" s="24" t="inlineStr">
        <is>
          <t>EUR</t>
        </is>
      </c>
      <c r="AC543" s="24" t="inlineStr">
        <is>
          <t>yes</t>
        </is>
      </c>
      <c r="AD543" s="24">
        <f>IF(ISNUMBER(V543),V543,"")</f>
        <v/>
      </c>
      <c r="AE543" s="24">
        <f>IF(AND(AC543="yes",ISNUMBER(F543),IF('Compare'!$H$5="All mapped",TRUE,IF('Compare'!$H$5="EXACT only",J543="EXACT",OR(J543="EXACT",J543="CLOSE")))),"yes","no")</f>
        <v/>
      </c>
      <c r="AF543" s="24">
        <f>IF(ISNUMBER(H543),COUNTIFS($B$7:$B$608,B543,$C$7:$C$608,C543,$H$7:$H$608,"&lt;"&amp;H543,$AH$7:$AH$608,"yes")+COUNTIFS($B$7:B543,B543,$C$7:C543,C543,$H$7:H543,H543,$AH$7:AH543,"yes"),"")</f>
        <v/>
      </c>
      <c r="AG543" s="24">
        <f>IF(ISNUMBER(I543),COUNTIFS($B$7:$B$608,B543,$C$7:$C$608,C543,$I$7:$I$608,"&lt;"&amp;I543,$AI$7:$AI$608,"yes")+COUNTIFS($B$7:B543,B543,$C$7:C543,C543,$I$7:I543,I543,$AI$7:AI543,"yes"),"")</f>
        <v/>
      </c>
      <c r="AH543" s="24">
        <f>IF(ISNUMBER(H543),"yes","no")</f>
        <v/>
      </c>
      <c r="AI543" s="24">
        <f>IF(ISNUMBER(I543),"yes","no")</f>
        <v/>
      </c>
      <c r="AJ543" s="101" t="n">
        <v>46295</v>
      </c>
      <c r="AK543" s="24" t="n"/>
    </row>
    <row r="544" ht="42" customHeight="1">
      <c r="A544" s="2" t="n"/>
      <c r="B544" s="27" t="inlineStr">
        <is>
          <t>GN 1/6 PC container, 100 mm</t>
        </is>
      </c>
      <c r="C544" s="27" t="inlineStr">
        <is>
          <t>Austria</t>
        </is>
      </c>
      <c r="D544" s="27" t="inlineStr">
        <is>
          <t>Gastro Star</t>
        </is>
      </c>
      <c r="E544" s="27" t="inlineStr">
        <is>
          <t>RIEBER GN 1/6 Polycarbonat-Behälter - Tiefe 100mm</t>
        </is>
      </c>
      <c r="F544" s="102" t="n">
        <v>8</v>
      </c>
      <c r="G544" s="27" t="inlineStr">
        <is>
          <t>EUR</t>
        </is>
      </c>
      <c r="H544" s="102">
        <f>IF(AND(AE544="yes",ISNUMBER(AD544)),AD544,"")</f>
        <v/>
      </c>
      <c r="I544" s="103">
        <f>IF(AND(AE544="yes",ISNUMBER(AD544),ISNUMBER(INDEX('Sources'!$G$7:$G$10,MATCH(AB544,'Sources'!$B$7:$B$10,0)))),AD544/INDEX('Sources'!$G$7:$G$10,MATCH(AB544,'Sources'!$B$7:$B$10,0)),"")</f>
        <v/>
      </c>
      <c r="J544" s="27" t="inlineStr">
        <is>
          <t>EXACT</t>
        </is>
      </c>
      <c r="K544" s="27" t="inlineStr">
        <is>
          <t>2026-09-30</t>
        </is>
      </c>
      <c r="L544" s="71" t="n"/>
      <c r="M544" s="27" t="n"/>
      <c r="N544" s="28" t="inlineStr">
        <is>
          <t>https://www.gastro-star.at/produkt/riebergn16polycarbonat-behaelter-tiefe100mm/</t>
        </is>
      </c>
      <c r="O544" s="27" t="inlineStr">
        <is>
          <t>Rieber</t>
        </is>
      </c>
      <c r="P544" s="27" t="inlineStr">
        <is>
          <t>excl.</t>
        </is>
      </c>
      <c r="Q544" s="104" t="n"/>
      <c r="R544" s="27" t="n">
        <v>1</v>
      </c>
      <c r="S544" s="27" t="n"/>
      <c r="T544" s="27" t="inlineStr">
        <is>
          <t>EXACT</t>
        </is>
      </c>
      <c r="U544" s="27" t="inlineStr">
        <is>
          <t>Additional Austria/Czechia benchmark. Original assignment and match quality retained.</t>
        </is>
      </c>
      <c r="V544" s="102" t="n">
        <v>8</v>
      </c>
      <c r="W544" s="102" t="n"/>
      <c r="X544" s="27" t="inlineStr">
        <is>
          <t>research_AT.xlsx</t>
        </is>
      </c>
      <c r="Y544" s="27" t="n"/>
      <c r="Z544" s="27" t="n"/>
      <c r="AA544" s="27" t="n"/>
      <c r="AB544" s="27" t="inlineStr">
        <is>
          <t>EUR</t>
        </is>
      </c>
      <c r="AC544" s="27" t="inlineStr">
        <is>
          <t>yes</t>
        </is>
      </c>
      <c r="AD544" s="27">
        <f>IF(ISNUMBER(V544),V544,"")</f>
        <v/>
      </c>
      <c r="AE544" s="27">
        <f>IF(AND(AC544="yes",ISNUMBER(F544),IF('Compare'!$H$5="All mapped",TRUE,IF('Compare'!$H$5="EXACT only",J544="EXACT",OR(J544="EXACT",J544="CLOSE")))),"yes","no")</f>
        <v/>
      </c>
      <c r="AF544" s="27">
        <f>IF(ISNUMBER(H544),COUNTIFS($B$7:$B$608,B544,$C$7:$C$608,C544,$H$7:$H$608,"&lt;"&amp;H544,$AH$7:$AH$608,"yes")+COUNTIFS($B$7:B544,B544,$C$7:C544,C544,$H$7:H544,H544,$AH$7:AH544,"yes"),"")</f>
        <v/>
      </c>
      <c r="AG544" s="27">
        <f>IF(ISNUMBER(I544),COUNTIFS($B$7:$B$608,B544,$C$7:$C$608,C544,$I$7:$I$608,"&lt;"&amp;I544,$AI$7:$AI$608,"yes")+COUNTIFS($B$7:B544,B544,$C$7:C544,C544,$I$7:I544,I544,$AI$7:AI544,"yes"),"")</f>
        <v/>
      </c>
      <c r="AH544" s="27">
        <f>IF(ISNUMBER(H544),"yes","no")</f>
        <v/>
      </c>
      <c r="AI544" s="27">
        <f>IF(ISNUMBER(I544),"yes","no")</f>
        <v/>
      </c>
      <c r="AJ544" s="105" t="n">
        <v>46295</v>
      </c>
      <c r="AK544" s="27" t="n"/>
    </row>
    <row r="545" ht="42" customHeight="1">
      <c r="A545" s="2" t="n"/>
      <c r="B545" s="24" t="inlineStr">
        <is>
          <t>GN 1/6 PC container, 100 mm</t>
        </is>
      </c>
      <c r="C545" s="24" t="inlineStr">
        <is>
          <t>Austria</t>
        </is>
      </c>
      <c r="D545" s="24" t="inlineStr">
        <is>
          <t>GastroHero Österreich</t>
        </is>
      </c>
      <c r="E545" s="24" t="inlineStr">
        <is>
          <t>Vogue GN-Behälter 1/6 Polycarbonat - Tiefe 100 mm</t>
        </is>
      </c>
      <c r="F545" s="98" t="n">
        <v>3.79</v>
      </c>
      <c r="G545" s="24" t="inlineStr">
        <is>
          <t>EUR</t>
        </is>
      </c>
      <c r="H545" s="98">
        <f>IF(AND(AE545="yes",ISNUMBER(AD545)),AD545,"")</f>
        <v/>
      </c>
      <c r="I545" s="99">
        <f>IF(AND(AE545="yes",ISNUMBER(AD545),ISNUMBER(INDEX('Sources'!$G$7:$G$10,MATCH(AB545,'Sources'!$B$7:$B$10,0)))),AD545/INDEX('Sources'!$G$7:$G$10,MATCH(AB545,'Sources'!$B$7:$B$10,0)),"")</f>
        <v/>
      </c>
      <c r="J545" s="24" t="inlineStr">
        <is>
          <t>EXACT</t>
        </is>
      </c>
      <c r="K545" s="24" t="inlineStr">
        <is>
          <t>2026-09-30</t>
        </is>
      </c>
      <c r="L545" s="71" t="n"/>
      <c r="M545" s="24" t="inlineStr">
        <is>
          <t>Sale price (normal 4.39); min. qty 4</t>
        </is>
      </c>
      <c r="N545" s="25" t="inlineStr">
        <is>
          <t>https://www.gastro-hero.at/products/vogue-gn-behaelter-16-polycarbonat-tiefe-100-mm-u240</t>
        </is>
      </c>
      <c r="O545" s="24" t="inlineStr">
        <is>
          <t>Vogue</t>
        </is>
      </c>
      <c r="P545" s="24" t="inlineStr">
        <is>
          <t>excl.</t>
        </is>
      </c>
      <c r="Q545" s="100" t="n"/>
      <c r="R545" s="24" t="n">
        <v>1</v>
      </c>
      <c r="S545" s="24" t="n"/>
      <c r="T545" s="24" t="inlineStr">
        <is>
          <t>EXACT</t>
        </is>
      </c>
      <c r="U545" s="24" t="inlineStr">
        <is>
          <t>Additional Austria/Czechia benchmark. Original assignment and match quality retained.</t>
        </is>
      </c>
      <c r="V545" s="98" t="n">
        <v>3.79</v>
      </c>
      <c r="W545" s="98" t="n"/>
      <c r="X545" s="24" t="inlineStr">
        <is>
          <t>research_AT.xlsx</t>
        </is>
      </c>
      <c r="Y545" s="24" t="n"/>
      <c r="Z545" s="24" t="n"/>
      <c r="AA545" s="24" t="n"/>
      <c r="AB545" s="24" t="inlineStr">
        <is>
          <t>EUR</t>
        </is>
      </c>
      <c r="AC545" s="24" t="inlineStr">
        <is>
          <t>yes</t>
        </is>
      </c>
      <c r="AD545" s="24">
        <f>IF(ISNUMBER(V545),V545,"")</f>
        <v/>
      </c>
      <c r="AE545" s="24">
        <f>IF(AND(AC545="yes",ISNUMBER(F545),IF('Compare'!$H$5="All mapped",TRUE,IF('Compare'!$H$5="EXACT only",J545="EXACT",OR(J545="EXACT",J545="CLOSE")))),"yes","no")</f>
        <v/>
      </c>
      <c r="AF545" s="24">
        <f>IF(ISNUMBER(H545),COUNTIFS($B$7:$B$608,B545,$C$7:$C$608,C545,$H$7:$H$608,"&lt;"&amp;H545,$AH$7:$AH$608,"yes")+COUNTIFS($B$7:B545,B545,$C$7:C545,C545,$H$7:H545,H545,$AH$7:AH545,"yes"),"")</f>
        <v/>
      </c>
      <c r="AG545" s="24">
        <f>IF(ISNUMBER(I545),COUNTIFS($B$7:$B$608,B545,$C$7:$C$608,C545,$I$7:$I$608,"&lt;"&amp;I545,$AI$7:$AI$608,"yes")+COUNTIFS($B$7:B545,B545,$C$7:C545,C545,$I$7:I545,I545,$AI$7:AI545,"yes"),"")</f>
        <v/>
      </c>
      <c r="AH545" s="24">
        <f>IF(ISNUMBER(H545),"yes","no")</f>
        <v/>
      </c>
      <c r="AI545" s="24">
        <f>IF(ISNUMBER(I545),"yes","no")</f>
        <v/>
      </c>
      <c r="AJ545" s="101" t="n">
        <v>46295</v>
      </c>
      <c r="AK545" s="24" t="n"/>
    </row>
    <row r="546" ht="42" customHeight="1">
      <c r="A546" s="2" t="n"/>
      <c r="B546" s="27" t="inlineStr">
        <is>
          <t>GN 1/6 PC container, 100 mm</t>
        </is>
      </c>
      <c r="C546" s="27" t="inlineStr">
        <is>
          <t>Austria</t>
        </is>
      </c>
      <c r="D546" s="27" t="inlineStr">
        <is>
          <t>Gastrodax</t>
        </is>
      </c>
      <c r="E546" s="27" t="inlineStr">
        <is>
          <t>Hendi Gastronorm-Behälter 1/6, 1,6L, Transparent, 176x162x(H)100mm (Polycarbonat)</t>
        </is>
      </c>
      <c r="F546" s="102" t="n">
        <v>14.86</v>
      </c>
      <c r="G546" s="27" t="inlineStr">
        <is>
          <t>EUR</t>
        </is>
      </c>
      <c r="H546" s="102">
        <f>IF(AND(AE546="yes",ISNUMBER(AD546)),AD546,"")</f>
        <v/>
      </c>
      <c r="I546" s="103">
        <f>IF(AND(AE546="yes",ISNUMBER(AD546),ISNUMBER(INDEX('Sources'!$G$7:$G$10,MATCH(AB546,'Sources'!$B$7:$B$10,0)))),AD546/INDEX('Sources'!$G$7:$G$10,MATCH(AB546,'Sources'!$B$7:$B$10,0)),"")</f>
        <v/>
      </c>
      <c r="J546" s="27" t="inlineStr">
        <is>
          <t>EXACT</t>
        </is>
      </c>
      <c r="K546" s="27" t="inlineStr">
        <is>
          <t>2026-09-30</t>
        </is>
      </c>
      <c r="L546" s="71" t="n"/>
      <c r="M546" s="27" t="n"/>
      <c r="N546" s="28" t="inlineStr">
        <is>
          <t>https://www.gastrodax.de/hendi-gastronorm-behaelter-gn-1-6-1-6-l-polykarbonat-transparent-176-x-162-x-h-100-mm</t>
        </is>
      </c>
      <c r="O546" s="27" t="inlineStr">
        <is>
          <t>Hendi</t>
        </is>
      </c>
      <c r="P546" s="27" t="inlineStr">
        <is>
          <t>excl.</t>
        </is>
      </c>
      <c r="Q546" s="104" t="n"/>
      <c r="R546" s="27" t="n">
        <v>1</v>
      </c>
      <c r="S546" s="27" t="n"/>
      <c r="T546" s="27" t="inlineStr">
        <is>
          <t>EXACT</t>
        </is>
      </c>
      <c r="U546" s="27" t="inlineStr">
        <is>
          <t>Additional Austria/Czechia benchmark. Original assignment and match quality retained.</t>
        </is>
      </c>
      <c r="V546" s="102" t="n">
        <v>14.86</v>
      </c>
      <c r="W546" s="102" t="n"/>
      <c r="X546" s="27" t="inlineStr">
        <is>
          <t>research_AT.xlsx</t>
        </is>
      </c>
      <c r="Y546" s="27" t="n"/>
      <c r="Z546" s="27" t="n"/>
      <c r="AA546" s="27" t="n"/>
      <c r="AB546" s="27" t="inlineStr">
        <is>
          <t>EUR</t>
        </is>
      </c>
      <c r="AC546" s="27" t="inlineStr">
        <is>
          <t>yes</t>
        </is>
      </c>
      <c r="AD546" s="27">
        <f>IF(ISNUMBER(V546),V546,"")</f>
        <v/>
      </c>
      <c r="AE546" s="27">
        <f>IF(AND(AC546="yes",ISNUMBER(F546),IF('Compare'!$H$5="All mapped",TRUE,IF('Compare'!$H$5="EXACT only",J546="EXACT",OR(J546="EXACT",J546="CLOSE")))),"yes","no")</f>
        <v/>
      </c>
      <c r="AF546" s="27">
        <f>IF(ISNUMBER(H546),COUNTIFS($B$7:$B$608,B546,$C$7:$C$608,C546,$H$7:$H$608,"&lt;"&amp;H546,$AH$7:$AH$608,"yes")+COUNTIFS($B$7:B546,B546,$C$7:C546,C546,$H$7:H546,H546,$AH$7:AH546,"yes"),"")</f>
        <v/>
      </c>
      <c r="AG546" s="27">
        <f>IF(ISNUMBER(I546),COUNTIFS($B$7:$B$608,B546,$C$7:$C$608,C546,$I$7:$I$608,"&lt;"&amp;I546,$AI$7:$AI$608,"yes")+COUNTIFS($B$7:B546,B546,$C$7:C546,C546,$I$7:I546,I546,$AI$7:AI546,"yes"),"")</f>
        <v/>
      </c>
      <c r="AH546" s="27">
        <f>IF(ISNUMBER(H546),"yes","no")</f>
        <v/>
      </c>
      <c r="AI546" s="27">
        <f>IF(ISNUMBER(I546),"yes","no")</f>
        <v/>
      </c>
      <c r="AJ546" s="105" t="n">
        <v>46295</v>
      </c>
      <c r="AK546" s="27" t="n"/>
    </row>
    <row r="547" ht="42" customHeight="1">
      <c r="A547" s="2" t="n"/>
      <c r="B547" s="24" t="inlineStr">
        <is>
          <t>GN 1/6 PC container, 100 mm</t>
        </is>
      </c>
      <c r="C547" s="24" t="inlineStr">
        <is>
          <t>Austria</t>
        </is>
      </c>
      <c r="D547" s="24" t="inlineStr">
        <is>
          <t>Gastroladen.at (Harotec GmbH)</t>
        </is>
      </c>
      <c r="E547" s="24" t="inlineStr">
        <is>
          <t>Vogue Polycarbonat GN-Behälter GN1/6 100mm</t>
        </is>
      </c>
      <c r="F547" s="98" t="n">
        <v>3.89</v>
      </c>
      <c r="G547" s="24" t="inlineStr">
        <is>
          <t>EUR</t>
        </is>
      </c>
      <c r="H547" s="98">
        <f>IF(AND(AE547="yes",ISNUMBER(AD547)),AD547,"")</f>
        <v/>
      </c>
      <c r="I547" s="99">
        <f>IF(AND(AE547="yes",ISNUMBER(AD547),ISNUMBER(INDEX('Sources'!$G$7:$G$10,MATCH(AB547,'Sources'!$B$7:$B$10,0)))),AD547/INDEX('Sources'!$G$7:$G$10,MATCH(AB547,'Sources'!$B$7:$B$10,0)),"")</f>
        <v/>
      </c>
      <c r="J547" s="24" t="inlineStr">
        <is>
          <t>EXACT</t>
        </is>
      </c>
      <c r="K547" s="24" t="inlineStr">
        <is>
          <t>2026-09-30</t>
        </is>
      </c>
      <c r="L547" s="71" t="n"/>
      <c r="M547" s="24" t="n"/>
      <c r="N547" s="25" t="inlineStr">
        <is>
          <t>https://www.gastroladen.at/3020@GN-U240/Vogue-Polycarbonat-GN-Beh%C3%A4lter-GN1-6-100mm.htm</t>
        </is>
      </c>
      <c r="O547" s="24" t="inlineStr">
        <is>
          <t>Vogue</t>
        </is>
      </c>
      <c r="P547" s="24" t="inlineStr">
        <is>
          <t>incl.</t>
        </is>
      </c>
      <c r="Q547" s="100" t="n"/>
      <c r="R547" s="24" t="n">
        <v>1</v>
      </c>
      <c r="S547" s="24" t="n"/>
      <c r="T547" s="24" t="inlineStr">
        <is>
          <t>EXACT</t>
        </is>
      </c>
      <c r="U547" s="24" t="inlineStr">
        <is>
          <t>Additional Austria/Czechia benchmark. Original assignment and match quality retained.</t>
        </is>
      </c>
      <c r="V547" s="98" t="n">
        <v>3.24</v>
      </c>
      <c r="W547" s="98" t="n"/>
      <c r="X547" s="24" t="inlineStr">
        <is>
          <t>research_AT.xlsx</t>
        </is>
      </c>
      <c r="Y547" s="24" t="n"/>
      <c r="Z547" s="24" t="n"/>
      <c r="AA547" s="24" t="n"/>
      <c r="AB547" s="24" t="inlineStr">
        <is>
          <t>EUR</t>
        </is>
      </c>
      <c r="AC547" s="24" t="inlineStr">
        <is>
          <t>yes</t>
        </is>
      </c>
      <c r="AD547" s="24">
        <f>IF(ISNUMBER(V547),V547,"")</f>
        <v/>
      </c>
      <c r="AE547" s="24">
        <f>IF(AND(AC547="yes",ISNUMBER(F547),IF('Compare'!$H$5="All mapped",TRUE,IF('Compare'!$H$5="EXACT only",J547="EXACT",OR(J547="EXACT",J547="CLOSE")))),"yes","no")</f>
        <v/>
      </c>
      <c r="AF547" s="24">
        <f>IF(ISNUMBER(H547),COUNTIFS($B$7:$B$608,B547,$C$7:$C$608,C547,$H$7:$H$608,"&lt;"&amp;H547,$AH$7:$AH$608,"yes")+COUNTIFS($B$7:B547,B547,$C$7:C547,C547,$H$7:H547,H547,$AH$7:AH547,"yes"),"")</f>
        <v/>
      </c>
      <c r="AG547" s="24">
        <f>IF(ISNUMBER(I547),COUNTIFS($B$7:$B$608,B547,$C$7:$C$608,C547,$I$7:$I$608,"&lt;"&amp;I547,$AI$7:$AI$608,"yes")+COUNTIFS($B$7:B547,B547,$C$7:C547,C547,$I$7:I547,I547,$AI$7:AI547,"yes"),"")</f>
        <v/>
      </c>
      <c r="AH547" s="24">
        <f>IF(ISNUMBER(H547),"yes","no")</f>
        <v/>
      </c>
      <c r="AI547" s="24">
        <f>IF(ISNUMBER(I547),"yes","no")</f>
        <v/>
      </c>
      <c r="AJ547" s="101" t="n">
        <v>46295</v>
      </c>
      <c r="AK547" s="24" t="n"/>
    </row>
    <row r="548" ht="42" customHeight="1">
      <c r="A548" s="2" t="n"/>
      <c r="B548" s="27" t="inlineStr">
        <is>
          <t>GN 1/6 PC container, 100 mm</t>
        </is>
      </c>
      <c r="C548" s="27" t="inlineStr">
        <is>
          <t>Austria</t>
        </is>
      </c>
      <c r="D548" s="27" t="inlineStr">
        <is>
          <t>Intergastro (AT shop)</t>
        </is>
      </c>
      <c r="E548" s="27" t="inlineStr">
        <is>
          <t>Gastronorm Behälter GN 1/6 GN 96 BLACK Polycarbonat schwarz H 100 mm</t>
        </is>
      </c>
      <c r="F548" s="102" t="n">
        <v>4.13</v>
      </c>
      <c r="G548" s="27" t="inlineStr">
        <is>
          <t>EUR</t>
        </is>
      </c>
      <c r="H548" s="102">
        <f>IF(AND(AE548="yes",ISNUMBER(AD548)),AD548,"")</f>
        <v/>
      </c>
      <c r="I548" s="103">
        <f>IF(AND(AE548="yes",ISNUMBER(AD548),ISNUMBER(INDEX('Sources'!$G$7:$G$10,MATCH(AB548,'Sources'!$B$7:$B$10,0)))),AD548/INDEX('Sources'!$G$7:$G$10,MATCH(AB548,'Sources'!$B$7:$B$10,0)),"")</f>
        <v/>
      </c>
      <c r="J548" s="27" t="inlineStr">
        <is>
          <t>EXACT</t>
        </is>
      </c>
      <c r="K548" s="27" t="inlineStr">
        <is>
          <t>2026-09-30</t>
        </is>
      </c>
      <c r="L548" s="71" t="n"/>
      <c r="M548" s="27" t="inlineStr">
        <is>
          <t>Black PC</t>
        </is>
      </c>
      <c r="N548" s="28" t="inlineStr">
        <is>
          <t>https://www.intergastro.at/gastronorm-behaelter-gn-1-6-gn-96-black-polycarbonat-schwarz-h-100-mm-1016785</t>
        </is>
      </c>
      <c r="O548" s="27" t="inlineStr">
        <is>
          <t>WAS Germany</t>
        </is>
      </c>
      <c r="P548" s="27" t="inlineStr">
        <is>
          <t>excl.</t>
        </is>
      </c>
      <c r="Q548" s="104" t="n"/>
      <c r="R548" s="27" t="n">
        <v>1</v>
      </c>
      <c r="S548" s="27" t="n"/>
      <c r="T548" s="27" t="inlineStr">
        <is>
          <t>EXACT</t>
        </is>
      </c>
      <c r="U548" s="27" t="inlineStr">
        <is>
          <t>Additional Austria/Czechia benchmark. Original assignment and match quality retained.</t>
        </is>
      </c>
      <c r="V548" s="102" t="n">
        <v>4.13</v>
      </c>
      <c r="W548" s="102" t="n"/>
      <c r="X548" s="27" t="inlineStr">
        <is>
          <t>research_AT.xlsx</t>
        </is>
      </c>
      <c r="Y548" s="27" t="n"/>
      <c r="Z548" s="27" t="n"/>
      <c r="AA548" s="27" t="n"/>
      <c r="AB548" s="27" t="inlineStr">
        <is>
          <t>EUR</t>
        </is>
      </c>
      <c r="AC548" s="27" t="inlineStr">
        <is>
          <t>yes</t>
        </is>
      </c>
      <c r="AD548" s="27">
        <f>IF(ISNUMBER(V548),V548,"")</f>
        <v/>
      </c>
      <c r="AE548" s="27">
        <f>IF(AND(AC548="yes",ISNUMBER(F548),IF('Compare'!$H$5="All mapped",TRUE,IF('Compare'!$H$5="EXACT only",J548="EXACT",OR(J548="EXACT",J548="CLOSE")))),"yes","no")</f>
        <v/>
      </c>
      <c r="AF548" s="27">
        <f>IF(ISNUMBER(H548),COUNTIFS($B$7:$B$608,B548,$C$7:$C$608,C548,$H$7:$H$608,"&lt;"&amp;H548,$AH$7:$AH$608,"yes")+COUNTIFS($B$7:B548,B548,$C$7:C548,C548,$H$7:H548,H548,$AH$7:AH548,"yes"),"")</f>
        <v/>
      </c>
      <c r="AG548" s="27">
        <f>IF(ISNUMBER(I548),COUNTIFS($B$7:$B$608,B548,$C$7:$C$608,C548,$I$7:$I$608,"&lt;"&amp;I548,$AI$7:$AI$608,"yes")+COUNTIFS($B$7:B548,B548,$C$7:C548,C548,$I$7:I548,I548,$AI$7:AI548,"yes"),"")</f>
        <v/>
      </c>
      <c r="AH548" s="27">
        <f>IF(ISNUMBER(H548),"yes","no")</f>
        <v/>
      </c>
      <c r="AI548" s="27">
        <f>IF(ISNUMBER(I548),"yes","no")</f>
        <v/>
      </c>
      <c r="AJ548" s="105" t="n">
        <v>46295</v>
      </c>
      <c r="AK548" s="27" t="n"/>
    </row>
    <row r="549" ht="42" customHeight="1">
      <c r="A549" s="2" t="n"/>
      <c r="B549" s="24" t="inlineStr">
        <is>
          <t>GN 1/6 PC container, 100 mm</t>
        </is>
      </c>
      <c r="C549" s="24" t="inlineStr">
        <is>
          <t>Austria</t>
        </is>
      </c>
      <c r="D549" s="24" t="inlineStr">
        <is>
          <t>Jungheinrich PROFISHOP Austria</t>
        </is>
      </c>
      <c r="E549" s="24" t="inlineStr">
        <is>
          <t>Stalgast Gastronormbehälter, Polycarbonat, schwarz, GN 1/6 (100 mm)</t>
        </is>
      </c>
      <c r="F549" s="98" t="n">
        <v>14.3</v>
      </c>
      <c r="G549" s="24" t="inlineStr">
        <is>
          <t>EUR</t>
        </is>
      </c>
      <c r="H549" s="98">
        <f>IF(AND(AE549="yes",ISNUMBER(AD549)),AD549,"")</f>
        <v/>
      </c>
      <c r="I549" s="99">
        <f>IF(AND(AE549="yes",ISNUMBER(AD549),ISNUMBER(INDEX('Sources'!$G$7:$G$10,MATCH(AB549,'Sources'!$B$7:$B$10,0)))),AD549/INDEX('Sources'!$G$7:$G$10,MATCH(AB549,'Sources'!$B$7:$B$10,0)),"")</f>
        <v/>
      </c>
      <c r="J549" s="24" t="inlineStr">
        <is>
          <t>EXACT</t>
        </is>
      </c>
      <c r="K549" s="24" t="inlineStr">
        <is>
          <t>2026-09-30</t>
        </is>
      </c>
      <c r="L549" s="71" t="n"/>
      <c r="M549" s="24" t="inlineStr">
        <is>
          <t>Black PC</t>
        </is>
      </c>
      <c r="N549" s="25" t="inlineStr">
        <is>
          <t>https://www.jh-profishop.at/p/stalgast-gastronormbehaelter-polycarbonat-schwarz-gn-1-6-100-mm-928314-347822/</t>
        </is>
      </c>
      <c r="O549" s="24" t="inlineStr">
        <is>
          <t>Stalgast</t>
        </is>
      </c>
      <c r="P549" s="24" t="inlineStr">
        <is>
          <t>excl.</t>
        </is>
      </c>
      <c r="Q549" s="100" t="n"/>
      <c r="R549" s="24" t="n">
        <v>1</v>
      </c>
      <c r="S549" s="24" t="n"/>
      <c r="T549" s="24" t="inlineStr">
        <is>
          <t>EXACT</t>
        </is>
      </c>
      <c r="U549" s="24" t="inlineStr">
        <is>
          <t>Additional Austria/Czechia benchmark. Original assignment and match quality retained.</t>
        </is>
      </c>
      <c r="V549" s="98" t="n">
        <v>14.3</v>
      </c>
      <c r="W549" s="98" t="n"/>
      <c r="X549" s="24" t="inlineStr">
        <is>
          <t>research_AT.xlsx</t>
        </is>
      </c>
      <c r="Y549" s="24" t="n"/>
      <c r="Z549" s="24" t="n"/>
      <c r="AA549" s="24" t="n"/>
      <c r="AB549" s="24" t="inlineStr">
        <is>
          <t>EUR</t>
        </is>
      </c>
      <c r="AC549" s="24" t="inlineStr">
        <is>
          <t>yes</t>
        </is>
      </c>
      <c r="AD549" s="24">
        <f>IF(ISNUMBER(V549),V549,"")</f>
        <v/>
      </c>
      <c r="AE549" s="24">
        <f>IF(AND(AC549="yes",ISNUMBER(F549),IF('Compare'!$H$5="All mapped",TRUE,IF('Compare'!$H$5="EXACT only",J549="EXACT",OR(J549="EXACT",J549="CLOSE")))),"yes","no")</f>
        <v/>
      </c>
      <c r="AF549" s="24">
        <f>IF(ISNUMBER(H549),COUNTIFS($B$7:$B$608,B549,$C$7:$C$608,C549,$H$7:$H$608,"&lt;"&amp;H549,$AH$7:$AH$608,"yes")+COUNTIFS($B$7:B549,B549,$C$7:C549,C549,$H$7:H549,H549,$AH$7:AH549,"yes"),"")</f>
        <v/>
      </c>
      <c r="AG549" s="24">
        <f>IF(ISNUMBER(I549),COUNTIFS($B$7:$B$608,B549,$C$7:$C$608,C549,$I$7:$I$608,"&lt;"&amp;I549,$AI$7:$AI$608,"yes")+COUNTIFS($B$7:B549,B549,$C$7:C549,C549,$I$7:I549,I549,$AI$7:AI549,"yes"),"")</f>
        <v/>
      </c>
      <c r="AH549" s="24">
        <f>IF(ISNUMBER(H549),"yes","no")</f>
        <v/>
      </c>
      <c r="AI549" s="24">
        <f>IF(ISNUMBER(I549),"yes","no")</f>
        <v/>
      </c>
      <c r="AJ549" s="101" t="n">
        <v>46295</v>
      </c>
      <c r="AK549" s="24" t="n"/>
    </row>
    <row r="550" ht="42" customHeight="1">
      <c r="A550" s="2" t="n"/>
      <c r="B550" s="27" t="inlineStr">
        <is>
          <t>GN 1/6 PC container, 100 mm</t>
        </is>
      </c>
      <c r="C550" s="27" t="inlineStr">
        <is>
          <t>Austria</t>
        </is>
      </c>
      <c r="D550" s="27" t="inlineStr">
        <is>
          <t>shopbuero.com</t>
        </is>
      </c>
      <c r="E550" s="27" t="inlineStr">
        <is>
          <t>GN-Behälter - GN 1/6 (176 x 162 mm) - 100 mm - Inhalt 1,6 l - Polycarbonat</t>
        </is>
      </c>
      <c r="F550" s="102" t="n">
        <v>3.7</v>
      </c>
      <c r="G550" s="27" t="inlineStr">
        <is>
          <t>EUR</t>
        </is>
      </c>
      <c r="H550" s="102">
        <f>IF(AND(AE550="yes",ISNUMBER(AD550)),AD550,"")</f>
        <v/>
      </c>
      <c r="I550" s="103">
        <f>IF(AND(AE550="yes",ISNUMBER(AD550),ISNUMBER(INDEX('Sources'!$G$7:$G$10,MATCH(AB550,'Sources'!$B$7:$B$10,0)))),AD550/INDEX('Sources'!$G$7:$G$10,MATCH(AB550,'Sources'!$B$7:$B$10,0)),"")</f>
        <v/>
      </c>
      <c r="J550" s="27" t="inlineStr">
        <is>
          <t>EXACT</t>
        </is>
      </c>
      <c r="K550" s="27" t="inlineStr">
        <is>
          <t>2026-09-30</t>
        </is>
      </c>
      <c r="L550" s="71" t="n"/>
      <c r="M550" s="27" t="inlineStr">
        <is>
          <t>Regular price 5.95</t>
        </is>
      </c>
      <c r="N550" s="28" t="inlineStr">
        <is>
          <t>https://shopbuero.com/gn-behaelter-gn-1-6-176-x-162-mm-100-mm-inhalt-1-6-l-polycarbonat/530141-C</t>
        </is>
      </c>
      <c r="O550" s="27" t="inlineStr">
        <is>
          <t>Schneider</t>
        </is>
      </c>
      <c r="P550" s="27" t="inlineStr">
        <is>
          <t>excl.</t>
        </is>
      </c>
      <c r="Q550" s="104" t="n"/>
      <c r="R550" s="27" t="n">
        <v>1</v>
      </c>
      <c r="S550" s="27" t="n"/>
      <c r="T550" s="27" t="inlineStr">
        <is>
          <t>EXACT</t>
        </is>
      </c>
      <c r="U550" s="27" t="inlineStr">
        <is>
          <t>Additional Austria/Czechia benchmark. Original assignment and match quality retained.</t>
        </is>
      </c>
      <c r="V550" s="102" t="n">
        <v>3.7</v>
      </c>
      <c r="W550" s="102" t="n"/>
      <c r="X550" s="27" t="inlineStr">
        <is>
          <t>research_AT.xlsx</t>
        </is>
      </c>
      <c r="Y550" s="27" t="n"/>
      <c r="Z550" s="27" t="n"/>
      <c r="AA550" s="27" t="n"/>
      <c r="AB550" s="27" t="inlineStr">
        <is>
          <t>EUR</t>
        </is>
      </c>
      <c r="AC550" s="27" t="inlineStr">
        <is>
          <t>yes</t>
        </is>
      </c>
      <c r="AD550" s="27">
        <f>IF(ISNUMBER(V550),V550,"")</f>
        <v/>
      </c>
      <c r="AE550" s="27">
        <f>IF(AND(AC550="yes",ISNUMBER(F550),IF('Compare'!$H$5="All mapped",TRUE,IF('Compare'!$H$5="EXACT only",J550="EXACT",OR(J550="EXACT",J550="CLOSE")))),"yes","no")</f>
        <v/>
      </c>
      <c r="AF550" s="27">
        <f>IF(ISNUMBER(H550),COUNTIFS($B$7:$B$608,B550,$C$7:$C$608,C550,$H$7:$H$608,"&lt;"&amp;H550,$AH$7:$AH$608,"yes")+COUNTIFS($B$7:B550,B550,$C$7:C550,C550,$H$7:H550,H550,$AH$7:AH550,"yes"),"")</f>
        <v/>
      </c>
      <c r="AG550" s="27">
        <f>IF(ISNUMBER(I550),COUNTIFS($B$7:$B$608,B550,$C$7:$C$608,C550,$I$7:$I$608,"&lt;"&amp;I550,$AI$7:$AI$608,"yes")+COUNTIFS($B$7:B550,B550,$C$7:C550,C550,$I$7:I550,I550,$AI$7:AI550,"yes"),"")</f>
        <v/>
      </c>
      <c r="AH550" s="27">
        <f>IF(ISNUMBER(H550),"yes","no")</f>
        <v/>
      </c>
      <c r="AI550" s="27">
        <f>IF(ISNUMBER(I550),"yes","no")</f>
        <v/>
      </c>
      <c r="AJ550" s="105" t="n">
        <v>46295</v>
      </c>
      <c r="AK550" s="27" t="n"/>
    </row>
    <row r="551" ht="42" customHeight="1">
      <c r="A551" s="2" t="n"/>
      <c r="B551" s="24" t="inlineStr">
        <is>
          <t>GN 1/6 PC container, 100 mm</t>
        </is>
      </c>
      <c r="C551" s="24" t="inlineStr">
        <is>
          <t>Czech</t>
        </is>
      </c>
      <c r="D551" s="24" t="inlineStr">
        <is>
          <t>GGM Gastro (CZ storefront)</t>
        </is>
      </c>
      <c r="E551" s="24" t="inlineStr">
        <is>
          <t>(12 ks) Gastronádoba polykarbonát GN 1/6 - Transparentní - Výška: 100 mm</t>
        </is>
      </c>
      <c r="F551" s="98" t="n">
        <v>1143.69</v>
      </c>
      <c r="G551" s="24" t="inlineStr">
        <is>
          <t>CZK</t>
        </is>
      </c>
      <c r="H551" s="98">
        <f>IF(AND(AE551="yes",ISNUMBER(AD551)),AD551,"")</f>
        <v/>
      </c>
      <c r="I551" s="99">
        <f>IF(AND(AE551="yes",ISNUMBER(AD551),ISNUMBER(INDEX('Sources'!$G$7:$G$10,MATCH(AB551,'Sources'!$B$7:$B$10,0)))),AD551/INDEX('Sources'!$G$7:$G$10,MATCH(AB551,'Sources'!$B$7:$B$10,0)),"")</f>
        <v/>
      </c>
      <c r="J551" s="24" t="inlineStr">
        <is>
          <t>EXACT</t>
        </is>
      </c>
      <c r="K551" s="24" t="inlineStr">
        <is>
          <t>2026-09-30</t>
        </is>
      </c>
      <c r="L551" s="71" t="n"/>
      <c r="M551" s="24" t="n"/>
      <c r="N551" s="25" t="inlineStr">
        <is>
          <t>https://www.ggmgastro.com/cs-cz-czk/12-ks-gastronadoba-polykarbonat-gn-1-6-transparentni-vyska-100-mm-gpcp16100</t>
        </is>
      </c>
      <c r="O551" s="24" t="inlineStr">
        <is>
          <t>GGM</t>
        </is>
      </c>
      <c r="P551" s="24" t="inlineStr">
        <is>
          <t>excl.</t>
        </is>
      </c>
      <c r="Q551" s="100" t="n">
        <v>0.19</v>
      </c>
      <c r="R551" s="24" t="n">
        <v>12</v>
      </c>
      <c r="S551" s="24" t="inlineStr">
        <is>
          <t>per pack</t>
        </is>
      </c>
      <c r="T551" s="24" t="inlineStr">
        <is>
          <t>EXACT</t>
        </is>
      </c>
      <c r="U551" s="24" t="inlineStr">
        <is>
          <t>Additional Austria/Czechia benchmark. Original assignment and match quality retained.</t>
        </is>
      </c>
      <c r="V551" s="98" t="n"/>
      <c r="W551" s="98" t="n"/>
      <c r="X551" s="24" t="inlineStr">
        <is>
          <t>research_CZ.xlsx</t>
        </is>
      </c>
      <c r="Y551" s="24" t="n"/>
      <c r="Z551" s="24" t="n"/>
      <c r="AA551" s="24" t="n"/>
      <c r="AB551" s="24" t="inlineStr">
        <is>
          <t>CZK</t>
        </is>
      </c>
      <c r="AC551" s="24" t="inlineStr">
        <is>
          <t>yes</t>
        </is>
      </c>
      <c r="AD551" s="24">
        <f>IF(OR(F551="",Q551="",R551=""),"",ROUND(IF(P551="incl.",F551/(1+Q551),F551)/IF(S551="per pack",R551,1),2))</f>
        <v/>
      </c>
      <c r="AE551" s="24">
        <f>IF(AND(AC551="yes",ISNUMBER(F551),IF('Compare'!$H$5="All mapped",TRUE,IF('Compare'!$H$5="EXACT only",J551="EXACT",OR(J551="EXACT",J551="CLOSE")))),"yes","no")</f>
        <v/>
      </c>
      <c r="AF551" s="24">
        <f>IF(ISNUMBER(H551),COUNTIFS($B$7:$B$608,B551,$C$7:$C$608,C551,$H$7:$H$608,"&lt;"&amp;H551,$AH$7:$AH$608,"yes")+COUNTIFS($B$7:B551,B551,$C$7:C551,C551,$H$7:H551,H551,$AH$7:AH551,"yes"),"")</f>
        <v/>
      </c>
      <c r="AG551" s="24">
        <f>IF(ISNUMBER(I551),COUNTIFS($B$7:$B$608,B551,$C$7:$C$608,C551,$I$7:$I$608,"&lt;"&amp;I551,$AI$7:$AI$608,"yes")+COUNTIFS($B$7:B551,B551,$C$7:C551,C551,$I$7:I551,I551,$AI$7:AI551,"yes"),"")</f>
        <v/>
      </c>
      <c r="AH551" s="24">
        <f>IF(ISNUMBER(H551),"yes","no")</f>
        <v/>
      </c>
      <c r="AI551" s="24">
        <f>IF(ISNUMBER(I551),"yes","no")</f>
        <v/>
      </c>
      <c r="AJ551" s="101" t="n">
        <v>46295</v>
      </c>
      <c r="AK551" s="24" t="n"/>
    </row>
    <row r="552" ht="42" customHeight="1">
      <c r="A552" s="2" t="n"/>
      <c r="B552" s="27" t="inlineStr">
        <is>
          <t>GN 1/6 PC container, 100 mm</t>
        </is>
      </c>
      <c r="C552" s="27" t="inlineStr">
        <is>
          <t>Czech</t>
        </is>
      </c>
      <c r="D552" s="27" t="inlineStr">
        <is>
          <t>Gastromania</t>
        </is>
      </c>
      <c r="E552" s="27" t="inlineStr">
        <is>
          <t>Gastro nádoba GN 1/6 100 mm, polykarbonát | YATO, YG-00426</t>
        </is>
      </c>
      <c r="F552" s="102" t="n">
        <v>76</v>
      </c>
      <c r="G552" s="27" t="inlineStr">
        <is>
          <t>CZK</t>
        </is>
      </c>
      <c r="H552" s="102">
        <f>IF(AND(AE552="yes",ISNUMBER(AD552)),AD552,"")</f>
        <v/>
      </c>
      <c r="I552" s="103">
        <f>IF(AND(AE552="yes",ISNUMBER(AD552),ISNUMBER(INDEX('Sources'!$G$7:$G$10,MATCH(AB552,'Sources'!$B$7:$B$10,0)))),AD552/INDEX('Sources'!$G$7:$G$10,MATCH(AB552,'Sources'!$B$7:$B$10,0)),"")</f>
        <v/>
      </c>
      <c r="J552" s="27" t="inlineStr">
        <is>
          <t>EXACT</t>
        </is>
      </c>
      <c r="K552" s="27" t="inlineStr">
        <is>
          <t>2026-09-30</t>
        </is>
      </c>
      <c r="L552" s="71" t="n"/>
      <c r="M552" s="27" t="inlineStr">
        <is>
          <t>HENDI Profi Line PC 85, Cambro 138 CZK; price incl. 21% VAT as published in product data (current price, in stock)</t>
        </is>
      </c>
      <c r="N552" s="28" t="inlineStr">
        <is>
          <t>https://www.gastromania.cz/gastronadoby-polykarbonatove/gastro-nadoba-gn-1-6-100-mm-polykarbonat-yato-yg-00426</t>
        </is>
      </c>
      <c r="O552" s="27" t="inlineStr">
        <is>
          <t>Yato</t>
        </is>
      </c>
      <c r="P552" s="27" t="inlineStr">
        <is>
          <t>incl.</t>
        </is>
      </c>
      <c r="Q552" s="104" t="n">
        <v>0.21</v>
      </c>
      <c r="R552" s="27" t="n">
        <v>1</v>
      </c>
      <c r="S552" s="27" t="inlineStr">
        <is>
          <t>per piece</t>
        </is>
      </c>
      <c r="T552" s="27" t="inlineStr">
        <is>
          <t>EXACT</t>
        </is>
      </c>
      <c r="U552" s="27" t="inlineStr">
        <is>
          <t>Additional Austria/Czechia benchmark. Original assignment and match quality retained.</t>
        </is>
      </c>
      <c r="V552" s="102" t="n"/>
      <c r="W552" s="102" t="n"/>
      <c r="X552" s="27" t="inlineStr">
        <is>
          <t>research_CZ.xlsx</t>
        </is>
      </c>
      <c r="Y552" s="27" t="n"/>
      <c r="Z552" s="27" t="n"/>
      <c r="AA552" s="27" t="n"/>
      <c r="AB552" s="27" t="inlineStr">
        <is>
          <t>CZK</t>
        </is>
      </c>
      <c r="AC552" s="27" t="inlineStr">
        <is>
          <t>yes</t>
        </is>
      </c>
      <c r="AD552" s="27">
        <f>IF(OR(F552="",Q552="",R552=""),"",ROUND(IF(P552="incl.",F552/(1+Q552),F552)/IF(S552="per pack",R552,1),2))</f>
        <v/>
      </c>
      <c r="AE552" s="27">
        <f>IF(AND(AC552="yes",ISNUMBER(F552),IF('Compare'!$H$5="All mapped",TRUE,IF('Compare'!$H$5="EXACT only",J552="EXACT",OR(J552="EXACT",J552="CLOSE")))),"yes","no")</f>
        <v/>
      </c>
      <c r="AF552" s="27">
        <f>IF(ISNUMBER(H552),COUNTIFS($B$7:$B$608,B552,$C$7:$C$608,C552,$H$7:$H$608,"&lt;"&amp;H552,$AH$7:$AH$608,"yes")+COUNTIFS($B$7:B552,B552,$C$7:C552,C552,$H$7:H552,H552,$AH$7:AH552,"yes"),"")</f>
        <v/>
      </c>
      <c r="AG552" s="27">
        <f>IF(ISNUMBER(I552),COUNTIFS($B$7:$B$608,B552,$C$7:$C$608,C552,$I$7:$I$608,"&lt;"&amp;I552,$AI$7:$AI$608,"yes")+COUNTIFS($B$7:B552,B552,$C$7:C552,C552,$I$7:I552,I552,$AI$7:AI552,"yes"),"")</f>
        <v/>
      </c>
      <c r="AH552" s="27">
        <f>IF(ISNUMBER(H552),"yes","no")</f>
        <v/>
      </c>
      <c r="AI552" s="27">
        <f>IF(ISNUMBER(I552),"yes","no")</f>
        <v/>
      </c>
      <c r="AJ552" s="105" t="n">
        <v>46295</v>
      </c>
      <c r="AK552" s="27" t="n"/>
    </row>
    <row r="553" ht="42" customHeight="1">
      <c r="A553" s="2" t="n"/>
      <c r="B553" s="24" t="inlineStr">
        <is>
          <t>GN 1/6 PC container, 100 mm</t>
        </is>
      </c>
      <c r="C553" s="24" t="inlineStr">
        <is>
          <t>Czech</t>
        </is>
      </c>
      <c r="D553" s="24" t="inlineStr">
        <is>
          <t>Gastrozone</t>
        </is>
      </c>
      <c r="E553" s="24" t="inlineStr">
        <is>
          <t>ARAVEN Gastronádoba GN 1/6, polykarbonát, hloubka: 100 mm, objem: 1,6 L</t>
        </is>
      </c>
      <c r="F553" s="98" t="n">
        <v>162</v>
      </c>
      <c r="G553" s="24" t="inlineStr">
        <is>
          <t>CZK</t>
        </is>
      </c>
      <c r="H553" s="98">
        <f>IF(AND(AE553="yes",ISNUMBER(AD553)),AD553,"")</f>
        <v/>
      </c>
      <c r="I553" s="99">
        <f>IF(AND(AE553="yes",ISNUMBER(AD553),ISNUMBER(INDEX('Sources'!$G$7:$G$10,MATCH(AB553,'Sources'!$B$7:$B$10,0)))),AD553/INDEX('Sources'!$G$7:$G$10,MATCH(AB553,'Sources'!$B$7:$B$10,0)),"")</f>
        <v/>
      </c>
      <c r="J553" s="24" t="inlineStr">
        <is>
          <t>EXACT</t>
        </is>
      </c>
      <c r="K553" s="24" t="inlineStr">
        <is>
          <t>2026-09-30</t>
        </is>
      </c>
      <c r="L553" s="71" t="n"/>
      <c r="M553" s="24" t="inlineStr">
        <is>
          <t>133.88 CZK bez DPH; APS 177-178, Pujadas 215 CZK</t>
        </is>
      </c>
      <c r="N553" s="25" t="inlineStr">
        <is>
          <t>https://www.gastrozone.cz/araven-gn-nadoba-1-6-polykarbonat-hloubka-100-mm-objem-1-6-l.html</t>
        </is>
      </c>
      <c r="O553" s="24" t="inlineStr">
        <is>
          <t>Araven</t>
        </is>
      </c>
      <c r="P553" s="24" t="inlineStr">
        <is>
          <t>incl.</t>
        </is>
      </c>
      <c r="Q553" s="100" t="n">
        <v>0.21</v>
      </c>
      <c r="R553" s="24" t="n">
        <v>1</v>
      </c>
      <c r="S553" s="24" t="inlineStr">
        <is>
          <t>per piece</t>
        </is>
      </c>
      <c r="T553" s="24" t="inlineStr">
        <is>
          <t>EXACT</t>
        </is>
      </c>
      <c r="U553" s="24" t="inlineStr">
        <is>
          <t>Additional Austria/Czechia benchmark. Original assignment and match quality retained.</t>
        </is>
      </c>
      <c r="V553" s="98" t="n"/>
      <c r="W553" s="98" t="n"/>
      <c r="X553" s="24" t="inlineStr">
        <is>
          <t>research_CZ.xlsx</t>
        </is>
      </c>
      <c r="Y553" s="24" t="n"/>
      <c r="Z553" s="24" t="n"/>
      <c r="AA553" s="24" t="n"/>
      <c r="AB553" s="24" t="inlineStr">
        <is>
          <t>CZK</t>
        </is>
      </c>
      <c r="AC553" s="24" t="inlineStr">
        <is>
          <t>yes</t>
        </is>
      </c>
      <c r="AD553" s="24">
        <f>IF(OR(F553="",Q553="",R553=""),"",ROUND(IF(P553="incl.",F553/(1+Q553),F553)/IF(S553="per pack",R553,1),2))</f>
        <v/>
      </c>
      <c r="AE553" s="24">
        <f>IF(AND(AC553="yes",ISNUMBER(F553),IF('Compare'!$H$5="All mapped",TRUE,IF('Compare'!$H$5="EXACT only",J553="EXACT",OR(J553="EXACT",J553="CLOSE")))),"yes","no")</f>
        <v/>
      </c>
      <c r="AF553" s="24">
        <f>IF(ISNUMBER(H553),COUNTIFS($B$7:$B$608,B553,$C$7:$C$608,C553,$H$7:$H$608,"&lt;"&amp;H553,$AH$7:$AH$608,"yes")+COUNTIFS($B$7:B553,B553,$C$7:C553,C553,$H$7:H553,H553,$AH$7:AH553,"yes"),"")</f>
        <v/>
      </c>
      <c r="AG553" s="24">
        <f>IF(ISNUMBER(I553),COUNTIFS($B$7:$B$608,B553,$C$7:$C$608,C553,$I$7:$I$608,"&lt;"&amp;I553,$AI$7:$AI$608,"yes")+COUNTIFS($B$7:B553,B553,$C$7:C553,C553,$I$7:I553,I553,$AI$7:AI553,"yes"),"")</f>
        <v/>
      </c>
      <c r="AH553" s="24">
        <f>IF(ISNUMBER(H553),"yes","no")</f>
        <v/>
      </c>
      <c r="AI553" s="24">
        <f>IF(ISNUMBER(I553),"yes","no")</f>
        <v/>
      </c>
      <c r="AJ553" s="101" t="n">
        <v>46295</v>
      </c>
      <c r="AK553" s="24" t="n"/>
    </row>
    <row r="554" ht="42" customHeight="1">
      <c r="A554" s="2" t="n"/>
      <c r="B554" s="27" t="inlineStr">
        <is>
          <t>GN 1/6 PC container, 100 mm</t>
        </is>
      </c>
      <c r="C554" s="27" t="inlineStr">
        <is>
          <t>Czech</t>
        </is>
      </c>
      <c r="D554" s="27" t="inlineStr">
        <is>
          <t>TOMGAST</t>
        </is>
      </c>
      <c r="E554" s="27" t="inlineStr">
        <is>
          <t>Gastronádoba polykarbonátová GN 1/6 100 mm</t>
        </is>
      </c>
      <c r="F554" s="102" t="n">
        <v>138</v>
      </c>
      <c r="G554" s="27" t="inlineStr">
        <is>
          <t>CZK</t>
        </is>
      </c>
      <c r="H554" s="102">
        <f>IF(AND(AE554="yes",ISNUMBER(AD554)),AD554,"")</f>
        <v/>
      </c>
      <c r="I554" s="103">
        <f>IF(AND(AE554="yes",ISNUMBER(AD554),ISNUMBER(INDEX('Sources'!$G$7:$G$10,MATCH(AB554,'Sources'!$B$7:$B$10,0)))),AD554/INDEX('Sources'!$G$7:$G$10,MATCH(AB554,'Sources'!$B$7:$B$10,0)),"")</f>
        <v/>
      </c>
      <c r="J554" s="27" t="inlineStr">
        <is>
          <t>EXACT</t>
        </is>
      </c>
      <c r="K554" s="27" t="inlineStr">
        <is>
          <t>2026-09-30</t>
        </is>
      </c>
      <c r="L554" s="71" t="n"/>
      <c r="M554" s="27" t="inlineStr">
        <is>
          <t>Code R-M216100; 114 CZK bez DPH</t>
        </is>
      </c>
      <c r="N554" s="28" t="inlineStr">
        <is>
          <t>https://www.tomgast.cz/gastronadoba-polykarbonatova-gn-1-6-100-mm-2/</t>
        </is>
      </c>
      <c r="O554" s="27" t="inlineStr">
        <is>
          <t>Cambro</t>
        </is>
      </c>
      <c r="P554" s="27" t="inlineStr">
        <is>
          <t>incl.</t>
        </is>
      </c>
      <c r="Q554" s="104" t="n">
        <v>0.21</v>
      </c>
      <c r="R554" s="27" t="n">
        <v>1</v>
      </c>
      <c r="S554" s="27" t="inlineStr">
        <is>
          <t>per piece</t>
        </is>
      </c>
      <c r="T554" s="27" t="inlineStr">
        <is>
          <t>EXACT</t>
        </is>
      </c>
      <c r="U554" s="27" t="inlineStr">
        <is>
          <t>Additional Austria/Czechia benchmark. Original assignment and match quality retained.</t>
        </is>
      </c>
      <c r="V554" s="102" t="n"/>
      <c r="W554" s="102" t="n"/>
      <c r="X554" s="27" t="inlineStr">
        <is>
          <t>research_CZ.xlsx</t>
        </is>
      </c>
      <c r="Y554" s="27" t="n"/>
      <c r="Z554" s="27" t="n"/>
      <c r="AA554" s="27" t="n"/>
      <c r="AB554" s="27" t="inlineStr">
        <is>
          <t>CZK</t>
        </is>
      </c>
      <c r="AC554" s="27" t="inlineStr">
        <is>
          <t>yes</t>
        </is>
      </c>
      <c r="AD554" s="27">
        <f>IF(OR(F554="",Q554="",R554=""),"",ROUND(IF(P554="incl.",F554/(1+Q554),F554)/IF(S554="per pack",R554,1),2))</f>
        <v/>
      </c>
      <c r="AE554" s="27">
        <f>IF(AND(AC554="yes",ISNUMBER(F554),IF('Compare'!$H$5="All mapped",TRUE,IF('Compare'!$H$5="EXACT only",J554="EXACT",OR(J554="EXACT",J554="CLOSE")))),"yes","no")</f>
        <v/>
      </c>
      <c r="AF554" s="27">
        <f>IF(ISNUMBER(H554),COUNTIFS($B$7:$B$608,B554,$C$7:$C$608,C554,$H$7:$H$608,"&lt;"&amp;H554,$AH$7:$AH$608,"yes")+COUNTIFS($B$7:B554,B554,$C$7:C554,C554,$H$7:H554,H554,$AH$7:AH554,"yes"),"")</f>
        <v/>
      </c>
      <c r="AG554" s="27">
        <f>IF(ISNUMBER(I554),COUNTIFS($B$7:$B$608,B554,$C$7:$C$608,C554,$I$7:$I$608,"&lt;"&amp;I554,$AI$7:$AI$608,"yes")+COUNTIFS($B$7:B554,B554,$C$7:C554,C554,$I$7:I554,I554,$AI$7:AI554,"yes"),"")</f>
        <v/>
      </c>
      <c r="AH554" s="27">
        <f>IF(ISNUMBER(H554),"yes","no")</f>
        <v/>
      </c>
      <c r="AI554" s="27">
        <f>IF(ISNUMBER(I554),"yes","no")</f>
        <v/>
      </c>
      <c r="AJ554" s="105" t="n">
        <v>46295</v>
      </c>
      <c r="AK554" s="27" t="n"/>
    </row>
    <row r="555" ht="42" customHeight="1">
      <c r="A555" s="2" t="n"/>
      <c r="B555" s="24" t="inlineStr">
        <is>
          <t>Red PE cutting board 530 × 325 × 15 mm</t>
        </is>
      </c>
      <c r="C555" s="24" t="inlineStr">
        <is>
          <t>Austria</t>
        </is>
      </c>
      <c r="D555" s="24" t="inlineStr">
        <is>
          <t>ALLPAX Österreich</t>
        </is>
      </c>
      <c r="E555" s="24" t="inlineStr">
        <is>
          <t>Hendi Schneidebrett GN 1/1 in Rot</t>
        </is>
      </c>
      <c r="F555" s="98" t="n">
        <v>21.24</v>
      </c>
      <c r="G555" s="24" t="inlineStr">
        <is>
          <t>EUR</t>
        </is>
      </c>
      <c r="H555" s="98">
        <f>IF(AND(AE555="yes",ISNUMBER(AD555)),AD555,"")</f>
        <v/>
      </c>
      <c r="I555" s="99">
        <f>IF(AND(AE555="yes",ISNUMBER(AD555),ISNUMBER(INDEX('Sources'!$G$7:$G$10,MATCH(AB555,'Sources'!$B$7:$B$10,0)))),AD555/INDEX('Sources'!$G$7:$G$10,MATCH(AB555,'Sources'!$B$7:$B$10,0)),"")</f>
        <v/>
      </c>
      <c r="J555" s="24" t="inlineStr">
        <is>
          <t>CLOSE</t>
        </is>
      </c>
      <c r="K555" s="24" t="inlineStr">
        <is>
          <t>2026-09-30</t>
        </is>
      </c>
      <c r="L555" s="71" t="n"/>
      <c r="M555" s="24" t="inlineStr">
        <is>
          <t>Red 530x325, HACCP; thickness not stated; with juice groove</t>
        </is>
      </c>
      <c r="N555" s="25" t="inlineStr">
        <is>
          <t>https://www.allpax.at/product_info.php/info/Hendi-Schneidebrett-GN-1-1-in-Rot.html</t>
        </is>
      </c>
      <c r="O555" s="24" t="inlineStr">
        <is>
          <t>Hendi</t>
        </is>
      </c>
      <c r="P555" s="24" t="inlineStr">
        <is>
          <t>excl.</t>
        </is>
      </c>
      <c r="Q555" s="100" t="n"/>
      <c r="R555" s="24" t="n">
        <v>1</v>
      </c>
      <c r="S555" s="24" t="n"/>
      <c r="T555" s="24" t="inlineStr">
        <is>
          <t>CLOSE</t>
        </is>
      </c>
      <c r="U555" s="24" t="inlineStr">
        <is>
          <t>Additional Austria/Czechia benchmark. Original assignment and match quality retained.</t>
        </is>
      </c>
      <c r="V555" s="98" t="n">
        <v>21.24</v>
      </c>
      <c r="W555" s="98" t="n"/>
      <c r="X555" s="24" t="inlineStr">
        <is>
          <t>research_AT.xlsx</t>
        </is>
      </c>
      <c r="Y555" s="24" t="n"/>
      <c r="Z555" s="24" t="n"/>
      <c r="AA555" s="24" t="n"/>
      <c r="AB555" s="24" t="inlineStr">
        <is>
          <t>EUR</t>
        </is>
      </c>
      <c r="AC555" s="24" t="inlineStr">
        <is>
          <t>yes</t>
        </is>
      </c>
      <c r="AD555" s="24">
        <f>IF(ISNUMBER(V555),V555,"")</f>
        <v/>
      </c>
      <c r="AE555" s="24">
        <f>IF(AND(AC555="yes",ISNUMBER(F555),IF('Compare'!$H$5="All mapped",TRUE,IF('Compare'!$H$5="EXACT only",J555="EXACT",OR(J555="EXACT",J555="CLOSE")))),"yes","no")</f>
        <v/>
      </c>
      <c r="AF555" s="24">
        <f>IF(ISNUMBER(H555),COUNTIFS($B$7:$B$608,B555,$C$7:$C$608,C555,$H$7:$H$608,"&lt;"&amp;H555,$AH$7:$AH$608,"yes")+COUNTIFS($B$7:B555,B555,$C$7:C555,C555,$H$7:H555,H555,$AH$7:AH555,"yes"),"")</f>
        <v/>
      </c>
      <c r="AG555" s="24">
        <f>IF(ISNUMBER(I555),COUNTIFS($B$7:$B$608,B555,$C$7:$C$608,C555,$I$7:$I$608,"&lt;"&amp;I555,$AI$7:$AI$608,"yes")+COUNTIFS($B$7:B555,B555,$C$7:C555,C555,$I$7:I555,I555,$AI$7:AI555,"yes"),"")</f>
        <v/>
      </c>
      <c r="AH555" s="24">
        <f>IF(ISNUMBER(H555),"yes","no")</f>
        <v/>
      </c>
      <c r="AI555" s="24">
        <f>IF(ISNUMBER(I555),"yes","no")</f>
        <v/>
      </c>
      <c r="AJ555" s="101" t="n">
        <v>46295</v>
      </c>
      <c r="AK555" s="24" t="n"/>
    </row>
    <row r="556" ht="42" customHeight="1">
      <c r="A556" s="2" t="n"/>
      <c r="B556" s="27" t="inlineStr">
        <is>
          <t>Red PE cutting board 530 × 325 × 15 mm</t>
        </is>
      </c>
      <c r="C556" s="27" t="inlineStr">
        <is>
          <t>Austria</t>
        </is>
      </c>
      <c r="D556" s="27" t="inlineStr">
        <is>
          <t>GGM Gastro (Austrian storefront)</t>
        </is>
      </c>
      <c r="E556" s="27" t="inlineStr">
        <is>
          <t>Schneidebrett - 325x530mm - HACCP-Konform - Rot</t>
        </is>
      </c>
      <c r="F556" s="102" t="n">
        <v>26.49</v>
      </c>
      <c r="G556" s="27" t="inlineStr">
        <is>
          <t>EUR</t>
        </is>
      </c>
      <c r="H556" s="102">
        <f>IF(AND(AE556="yes",ISNUMBER(AD556)),AD556,"")</f>
        <v/>
      </c>
      <c r="I556" s="103">
        <f>IF(AND(AE556="yes",ISNUMBER(AD556),ISNUMBER(INDEX('Sources'!$G$7:$G$10,MATCH(AB556,'Sources'!$B$7:$B$10,0)))),AD556/INDEX('Sources'!$G$7:$G$10,MATCH(AB556,'Sources'!$B$7:$B$10,0)),"")</f>
        <v/>
      </c>
      <c r="J556" s="27" t="inlineStr">
        <is>
          <t>CLOSE</t>
        </is>
      </c>
      <c r="K556" s="27" t="inlineStr">
        <is>
          <t>2026-09-30</t>
        </is>
      </c>
      <c r="L556" s="71" t="n"/>
      <c r="M556" s="27" t="inlineStr">
        <is>
          <t>Red PE board; thickness not shown on this page (white board of same series is 325x530x20 mm)</t>
        </is>
      </c>
      <c r="N556" s="28" t="inlineStr">
        <is>
          <t>https://www.ggmgastro.com/de-at-eur/schneidebrett-325x530mm-haccp-konform-rot-sbp53r</t>
        </is>
      </c>
      <c r="O556" s="27" t="inlineStr">
        <is>
          <t>GGM</t>
        </is>
      </c>
      <c r="P556" s="27" t="inlineStr">
        <is>
          <t>excl.</t>
        </is>
      </c>
      <c r="Q556" s="104" t="n"/>
      <c r="R556" s="27" t="n">
        <v>1</v>
      </c>
      <c r="S556" s="27" t="n"/>
      <c r="T556" s="27" t="inlineStr">
        <is>
          <t>CLOSE</t>
        </is>
      </c>
      <c r="U556" s="27" t="inlineStr">
        <is>
          <t>Additional Austria/Czechia benchmark. Original assignment and match quality retained.</t>
        </is>
      </c>
      <c r="V556" s="102" t="n">
        <v>26.49</v>
      </c>
      <c r="W556" s="102" t="n"/>
      <c r="X556" s="27" t="inlineStr">
        <is>
          <t>research_AT.xlsx</t>
        </is>
      </c>
      <c r="Y556" s="27" t="n"/>
      <c r="Z556" s="27" t="n"/>
      <c r="AA556" s="27" t="n"/>
      <c r="AB556" s="27" t="inlineStr">
        <is>
          <t>EUR</t>
        </is>
      </c>
      <c r="AC556" s="27" t="inlineStr">
        <is>
          <t>yes</t>
        </is>
      </c>
      <c r="AD556" s="27">
        <f>IF(ISNUMBER(V556),V556,"")</f>
        <v/>
      </c>
      <c r="AE556" s="27">
        <f>IF(AND(AC556="yes",ISNUMBER(F556),IF('Compare'!$H$5="All mapped",TRUE,IF('Compare'!$H$5="EXACT only",J556="EXACT",OR(J556="EXACT",J556="CLOSE")))),"yes","no")</f>
        <v/>
      </c>
      <c r="AF556" s="27">
        <f>IF(ISNUMBER(H556),COUNTIFS($B$7:$B$608,B556,$C$7:$C$608,C556,$H$7:$H$608,"&lt;"&amp;H556,$AH$7:$AH$608,"yes")+COUNTIFS($B$7:B556,B556,$C$7:C556,C556,$H$7:H556,H556,$AH$7:AH556,"yes"),"")</f>
        <v/>
      </c>
      <c r="AG556" s="27">
        <f>IF(ISNUMBER(I556),COUNTIFS($B$7:$B$608,B556,$C$7:$C$608,C556,$I$7:$I$608,"&lt;"&amp;I556,$AI$7:$AI$608,"yes")+COUNTIFS($B$7:B556,B556,$C$7:C556,C556,$I$7:I556,I556,$AI$7:AI556,"yes"),"")</f>
        <v/>
      </c>
      <c r="AH556" s="27">
        <f>IF(ISNUMBER(H556),"yes","no")</f>
        <v/>
      </c>
      <c r="AI556" s="27">
        <f>IF(ISNUMBER(I556),"yes","no")</f>
        <v/>
      </c>
      <c r="AJ556" s="105" t="n">
        <v>46295</v>
      </c>
      <c r="AK556" s="27" t="n"/>
    </row>
    <row r="557" ht="42" customHeight="1">
      <c r="A557" s="2" t="n"/>
      <c r="B557" s="24" t="inlineStr">
        <is>
          <t>Red PE cutting board 530 × 325 × 15 mm</t>
        </is>
      </c>
      <c r="C557" s="24" t="inlineStr">
        <is>
          <t>Austria</t>
        </is>
      </c>
      <c r="D557" s="24" t="inlineStr">
        <is>
          <t>Gastrodax</t>
        </is>
      </c>
      <c r="E557" s="24" t="inlineStr">
        <is>
          <t>Hendi Schneidbrett HACCP Gastronorm 1/1, Rot, 530x325mm</t>
        </is>
      </c>
      <c r="F557" s="98" t="n">
        <v>20.95</v>
      </c>
      <c r="G557" s="24" t="inlineStr">
        <is>
          <t>EUR</t>
        </is>
      </c>
      <c r="H557" s="98">
        <f>IF(AND(AE557="yes",ISNUMBER(AD557)),AD557,"")</f>
        <v/>
      </c>
      <c r="I557" s="99">
        <f>IF(AND(AE557="yes",ISNUMBER(AD557),ISNUMBER(INDEX('Sources'!$G$7:$G$10,MATCH(AB557,'Sources'!$B$7:$B$10,0)))),AD557/INDEX('Sources'!$G$7:$G$10,MATCH(AB557,'Sources'!$B$7:$B$10,0)),"")</f>
        <v/>
      </c>
      <c r="J557" s="24" t="inlineStr">
        <is>
          <t>EXACT</t>
        </is>
      </c>
      <c r="K557" s="24" t="inlineStr">
        <is>
          <t>2026-09-30</t>
        </is>
      </c>
      <c r="L557" s="71" t="n"/>
      <c r="M557" s="24" t="inlineStr">
        <is>
          <t>530x325x15 mm, red; material not stated on page</t>
        </is>
      </c>
      <c r="N557" s="25" t="inlineStr">
        <is>
          <t>https://www.gastrodax.de/hendi-schneidbretter-haccp-gastronorm-1-1-gn-1-1-rot-530-x-325-mm</t>
        </is>
      </c>
      <c r="O557" s="24" t="inlineStr">
        <is>
          <t>Hendi</t>
        </is>
      </c>
      <c r="P557" s="24" t="inlineStr">
        <is>
          <t>excl.</t>
        </is>
      </c>
      <c r="Q557" s="100" t="n"/>
      <c r="R557" s="24" t="n">
        <v>1</v>
      </c>
      <c r="S557" s="24" t="n"/>
      <c r="T557" s="24" t="inlineStr">
        <is>
          <t>EXACT</t>
        </is>
      </c>
      <c r="U557" s="24" t="inlineStr">
        <is>
          <t>Additional Austria/Czechia benchmark. Original assignment and match quality retained.</t>
        </is>
      </c>
      <c r="V557" s="98" t="n">
        <v>20.95</v>
      </c>
      <c r="W557" s="98" t="n"/>
      <c r="X557" s="24" t="inlineStr">
        <is>
          <t>research_AT.xlsx</t>
        </is>
      </c>
      <c r="Y557" s="24" t="n"/>
      <c r="Z557" s="24" t="n"/>
      <c r="AA557" s="24" t="n"/>
      <c r="AB557" s="24" t="inlineStr">
        <is>
          <t>EUR</t>
        </is>
      </c>
      <c r="AC557" s="24" t="inlineStr">
        <is>
          <t>yes</t>
        </is>
      </c>
      <c r="AD557" s="24">
        <f>IF(ISNUMBER(V557),V557,"")</f>
        <v/>
      </c>
      <c r="AE557" s="24">
        <f>IF(AND(AC557="yes",ISNUMBER(F557),IF('Compare'!$H$5="All mapped",TRUE,IF('Compare'!$H$5="EXACT only",J557="EXACT",OR(J557="EXACT",J557="CLOSE")))),"yes","no")</f>
        <v/>
      </c>
      <c r="AF557" s="24">
        <f>IF(ISNUMBER(H557),COUNTIFS($B$7:$B$608,B557,$C$7:$C$608,C557,$H$7:$H$608,"&lt;"&amp;H557,$AH$7:$AH$608,"yes")+COUNTIFS($B$7:B557,B557,$C$7:C557,C557,$H$7:H557,H557,$AH$7:AH557,"yes"),"")</f>
        <v/>
      </c>
      <c r="AG557" s="24">
        <f>IF(ISNUMBER(I557),COUNTIFS($B$7:$B$608,B557,$C$7:$C$608,C557,$I$7:$I$608,"&lt;"&amp;I557,$AI$7:$AI$608,"yes")+COUNTIFS($B$7:B557,B557,$C$7:C557,C557,$I$7:I557,I557,$AI$7:AI557,"yes"),"")</f>
        <v/>
      </c>
      <c r="AH557" s="24">
        <f>IF(ISNUMBER(H557),"yes","no")</f>
        <v/>
      </c>
      <c r="AI557" s="24">
        <f>IF(ISNUMBER(I557),"yes","no")</f>
        <v/>
      </c>
      <c r="AJ557" s="101" t="n">
        <v>46295</v>
      </c>
      <c r="AK557" s="24" t="n"/>
    </row>
    <row r="558" ht="42" customHeight="1">
      <c r="A558" s="2" t="n"/>
      <c r="B558" s="27" t="inlineStr">
        <is>
          <t>Red PE cutting board 530 × 325 × 15 mm</t>
        </is>
      </c>
      <c r="C558" s="27" t="inlineStr">
        <is>
          <t>Austria</t>
        </is>
      </c>
      <c r="D558" s="27" t="inlineStr">
        <is>
          <t>Gastroladen.at (Harotec GmbH)</t>
        </is>
      </c>
      <c r="E558" s="27" t="inlineStr">
        <is>
          <t>Bartscher Schneidbrett PRO 53x32 R-R (rot)</t>
        </is>
      </c>
      <c r="F558" s="102" t="n">
        <v>29.49</v>
      </c>
      <c r="G558" s="27" t="inlineStr">
        <is>
          <t>EUR</t>
        </is>
      </c>
      <c r="H558" s="102">
        <f>IF(AND(AE558="yes",ISNUMBER(AD558)),AD558,"")</f>
        <v/>
      </c>
      <c r="I558" s="103">
        <f>IF(AND(AE558="yes",ISNUMBER(AD558),ISNUMBER(INDEX('Sources'!$G$7:$G$10,MATCH(AB558,'Sources'!$B$7:$B$10,0)))),AD558/INDEX('Sources'!$G$7:$G$10,MATCH(AB558,'Sources'!$B$7:$B$10,0)),"")</f>
        <v/>
      </c>
      <c r="J558" s="27" t="inlineStr">
        <is>
          <t>CLOSE</t>
        </is>
      </c>
      <c r="K558" s="27" t="inlineStr">
        <is>
          <t>2026-09-30</t>
        </is>
      </c>
      <c r="L558" s="71" t="n"/>
      <c r="M558" s="27" t="inlineStr">
        <is>
          <t>Red PE 530x325 but 20 mm plate (vs 15 mm), rubber feet, juice groove</t>
        </is>
      </c>
      <c r="N558" s="28" t="inlineStr">
        <is>
          <t>https://www.gastroladen.at/2310@A120513/Bartscher-Schneidbrett-PRO-53x32-R-R.htm</t>
        </is>
      </c>
      <c r="O558" s="27" t="inlineStr">
        <is>
          <t>Bartscher</t>
        </is>
      </c>
      <c r="P558" s="27" t="inlineStr">
        <is>
          <t>incl.</t>
        </is>
      </c>
      <c r="Q558" s="104" t="n"/>
      <c r="R558" s="27" t="n">
        <v>1</v>
      </c>
      <c r="S558" s="27" t="n"/>
      <c r="T558" s="27" t="inlineStr">
        <is>
          <t>CLOSE</t>
        </is>
      </c>
      <c r="U558" s="27" t="inlineStr">
        <is>
          <t>Additional Austria/Czechia benchmark. Original assignment and match quality retained.</t>
        </is>
      </c>
      <c r="V558" s="102" t="n">
        <v>24.57</v>
      </c>
      <c r="W558" s="102" t="n"/>
      <c r="X558" s="27" t="inlineStr">
        <is>
          <t>research_AT.xlsx</t>
        </is>
      </c>
      <c r="Y558" s="27" t="n"/>
      <c r="Z558" s="27" t="n"/>
      <c r="AA558" s="27" t="n"/>
      <c r="AB558" s="27" t="inlineStr">
        <is>
          <t>EUR</t>
        </is>
      </c>
      <c r="AC558" s="27" t="inlineStr">
        <is>
          <t>yes</t>
        </is>
      </c>
      <c r="AD558" s="27">
        <f>IF(ISNUMBER(V558),V558,"")</f>
        <v/>
      </c>
      <c r="AE558" s="27">
        <f>IF(AND(AC558="yes",ISNUMBER(F558),IF('Compare'!$H$5="All mapped",TRUE,IF('Compare'!$H$5="EXACT only",J558="EXACT",OR(J558="EXACT",J558="CLOSE")))),"yes","no")</f>
        <v/>
      </c>
      <c r="AF558" s="27">
        <f>IF(ISNUMBER(H558),COUNTIFS($B$7:$B$608,B558,$C$7:$C$608,C558,$H$7:$H$608,"&lt;"&amp;H558,$AH$7:$AH$608,"yes")+COUNTIFS($B$7:B558,B558,$C$7:C558,C558,$H$7:H558,H558,$AH$7:AH558,"yes"),"")</f>
        <v/>
      </c>
      <c r="AG558" s="27">
        <f>IF(ISNUMBER(I558),COUNTIFS($B$7:$B$608,B558,$C$7:$C$608,C558,$I$7:$I$608,"&lt;"&amp;I558,$AI$7:$AI$608,"yes")+COUNTIFS($B$7:B558,B558,$C$7:C558,C558,$I$7:I558,I558,$AI$7:AI558,"yes"),"")</f>
        <v/>
      </c>
      <c r="AH558" s="27">
        <f>IF(ISNUMBER(H558),"yes","no")</f>
        <v/>
      </c>
      <c r="AI558" s="27">
        <f>IF(ISNUMBER(I558),"yes","no")</f>
        <v/>
      </c>
      <c r="AJ558" s="105" t="n">
        <v>46295</v>
      </c>
      <c r="AK558" s="27" t="n"/>
    </row>
    <row r="559" ht="42" customHeight="1">
      <c r="A559" s="2" t="n"/>
      <c r="B559" s="24" t="inlineStr">
        <is>
          <t>Red PE cutting board 530 × 325 × 15 mm</t>
        </is>
      </c>
      <c r="C559" s="24" t="inlineStr">
        <is>
          <t>Austria</t>
        </is>
      </c>
      <c r="D559" s="24" t="inlineStr">
        <is>
          <t>Intergastro (AT shop)</t>
        </is>
      </c>
      <c r="E559" s="24" t="inlineStr">
        <is>
          <t>Schneidbrett Kunststoff rot mit Saftrille 530 x 325 mm H 20 mm</t>
        </is>
      </c>
      <c r="F559" s="98" t="n">
        <v>51.09</v>
      </c>
      <c r="G559" s="24" t="inlineStr">
        <is>
          <t>EUR</t>
        </is>
      </c>
      <c r="H559" s="98">
        <f>IF(AND(AE559="yes",ISNUMBER(AD559)),AD559,"")</f>
        <v/>
      </c>
      <c r="I559" s="99">
        <f>IF(AND(AE559="yes",ISNUMBER(AD559),ISNUMBER(INDEX('Sources'!$G$7:$G$10,MATCH(AB559,'Sources'!$B$7:$B$10,0)))),AD559/INDEX('Sources'!$G$7:$G$10,MATCH(AB559,'Sources'!$B$7:$B$10,0)),"")</f>
        <v/>
      </c>
      <c r="J559" s="24" t="inlineStr">
        <is>
          <t>CLOSE</t>
        </is>
      </c>
      <c r="K559" s="24" t="inlineStr">
        <is>
          <t>2026-09-30</t>
        </is>
      </c>
      <c r="L559" s="71" t="n"/>
      <c r="M559" s="24" t="inlineStr">
        <is>
          <t>20 mm instead of 15 mm, juice groove; premium brand (F. Dick)</t>
        </is>
      </c>
      <c r="N559" s="25" t="inlineStr">
        <is>
          <t>https://www.intergastro.at/schneidbrett-kunststoff-rot-mit-saftrille-530-mm-x-325-mm-h-20-mm-159103</t>
        </is>
      </c>
      <c r="O559" s="24" t="inlineStr">
        <is>
          <t>Dick</t>
        </is>
      </c>
      <c r="P559" s="24" t="inlineStr">
        <is>
          <t>excl.</t>
        </is>
      </c>
      <c r="Q559" s="100" t="n"/>
      <c r="R559" s="24" t="n">
        <v>1</v>
      </c>
      <c r="S559" s="24" t="n"/>
      <c r="T559" s="24" t="inlineStr">
        <is>
          <t>CLOSE</t>
        </is>
      </c>
      <c r="U559" s="24" t="inlineStr">
        <is>
          <t>Additional Austria/Czechia benchmark. Original assignment and match quality retained.</t>
        </is>
      </c>
      <c r="V559" s="98" t="n">
        <v>51.09</v>
      </c>
      <c r="W559" s="98" t="n"/>
      <c r="X559" s="24" t="inlineStr">
        <is>
          <t>research_AT.xlsx</t>
        </is>
      </c>
      <c r="Y559" s="24" t="n"/>
      <c r="Z559" s="24" t="n"/>
      <c r="AA559" s="24" t="n"/>
      <c r="AB559" s="24" t="inlineStr">
        <is>
          <t>EUR</t>
        </is>
      </c>
      <c r="AC559" s="24" t="inlineStr">
        <is>
          <t>yes</t>
        </is>
      </c>
      <c r="AD559" s="24">
        <f>IF(ISNUMBER(V559),V559,"")</f>
        <v/>
      </c>
      <c r="AE559" s="24">
        <f>IF(AND(AC559="yes",ISNUMBER(F559),IF('Compare'!$H$5="All mapped",TRUE,IF('Compare'!$H$5="EXACT only",J559="EXACT",OR(J559="EXACT",J559="CLOSE")))),"yes","no")</f>
        <v/>
      </c>
      <c r="AF559" s="24">
        <f>IF(ISNUMBER(H559),COUNTIFS($B$7:$B$608,B559,$C$7:$C$608,C559,$H$7:$H$608,"&lt;"&amp;H559,$AH$7:$AH$608,"yes")+COUNTIFS($B$7:B559,B559,$C$7:C559,C559,$H$7:H559,H559,$AH$7:AH559,"yes"),"")</f>
        <v/>
      </c>
      <c r="AG559" s="24">
        <f>IF(ISNUMBER(I559),COUNTIFS($B$7:$B$608,B559,$C$7:$C$608,C559,$I$7:$I$608,"&lt;"&amp;I559,$AI$7:$AI$608,"yes")+COUNTIFS($B$7:B559,B559,$C$7:C559,C559,$I$7:I559,I559,$AI$7:AI559,"yes"),"")</f>
        <v/>
      </c>
      <c r="AH559" s="24">
        <f>IF(ISNUMBER(H559),"yes","no")</f>
        <v/>
      </c>
      <c r="AI559" s="24">
        <f>IF(ISNUMBER(I559),"yes","no")</f>
        <v/>
      </c>
      <c r="AJ559" s="101" t="n">
        <v>46295</v>
      </c>
      <c r="AK559" s="24" t="n"/>
    </row>
    <row r="560" ht="42" customHeight="1">
      <c r="A560" s="2" t="n"/>
      <c r="B560" s="27" t="inlineStr">
        <is>
          <t>Red PE cutting board 530 × 325 × 15 mm</t>
        </is>
      </c>
      <c r="C560" s="27" t="inlineStr">
        <is>
          <t>Austria</t>
        </is>
      </c>
      <c r="D560" s="27" t="inlineStr">
        <is>
          <t>Jungheinrich PROFISHOP Austria</t>
        </is>
      </c>
      <c r="E560" s="27" t="inlineStr">
        <is>
          <t>Stalgast Schneidbrett, HACCP, Farbe rot, GN1/1, Stärke 15 mm</t>
        </is>
      </c>
      <c r="F560" s="102" t="n">
        <v>23.9</v>
      </c>
      <c r="G560" s="27" t="inlineStr">
        <is>
          <t>EUR</t>
        </is>
      </c>
      <c r="H560" s="102">
        <f>IF(AND(AE560="yes",ISNUMBER(AD560)),AD560,"")</f>
        <v/>
      </c>
      <c r="I560" s="103">
        <f>IF(AND(AE560="yes",ISNUMBER(AD560),ISNUMBER(INDEX('Sources'!$G$7:$G$10,MATCH(AB560,'Sources'!$B$7:$B$10,0)))),AD560/INDEX('Sources'!$G$7:$G$10,MATCH(AB560,'Sources'!$B$7:$B$10,0)),"")</f>
        <v/>
      </c>
      <c r="J560" s="27" t="inlineStr">
        <is>
          <t>CLOSE</t>
        </is>
      </c>
      <c r="K560" s="27" t="inlineStr">
        <is>
          <t>2026-09-30</t>
        </is>
      </c>
      <c r="L560" s="71" t="n"/>
      <c r="M560" s="27" t="inlineStr">
        <is>
          <t>Red 530x325x15 mm but polypropylene (not PE)</t>
        </is>
      </c>
      <c r="N560" s="28" t="inlineStr">
        <is>
          <t>https://www.jh-profishop.at/p/stalgast-schneidbrett-haccp-farbe-rot-gn1-1-staerke-15-mm-927571-346777/</t>
        </is>
      </c>
      <c r="O560" s="27" t="inlineStr">
        <is>
          <t>Stalgast</t>
        </is>
      </c>
      <c r="P560" s="27" t="inlineStr">
        <is>
          <t>excl.</t>
        </is>
      </c>
      <c r="Q560" s="104" t="n"/>
      <c r="R560" s="27" t="n">
        <v>1</v>
      </c>
      <c r="S560" s="27" t="n"/>
      <c r="T560" s="27" t="inlineStr">
        <is>
          <t>CLOSE</t>
        </is>
      </c>
      <c r="U560" s="27" t="inlineStr">
        <is>
          <t>Additional Austria/Czechia benchmark. Original assignment and match quality retained.</t>
        </is>
      </c>
      <c r="V560" s="102" t="n">
        <v>23.9</v>
      </c>
      <c r="W560" s="102" t="n"/>
      <c r="X560" s="27" t="inlineStr">
        <is>
          <t>research_AT.xlsx</t>
        </is>
      </c>
      <c r="Y560" s="27" t="n"/>
      <c r="Z560" s="27" t="n"/>
      <c r="AA560" s="27" t="n"/>
      <c r="AB560" s="27" t="inlineStr">
        <is>
          <t>EUR</t>
        </is>
      </c>
      <c r="AC560" s="27" t="inlineStr">
        <is>
          <t>yes</t>
        </is>
      </c>
      <c r="AD560" s="27">
        <f>IF(ISNUMBER(V560),V560,"")</f>
        <v/>
      </c>
      <c r="AE560" s="27">
        <f>IF(AND(AC560="yes",ISNUMBER(F560),IF('Compare'!$H$5="All mapped",TRUE,IF('Compare'!$H$5="EXACT only",J560="EXACT",OR(J560="EXACT",J560="CLOSE")))),"yes","no")</f>
        <v/>
      </c>
      <c r="AF560" s="27">
        <f>IF(ISNUMBER(H560),COUNTIFS($B$7:$B$608,B560,$C$7:$C$608,C560,$H$7:$H$608,"&lt;"&amp;H560,$AH$7:$AH$608,"yes")+COUNTIFS($B$7:B560,B560,$C$7:C560,C560,$H$7:H560,H560,$AH$7:AH560,"yes"),"")</f>
        <v/>
      </c>
      <c r="AG560" s="27">
        <f>IF(ISNUMBER(I560),COUNTIFS($B$7:$B$608,B560,$C$7:$C$608,C560,$I$7:$I$608,"&lt;"&amp;I560,$AI$7:$AI$608,"yes")+COUNTIFS($B$7:B560,B560,$C$7:C560,C560,$I$7:I560,I560,$AI$7:AI560,"yes"),"")</f>
        <v/>
      </c>
      <c r="AH560" s="27">
        <f>IF(ISNUMBER(H560),"yes","no")</f>
        <v/>
      </c>
      <c r="AI560" s="27">
        <f>IF(ISNUMBER(I560),"yes","no")</f>
        <v/>
      </c>
      <c r="AJ560" s="105" t="n">
        <v>46295</v>
      </c>
      <c r="AK560" s="27" t="n"/>
    </row>
    <row r="561" ht="42" customHeight="1">
      <c r="A561" s="2" t="n"/>
      <c r="B561" s="24" t="inlineStr">
        <is>
          <t>Red PE cutting board 530 × 325 × 15 mm</t>
        </is>
      </c>
      <c r="C561" s="24" t="inlineStr">
        <is>
          <t>Austria</t>
        </is>
      </c>
      <c r="D561" s="24" t="inlineStr">
        <is>
          <t>shopbuero.com</t>
        </is>
      </c>
      <c r="E561" s="24" t="inlineStr">
        <is>
          <t>GN-Schneidebrett - mit Füßen - rot - GN 1/1 (530 x 325 mm) - Polyethylen</t>
        </is>
      </c>
      <c r="F561" s="98" t="n">
        <v>29</v>
      </c>
      <c r="G561" s="24" t="inlineStr">
        <is>
          <t>EUR</t>
        </is>
      </c>
      <c r="H561" s="98">
        <f>IF(AND(AE561="yes",ISNUMBER(AD561)),AD561,"")</f>
        <v/>
      </c>
      <c r="I561" s="99">
        <f>IF(AND(AE561="yes",ISNUMBER(AD561),ISNUMBER(INDEX('Sources'!$G$7:$G$10,MATCH(AB561,'Sources'!$B$7:$B$10,0)))),AD561/INDEX('Sources'!$G$7:$G$10,MATCH(AB561,'Sources'!$B$7:$B$10,0)),"")</f>
        <v/>
      </c>
      <c r="J561" s="24" t="inlineStr">
        <is>
          <t>CLOSE</t>
        </is>
      </c>
      <c r="K561" s="24" t="inlineStr">
        <is>
          <t>2026-09-30</t>
        </is>
      </c>
      <c r="L561" s="71" t="n"/>
      <c r="M561" s="24" t="inlineStr">
        <is>
          <t>Red PE but 20 mm thick (vs 15 mm), with feet; regular price 45.30</t>
        </is>
      </c>
      <c r="N561" s="25" t="inlineStr">
        <is>
          <t>https://shopbuero.com/gn-schneidebrett-mit-fuessen-rot-gn-1-1-530-x-325-mm-polyethylen/228313-C</t>
        </is>
      </c>
      <c r="O561" s="24" t="inlineStr">
        <is>
          <t>Schneider</t>
        </is>
      </c>
      <c r="P561" s="24" t="inlineStr">
        <is>
          <t>excl.</t>
        </is>
      </c>
      <c r="Q561" s="100" t="n"/>
      <c r="R561" s="24" t="n">
        <v>1</v>
      </c>
      <c r="S561" s="24" t="n"/>
      <c r="T561" s="24" t="inlineStr">
        <is>
          <t>CLOSE</t>
        </is>
      </c>
      <c r="U561" s="24" t="inlineStr">
        <is>
          <t>Additional Austria/Czechia benchmark. Original assignment and match quality retained.</t>
        </is>
      </c>
      <c r="V561" s="98" t="n">
        <v>29</v>
      </c>
      <c r="W561" s="98" t="n"/>
      <c r="X561" s="24" t="inlineStr">
        <is>
          <t>research_AT.xlsx</t>
        </is>
      </c>
      <c r="Y561" s="24" t="n"/>
      <c r="Z561" s="24" t="n"/>
      <c r="AA561" s="24" t="n"/>
      <c r="AB561" s="24" t="inlineStr">
        <is>
          <t>EUR</t>
        </is>
      </c>
      <c r="AC561" s="24" t="inlineStr">
        <is>
          <t>yes</t>
        </is>
      </c>
      <c r="AD561" s="24">
        <f>IF(ISNUMBER(V561),V561,"")</f>
        <v/>
      </c>
      <c r="AE561" s="24">
        <f>IF(AND(AC561="yes",ISNUMBER(F561),IF('Compare'!$H$5="All mapped",TRUE,IF('Compare'!$H$5="EXACT only",J561="EXACT",OR(J561="EXACT",J561="CLOSE")))),"yes","no")</f>
        <v/>
      </c>
      <c r="AF561" s="24">
        <f>IF(ISNUMBER(H561),COUNTIFS($B$7:$B$608,B561,$C$7:$C$608,C561,$H$7:$H$608,"&lt;"&amp;H561,$AH$7:$AH$608,"yes")+COUNTIFS($B$7:B561,B561,$C$7:C561,C561,$H$7:H561,H561,$AH$7:AH561,"yes"),"")</f>
        <v/>
      </c>
      <c r="AG561" s="24">
        <f>IF(ISNUMBER(I561),COUNTIFS($B$7:$B$608,B561,$C$7:$C$608,C561,$I$7:$I$608,"&lt;"&amp;I561,$AI$7:$AI$608,"yes")+COUNTIFS($B$7:B561,B561,$C$7:C561,C561,$I$7:I561,I561,$AI$7:AI561,"yes"),"")</f>
        <v/>
      </c>
      <c r="AH561" s="24">
        <f>IF(ISNUMBER(H561),"yes","no")</f>
        <v/>
      </c>
      <c r="AI561" s="24">
        <f>IF(ISNUMBER(I561),"yes","no")</f>
        <v/>
      </c>
      <c r="AJ561" s="101" t="n">
        <v>46295</v>
      </c>
      <c r="AK561" s="24" t="n"/>
    </row>
    <row r="562" ht="42" customHeight="1">
      <c r="A562" s="2" t="n"/>
      <c r="B562" s="27" t="inlineStr">
        <is>
          <t>Red PE cutting board 530 × 325 × 15 mm</t>
        </is>
      </c>
      <c r="C562" s="27" t="inlineStr">
        <is>
          <t>Czech</t>
        </is>
      </c>
      <c r="D562" s="27" t="inlineStr">
        <is>
          <t>GGM Gastro (CZ storefront)</t>
        </is>
      </c>
      <c r="E562" s="27" t="inlineStr">
        <is>
          <t>Krájecí deska - 325x530 mm - Dle HACCP - Červená</t>
        </is>
      </c>
      <c r="F562" s="102" t="n">
        <v>632.5700000000001</v>
      </c>
      <c r="G562" s="27" t="inlineStr">
        <is>
          <t>CZK</t>
        </is>
      </c>
      <c r="H562" s="102">
        <f>IF(AND(AE562="yes",ISNUMBER(AD562)),AD562,"")</f>
        <v/>
      </c>
      <c r="I562" s="103">
        <f>IF(AND(AE562="yes",ISNUMBER(AD562),ISNUMBER(INDEX('Sources'!$G$7:$G$10,MATCH(AB562,'Sources'!$B$7:$B$10,0)))),AD562/INDEX('Sources'!$G$7:$G$10,MATCH(AB562,'Sources'!$B$7:$B$10,0)),"")</f>
        <v/>
      </c>
      <c r="J562" s="27" t="inlineStr">
        <is>
          <t>CLOSE</t>
        </is>
      </c>
      <c r="K562" s="27" t="inlineStr">
        <is>
          <t>2026-09-30</t>
        </is>
      </c>
      <c r="L562" s="71" t="n"/>
      <c r="M562" s="27" t="inlineStr">
        <is>
          <t>Red PE; thickness not shown (white board of same series on the German site: 325x530x20 mm)</t>
        </is>
      </c>
      <c r="N562" s="28" t="inlineStr">
        <is>
          <t>https://www.ggmgastro.com/cs-cz-czk/krajeci-deska-325x530-mm-dle-haccp-cervena-sbp53r</t>
        </is>
      </c>
      <c r="O562" s="27" t="inlineStr">
        <is>
          <t>GGM</t>
        </is>
      </c>
      <c r="P562" s="27" t="inlineStr">
        <is>
          <t>excl.</t>
        </is>
      </c>
      <c r="Q562" s="104" t="n">
        <v>0.19</v>
      </c>
      <c r="R562" s="27" t="n">
        <v>1</v>
      </c>
      <c r="S562" s="27" t="inlineStr">
        <is>
          <t>per piece</t>
        </is>
      </c>
      <c r="T562" s="27" t="inlineStr">
        <is>
          <t>CLOSE</t>
        </is>
      </c>
      <c r="U562" s="27" t="inlineStr">
        <is>
          <t>Additional Austria/Czechia benchmark. Original assignment and match quality retained.</t>
        </is>
      </c>
      <c r="V562" s="102" t="n"/>
      <c r="W562" s="102" t="n"/>
      <c r="X562" s="27" t="inlineStr">
        <is>
          <t>research_CZ.xlsx</t>
        </is>
      </c>
      <c r="Y562" s="27" t="n"/>
      <c r="Z562" s="27" t="n"/>
      <c r="AA562" s="27" t="n"/>
      <c r="AB562" s="27" t="inlineStr">
        <is>
          <t>CZK</t>
        </is>
      </c>
      <c r="AC562" s="27" t="inlineStr">
        <is>
          <t>yes</t>
        </is>
      </c>
      <c r="AD562" s="27">
        <f>IF(OR(F562="",Q562="",R562=""),"",ROUND(IF(P562="incl.",F562/(1+Q562),F562)/IF(S562="per pack",R562,1),2))</f>
        <v/>
      </c>
      <c r="AE562" s="27">
        <f>IF(AND(AC562="yes",ISNUMBER(F562),IF('Compare'!$H$5="All mapped",TRUE,IF('Compare'!$H$5="EXACT only",J562="EXACT",OR(J562="EXACT",J562="CLOSE")))),"yes","no")</f>
        <v/>
      </c>
      <c r="AF562" s="27">
        <f>IF(ISNUMBER(H562),COUNTIFS($B$7:$B$608,B562,$C$7:$C$608,C562,$H$7:$H$608,"&lt;"&amp;H562,$AH$7:$AH$608,"yes")+COUNTIFS($B$7:B562,B562,$C$7:C562,C562,$H$7:H562,H562,$AH$7:AH562,"yes"),"")</f>
        <v/>
      </c>
      <c r="AG562" s="27">
        <f>IF(ISNUMBER(I562),COUNTIFS($B$7:$B$608,B562,$C$7:$C$608,C562,$I$7:$I$608,"&lt;"&amp;I562,$AI$7:$AI$608,"yes")+COUNTIFS($B$7:B562,B562,$C$7:C562,C562,$I$7:I562,I562,$AI$7:AI562,"yes"),"")</f>
        <v/>
      </c>
      <c r="AH562" s="27">
        <f>IF(ISNUMBER(H562),"yes","no")</f>
        <v/>
      </c>
      <c r="AI562" s="27">
        <f>IF(ISNUMBER(I562),"yes","no")</f>
        <v/>
      </c>
      <c r="AJ562" s="105" t="n">
        <v>46295</v>
      </c>
      <c r="AK562" s="27" t="n"/>
    </row>
    <row r="563" ht="42" customHeight="1">
      <c r="A563" s="2" t="n"/>
      <c r="B563" s="24" t="inlineStr">
        <is>
          <t>Red PE cutting board 530 × 325 × 15 mm</t>
        </is>
      </c>
      <c r="C563" s="24" t="inlineStr">
        <is>
          <t>Czech</t>
        </is>
      </c>
      <c r="D563" s="24" t="inlineStr">
        <is>
          <t>Gastro Novotný</t>
        </is>
      </c>
      <c r="E563" s="24" t="inlineStr">
        <is>
          <t>Deska polyethylen GN 1/1 53x32,5x2cm nožičky, PE-HD červená</t>
        </is>
      </c>
      <c r="F563" s="98" t="n">
        <v>1090</v>
      </c>
      <c r="G563" s="24" t="inlineStr">
        <is>
          <t>CZK</t>
        </is>
      </c>
      <c r="H563" s="98">
        <f>IF(AND(AE563="yes",ISNUMBER(AD563)),AD563,"")</f>
        <v/>
      </c>
      <c r="I563" s="99">
        <f>IF(AND(AE563="yes",ISNUMBER(AD563),ISNUMBER(INDEX('Sources'!$G$7:$G$10,MATCH(AB563,'Sources'!$B$7:$B$10,0)))),AD563/INDEX('Sources'!$G$7:$G$10,MATCH(AB563,'Sources'!$B$7:$B$10,0)),"")</f>
        <v/>
      </c>
      <c r="J563" s="24" t="inlineStr">
        <is>
          <t>CLOSE</t>
        </is>
      </c>
      <c r="K563" s="24" t="inlineStr">
        <is>
          <t>2026-09-30</t>
        </is>
      </c>
      <c r="L563" s="71" t="n"/>
      <c r="M563" s="24" t="inlineStr">
        <is>
          <t>Code 1842538-03; red HDPE 530 x 325 mm but 20 mm thick (not 15), with feet; 1318.90 CZK incl. VAT</t>
        </is>
      </c>
      <c r="N563" s="25" t="inlineStr">
        <is>
          <t>https://eshop.gastronovotny.cz/deska-polyethylen-gn-1-1--53x32-5x2cm--nozicky-pe-hd--cervena/</t>
        </is>
      </c>
      <c r="O563" s="24" t="n"/>
      <c r="P563" s="24" t="inlineStr">
        <is>
          <t>excl.</t>
        </is>
      </c>
      <c r="Q563" s="100" t="n">
        <v>0.21</v>
      </c>
      <c r="R563" s="24" t="n">
        <v>1</v>
      </c>
      <c r="S563" s="24" t="inlineStr">
        <is>
          <t>per piece</t>
        </is>
      </c>
      <c r="T563" s="24" t="inlineStr">
        <is>
          <t>CLOSE</t>
        </is>
      </c>
      <c r="U563" s="24" t="inlineStr">
        <is>
          <t>Additional Austria/Czechia benchmark. Original assignment and match quality retained.</t>
        </is>
      </c>
      <c r="V563" s="98" t="n"/>
      <c r="W563" s="98" t="n"/>
      <c r="X563" s="24" t="inlineStr">
        <is>
          <t>research_CZ.xlsx</t>
        </is>
      </c>
      <c r="Y563" s="24" t="n"/>
      <c r="Z563" s="24" t="n"/>
      <c r="AA563" s="24" t="n"/>
      <c r="AB563" s="24" t="inlineStr">
        <is>
          <t>CZK</t>
        </is>
      </c>
      <c r="AC563" s="24" t="inlineStr">
        <is>
          <t>yes</t>
        </is>
      </c>
      <c r="AD563" s="24">
        <f>IF(OR(F563="",Q563="",R563=""),"",ROUND(IF(P563="incl.",F563/(1+Q563),F563)/IF(S563="per pack",R563,1),2))</f>
        <v/>
      </c>
      <c r="AE563" s="24">
        <f>IF(AND(AC563="yes",ISNUMBER(F563),IF('Compare'!$H$5="All mapped",TRUE,IF('Compare'!$H$5="EXACT only",J563="EXACT",OR(J563="EXACT",J563="CLOSE")))),"yes","no")</f>
        <v/>
      </c>
      <c r="AF563" s="24">
        <f>IF(ISNUMBER(H563),COUNTIFS($B$7:$B$608,B563,$C$7:$C$608,C563,$H$7:$H$608,"&lt;"&amp;H563,$AH$7:$AH$608,"yes")+COUNTIFS($B$7:B563,B563,$C$7:C563,C563,$H$7:H563,H563,$AH$7:AH563,"yes"),"")</f>
        <v/>
      </c>
      <c r="AG563" s="24">
        <f>IF(ISNUMBER(I563),COUNTIFS($B$7:$B$608,B563,$C$7:$C$608,C563,$I$7:$I$608,"&lt;"&amp;I563,$AI$7:$AI$608,"yes")+COUNTIFS($B$7:B563,B563,$C$7:C563,C563,$I$7:I563,I563,$AI$7:AI563,"yes"),"")</f>
        <v/>
      </c>
      <c r="AH563" s="24">
        <f>IF(ISNUMBER(H563),"yes","no")</f>
        <v/>
      </c>
      <c r="AI563" s="24">
        <f>IF(ISNUMBER(I563),"yes","no")</f>
        <v/>
      </c>
      <c r="AJ563" s="101" t="n">
        <v>46295</v>
      </c>
      <c r="AK563" s="24" t="n"/>
    </row>
    <row r="564" ht="52" customHeight="1">
      <c r="A564" s="2" t="n"/>
      <c r="B564" s="27" t="inlineStr">
        <is>
          <t>Red PE cutting board 530 × 325 × 15 mm</t>
        </is>
      </c>
      <c r="C564" s="27" t="inlineStr">
        <is>
          <t>Czech</t>
        </is>
      </c>
      <c r="D564" s="27" t="inlineStr">
        <is>
          <t>Gastromania</t>
        </is>
      </c>
      <c r="E564" s="27" t="inlineStr">
        <is>
          <t>Deska ke krájení s výřezem z červeného polypropylenu 53x32,5x1,5 cm | STALGAST, 341531</t>
        </is>
      </c>
      <c r="F564" s="102" t="n">
        <v>653</v>
      </c>
      <c r="G564" s="27" t="inlineStr">
        <is>
          <t>CZK</t>
        </is>
      </c>
      <c r="H564" s="102">
        <f>IF(AND(AE564="yes",ISNUMBER(AD564)),AD564,"")</f>
        <v/>
      </c>
      <c r="I564" s="103">
        <f>IF(AND(AE564="yes",ISNUMBER(AD564),ISNUMBER(INDEX('Sources'!$G$7:$G$10,MATCH(AB564,'Sources'!$B$7:$B$10,0)))),AD564/INDEX('Sources'!$G$7:$G$10,MATCH(AB564,'Sources'!$B$7:$B$10,0)),"")</f>
        <v/>
      </c>
      <c r="J564" s="27" t="inlineStr">
        <is>
          <t>CLOSE</t>
        </is>
      </c>
      <c r="K564" s="27" t="inlineStr">
        <is>
          <t>2026-09-30</t>
        </is>
      </c>
      <c r="L564" s="71" t="n"/>
      <c r="M564" s="27" t="inlineStr">
        <is>
          <t>Red 530 x 325 x 15 mm but polypropylene (not PE), with cut-out; 540 CZK bez DPH. HENDI red PE GN 1/1 530x325x10 mm 359 CZK; price incl. 21% VAT as published in product data (current price, in stock)</t>
        </is>
      </c>
      <c r="N564" s="28" t="inlineStr">
        <is>
          <t>https://www.gastromania.cz/plastove-krajeci-desky-haccp/deska-ke-krajeni-s-vyrezem-z-cerveneho-polypropylenu-53x32-5x1-5-cm-stalgast-341531</t>
        </is>
      </c>
      <c r="O564" s="27" t="inlineStr">
        <is>
          <t>Stalgast</t>
        </is>
      </c>
      <c r="P564" s="27" t="inlineStr">
        <is>
          <t>incl.</t>
        </is>
      </c>
      <c r="Q564" s="104" t="n">
        <v>0.21</v>
      </c>
      <c r="R564" s="27" t="n">
        <v>1</v>
      </c>
      <c r="S564" s="27" t="inlineStr">
        <is>
          <t>per piece</t>
        </is>
      </c>
      <c r="T564" s="27" t="inlineStr">
        <is>
          <t>CLOSE</t>
        </is>
      </c>
      <c r="U564" s="27" t="inlineStr">
        <is>
          <t>Additional Austria/Czechia benchmark. Original assignment and match quality retained.</t>
        </is>
      </c>
      <c r="V564" s="102" t="n"/>
      <c r="W564" s="102" t="n"/>
      <c r="X564" s="27" t="inlineStr">
        <is>
          <t>research_CZ.xlsx</t>
        </is>
      </c>
      <c r="Y564" s="27" t="n"/>
      <c r="Z564" s="27" t="n"/>
      <c r="AA564" s="27" t="n"/>
      <c r="AB564" s="27" t="inlineStr">
        <is>
          <t>CZK</t>
        </is>
      </c>
      <c r="AC564" s="27" t="inlineStr">
        <is>
          <t>yes</t>
        </is>
      </c>
      <c r="AD564" s="27">
        <f>IF(OR(F564="",Q564="",R564=""),"",ROUND(IF(P564="incl.",F564/(1+Q564),F564)/IF(S564="per pack",R564,1),2))</f>
        <v/>
      </c>
      <c r="AE564" s="27">
        <f>IF(AND(AC564="yes",ISNUMBER(F564),IF('Compare'!$H$5="All mapped",TRUE,IF('Compare'!$H$5="EXACT only",J564="EXACT",OR(J564="EXACT",J564="CLOSE")))),"yes","no")</f>
        <v/>
      </c>
      <c r="AF564" s="27">
        <f>IF(ISNUMBER(H564),COUNTIFS($B$7:$B$608,B564,$C$7:$C$608,C564,$H$7:$H$608,"&lt;"&amp;H564,$AH$7:$AH$608,"yes")+COUNTIFS($B$7:B564,B564,$C$7:C564,C564,$H$7:H564,H564,$AH$7:AH564,"yes"),"")</f>
        <v/>
      </c>
      <c r="AG564" s="27">
        <f>IF(ISNUMBER(I564),COUNTIFS($B$7:$B$608,B564,$C$7:$C$608,C564,$I$7:$I$608,"&lt;"&amp;I564,$AI$7:$AI$608,"yes")+COUNTIFS($B$7:B564,B564,$C$7:C564,C564,$I$7:I564,I564,$AI$7:AI564,"yes"),"")</f>
        <v/>
      </c>
      <c r="AH564" s="27">
        <f>IF(ISNUMBER(H564),"yes","no")</f>
        <v/>
      </c>
      <c r="AI564" s="27">
        <f>IF(ISNUMBER(I564),"yes","no")</f>
        <v/>
      </c>
      <c r="AJ564" s="105" t="n">
        <v>46295</v>
      </c>
      <c r="AK564" s="27" t="n"/>
    </row>
    <row r="565" ht="42" customHeight="1">
      <c r="A565" s="2" t="n"/>
      <c r="B565" s="24" t="inlineStr">
        <is>
          <t>Red PE cutting board 530 × 325 × 15 mm</t>
        </is>
      </c>
      <c r="C565" s="24" t="inlineStr">
        <is>
          <t>Czech</t>
        </is>
      </c>
      <c r="D565" s="24" t="inlineStr">
        <is>
          <t>Gastrozone</t>
        </is>
      </c>
      <c r="E565" s="24" t="inlineStr">
        <is>
          <t>Gastro Prkénko krájecí plastové 53x32,5x2 cm GN 1/1, s drážkou, červené</t>
        </is>
      </c>
      <c r="F565" s="98" t="n">
        <v>1531</v>
      </c>
      <c r="G565" s="24" t="inlineStr">
        <is>
          <t>CZK</t>
        </is>
      </c>
      <c r="H565" s="98">
        <f>IF(AND(AE565="yes",ISNUMBER(AD565)),AD565,"")</f>
        <v/>
      </c>
      <c r="I565" s="99">
        <f>IF(AND(AE565="yes",ISNUMBER(AD565),ISNUMBER(INDEX('Sources'!$G$7:$G$10,MATCH(AB565,'Sources'!$B$7:$B$10,0)))),AD565/INDEX('Sources'!$G$7:$G$10,MATCH(AB565,'Sources'!$B$7:$B$10,0)),"")</f>
        <v/>
      </c>
      <c r="J565" s="24" t="inlineStr">
        <is>
          <t>CLOSE</t>
        </is>
      </c>
      <c r="K565" s="24" t="inlineStr">
        <is>
          <t>2026-09-30</t>
        </is>
      </c>
      <c r="L565" s="71" t="n"/>
      <c r="M565" s="24" t="inlineStr">
        <is>
          <t>1265.29 CZK bez DPH; red 530 x 325 mm but 20 mm thick (not 15) and with groove; material stated only as "Plast" (PE not confirmed)</t>
        </is>
      </c>
      <c r="N565" s="25" t="inlineStr">
        <is>
          <t>https://www.gastrozone.cz/gastro-prkenko-krajeci-plastove-53x32-5x2-cm-gn-1-1-s-drazkou-cervene.html</t>
        </is>
      </c>
      <c r="O565" s="24" t="inlineStr">
        <is>
          <t>Gastro</t>
        </is>
      </c>
      <c r="P565" s="24" t="inlineStr">
        <is>
          <t>incl.</t>
        </is>
      </c>
      <c r="Q565" s="100" t="n">
        <v>0.21</v>
      </c>
      <c r="R565" s="24" t="n">
        <v>1</v>
      </c>
      <c r="S565" s="24" t="inlineStr">
        <is>
          <t>per piece</t>
        </is>
      </c>
      <c r="T565" s="24" t="inlineStr">
        <is>
          <t>CLOSE</t>
        </is>
      </c>
      <c r="U565" s="24" t="inlineStr">
        <is>
          <t>Additional Austria/Czechia benchmark. Original assignment and match quality retained.</t>
        </is>
      </c>
      <c r="V565" s="98" t="n"/>
      <c r="W565" s="98" t="n"/>
      <c r="X565" s="24" t="inlineStr">
        <is>
          <t>research_CZ.xlsx</t>
        </is>
      </c>
      <c r="Y565" s="24" t="n"/>
      <c r="Z565" s="24" t="n"/>
      <c r="AA565" s="24" t="n"/>
      <c r="AB565" s="24" t="inlineStr">
        <is>
          <t>CZK</t>
        </is>
      </c>
      <c r="AC565" s="24" t="inlineStr">
        <is>
          <t>yes</t>
        </is>
      </c>
      <c r="AD565" s="24">
        <f>IF(OR(F565="",Q565="",R565=""),"",ROUND(IF(P565="incl.",F565/(1+Q565),F565)/IF(S565="per pack",R565,1),2))</f>
        <v/>
      </c>
      <c r="AE565" s="24">
        <f>IF(AND(AC565="yes",ISNUMBER(F565),IF('Compare'!$H$5="All mapped",TRUE,IF('Compare'!$H$5="EXACT only",J565="EXACT",OR(J565="EXACT",J565="CLOSE")))),"yes","no")</f>
        <v/>
      </c>
      <c r="AF565" s="24">
        <f>IF(ISNUMBER(H565),COUNTIFS($B$7:$B$608,B565,$C$7:$C$608,C565,$H$7:$H$608,"&lt;"&amp;H565,$AH$7:$AH$608,"yes")+COUNTIFS($B$7:B565,B565,$C$7:C565,C565,$H$7:H565,H565,$AH$7:AH565,"yes"),"")</f>
        <v/>
      </c>
      <c r="AG565" s="24">
        <f>IF(ISNUMBER(I565),COUNTIFS($B$7:$B$608,B565,$C$7:$C$608,C565,$I$7:$I$608,"&lt;"&amp;I565,$AI$7:$AI$608,"yes")+COUNTIFS($B$7:B565,B565,$C$7:C565,C565,$I$7:I565,I565,$AI$7:AI565,"yes"),"")</f>
        <v/>
      </c>
      <c r="AH565" s="24">
        <f>IF(ISNUMBER(H565),"yes","no")</f>
        <v/>
      </c>
      <c r="AI565" s="24">
        <f>IF(ISNUMBER(I565),"yes","no")</f>
        <v/>
      </c>
      <c r="AJ565" s="101" t="n">
        <v>46295</v>
      </c>
      <c r="AK565" s="24" t="n"/>
    </row>
    <row r="566" ht="42" customHeight="1">
      <c r="A566" s="2" t="n"/>
      <c r="B566" s="27" t="inlineStr">
        <is>
          <t>Red PE cutting board 530 × 325 × 15 mm</t>
        </is>
      </c>
      <c r="C566" s="27" t="inlineStr">
        <is>
          <t>Czech</t>
        </is>
      </c>
      <c r="D566" s="27" t="inlineStr">
        <is>
          <t>TOMGAST</t>
        </is>
      </c>
      <c r="E566" s="27" t="inlineStr">
        <is>
          <t>Deska 500 × 325 × 20 mm, červená</t>
        </is>
      </c>
      <c r="F566" s="102" t="n">
        <v>1016</v>
      </c>
      <c r="G566" s="27" t="inlineStr">
        <is>
          <t>CZK</t>
        </is>
      </c>
      <c r="H566" s="102">
        <f>IF(AND(AE566="yes",ISNUMBER(AD566)),AD566,"")</f>
        <v/>
      </c>
      <c r="I566" s="103">
        <f>IF(AND(AE566="yes",ISNUMBER(AD566),ISNUMBER(INDEX('Sources'!$G$7:$G$10,MATCH(AB566,'Sources'!$B$7:$B$10,0)))),AD566/INDEX('Sources'!$G$7:$G$10,MATCH(AB566,'Sources'!$B$7:$B$10,0)),"")</f>
        <v/>
      </c>
      <c r="J566" s="27" t="inlineStr">
        <is>
          <t>APPROX</t>
        </is>
      </c>
      <c r="K566" s="27" t="inlineStr">
        <is>
          <t>2026-09-30</t>
        </is>
      </c>
      <c r="L566" s="71" t="n"/>
      <c r="M566" s="27" t="inlineStr">
        <is>
          <t>Code 37-C; red PE but 500 x 325 x 20 mm, not 530 x 325 x 15; 840 CZK bez DPH. Red 500 x 300 x 15 with groove (38-C) is 835 CZK incl.</t>
        </is>
      </c>
      <c r="N566" s="28" t="inlineStr">
        <is>
          <t>https://www.tomgast.cz/deska-500--325--20-mm--cervena/</t>
        </is>
      </c>
      <c r="O566" s="27" t="inlineStr">
        <is>
          <t>TOMGAST</t>
        </is>
      </c>
      <c r="P566" s="27" t="inlineStr">
        <is>
          <t>incl.</t>
        </is>
      </c>
      <c r="Q566" s="104" t="n">
        <v>0.21</v>
      </c>
      <c r="R566" s="27" t="n">
        <v>1</v>
      </c>
      <c r="S566" s="27" t="inlineStr">
        <is>
          <t>per piece</t>
        </is>
      </c>
      <c r="T566" s="27" t="inlineStr">
        <is>
          <t>APPROX</t>
        </is>
      </c>
      <c r="U566" s="27" t="inlineStr">
        <is>
          <t>Additional Austria/Czechia benchmark. Original assignment and match quality retained.</t>
        </is>
      </c>
      <c r="V566" s="102" t="n"/>
      <c r="W566" s="102" t="n"/>
      <c r="X566" s="27" t="inlineStr">
        <is>
          <t>research_CZ.xlsx</t>
        </is>
      </c>
      <c r="Y566" s="27" t="n"/>
      <c r="Z566" s="27" t="n"/>
      <c r="AA566" s="27" t="n"/>
      <c r="AB566" s="27" t="inlineStr">
        <is>
          <t>CZK</t>
        </is>
      </c>
      <c r="AC566" s="27" t="inlineStr">
        <is>
          <t>yes</t>
        </is>
      </c>
      <c r="AD566" s="27">
        <f>IF(OR(F566="",Q566="",R566=""),"",ROUND(IF(P566="incl.",F566/(1+Q566),F566)/IF(S566="per pack",R566,1),2))</f>
        <v/>
      </c>
      <c r="AE566" s="27">
        <f>IF(AND(AC566="yes",ISNUMBER(F566),IF('Compare'!$H$5="All mapped",TRUE,IF('Compare'!$H$5="EXACT only",J566="EXACT",OR(J566="EXACT",J566="CLOSE")))),"yes","no")</f>
        <v/>
      </c>
      <c r="AF566" s="27">
        <f>IF(ISNUMBER(H566),COUNTIFS($B$7:$B$608,B566,$C$7:$C$608,C566,$H$7:$H$608,"&lt;"&amp;H566,$AH$7:$AH$608,"yes")+COUNTIFS($B$7:B566,B566,$C$7:C566,C566,$H$7:H566,H566,$AH$7:AH566,"yes"),"")</f>
        <v/>
      </c>
      <c r="AG566" s="27">
        <f>IF(ISNUMBER(I566),COUNTIFS($B$7:$B$608,B566,$C$7:$C$608,C566,$I$7:$I$608,"&lt;"&amp;I566,$AI$7:$AI$608,"yes")+COUNTIFS($B$7:B566,B566,$C$7:C566,C566,$I$7:I566,I566,$AI$7:AI566,"yes"),"")</f>
        <v/>
      </c>
      <c r="AH566" s="27">
        <f>IF(ISNUMBER(H566),"yes","no")</f>
        <v/>
      </c>
      <c r="AI566" s="27">
        <f>IF(ISNUMBER(I566),"yes","no")</f>
        <v/>
      </c>
      <c r="AJ566" s="105" t="n">
        <v>46295</v>
      </c>
      <c r="AK566" s="27" t="n"/>
    </row>
    <row r="567" ht="42" customHeight="1">
      <c r="A567" s="2" t="n"/>
      <c r="B567" s="24" t="inlineStr">
        <is>
          <t>GN 1/3 PP lid</t>
        </is>
      </c>
      <c r="C567" s="24" t="inlineStr">
        <is>
          <t>Austria</t>
        </is>
      </c>
      <c r="D567" s="24" t="inlineStr">
        <is>
          <t>ALLPAX Österreich</t>
        </is>
      </c>
      <c r="E567" s="24" t="inlineStr">
        <is>
          <t>Hendi GN Deckel 1/3 PP, violett</t>
        </is>
      </c>
      <c r="F567" s="98" t="n">
        <v>3.38</v>
      </c>
      <c r="G567" s="24" t="inlineStr">
        <is>
          <t>EUR</t>
        </is>
      </c>
      <c r="H567" s="98">
        <f>IF(AND(AE567="yes",ISNUMBER(AD567)),AD567,"")</f>
        <v/>
      </c>
      <c r="I567" s="99">
        <f>IF(AND(AE567="yes",ISNUMBER(AD567),ISNUMBER(INDEX('Sources'!$G$7:$G$10,MATCH(AB567,'Sources'!$B$7:$B$10,0)))),AD567/INDEX('Sources'!$G$7:$G$10,MATCH(AB567,'Sources'!$B$7:$B$10,0)),"")</f>
        <v/>
      </c>
      <c r="J567" s="24" t="inlineStr">
        <is>
          <t>CLOSE</t>
        </is>
      </c>
      <c r="K567" s="24" t="inlineStr">
        <is>
          <t>2026-09-30</t>
        </is>
      </c>
      <c r="L567" s="71" t="n"/>
      <c r="M567" s="24" t="inlineStr">
        <is>
          <t>PP GN 1/3 lid in violet (allergen colour) rather than standard transparent</t>
        </is>
      </c>
      <c r="N567" s="25" t="inlineStr">
        <is>
          <t>https://www.allpax.at/product_info.php/info/Hendi-GN-Deckel-1-3-PP-violett.html</t>
        </is>
      </c>
      <c r="O567" s="24" t="inlineStr">
        <is>
          <t>Hendi</t>
        </is>
      </c>
      <c r="P567" s="24" t="inlineStr">
        <is>
          <t>excl.</t>
        </is>
      </c>
      <c r="Q567" s="100" t="n"/>
      <c r="R567" s="24" t="n">
        <v>1</v>
      </c>
      <c r="S567" s="24" t="n"/>
      <c r="T567" s="24" t="inlineStr">
        <is>
          <t>CLOSE</t>
        </is>
      </c>
      <c r="U567" s="24" t="inlineStr">
        <is>
          <t>Additional Austria/Czechia benchmark. Original assignment and match quality retained.</t>
        </is>
      </c>
      <c r="V567" s="98" t="n">
        <v>3.38</v>
      </c>
      <c r="W567" s="98" t="n"/>
      <c r="X567" s="24" t="inlineStr">
        <is>
          <t>research_AT.xlsx</t>
        </is>
      </c>
      <c r="Y567" s="24" t="n"/>
      <c r="Z567" s="24" t="n"/>
      <c r="AA567" s="24" t="n"/>
      <c r="AB567" s="24" t="inlineStr">
        <is>
          <t>EUR</t>
        </is>
      </c>
      <c r="AC567" s="24" t="inlineStr">
        <is>
          <t>yes</t>
        </is>
      </c>
      <c r="AD567" s="24">
        <f>IF(ISNUMBER(V567),V567,"")</f>
        <v/>
      </c>
      <c r="AE567" s="24">
        <f>IF(AND(AC567="yes",ISNUMBER(F567),IF('Compare'!$H$5="All mapped",TRUE,IF('Compare'!$H$5="EXACT only",J567="EXACT",OR(J567="EXACT",J567="CLOSE")))),"yes","no")</f>
        <v/>
      </c>
      <c r="AF567" s="24">
        <f>IF(ISNUMBER(H567),COUNTIFS($B$7:$B$608,B567,$C$7:$C$608,C567,$H$7:$H$608,"&lt;"&amp;H567,$AH$7:$AH$608,"yes")+COUNTIFS($B$7:B567,B567,$C$7:C567,C567,$H$7:H567,H567,$AH$7:AH567,"yes"),"")</f>
        <v/>
      </c>
      <c r="AG567" s="24">
        <f>IF(ISNUMBER(I567),COUNTIFS($B$7:$B$608,B567,$C$7:$C$608,C567,$I$7:$I$608,"&lt;"&amp;I567,$AI$7:$AI$608,"yes")+COUNTIFS($B$7:B567,B567,$C$7:C567,C567,$I$7:I567,I567,$AI$7:AI567,"yes"),"")</f>
        <v/>
      </c>
      <c r="AH567" s="24">
        <f>IF(ISNUMBER(H567),"yes","no")</f>
        <v/>
      </c>
      <c r="AI567" s="24">
        <f>IF(ISNUMBER(I567),"yes","no")</f>
        <v/>
      </c>
      <c r="AJ567" s="101" t="n">
        <v>46295</v>
      </c>
      <c r="AK567" s="24" t="n"/>
    </row>
    <row r="568" ht="42" customHeight="1">
      <c r="A568" s="2" t="n"/>
      <c r="B568" s="27" t="inlineStr">
        <is>
          <t>GN 1/3 PP lid</t>
        </is>
      </c>
      <c r="C568" s="27" t="inlineStr">
        <is>
          <t>Austria</t>
        </is>
      </c>
      <c r="D568" s="27" t="inlineStr">
        <is>
          <t>GGM Gastro (Austrian storefront)</t>
        </is>
      </c>
      <c r="E568" s="27" t="inlineStr">
        <is>
          <t>(6 Stück) CAMBRO SafeTrak Polypropylen-Deckel GN 1/3 - Milchig</t>
        </is>
      </c>
      <c r="F568" s="102" t="n">
        <v>18.99</v>
      </c>
      <c r="G568" s="27" t="inlineStr">
        <is>
          <t>EUR</t>
        </is>
      </c>
      <c r="H568" s="102">
        <f>IF(AND(AE568="yes",ISNUMBER(AD568)),AD568,"")</f>
        <v/>
      </c>
      <c r="I568" s="103">
        <f>IF(AND(AE568="yes",ISNUMBER(AD568),ISNUMBER(INDEX('Sources'!$G$7:$G$10,MATCH(AB568,'Sources'!$B$7:$B$10,0)))),AD568/INDEX('Sources'!$G$7:$G$10,MATCH(AB568,'Sources'!$B$7:$B$10,0)),"")</f>
        <v/>
      </c>
      <c r="J568" s="27" t="inlineStr">
        <is>
          <t>EXACT</t>
        </is>
      </c>
      <c r="K568" s="27" t="inlineStr">
        <is>
          <t>2026-09-30</t>
        </is>
      </c>
      <c r="L568" s="71" t="n"/>
      <c r="M568" s="27" t="n"/>
      <c r="N568" s="28" t="inlineStr">
        <is>
          <t>https://www.ggmgastro.com/de-at-eur/6-stueck-cambro-safetrak-polypropylen-deckel-gn-1-3-milchig-30ppcwsc190</t>
        </is>
      </c>
      <c r="O568" s="27" t="inlineStr">
        <is>
          <t>Cambro</t>
        </is>
      </c>
      <c r="P568" s="27" t="inlineStr">
        <is>
          <t>excl.</t>
        </is>
      </c>
      <c r="Q568" s="104" t="n"/>
      <c r="R568" s="27" t="n">
        <v>6</v>
      </c>
      <c r="S568" s="27" t="inlineStr">
        <is>
          <t>set of 6</t>
        </is>
      </c>
      <c r="T568" s="27" t="inlineStr">
        <is>
          <t>EXACT</t>
        </is>
      </c>
      <c r="U568" s="27" t="inlineStr">
        <is>
          <t>Additional Austria/Czechia benchmark. Original assignment and match quality retained.</t>
        </is>
      </c>
      <c r="V568" s="102" t="n">
        <v>3.16</v>
      </c>
      <c r="W568" s="102" t="n"/>
      <c r="X568" s="27" t="inlineStr">
        <is>
          <t>research_AT.xlsx</t>
        </is>
      </c>
      <c r="Y568" s="27" t="n"/>
      <c r="Z568" s="27" t="n"/>
      <c r="AA568" s="27" t="n"/>
      <c r="AB568" s="27" t="inlineStr">
        <is>
          <t>EUR</t>
        </is>
      </c>
      <c r="AC568" s="27" t="inlineStr">
        <is>
          <t>yes</t>
        </is>
      </c>
      <c r="AD568" s="27">
        <f>IF(ISNUMBER(V568),V568,"")</f>
        <v/>
      </c>
      <c r="AE568" s="27">
        <f>IF(AND(AC568="yes",ISNUMBER(F568),IF('Compare'!$H$5="All mapped",TRUE,IF('Compare'!$H$5="EXACT only",J568="EXACT",OR(J568="EXACT",J568="CLOSE")))),"yes","no")</f>
        <v/>
      </c>
      <c r="AF568" s="27">
        <f>IF(ISNUMBER(H568),COUNTIFS($B$7:$B$608,B568,$C$7:$C$608,C568,$H$7:$H$608,"&lt;"&amp;H568,$AH$7:$AH$608,"yes")+COUNTIFS($B$7:B568,B568,$C$7:C568,C568,$H$7:H568,H568,$AH$7:AH568,"yes"),"")</f>
        <v/>
      </c>
      <c r="AG568" s="27">
        <f>IF(ISNUMBER(I568),COUNTIFS($B$7:$B$608,B568,$C$7:$C$608,C568,$I$7:$I$608,"&lt;"&amp;I568,$AI$7:$AI$608,"yes")+COUNTIFS($B$7:B568,B568,$C$7:C568,C568,$I$7:I568,I568,$AI$7:AI568,"yes"),"")</f>
        <v/>
      </c>
      <c r="AH568" s="27">
        <f>IF(ISNUMBER(H568),"yes","no")</f>
        <v/>
      </c>
      <c r="AI568" s="27">
        <f>IF(ISNUMBER(I568),"yes","no")</f>
        <v/>
      </c>
      <c r="AJ568" s="105" t="n">
        <v>46295</v>
      </c>
      <c r="AK568" s="27" t="n"/>
    </row>
    <row r="569" ht="42" customHeight="1">
      <c r="A569" s="2" t="n"/>
      <c r="B569" s="24" t="inlineStr">
        <is>
          <t>GN 1/3 PP lid</t>
        </is>
      </c>
      <c r="C569" s="24" t="inlineStr">
        <is>
          <t>Austria</t>
        </is>
      </c>
      <c r="D569" s="24" t="inlineStr">
        <is>
          <t>Gastro Star</t>
        </is>
      </c>
      <c r="E569" s="24" t="inlineStr">
        <is>
          <t>Polypropylen Deckel GN 1/3</t>
        </is>
      </c>
      <c r="F569" s="98" t="n">
        <v>2.65</v>
      </c>
      <c r="G569" s="24" t="inlineStr">
        <is>
          <t>EUR</t>
        </is>
      </c>
      <c r="H569" s="98">
        <f>IF(AND(AE569="yes",ISNUMBER(AD569)),AD569,"")</f>
        <v/>
      </c>
      <c r="I569" s="99">
        <f>IF(AND(AE569="yes",ISNUMBER(AD569),ISNUMBER(INDEX('Sources'!$G$7:$G$10,MATCH(AB569,'Sources'!$B$7:$B$10,0)))),AD569/INDEX('Sources'!$G$7:$G$10,MATCH(AB569,'Sources'!$B$7:$B$10,0)),"")</f>
        <v/>
      </c>
      <c r="J569" s="24" t="inlineStr">
        <is>
          <t>EXACT</t>
        </is>
      </c>
      <c r="K569" s="24" t="inlineStr">
        <is>
          <t>2026-09-30</t>
        </is>
      </c>
      <c r="L569" s="71" t="n"/>
      <c r="M569" s="24" t="n"/>
      <c r="N569" s="25" t="inlineStr">
        <is>
          <t>https://www.gastro-star.at/produkt/polypropylendeckelgn13/</t>
        </is>
      </c>
      <c r="O569" s="24" t="inlineStr">
        <is>
          <t>Hendi</t>
        </is>
      </c>
      <c r="P569" s="24" t="inlineStr">
        <is>
          <t>excl.</t>
        </is>
      </c>
      <c r="Q569" s="100" t="n"/>
      <c r="R569" s="24" t="n">
        <v>1</v>
      </c>
      <c r="S569" s="24" t="n"/>
      <c r="T569" s="24" t="inlineStr">
        <is>
          <t>EXACT</t>
        </is>
      </c>
      <c r="U569" s="24" t="inlineStr">
        <is>
          <t>Additional Austria/Czechia benchmark. Original assignment and match quality retained.</t>
        </is>
      </c>
      <c r="V569" s="98" t="n">
        <v>2.65</v>
      </c>
      <c r="W569" s="98" t="n"/>
      <c r="X569" s="24" t="inlineStr">
        <is>
          <t>research_AT.xlsx</t>
        </is>
      </c>
      <c r="Y569" s="24" t="n"/>
      <c r="Z569" s="24" t="n"/>
      <c r="AA569" s="24" t="n"/>
      <c r="AB569" s="24" t="inlineStr">
        <is>
          <t>EUR</t>
        </is>
      </c>
      <c r="AC569" s="24" t="inlineStr">
        <is>
          <t>yes</t>
        </is>
      </c>
      <c r="AD569" s="24">
        <f>IF(ISNUMBER(V569),V569,"")</f>
        <v/>
      </c>
      <c r="AE569" s="24">
        <f>IF(AND(AC569="yes",ISNUMBER(F569),IF('Compare'!$H$5="All mapped",TRUE,IF('Compare'!$H$5="EXACT only",J569="EXACT",OR(J569="EXACT",J569="CLOSE")))),"yes","no")</f>
        <v/>
      </c>
      <c r="AF569" s="24">
        <f>IF(ISNUMBER(H569),COUNTIFS($B$7:$B$608,B569,$C$7:$C$608,C569,$H$7:$H$608,"&lt;"&amp;H569,$AH$7:$AH$608,"yes")+COUNTIFS($B$7:B569,B569,$C$7:C569,C569,$H$7:H569,H569,$AH$7:AH569,"yes"),"")</f>
        <v/>
      </c>
      <c r="AG569" s="24">
        <f>IF(ISNUMBER(I569),COUNTIFS($B$7:$B$608,B569,$C$7:$C$608,C569,$I$7:$I$608,"&lt;"&amp;I569,$AI$7:$AI$608,"yes")+COUNTIFS($B$7:B569,B569,$C$7:C569,C569,$I$7:I569,I569,$AI$7:AI569,"yes"),"")</f>
        <v/>
      </c>
      <c r="AH569" s="24">
        <f>IF(ISNUMBER(H569),"yes","no")</f>
        <v/>
      </c>
      <c r="AI569" s="24">
        <f>IF(ISNUMBER(I569),"yes","no")</f>
        <v/>
      </c>
      <c r="AJ569" s="101" t="n">
        <v>46295</v>
      </c>
      <c r="AK569" s="24" t="n"/>
    </row>
    <row r="570" ht="42" customHeight="1">
      <c r="A570" s="2" t="n"/>
      <c r="B570" s="27" t="inlineStr">
        <is>
          <t>GN 1/3 PP lid</t>
        </is>
      </c>
      <c r="C570" s="27" t="inlineStr">
        <is>
          <t>Austria</t>
        </is>
      </c>
      <c r="D570" s="27" t="inlineStr">
        <is>
          <t>GastroHero Österreich</t>
        </is>
      </c>
      <c r="E570" s="27" t="inlineStr">
        <is>
          <t>Schneider PP GN 1/3 Deckel, einrastend</t>
        </is>
      </c>
      <c r="F570" s="102" t="n">
        <v>5.59</v>
      </c>
      <c r="G570" s="27" t="inlineStr">
        <is>
          <t>EUR</t>
        </is>
      </c>
      <c r="H570" s="102">
        <f>IF(AND(AE570="yes",ISNUMBER(AD570)),AD570,"")</f>
        <v/>
      </c>
      <c r="I570" s="103">
        <f>IF(AND(AE570="yes",ISNUMBER(AD570),ISNUMBER(INDEX('Sources'!$G$7:$G$10,MATCH(AB570,'Sources'!$B$7:$B$10,0)))),AD570/INDEX('Sources'!$G$7:$G$10,MATCH(AB570,'Sources'!$B$7:$B$10,0)),"")</f>
        <v/>
      </c>
      <c r="J570" s="27" t="inlineStr">
        <is>
          <t>EXACT</t>
        </is>
      </c>
      <c r="K570" s="27" t="inlineStr">
        <is>
          <t>2026-09-30</t>
        </is>
      </c>
      <c r="L570" s="71" t="n"/>
      <c r="M570" s="27" t="inlineStr">
        <is>
          <t>Min. qty 8</t>
        </is>
      </c>
      <c r="N570" s="28" t="inlineStr">
        <is>
          <t>https://www.gastro-hero.at/products/schneider-pp-gn-13-deckel-einrastend-530025</t>
        </is>
      </c>
      <c r="O570" s="27" t="inlineStr">
        <is>
          <t>Schneider</t>
        </is>
      </c>
      <c r="P570" s="27" t="inlineStr">
        <is>
          <t>excl.</t>
        </is>
      </c>
      <c r="Q570" s="104" t="n"/>
      <c r="R570" s="27" t="n">
        <v>1</v>
      </c>
      <c r="S570" s="27" t="n"/>
      <c r="T570" s="27" t="inlineStr">
        <is>
          <t>EXACT</t>
        </is>
      </c>
      <c r="U570" s="27" t="inlineStr">
        <is>
          <t>Additional Austria/Czechia benchmark. Original assignment and match quality retained.</t>
        </is>
      </c>
      <c r="V570" s="102" t="n">
        <v>5.59</v>
      </c>
      <c r="W570" s="102" t="n"/>
      <c r="X570" s="27" t="inlineStr">
        <is>
          <t>research_AT.xlsx</t>
        </is>
      </c>
      <c r="Y570" s="27" t="n"/>
      <c r="Z570" s="27" t="n"/>
      <c r="AA570" s="27" t="n"/>
      <c r="AB570" s="27" t="inlineStr">
        <is>
          <t>EUR</t>
        </is>
      </c>
      <c r="AC570" s="27" t="inlineStr">
        <is>
          <t>yes</t>
        </is>
      </c>
      <c r="AD570" s="27">
        <f>IF(ISNUMBER(V570),V570,"")</f>
        <v/>
      </c>
      <c r="AE570" s="27">
        <f>IF(AND(AC570="yes",ISNUMBER(F570),IF('Compare'!$H$5="All mapped",TRUE,IF('Compare'!$H$5="EXACT only",J570="EXACT",OR(J570="EXACT",J570="CLOSE")))),"yes","no")</f>
        <v/>
      </c>
      <c r="AF570" s="27">
        <f>IF(ISNUMBER(H570),COUNTIFS($B$7:$B$608,B570,$C$7:$C$608,C570,$H$7:$H$608,"&lt;"&amp;H570,$AH$7:$AH$608,"yes")+COUNTIFS($B$7:B570,B570,$C$7:C570,C570,$H$7:H570,H570,$AH$7:AH570,"yes"),"")</f>
        <v/>
      </c>
      <c r="AG570" s="27">
        <f>IF(ISNUMBER(I570),COUNTIFS($B$7:$B$608,B570,$C$7:$C$608,C570,$I$7:$I$608,"&lt;"&amp;I570,$AI$7:$AI$608,"yes")+COUNTIFS($B$7:B570,B570,$C$7:C570,C570,$I$7:I570,I570,$AI$7:AI570,"yes"),"")</f>
        <v/>
      </c>
      <c r="AH570" s="27">
        <f>IF(ISNUMBER(H570),"yes","no")</f>
        <v/>
      </c>
      <c r="AI570" s="27">
        <f>IF(ISNUMBER(I570),"yes","no")</f>
        <v/>
      </c>
      <c r="AJ570" s="105" t="n">
        <v>46295</v>
      </c>
      <c r="AK570" s="27" t="n"/>
    </row>
    <row r="571" ht="42" customHeight="1">
      <c r="A571" s="2" t="n"/>
      <c r="B571" s="24" t="inlineStr">
        <is>
          <t>GN 1/3 PP lid</t>
        </is>
      </c>
      <c r="C571" s="24" t="inlineStr">
        <is>
          <t>Austria</t>
        </is>
      </c>
      <c r="D571" s="24" t="inlineStr">
        <is>
          <t>Gastrodax</t>
        </is>
      </c>
      <c r="E571" s="24" t="inlineStr">
        <is>
          <t>WAS GN 89 Deckel 1/3 Polypropylen</t>
        </is>
      </c>
      <c r="F571" s="98" t="n">
        <v>12</v>
      </c>
      <c r="G571" s="24" t="inlineStr">
        <is>
          <t>EUR</t>
        </is>
      </c>
      <c r="H571" s="98">
        <f>IF(AND(AE571="yes",ISNUMBER(AD571)),AD571,"")</f>
        <v/>
      </c>
      <c r="I571" s="99">
        <f>IF(AND(AE571="yes",ISNUMBER(AD571),ISNUMBER(INDEX('Sources'!$G$7:$G$10,MATCH(AB571,'Sources'!$B$7:$B$10,0)))),AD571/INDEX('Sources'!$G$7:$G$10,MATCH(AB571,'Sources'!$B$7:$B$10,0)),"")</f>
        <v/>
      </c>
      <c r="J571" s="24" t="inlineStr">
        <is>
          <t>EXACT</t>
        </is>
      </c>
      <c r="K571" s="24" t="inlineStr">
        <is>
          <t>2026-09-30</t>
        </is>
      </c>
      <c r="L571" s="71" t="n"/>
      <c r="M571" s="24" t="inlineStr">
        <is>
          <t>No pack size stated</t>
        </is>
      </c>
      <c r="N571" s="25" t="inlineStr">
        <is>
          <t>https://www.gastrodax.de/was-gn-89-deckel-1-3-polypropylen</t>
        </is>
      </c>
      <c r="O571" s="24" t="inlineStr">
        <is>
          <t>WAS Germany</t>
        </is>
      </c>
      <c r="P571" s="24" t="inlineStr">
        <is>
          <t>excl.</t>
        </is>
      </c>
      <c r="Q571" s="100" t="n"/>
      <c r="R571" s="24" t="n">
        <v>1</v>
      </c>
      <c r="S571" s="24" t="n"/>
      <c r="T571" s="24" t="inlineStr">
        <is>
          <t>EXACT</t>
        </is>
      </c>
      <c r="U571" s="24" t="inlineStr">
        <is>
          <t>Additional Austria/Czechia benchmark. Original assignment and match quality retained.</t>
        </is>
      </c>
      <c r="V571" s="98" t="n">
        <v>12</v>
      </c>
      <c r="W571" s="98" t="n"/>
      <c r="X571" s="24" t="inlineStr">
        <is>
          <t>research_AT.xlsx</t>
        </is>
      </c>
      <c r="Y571" s="24" t="n"/>
      <c r="Z571" s="24" t="n"/>
      <c r="AA571" s="24" t="n"/>
      <c r="AB571" s="24" t="inlineStr">
        <is>
          <t>EUR</t>
        </is>
      </c>
      <c r="AC571" s="24" t="inlineStr">
        <is>
          <t>yes</t>
        </is>
      </c>
      <c r="AD571" s="24">
        <f>IF(ISNUMBER(V571),V571,"")</f>
        <v/>
      </c>
      <c r="AE571" s="24">
        <f>IF(AND(AC571="yes",ISNUMBER(F571),IF('Compare'!$H$5="All mapped",TRUE,IF('Compare'!$H$5="EXACT only",J571="EXACT",OR(J571="EXACT",J571="CLOSE")))),"yes","no")</f>
        <v/>
      </c>
      <c r="AF571" s="24">
        <f>IF(ISNUMBER(H571),COUNTIFS($B$7:$B$608,B571,$C$7:$C$608,C571,$H$7:$H$608,"&lt;"&amp;H571,$AH$7:$AH$608,"yes")+COUNTIFS($B$7:B571,B571,$C$7:C571,C571,$H$7:H571,H571,$AH$7:AH571,"yes"),"")</f>
        <v/>
      </c>
      <c r="AG571" s="24">
        <f>IF(ISNUMBER(I571),COUNTIFS($B$7:$B$608,B571,$C$7:$C$608,C571,$I$7:$I$608,"&lt;"&amp;I571,$AI$7:$AI$608,"yes")+COUNTIFS($B$7:B571,B571,$C$7:C571,C571,$I$7:I571,I571,$AI$7:AI571,"yes"),"")</f>
        <v/>
      </c>
      <c r="AH571" s="24">
        <f>IF(ISNUMBER(H571),"yes","no")</f>
        <v/>
      </c>
      <c r="AI571" s="24">
        <f>IF(ISNUMBER(I571),"yes","no")</f>
        <v/>
      </c>
      <c r="AJ571" s="101" t="n">
        <v>46295</v>
      </c>
      <c r="AK571" s="24" t="n"/>
    </row>
    <row r="572" ht="42" customHeight="1">
      <c r="A572" s="2" t="n"/>
      <c r="B572" s="27" t="inlineStr">
        <is>
          <t>GN 1/3 PP lid</t>
        </is>
      </c>
      <c r="C572" s="27" t="inlineStr">
        <is>
          <t>Austria</t>
        </is>
      </c>
      <c r="D572" s="27" t="inlineStr">
        <is>
          <t>Gastroladen.at (Harotec GmbH)</t>
        </is>
      </c>
      <c r="E572" s="27" t="inlineStr">
        <is>
          <t>Cambro biegsamer Polypropylen Deckel GN 1/3</t>
        </is>
      </c>
      <c r="F572" s="102" t="n">
        <v>5.59</v>
      </c>
      <c r="G572" s="27" t="inlineStr">
        <is>
          <t>EUR</t>
        </is>
      </c>
      <c r="H572" s="102">
        <f>IF(AND(AE572="yes",ISNUMBER(AD572)),AD572,"")</f>
        <v/>
      </c>
      <c r="I572" s="103">
        <f>IF(AND(AE572="yes",ISNUMBER(AD572),ISNUMBER(INDEX('Sources'!$G$7:$G$10,MATCH(AB572,'Sources'!$B$7:$B$10,0)))),AD572/INDEX('Sources'!$G$7:$G$10,MATCH(AB572,'Sources'!$B$7:$B$10,0)),"")</f>
        <v/>
      </c>
      <c r="J572" s="27" t="inlineStr">
        <is>
          <t>EXACT</t>
        </is>
      </c>
      <c r="K572" s="27" t="inlineStr">
        <is>
          <t>2026-09-30</t>
        </is>
      </c>
      <c r="L572" s="71" t="n"/>
      <c r="M572" s="27" t="inlineStr">
        <is>
          <t>Flexible soft-seal PP lid</t>
        </is>
      </c>
      <c r="N572" s="28" t="inlineStr">
        <is>
          <t>https://www.gastroladen.at/3030@GN-DM714/Cambro-biegsamer-Polypropylen-Deckel-GN-1-3.htm</t>
        </is>
      </c>
      <c r="O572" s="27" t="inlineStr">
        <is>
          <t>Cambro</t>
        </is>
      </c>
      <c r="P572" s="27" t="inlineStr">
        <is>
          <t>incl.</t>
        </is>
      </c>
      <c r="Q572" s="104" t="n"/>
      <c r="R572" s="27" t="n">
        <v>1</v>
      </c>
      <c r="S572" s="27" t="n"/>
      <c r="T572" s="27" t="inlineStr">
        <is>
          <t>EXACT</t>
        </is>
      </c>
      <c r="U572" s="27" t="inlineStr">
        <is>
          <t>Additional Austria/Czechia benchmark. Original assignment and match quality retained.</t>
        </is>
      </c>
      <c r="V572" s="102" t="n">
        <v>4.66</v>
      </c>
      <c r="W572" s="102" t="n"/>
      <c r="X572" s="27" t="inlineStr">
        <is>
          <t>research_AT.xlsx</t>
        </is>
      </c>
      <c r="Y572" s="27" t="n"/>
      <c r="Z572" s="27" t="n"/>
      <c r="AA572" s="27" t="n"/>
      <c r="AB572" s="27" t="inlineStr">
        <is>
          <t>EUR</t>
        </is>
      </c>
      <c r="AC572" s="27" t="inlineStr">
        <is>
          <t>yes</t>
        </is>
      </c>
      <c r="AD572" s="27">
        <f>IF(ISNUMBER(V572),V572,"")</f>
        <v/>
      </c>
      <c r="AE572" s="27">
        <f>IF(AND(AC572="yes",ISNUMBER(F572),IF('Compare'!$H$5="All mapped",TRUE,IF('Compare'!$H$5="EXACT only",J572="EXACT",OR(J572="EXACT",J572="CLOSE")))),"yes","no")</f>
        <v/>
      </c>
      <c r="AF572" s="27">
        <f>IF(ISNUMBER(H572),COUNTIFS($B$7:$B$608,B572,$C$7:$C$608,C572,$H$7:$H$608,"&lt;"&amp;H572,$AH$7:$AH$608,"yes")+COUNTIFS($B$7:B572,B572,$C$7:C572,C572,$H$7:H572,H572,$AH$7:AH572,"yes"),"")</f>
        <v/>
      </c>
      <c r="AG572" s="27">
        <f>IF(ISNUMBER(I572),COUNTIFS($B$7:$B$608,B572,$C$7:$C$608,C572,$I$7:$I$608,"&lt;"&amp;I572,$AI$7:$AI$608,"yes")+COUNTIFS($B$7:B572,B572,$C$7:C572,C572,$I$7:I572,I572,$AI$7:AI572,"yes"),"")</f>
        <v/>
      </c>
      <c r="AH572" s="27">
        <f>IF(ISNUMBER(H572),"yes","no")</f>
        <v/>
      </c>
      <c r="AI572" s="27">
        <f>IF(ISNUMBER(I572),"yes","no")</f>
        <v/>
      </c>
      <c r="AJ572" s="105" t="n">
        <v>46295</v>
      </c>
      <c r="AK572" s="27" t="n"/>
    </row>
    <row r="573" ht="42" customHeight="1">
      <c r="A573" s="2" t="n"/>
      <c r="B573" s="24" t="inlineStr">
        <is>
          <t>GN 1/3 PP lid</t>
        </is>
      </c>
      <c r="C573" s="24" t="inlineStr">
        <is>
          <t>Austria</t>
        </is>
      </c>
      <c r="D573" s="24" t="inlineStr">
        <is>
          <t>Intergastro (AT shop)</t>
        </is>
      </c>
      <c r="E573" s="24" t="inlineStr">
        <is>
          <t>GN Deckel GN 89 GN 1/3 weiß (Polypropylen)</t>
        </is>
      </c>
      <c r="F573" s="98" t="n">
        <v>2.97</v>
      </c>
      <c r="G573" s="24" t="inlineStr">
        <is>
          <t>EUR</t>
        </is>
      </c>
      <c r="H573" s="98">
        <f>IF(AND(AE573="yes",ISNUMBER(AD573)),AD573,"")</f>
        <v/>
      </c>
      <c r="I573" s="99">
        <f>IF(AND(AE573="yes",ISNUMBER(AD573),ISNUMBER(INDEX('Sources'!$G$7:$G$10,MATCH(AB573,'Sources'!$B$7:$B$10,0)))),AD573/INDEX('Sources'!$G$7:$G$10,MATCH(AB573,'Sources'!$B$7:$B$10,0)),"")</f>
        <v/>
      </c>
      <c r="J573" s="24" t="inlineStr">
        <is>
          <t>EXACT</t>
        </is>
      </c>
      <c r="K573" s="24" t="inlineStr">
        <is>
          <t>2026-09-30</t>
        </is>
      </c>
      <c r="L573" s="71" t="n"/>
      <c r="M573" s="24" t="inlineStr">
        <is>
          <t>GN 89 series is PP (GN 1/1 lid of same series labelled Polypropylen). GN 84 GN 1/3 lid 2.02 (material not stated)</t>
        </is>
      </c>
      <c r="N573" s="25" t="inlineStr">
        <is>
          <t>https://www.intergastro.at/gn-deckel-gn-89-gn-1-3-weiss-252566</t>
        </is>
      </c>
      <c r="O573" s="24" t="inlineStr">
        <is>
          <t>WAS Germany</t>
        </is>
      </c>
      <c r="P573" s="24" t="inlineStr">
        <is>
          <t>excl.</t>
        </is>
      </c>
      <c r="Q573" s="100" t="n"/>
      <c r="R573" s="24" t="n">
        <v>1</v>
      </c>
      <c r="S573" s="24" t="n"/>
      <c r="T573" s="24" t="inlineStr">
        <is>
          <t>EXACT</t>
        </is>
      </c>
      <c r="U573" s="24" t="inlineStr">
        <is>
          <t>Additional Austria/Czechia benchmark. Original assignment and match quality retained.</t>
        </is>
      </c>
      <c r="V573" s="98" t="n">
        <v>2.97</v>
      </c>
      <c r="W573" s="98" t="n"/>
      <c r="X573" s="24" t="inlineStr">
        <is>
          <t>research_AT.xlsx</t>
        </is>
      </c>
      <c r="Y573" s="24" t="n"/>
      <c r="Z573" s="24" t="n"/>
      <c r="AA573" s="24" t="n"/>
      <c r="AB573" s="24" t="inlineStr">
        <is>
          <t>EUR</t>
        </is>
      </c>
      <c r="AC573" s="24" t="inlineStr">
        <is>
          <t>yes</t>
        </is>
      </c>
      <c r="AD573" s="24">
        <f>IF(ISNUMBER(V573),V573,"")</f>
        <v/>
      </c>
      <c r="AE573" s="24">
        <f>IF(AND(AC573="yes",ISNUMBER(F573),IF('Compare'!$H$5="All mapped",TRUE,IF('Compare'!$H$5="EXACT only",J573="EXACT",OR(J573="EXACT",J573="CLOSE")))),"yes","no")</f>
        <v/>
      </c>
      <c r="AF573" s="24">
        <f>IF(ISNUMBER(H573),COUNTIFS($B$7:$B$608,B573,$C$7:$C$608,C573,$H$7:$H$608,"&lt;"&amp;H573,$AH$7:$AH$608,"yes")+COUNTIFS($B$7:B573,B573,$C$7:C573,C573,$H$7:H573,H573,$AH$7:AH573,"yes"),"")</f>
        <v/>
      </c>
      <c r="AG573" s="24">
        <f>IF(ISNUMBER(I573),COUNTIFS($B$7:$B$608,B573,$C$7:$C$608,C573,$I$7:$I$608,"&lt;"&amp;I573,$AI$7:$AI$608,"yes")+COUNTIFS($B$7:B573,B573,$C$7:C573,C573,$I$7:I573,I573,$AI$7:AI573,"yes"),"")</f>
        <v/>
      </c>
      <c r="AH573" s="24">
        <f>IF(ISNUMBER(H573),"yes","no")</f>
        <v/>
      </c>
      <c r="AI573" s="24">
        <f>IF(ISNUMBER(I573),"yes","no")</f>
        <v/>
      </c>
      <c r="AJ573" s="101" t="n">
        <v>46295</v>
      </c>
      <c r="AK573" s="24" t="n"/>
    </row>
    <row r="574" ht="42" customHeight="1">
      <c r="A574" s="2" t="n"/>
      <c r="B574" s="27" t="inlineStr">
        <is>
          <t>GN 1/3 PP lid</t>
        </is>
      </c>
      <c r="C574" s="27" t="inlineStr">
        <is>
          <t>Austria</t>
        </is>
      </c>
      <c r="D574" s="27" t="inlineStr">
        <is>
          <t>Jungheinrich PROFISHOP Austria</t>
        </is>
      </c>
      <c r="E574" s="27" t="inlineStr">
        <is>
          <t>Stalgast GN-Deckel, Polypropylen, für GN 1/3 Behälter</t>
        </is>
      </c>
      <c r="F574" s="102" t="n">
        <v>12.7</v>
      </c>
      <c r="G574" s="27" t="inlineStr">
        <is>
          <t>EUR</t>
        </is>
      </c>
      <c r="H574" s="102">
        <f>IF(AND(AE574="yes",ISNUMBER(AD574)),AD574,"")</f>
        <v/>
      </c>
      <c r="I574" s="103">
        <f>IF(AND(AE574="yes",ISNUMBER(AD574),ISNUMBER(INDEX('Sources'!$G$7:$G$10,MATCH(AB574,'Sources'!$B$7:$B$10,0)))),AD574/INDEX('Sources'!$G$7:$G$10,MATCH(AB574,'Sources'!$B$7:$B$10,0)),"")</f>
        <v/>
      </c>
      <c r="J574" s="27" t="inlineStr">
        <is>
          <t>EXACT</t>
        </is>
      </c>
      <c r="K574" s="27" t="inlineStr">
        <is>
          <t>2026-09-30</t>
        </is>
      </c>
      <c r="L574" s="71" t="n"/>
      <c r="M574" s="27" t="n"/>
      <c r="N574" s="28" t="inlineStr">
        <is>
          <t>https://www.jh-profishop.at/p/stalgast-gn-deckel-polypropylen-fuer-gn-1-3-behaelter-928338-347853/</t>
        </is>
      </c>
      <c r="O574" s="27" t="inlineStr">
        <is>
          <t>Stalgast</t>
        </is>
      </c>
      <c r="P574" s="27" t="inlineStr">
        <is>
          <t>excl.</t>
        </is>
      </c>
      <c r="Q574" s="104" t="n"/>
      <c r="R574" s="27" t="n">
        <v>1</v>
      </c>
      <c r="S574" s="27" t="n"/>
      <c r="T574" s="27" t="inlineStr">
        <is>
          <t>EXACT</t>
        </is>
      </c>
      <c r="U574" s="27" t="inlineStr">
        <is>
          <t>Additional Austria/Czechia benchmark. Original assignment and match quality retained.</t>
        </is>
      </c>
      <c r="V574" s="102" t="n">
        <v>12.7</v>
      </c>
      <c r="W574" s="102" t="n"/>
      <c r="X574" s="27" t="inlineStr">
        <is>
          <t>research_AT.xlsx</t>
        </is>
      </c>
      <c r="Y574" s="27" t="n"/>
      <c r="Z574" s="27" t="n"/>
      <c r="AA574" s="27" t="n"/>
      <c r="AB574" s="27" t="inlineStr">
        <is>
          <t>EUR</t>
        </is>
      </c>
      <c r="AC574" s="27" t="inlineStr">
        <is>
          <t>yes</t>
        </is>
      </c>
      <c r="AD574" s="27">
        <f>IF(ISNUMBER(V574),V574,"")</f>
        <v/>
      </c>
      <c r="AE574" s="27">
        <f>IF(AND(AC574="yes",ISNUMBER(F574),IF('Compare'!$H$5="All mapped",TRUE,IF('Compare'!$H$5="EXACT only",J574="EXACT",OR(J574="EXACT",J574="CLOSE")))),"yes","no")</f>
        <v/>
      </c>
      <c r="AF574" s="27">
        <f>IF(ISNUMBER(H574),COUNTIFS($B$7:$B$608,B574,$C$7:$C$608,C574,$H$7:$H$608,"&lt;"&amp;H574,$AH$7:$AH$608,"yes")+COUNTIFS($B$7:B574,B574,$C$7:C574,C574,$H$7:H574,H574,$AH$7:AH574,"yes"),"")</f>
        <v/>
      </c>
      <c r="AG574" s="27">
        <f>IF(ISNUMBER(I574),COUNTIFS($B$7:$B$608,B574,$C$7:$C$608,C574,$I$7:$I$608,"&lt;"&amp;I574,$AI$7:$AI$608,"yes")+COUNTIFS($B$7:B574,B574,$C$7:C574,C574,$I$7:I574,I574,$AI$7:AI574,"yes"),"")</f>
        <v/>
      </c>
      <c r="AH574" s="27">
        <f>IF(ISNUMBER(H574),"yes","no")</f>
        <v/>
      </c>
      <c r="AI574" s="27">
        <f>IF(ISNUMBER(I574),"yes","no")</f>
        <v/>
      </c>
      <c r="AJ574" s="105" t="n">
        <v>46295</v>
      </c>
      <c r="AK574" s="27" t="n"/>
    </row>
    <row r="575" ht="42" customHeight="1">
      <c r="A575" s="2" t="n"/>
      <c r="B575" s="24" t="inlineStr">
        <is>
          <t>GN 1/3 PP lid</t>
        </is>
      </c>
      <c r="C575" s="24" t="inlineStr">
        <is>
          <t>Austria</t>
        </is>
      </c>
      <c r="D575" s="24" t="inlineStr">
        <is>
          <t>shopbuero.com</t>
        </is>
      </c>
      <c r="E575" s="24" t="inlineStr">
        <is>
          <t>GN-Deckel - einrastend - GN 1/3 (325 x 176 mm) - Polypropylen</t>
        </is>
      </c>
      <c r="F575" s="98" t="n">
        <v>2.3</v>
      </c>
      <c r="G575" s="24" t="inlineStr">
        <is>
          <t>EUR</t>
        </is>
      </c>
      <c r="H575" s="98">
        <f>IF(AND(AE575="yes",ISNUMBER(AD575)),AD575,"")</f>
        <v/>
      </c>
      <c r="I575" s="99">
        <f>IF(AND(AE575="yes",ISNUMBER(AD575),ISNUMBER(INDEX('Sources'!$G$7:$G$10,MATCH(AB575,'Sources'!$B$7:$B$10,0)))),AD575/INDEX('Sources'!$G$7:$G$10,MATCH(AB575,'Sources'!$B$7:$B$10,0)),"")</f>
        <v/>
      </c>
      <c r="J575" s="24" t="inlineStr">
        <is>
          <t>EXACT</t>
        </is>
      </c>
      <c r="K575" s="24" t="inlineStr">
        <is>
          <t>2026-09-30</t>
        </is>
      </c>
      <c r="L575" s="71" t="n"/>
      <c r="M575" s="24" t="inlineStr">
        <is>
          <t>Regular price 3.50</t>
        </is>
      </c>
      <c r="N575" s="25" t="inlineStr">
        <is>
          <t>https://shopbuero.com/gn-deckel-einrastend-gn-1-3-325-x-176-mm-polypropylen/530025-C</t>
        </is>
      </c>
      <c r="O575" s="24" t="inlineStr">
        <is>
          <t>Schneider</t>
        </is>
      </c>
      <c r="P575" s="24" t="inlineStr">
        <is>
          <t>excl.</t>
        </is>
      </c>
      <c r="Q575" s="100" t="n"/>
      <c r="R575" s="24" t="n">
        <v>1</v>
      </c>
      <c r="S575" s="24" t="n"/>
      <c r="T575" s="24" t="inlineStr">
        <is>
          <t>EXACT</t>
        </is>
      </c>
      <c r="U575" s="24" t="inlineStr">
        <is>
          <t>Additional Austria/Czechia benchmark. Original assignment and match quality retained.</t>
        </is>
      </c>
      <c r="V575" s="98" t="n">
        <v>2.3</v>
      </c>
      <c r="W575" s="98" t="n"/>
      <c r="X575" s="24" t="inlineStr">
        <is>
          <t>research_AT.xlsx</t>
        </is>
      </c>
      <c r="Y575" s="24" t="n"/>
      <c r="Z575" s="24" t="n"/>
      <c r="AA575" s="24" t="n"/>
      <c r="AB575" s="24" t="inlineStr">
        <is>
          <t>EUR</t>
        </is>
      </c>
      <c r="AC575" s="24" t="inlineStr">
        <is>
          <t>yes</t>
        </is>
      </c>
      <c r="AD575" s="24">
        <f>IF(ISNUMBER(V575),V575,"")</f>
        <v/>
      </c>
      <c r="AE575" s="24">
        <f>IF(AND(AC575="yes",ISNUMBER(F575),IF('Compare'!$H$5="All mapped",TRUE,IF('Compare'!$H$5="EXACT only",J575="EXACT",OR(J575="EXACT",J575="CLOSE")))),"yes","no")</f>
        <v/>
      </c>
      <c r="AF575" s="24">
        <f>IF(ISNUMBER(H575),COUNTIFS($B$7:$B$608,B575,$C$7:$C$608,C575,$H$7:$H$608,"&lt;"&amp;H575,$AH$7:$AH$608,"yes")+COUNTIFS($B$7:B575,B575,$C$7:C575,C575,$H$7:H575,H575,$AH$7:AH575,"yes"),"")</f>
        <v/>
      </c>
      <c r="AG575" s="24">
        <f>IF(ISNUMBER(I575),COUNTIFS($B$7:$B$608,B575,$C$7:$C$608,C575,$I$7:$I$608,"&lt;"&amp;I575,$AI$7:$AI$608,"yes")+COUNTIFS($B$7:B575,B575,$C$7:C575,C575,$I$7:I575,I575,$AI$7:AI575,"yes"),"")</f>
        <v/>
      </c>
      <c r="AH575" s="24">
        <f>IF(ISNUMBER(H575),"yes","no")</f>
        <v/>
      </c>
      <c r="AI575" s="24">
        <f>IF(ISNUMBER(I575),"yes","no")</f>
        <v/>
      </c>
      <c r="AJ575" s="101" t="n">
        <v>46295</v>
      </c>
      <c r="AK575" s="24" t="n"/>
    </row>
    <row r="576" ht="42" customHeight="1">
      <c r="A576" s="2" t="n"/>
      <c r="B576" s="27" t="inlineStr">
        <is>
          <t>GN 1/3 PP lid</t>
        </is>
      </c>
      <c r="C576" s="27" t="inlineStr">
        <is>
          <t>Czech</t>
        </is>
      </c>
      <c r="D576" s="27" t="inlineStr">
        <is>
          <t>GGM Gastro (CZ storefront)</t>
        </is>
      </c>
      <c r="E576" s="27" t="inlineStr">
        <is>
          <t>(6 kusů) CAMBRO CAMWEAR polypropylenový GN kryt 1/3 - vzduchotěsný - mléčný</t>
        </is>
      </c>
      <c r="F576" s="102" t="n">
        <v>437.86</v>
      </c>
      <c r="G576" s="27" t="inlineStr">
        <is>
          <t>CZK</t>
        </is>
      </c>
      <c r="H576" s="102">
        <f>IF(AND(AE576="yes",ISNUMBER(AD576)),AD576,"")</f>
        <v/>
      </c>
      <c r="I576" s="103">
        <f>IF(AND(AE576="yes",ISNUMBER(AD576),ISNUMBER(INDEX('Sources'!$G$7:$G$10,MATCH(AB576,'Sources'!$B$7:$B$10,0)))),AD576/INDEX('Sources'!$G$7:$G$10,MATCH(AB576,'Sources'!$B$7:$B$10,0)),"")</f>
        <v/>
      </c>
      <c r="J576" s="27" t="inlineStr">
        <is>
          <t>EXACT</t>
        </is>
      </c>
      <c r="K576" s="27" t="inlineStr">
        <is>
          <t>2026-09-30</t>
        </is>
      </c>
      <c r="L576" s="71" t="n"/>
      <c r="M576" s="27" t="inlineStr">
        <is>
          <t>Airtight PP lid</t>
        </is>
      </c>
      <c r="N576" s="28" t="inlineStr">
        <is>
          <t>https://www.ggmgastro.com/cs-cz-czk/6-kusu-cambro-camwear-r-polypropylenovy-gn-kryt-1-3-vzduchotesny-mlecny-30ppcwsc190</t>
        </is>
      </c>
      <c r="O576" s="27" t="inlineStr">
        <is>
          <t>Cambro</t>
        </is>
      </c>
      <c r="P576" s="27" t="inlineStr">
        <is>
          <t>excl.</t>
        </is>
      </c>
      <c r="Q576" s="104" t="n">
        <v>0.19</v>
      </c>
      <c r="R576" s="27" t="n">
        <v>6</v>
      </c>
      <c r="S576" s="27" t="inlineStr">
        <is>
          <t>per pack</t>
        </is>
      </c>
      <c r="T576" s="27" t="inlineStr">
        <is>
          <t>EXACT</t>
        </is>
      </c>
      <c r="U576" s="27" t="inlineStr">
        <is>
          <t>Additional Austria/Czechia benchmark. Original assignment and match quality retained.</t>
        </is>
      </c>
      <c r="V576" s="102" t="n"/>
      <c r="W576" s="102" t="n"/>
      <c r="X576" s="27" t="inlineStr">
        <is>
          <t>research_CZ.xlsx</t>
        </is>
      </c>
      <c r="Y576" s="27" t="n"/>
      <c r="Z576" s="27" t="n"/>
      <c r="AA576" s="27" t="n"/>
      <c r="AB576" s="27" t="inlineStr">
        <is>
          <t>CZK</t>
        </is>
      </c>
      <c r="AC576" s="27" t="inlineStr">
        <is>
          <t>yes</t>
        </is>
      </c>
      <c r="AD576" s="27">
        <f>IF(OR(F576="",Q576="",R576=""),"",ROUND(IF(P576="incl.",F576/(1+Q576),F576)/IF(S576="per pack",R576,1),2))</f>
        <v/>
      </c>
      <c r="AE576" s="27">
        <f>IF(AND(AC576="yes",ISNUMBER(F576),IF('Compare'!$H$5="All mapped",TRUE,IF('Compare'!$H$5="EXACT only",J576="EXACT",OR(J576="EXACT",J576="CLOSE")))),"yes","no")</f>
        <v/>
      </c>
      <c r="AF576" s="27">
        <f>IF(ISNUMBER(H576),COUNTIFS($B$7:$B$608,B576,$C$7:$C$608,C576,$H$7:$H$608,"&lt;"&amp;H576,$AH$7:$AH$608,"yes")+COUNTIFS($B$7:B576,B576,$C$7:C576,C576,$H$7:H576,H576,$AH$7:AH576,"yes"),"")</f>
        <v/>
      </c>
      <c r="AG576" s="27">
        <f>IF(ISNUMBER(I576),COUNTIFS($B$7:$B$608,B576,$C$7:$C$608,C576,$I$7:$I$608,"&lt;"&amp;I576,$AI$7:$AI$608,"yes")+COUNTIFS($B$7:B576,B576,$C$7:C576,C576,$I$7:I576,I576,$AI$7:AI576,"yes"),"")</f>
        <v/>
      </c>
      <c r="AH576" s="27">
        <f>IF(ISNUMBER(H576),"yes","no")</f>
        <v/>
      </c>
      <c r="AI576" s="27">
        <f>IF(ISNUMBER(I576),"yes","no")</f>
        <v/>
      </c>
      <c r="AJ576" s="105" t="n">
        <v>46295</v>
      </c>
      <c r="AK576" s="27" t="n"/>
    </row>
    <row r="577" ht="42" customHeight="1">
      <c r="A577" s="2" t="n"/>
      <c r="B577" s="24" t="inlineStr">
        <is>
          <t>GN 1/3 PP lid</t>
        </is>
      </c>
      <c r="C577" s="24" t="inlineStr">
        <is>
          <t>Czech</t>
        </is>
      </c>
      <c r="D577" s="24" t="inlineStr">
        <is>
          <t>Gastro Novotný</t>
        </is>
      </c>
      <c r="E577" s="24" t="inlineStr">
        <is>
          <t>Víko GN polypropylen 1/3 čiré</t>
        </is>
      </c>
      <c r="F577" s="98" t="n">
        <v>60</v>
      </c>
      <c r="G577" s="24" t="inlineStr">
        <is>
          <t>CZK</t>
        </is>
      </c>
      <c r="H577" s="98">
        <f>IF(AND(AE577="yes",ISNUMBER(AD577)),AD577,"")</f>
        <v/>
      </c>
      <c r="I577" s="99">
        <f>IF(AND(AE577="yes",ISNUMBER(AD577),ISNUMBER(INDEX('Sources'!$G$7:$G$10,MATCH(AB577,'Sources'!$B$7:$B$10,0)))),AD577/INDEX('Sources'!$G$7:$G$10,MATCH(AB577,'Sources'!$B$7:$B$10,0)),"")</f>
        <v/>
      </c>
      <c r="J577" s="24" t="inlineStr">
        <is>
          <t>EXACT</t>
        </is>
      </c>
      <c r="K577" s="24" t="inlineStr">
        <is>
          <t>2026-09-30</t>
        </is>
      </c>
      <c r="L577" s="71" t="n"/>
      <c r="M577" s="24" t="inlineStr">
        <is>
          <t>Code 1814727-99; PP lid, also in red/blue/green/yellow at the same price; 72.60 CZK incl. VAT</t>
        </is>
      </c>
      <c r="N577" s="25" t="inlineStr">
        <is>
          <t>https://eshop.gastronovotny.cz/viko-gn-polypropylen-1-3-cire/</t>
        </is>
      </c>
      <c r="O577" s="24" t="n"/>
      <c r="P577" s="24" t="inlineStr">
        <is>
          <t>excl.</t>
        </is>
      </c>
      <c r="Q577" s="100" t="n">
        <v>0.21</v>
      </c>
      <c r="R577" s="24" t="n">
        <v>1</v>
      </c>
      <c r="S577" s="24" t="inlineStr">
        <is>
          <t>per piece</t>
        </is>
      </c>
      <c r="T577" s="24" t="inlineStr">
        <is>
          <t>EXACT</t>
        </is>
      </c>
      <c r="U577" s="24" t="inlineStr">
        <is>
          <t>Additional Austria/Czechia benchmark. Original assignment and match quality retained.</t>
        </is>
      </c>
      <c r="V577" s="98" t="n"/>
      <c r="W577" s="98" t="n"/>
      <c r="X577" s="24" t="inlineStr">
        <is>
          <t>research_CZ.xlsx</t>
        </is>
      </c>
      <c r="Y577" s="24" t="n"/>
      <c r="Z577" s="24" t="n"/>
      <c r="AA577" s="24" t="n"/>
      <c r="AB577" s="24" t="inlineStr">
        <is>
          <t>CZK</t>
        </is>
      </c>
      <c r="AC577" s="24" t="inlineStr">
        <is>
          <t>yes</t>
        </is>
      </c>
      <c r="AD577" s="24">
        <f>IF(OR(F577="",Q577="",R577=""),"",ROUND(IF(P577="incl.",F577/(1+Q577),F577)/IF(S577="per pack",R577,1),2))</f>
        <v/>
      </c>
      <c r="AE577" s="24">
        <f>IF(AND(AC577="yes",ISNUMBER(F577),IF('Compare'!$H$5="All mapped",TRUE,IF('Compare'!$H$5="EXACT only",J577="EXACT",OR(J577="EXACT",J577="CLOSE")))),"yes","no")</f>
        <v/>
      </c>
      <c r="AF577" s="24">
        <f>IF(ISNUMBER(H577),COUNTIFS($B$7:$B$608,B577,$C$7:$C$608,C577,$H$7:$H$608,"&lt;"&amp;H577,$AH$7:$AH$608,"yes")+COUNTIFS($B$7:B577,B577,$C$7:C577,C577,$H$7:H577,H577,$AH$7:AH577,"yes"),"")</f>
        <v/>
      </c>
      <c r="AG577" s="24">
        <f>IF(ISNUMBER(I577),COUNTIFS($B$7:$B$608,B577,$C$7:$C$608,C577,$I$7:$I$608,"&lt;"&amp;I577,$AI$7:$AI$608,"yes")+COUNTIFS($B$7:B577,B577,$C$7:C577,C577,$I$7:I577,I577,$AI$7:AI577,"yes"),"")</f>
        <v/>
      </c>
      <c r="AH577" s="24">
        <f>IF(ISNUMBER(H577),"yes","no")</f>
        <v/>
      </c>
      <c r="AI577" s="24">
        <f>IF(ISNUMBER(I577),"yes","no")</f>
        <v/>
      </c>
      <c r="AJ577" s="101" t="n">
        <v>46295</v>
      </c>
      <c r="AK577" s="24" t="n"/>
    </row>
    <row r="578" ht="42" customHeight="1">
      <c r="A578" s="2" t="n"/>
      <c r="B578" s="27" t="inlineStr">
        <is>
          <t>GN 1/3 PP lid</t>
        </is>
      </c>
      <c r="C578" s="27" t="inlineStr">
        <is>
          <t>Czech</t>
        </is>
      </c>
      <c r="D578" s="27" t="inlineStr">
        <is>
          <t>Gastromania</t>
        </is>
      </c>
      <c r="E578" s="27" t="inlineStr">
        <is>
          <t>Víko z polypropylenu pro nádoby, GN 1/3 | STALGAST, Bufet</t>
        </is>
      </c>
      <c r="F578" s="102" t="n">
        <v>57</v>
      </c>
      <c r="G578" s="27" t="inlineStr">
        <is>
          <t>CZK</t>
        </is>
      </c>
      <c r="H578" s="102">
        <f>IF(AND(AE578="yes",ISNUMBER(AD578)),AD578,"")</f>
        <v/>
      </c>
      <c r="I578" s="103">
        <f>IF(AND(AE578="yes",ISNUMBER(AD578),ISNUMBER(INDEX('Sources'!$G$7:$G$10,MATCH(AB578,'Sources'!$B$7:$B$10,0)))),AD578/INDEX('Sources'!$G$7:$G$10,MATCH(AB578,'Sources'!$B$7:$B$10,0)),"")</f>
        <v/>
      </c>
      <c r="J578" s="27" t="inlineStr">
        <is>
          <t>EXACT</t>
        </is>
      </c>
      <c r="K578" s="27" t="inlineStr">
        <is>
          <t>2026-09-30</t>
        </is>
      </c>
      <c r="L578" s="71" t="n"/>
      <c r="M578" s="27" t="inlineStr">
        <is>
          <t>APS 61, Redfox 71 CZK; price incl. 21% VAT as published in product data (current price, in stock)</t>
        </is>
      </c>
      <c r="N578" s="28" t="inlineStr">
        <is>
          <t>https://www.gastromania.cz/vika-gn-polypropylenove/viko-z-polypropylenu-pro-nadoby-gn-1-3-stalgast-bufet</t>
        </is>
      </c>
      <c r="O578" s="27" t="inlineStr">
        <is>
          <t>Stalgast</t>
        </is>
      </c>
      <c r="P578" s="27" t="inlineStr">
        <is>
          <t>incl.</t>
        </is>
      </c>
      <c r="Q578" s="104" t="n">
        <v>0.21</v>
      </c>
      <c r="R578" s="27" t="n">
        <v>1</v>
      </c>
      <c r="S578" s="27" t="inlineStr">
        <is>
          <t>per piece</t>
        </is>
      </c>
      <c r="T578" s="27" t="inlineStr">
        <is>
          <t>EXACT</t>
        </is>
      </c>
      <c r="U578" s="27" t="inlineStr">
        <is>
          <t>Additional Austria/Czechia benchmark. Original assignment and match quality retained.</t>
        </is>
      </c>
      <c r="V578" s="102" t="n"/>
      <c r="W578" s="102" t="n"/>
      <c r="X578" s="27" t="inlineStr">
        <is>
          <t>research_CZ.xlsx</t>
        </is>
      </c>
      <c r="Y578" s="27" t="n"/>
      <c r="Z578" s="27" t="n"/>
      <c r="AA578" s="27" t="n"/>
      <c r="AB578" s="27" t="inlineStr">
        <is>
          <t>CZK</t>
        </is>
      </c>
      <c r="AC578" s="27" t="inlineStr">
        <is>
          <t>yes</t>
        </is>
      </c>
      <c r="AD578" s="27">
        <f>IF(OR(F578="",Q578="",R578=""),"",ROUND(IF(P578="incl.",F578/(1+Q578),F578)/IF(S578="per pack",R578,1),2))</f>
        <v/>
      </c>
      <c r="AE578" s="27">
        <f>IF(AND(AC578="yes",ISNUMBER(F578),IF('Compare'!$H$5="All mapped",TRUE,IF('Compare'!$H$5="EXACT only",J578="EXACT",OR(J578="EXACT",J578="CLOSE")))),"yes","no")</f>
        <v/>
      </c>
      <c r="AF578" s="27">
        <f>IF(ISNUMBER(H578),COUNTIFS($B$7:$B$608,B578,$C$7:$C$608,C578,$H$7:$H$608,"&lt;"&amp;H578,$AH$7:$AH$608,"yes")+COUNTIFS($B$7:B578,B578,$C$7:C578,C578,$H$7:H578,H578,$AH$7:AH578,"yes"),"")</f>
        <v/>
      </c>
      <c r="AG578" s="27">
        <f>IF(ISNUMBER(I578),COUNTIFS($B$7:$B$608,B578,$C$7:$C$608,C578,$I$7:$I$608,"&lt;"&amp;I578,$AI$7:$AI$608,"yes")+COUNTIFS($B$7:B578,B578,$C$7:C578,C578,$I$7:I578,I578,$AI$7:AI578,"yes"),"")</f>
        <v/>
      </c>
      <c r="AH578" s="27">
        <f>IF(ISNUMBER(H578),"yes","no")</f>
        <v/>
      </c>
      <c r="AI578" s="27">
        <f>IF(ISNUMBER(I578),"yes","no")</f>
        <v/>
      </c>
      <c r="AJ578" s="105" t="n">
        <v>46295</v>
      </c>
      <c r="AK578" s="27" t="n"/>
    </row>
    <row r="579" ht="42" customHeight="1">
      <c r="A579" s="2" t="n"/>
      <c r="B579" s="24" t="inlineStr">
        <is>
          <t>GN 1/3 PP lid</t>
        </is>
      </c>
      <c r="C579" s="24" t="inlineStr">
        <is>
          <t>Czech</t>
        </is>
      </c>
      <c r="D579" s="24" t="inlineStr">
        <is>
          <t>Gastrozone</t>
        </is>
      </c>
      <c r="E579" s="24" t="inlineStr">
        <is>
          <t>víko na gastro nádobu GN 1/3 polypropylen Pujadas</t>
        </is>
      </c>
      <c r="F579" s="98" t="n">
        <v>181</v>
      </c>
      <c r="G579" s="24" t="inlineStr">
        <is>
          <t>CZK</t>
        </is>
      </c>
      <c r="H579" s="98">
        <f>IF(AND(AE579="yes",ISNUMBER(AD579)),AD579,"")</f>
        <v/>
      </c>
      <c r="I579" s="99">
        <f>IF(AND(AE579="yes",ISNUMBER(AD579),ISNUMBER(INDEX('Sources'!$G$7:$G$10,MATCH(AB579,'Sources'!$B$7:$B$10,0)))),AD579/INDEX('Sources'!$G$7:$G$10,MATCH(AB579,'Sources'!$B$7:$B$10,0)),"")</f>
        <v/>
      </c>
      <c r="J579" s="24" t="inlineStr">
        <is>
          <t>EXACT</t>
        </is>
      </c>
      <c r="K579" s="24" t="inlineStr">
        <is>
          <t>2026-09-30</t>
        </is>
      </c>
      <c r="L579" s="71" t="n"/>
      <c r="M579" s="24" t="inlineStr">
        <is>
          <t>149.59 CZK bez DPH; plain PP lid; Araven hermetic PP lid 216 CZK</t>
        </is>
      </c>
      <c r="N579" s="25" t="inlineStr">
        <is>
          <t>https://www.gastrozone.cz/viko-na-gastro-nadobu-gn-1-3-polypropylen-pujadas.html</t>
        </is>
      </c>
      <c r="O579" s="24" t="inlineStr">
        <is>
          <t>Pujadas</t>
        </is>
      </c>
      <c r="P579" s="24" t="inlineStr">
        <is>
          <t>incl.</t>
        </is>
      </c>
      <c r="Q579" s="100" t="n">
        <v>0.21</v>
      </c>
      <c r="R579" s="24" t="n">
        <v>1</v>
      </c>
      <c r="S579" s="24" t="inlineStr">
        <is>
          <t>per piece</t>
        </is>
      </c>
      <c r="T579" s="24" t="inlineStr">
        <is>
          <t>EXACT</t>
        </is>
      </c>
      <c r="U579" s="24" t="inlineStr">
        <is>
          <t>Additional Austria/Czechia benchmark. Original assignment and match quality retained.</t>
        </is>
      </c>
      <c r="V579" s="98" t="n"/>
      <c r="W579" s="98" t="n"/>
      <c r="X579" s="24" t="inlineStr">
        <is>
          <t>research_CZ.xlsx</t>
        </is>
      </c>
      <c r="Y579" s="24" t="n"/>
      <c r="Z579" s="24" t="n"/>
      <c r="AA579" s="24" t="n"/>
      <c r="AB579" s="24" t="inlineStr">
        <is>
          <t>CZK</t>
        </is>
      </c>
      <c r="AC579" s="24" t="inlineStr">
        <is>
          <t>yes</t>
        </is>
      </c>
      <c r="AD579" s="24">
        <f>IF(OR(F579="",Q579="",R579=""),"",ROUND(IF(P579="incl.",F579/(1+Q579),F579)/IF(S579="per pack",R579,1),2))</f>
        <v/>
      </c>
      <c r="AE579" s="24">
        <f>IF(AND(AC579="yes",ISNUMBER(F579),IF('Compare'!$H$5="All mapped",TRUE,IF('Compare'!$H$5="EXACT only",J579="EXACT",OR(J579="EXACT",J579="CLOSE")))),"yes","no")</f>
        <v/>
      </c>
      <c r="AF579" s="24">
        <f>IF(ISNUMBER(H579),COUNTIFS($B$7:$B$608,B579,$C$7:$C$608,C579,$H$7:$H$608,"&lt;"&amp;H579,$AH$7:$AH$608,"yes")+COUNTIFS($B$7:B579,B579,$C$7:C579,C579,$H$7:H579,H579,$AH$7:AH579,"yes"),"")</f>
        <v/>
      </c>
      <c r="AG579" s="24">
        <f>IF(ISNUMBER(I579),COUNTIFS($B$7:$B$608,B579,$C$7:$C$608,C579,$I$7:$I$608,"&lt;"&amp;I579,$AI$7:$AI$608,"yes")+COUNTIFS($B$7:B579,B579,$C$7:C579,C579,$I$7:I579,I579,$AI$7:AI579,"yes"),"")</f>
        <v/>
      </c>
      <c r="AH579" s="24">
        <f>IF(ISNUMBER(H579),"yes","no")</f>
        <v/>
      </c>
      <c r="AI579" s="24">
        <f>IF(ISNUMBER(I579),"yes","no")</f>
        <v/>
      </c>
      <c r="AJ579" s="101" t="n">
        <v>46295</v>
      </c>
      <c r="AK579" s="24" t="n"/>
    </row>
    <row r="580" ht="42" customHeight="1">
      <c r="A580" s="2" t="n"/>
      <c r="B580" s="27" t="inlineStr">
        <is>
          <t>GN 1/3 PP lid</t>
        </is>
      </c>
      <c r="C580" s="27" t="inlineStr">
        <is>
          <t>Czech</t>
        </is>
      </c>
      <c r="D580" s="27" t="inlineStr">
        <is>
          <t>TOMGAST</t>
        </is>
      </c>
      <c r="E580" s="27" t="inlineStr">
        <is>
          <t>Víko těsnicí ke gastronádobě 1/3 325 × 176 mm</t>
        </is>
      </c>
      <c r="F580" s="102" t="n">
        <v>97</v>
      </c>
      <c r="G580" s="27" t="inlineStr">
        <is>
          <t>CZK</t>
        </is>
      </c>
      <c r="H580" s="102">
        <f>IF(AND(AE580="yes",ISNUMBER(AD580)),AD580,"")</f>
        <v/>
      </c>
      <c r="I580" s="103">
        <f>IF(AND(AE580="yes",ISNUMBER(AD580),ISNUMBER(INDEX('Sources'!$G$7:$G$10,MATCH(AB580,'Sources'!$B$7:$B$10,0)))),AD580/INDEX('Sources'!$G$7:$G$10,MATCH(AB580,'Sources'!$B$7:$B$10,0)),"")</f>
        <v/>
      </c>
      <c r="J580" s="27" t="inlineStr">
        <is>
          <t>CLOSE</t>
        </is>
      </c>
      <c r="K580" s="27" t="inlineStr">
        <is>
          <t>2026-09-30</t>
        </is>
      </c>
      <c r="L580" s="71" t="n"/>
      <c r="M580" s="27" t="inlineStr">
        <is>
          <t>Code R-MP13001; material polypropylen, but a seal cover rather than a standard flat lid; 80 CZK bez DPH</t>
        </is>
      </c>
      <c r="N580" s="28" t="inlineStr">
        <is>
          <t>https://www.tomgast.cz/viko-tesnici-ke-gastronadobe-1-3-325--176-mm/</t>
        </is>
      </c>
      <c r="O580" s="27" t="inlineStr">
        <is>
          <t>Cambro</t>
        </is>
      </c>
      <c r="P580" s="27" t="inlineStr">
        <is>
          <t>incl.</t>
        </is>
      </c>
      <c r="Q580" s="104" t="n">
        <v>0.21</v>
      </c>
      <c r="R580" s="27" t="n">
        <v>1</v>
      </c>
      <c r="S580" s="27" t="inlineStr">
        <is>
          <t>per piece</t>
        </is>
      </c>
      <c r="T580" s="27" t="inlineStr">
        <is>
          <t>CLOSE</t>
        </is>
      </c>
      <c r="U580" s="27" t="inlineStr">
        <is>
          <t>Additional Austria/Czechia benchmark. Original assignment and match quality retained.</t>
        </is>
      </c>
      <c r="V580" s="102" t="n"/>
      <c r="W580" s="102" t="n"/>
      <c r="X580" s="27" t="inlineStr">
        <is>
          <t>research_CZ.xlsx</t>
        </is>
      </c>
      <c r="Y580" s="27" t="n"/>
      <c r="Z580" s="27" t="n"/>
      <c r="AA580" s="27" t="n"/>
      <c r="AB580" s="27" t="inlineStr">
        <is>
          <t>CZK</t>
        </is>
      </c>
      <c r="AC580" s="27" t="inlineStr">
        <is>
          <t>yes</t>
        </is>
      </c>
      <c r="AD580" s="27">
        <f>IF(OR(F580="",Q580="",R580=""),"",ROUND(IF(P580="incl.",F580/(1+Q580),F580)/IF(S580="per pack",R580,1),2))</f>
        <v/>
      </c>
      <c r="AE580" s="27">
        <f>IF(AND(AC580="yes",ISNUMBER(F580),IF('Compare'!$H$5="All mapped",TRUE,IF('Compare'!$H$5="EXACT only",J580="EXACT",OR(J580="EXACT",J580="CLOSE")))),"yes","no")</f>
        <v/>
      </c>
      <c r="AF580" s="27">
        <f>IF(ISNUMBER(H580),COUNTIFS($B$7:$B$608,B580,$C$7:$C$608,C580,$H$7:$H$608,"&lt;"&amp;H580,$AH$7:$AH$608,"yes")+COUNTIFS($B$7:B580,B580,$C$7:C580,C580,$H$7:H580,H580,$AH$7:AH580,"yes"),"")</f>
        <v/>
      </c>
      <c r="AG580" s="27">
        <f>IF(ISNUMBER(I580),COUNTIFS($B$7:$B$608,B580,$C$7:$C$608,C580,$I$7:$I$608,"&lt;"&amp;I580,$AI$7:$AI$608,"yes")+COUNTIFS($B$7:B580,B580,$C$7:C580,C580,$I$7:I580,I580,$AI$7:AI580,"yes"),"")</f>
        <v/>
      </c>
      <c r="AH580" s="27">
        <f>IF(ISNUMBER(H580),"yes","no")</f>
        <v/>
      </c>
      <c r="AI580" s="27">
        <f>IF(ISNUMBER(I580),"yes","no")</f>
        <v/>
      </c>
      <c r="AJ580" s="105" t="n">
        <v>46295</v>
      </c>
      <c r="AK580" s="27" t="n"/>
    </row>
    <row r="581" ht="42" customHeight="1">
      <c r="A581" s="2" t="n"/>
      <c r="B581" s="24" t="inlineStr">
        <is>
          <t>Squeeze bottle 750 ml, PP/PE, wide covered tip</t>
        </is>
      </c>
      <c r="C581" s="24" t="inlineStr">
        <is>
          <t>Austria</t>
        </is>
      </c>
      <c r="D581" s="24" t="inlineStr">
        <is>
          <t>Gastroladen.at (Harotec GmbH)</t>
        </is>
      </c>
      <c r="E581" s="24" t="inlineStr">
        <is>
          <t>Araven klare tropffreie Soßenflasche 70cl</t>
        </is>
      </c>
      <c r="F581" s="98" t="n">
        <v>6.49</v>
      </c>
      <c r="G581" s="24" t="inlineStr">
        <is>
          <t>EUR</t>
        </is>
      </c>
      <c r="H581" s="98">
        <f>IF(AND(AE581="yes",ISNUMBER(AD581)),AD581,"")</f>
        <v/>
      </c>
      <c r="I581" s="99">
        <f>IF(AND(AE581="yes",ISNUMBER(AD581),ISNUMBER(INDEX('Sources'!$G$7:$G$10,MATCH(AB581,'Sources'!$B$7:$B$10,0)))),AD581/INDEX('Sources'!$G$7:$G$10,MATCH(AB581,'Sources'!$B$7:$B$10,0)),"")</f>
        <v/>
      </c>
      <c r="J581" s="24" t="inlineStr">
        <is>
          <t>CLOSE</t>
        </is>
      </c>
      <c r="K581" s="24" t="inlineStr">
        <is>
          <t>2026-09-30</t>
        </is>
      </c>
      <c r="L581" s="71" t="n"/>
      <c r="M581" s="24" t="inlineStr">
        <is>
          <t>700 ml PE with drip-free valve and cap; tip width not specified</t>
        </is>
      </c>
      <c r="N581" s="25" t="inlineStr">
        <is>
          <t>https://www.gastroladen.at/G16771B@GN-CW113/Araven-klare-tropffreie-So%C3%9Fenflasche-70cl.htm</t>
        </is>
      </c>
      <c r="O581" s="24" t="inlineStr">
        <is>
          <t>Araven</t>
        </is>
      </c>
      <c r="P581" s="24" t="inlineStr">
        <is>
          <t>incl.</t>
        </is>
      </c>
      <c r="Q581" s="100" t="n"/>
      <c r="R581" s="24" t="n">
        <v>1</v>
      </c>
      <c r="S581" s="24" t="n"/>
      <c r="T581" s="24" t="inlineStr">
        <is>
          <t>CLOSE</t>
        </is>
      </c>
      <c r="U581" s="24" t="inlineStr">
        <is>
          <t>Additional Austria/Czechia benchmark. Original assignment and match quality retained.</t>
        </is>
      </c>
      <c r="V581" s="98" t="n">
        <v>5.41</v>
      </c>
      <c r="W581" s="98" t="n"/>
      <c r="X581" s="24" t="inlineStr">
        <is>
          <t>research_AT.xlsx</t>
        </is>
      </c>
      <c r="Y581" s="24" t="n"/>
      <c r="Z581" s="24" t="n"/>
      <c r="AA581" s="24" t="n"/>
      <c r="AB581" s="24" t="inlineStr">
        <is>
          <t>EUR</t>
        </is>
      </c>
      <c r="AC581" s="24" t="inlineStr">
        <is>
          <t>yes</t>
        </is>
      </c>
      <c r="AD581" s="24">
        <f>IF(ISNUMBER(V581),V581,"")</f>
        <v/>
      </c>
      <c r="AE581" s="24">
        <f>IF(AND(AC581="yes",ISNUMBER(F581),IF('Compare'!$H$5="All mapped",TRUE,IF('Compare'!$H$5="EXACT only",J581="EXACT",OR(J581="EXACT",J581="CLOSE")))),"yes","no")</f>
        <v/>
      </c>
      <c r="AF581" s="24">
        <f>IF(ISNUMBER(H581),COUNTIFS($B$7:$B$608,B581,$C$7:$C$608,C581,$H$7:$H$608,"&lt;"&amp;H581,$AH$7:$AH$608,"yes")+COUNTIFS($B$7:B581,B581,$C$7:C581,C581,$H$7:H581,H581,$AH$7:AH581,"yes"),"")</f>
        <v/>
      </c>
      <c r="AG581" s="24">
        <f>IF(ISNUMBER(I581),COUNTIFS($B$7:$B$608,B581,$C$7:$C$608,C581,$I$7:$I$608,"&lt;"&amp;I581,$AI$7:$AI$608,"yes")+COUNTIFS($B$7:B581,B581,$C$7:C581,C581,$I$7:I581,I581,$AI$7:AI581,"yes"),"")</f>
        <v/>
      </c>
      <c r="AH581" s="24">
        <f>IF(ISNUMBER(H581),"yes","no")</f>
        <v/>
      </c>
      <c r="AI581" s="24">
        <f>IF(ISNUMBER(I581),"yes","no")</f>
        <v/>
      </c>
      <c r="AJ581" s="101" t="n">
        <v>46295</v>
      </c>
      <c r="AK581" s="24" t="n"/>
    </row>
    <row r="582" ht="42" customHeight="1">
      <c r="A582" s="2" t="n"/>
      <c r="B582" s="27" t="inlineStr">
        <is>
          <t>Squeeze bottle 750 ml, PP/PE, wide covered tip</t>
        </is>
      </c>
      <c r="C582" s="27" t="inlineStr">
        <is>
          <t>Austria</t>
        </is>
      </c>
      <c r="D582" s="27" t="inlineStr">
        <is>
          <t>Intergastro (AT shop)</t>
        </is>
      </c>
      <c r="E582" s="27" t="inlineStr">
        <is>
          <t>Quetschflasche 700 ml Kunststoff gelb Verschlusskappe</t>
        </is>
      </c>
      <c r="F582" s="102" t="n">
        <v>1.61</v>
      </c>
      <c r="G582" s="27" t="inlineStr">
        <is>
          <t>EUR</t>
        </is>
      </c>
      <c r="H582" s="102">
        <f>IF(AND(AE582="yes",ISNUMBER(AD582)),AD582,"")</f>
        <v/>
      </c>
      <c r="I582" s="103">
        <f>IF(AND(AE582="yes",ISNUMBER(AD582),ISNUMBER(INDEX('Sources'!$G$7:$G$10,MATCH(AB582,'Sources'!$B$7:$B$10,0)))),AD582/INDEX('Sources'!$G$7:$G$10,MATCH(AB582,'Sources'!$B$7:$B$10,0)),"")</f>
        <v/>
      </c>
      <c r="J582" s="27" t="inlineStr">
        <is>
          <t>CLOSE</t>
        </is>
      </c>
      <c r="K582" s="27" t="inlineStr">
        <is>
          <t>2026-09-30</t>
        </is>
      </c>
      <c r="L582" s="71" t="n"/>
      <c r="M582" s="27" t="inlineStr">
        <is>
          <t>700 ml PE with closure cap over the tip; width of tip not specified</t>
        </is>
      </c>
      <c r="N582" s="28" t="inlineStr">
        <is>
          <t>https://www.intergastro.at/quetschflasche-700-ml-kunststoff-gelb-verschlusskappe-70-mm-h-240-mm-247040</t>
        </is>
      </c>
      <c r="O582" s="27" t="inlineStr">
        <is>
          <t>APS</t>
        </is>
      </c>
      <c r="P582" s="27" t="inlineStr">
        <is>
          <t>excl.</t>
        </is>
      </c>
      <c r="Q582" s="104" t="n"/>
      <c r="R582" s="27" t="n">
        <v>1</v>
      </c>
      <c r="S582" s="27" t="n"/>
      <c r="T582" s="27" t="inlineStr">
        <is>
          <t>CLOSE</t>
        </is>
      </c>
      <c r="U582" s="27" t="inlineStr">
        <is>
          <t>Additional Austria/Czechia benchmark. Original assignment and match quality retained.</t>
        </is>
      </c>
      <c r="V582" s="102" t="n">
        <v>1.61</v>
      </c>
      <c r="W582" s="102" t="n"/>
      <c r="X582" s="27" t="inlineStr">
        <is>
          <t>research_AT.xlsx</t>
        </is>
      </c>
      <c r="Y582" s="27" t="n"/>
      <c r="Z582" s="27" t="n"/>
      <c r="AA582" s="27" t="n"/>
      <c r="AB582" s="27" t="inlineStr">
        <is>
          <t>EUR</t>
        </is>
      </c>
      <c r="AC582" s="27" t="inlineStr">
        <is>
          <t>yes</t>
        </is>
      </c>
      <c r="AD582" s="27">
        <f>IF(ISNUMBER(V582),V582,"")</f>
        <v/>
      </c>
      <c r="AE582" s="27">
        <f>IF(AND(AC582="yes",ISNUMBER(F582),IF('Compare'!$H$5="All mapped",TRUE,IF('Compare'!$H$5="EXACT only",J582="EXACT",OR(J582="EXACT",J582="CLOSE")))),"yes","no")</f>
        <v/>
      </c>
      <c r="AF582" s="27">
        <f>IF(ISNUMBER(H582),COUNTIFS($B$7:$B$608,B582,$C$7:$C$608,C582,$H$7:$H$608,"&lt;"&amp;H582,$AH$7:$AH$608,"yes")+COUNTIFS($B$7:B582,B582,$C$7:C582,C582,$H$7:H582,H582,$AH$7:AH582,"yes"),"")</f>
        <v/>
      </c>
      <c r="AG582" s="27">
        <f>IF(ISNUMBER(I582),COUNTIFS($B$7:$B$608,B582,$C$7:$C$608,C582,$I$7:$I$608,"&lt;"&amp;I582,$AI$7:$AI$608,"yes")+COUNTIFS($B$7:B582,B582,$C$7:C582,C582,$I$7:I582,I582,$AI$7:AI582,"yes"),"")</f>
        <v/>
      </c>
      <c r="AH582" s="27">
        <f>IF(ISNUMBER(H582),"yes","no")</f>
        <v/>
      </c>
      <c r="AI582" s="27">
        <f>IF(ISNUMBER(I582),"yes","no")</f>
        <v/>
      </c>
      <c r="AJ582" s="105" t="n">
        <v>46295</v>
      </c>
      <c r="AK582" s="27" t="n"/>
    </row>
    <row r="583" ht="42" customHeight="1">
      <c r="A583" s="2" t="n"/>
      <c r="B583" s="24" t="inlineStr">
        <is>
          <t>Squeeze bottle 750 ml, PP/PE, wide covered tip</t>
        </is>
      </c>
      <c r="C583" s="24" t="inlineStr">
        <is>
          <t>Czech</t>
        </is>
      </c>
      <c r="D583" s="24" t="inlineStr">
        <is>
          <t>Gastrozone</t>
        </is>
      </c>
      <c r="E583" s="24" t="inlineStr">
        <is>
          <t>APS Láhev mačkací, Obsah: 0,70 litru, s uzavírací krytkou</t>
        </is>
      </c>
      <c r="F583" s="98" t="n">
        <v>98</v>
      </c>
      <c r="G583" s="24" t="inlineStr">
        <is>
          <t>CZK</t>
        </is>
      </c>
      <c r="H583" s="98">
        <f>IF(AND(AE583="yes",ISNUMBER(AD583)),AD583,"")</f>
        <v/>
      </c>
      <c r="I583" s="99">
        <f>IF(AND(AE583="yes",ISNUMBER(AD583),ISNUMBER(INDEX('Sources'!$G$7:$G$10,MATCH(AB583,'Sources'!$B$7:$B$10,0)))),AD583/INDEX('Sources'!$G$7:$G$10,MATCH(AB583,'Sources'!$B$7:$B$10,0)),"")</f>
        <v/>
      </c>
      <c r="J583" s="24" t="inlineStr">
        <is>
          <t>CLOSE</t>
        </is>
      </c>
      <c r="K583" s="24" t="inlineStr">
        <is>
          <t>2026-09-30</t>
        </is>
      </c>
      <c r="L583" s="71" t="n"/>
      <c r="M583" s="24" t="inlineStr">
        <is>
          <t>80.99 CZK bez DPH; 700 ml PE squeeze bottle with closing cap over the tip (interpreted as covered tip); not 750 ml</t>
        </is>
      </c>
      <c r="N583" s="25" t="inlineStr">
        <is>
          <t>https://www.gastrozone.cz/aps-kompresni-lahev-obsah-0-70-litru-vyska-240-mm-prumer-70-mm.html</t>
        </is>
      </c>
      <c r="O583" s="24" t="inlineStr">
        <is>
          <t>APS</t>
        </is>
      </c>
      <c r="P583" s="24" t="inlineStr">
        <is>
          <t>incl.</t>
        </is>
      </c>
      <c r="Q583" s="100" t="n">
        <v>0.21</v>
      </c>
      <c r="R583" s="24" t="n">
        <v>1</v>
      </c>
      <c r="S583" s="24" t="inlineStr">
        <is>
          <t>per piece</t>
        </is>
      </c>
      <c r="T583" s="24" t="inlineStr">
        <is>
          <t>CLOSE</t>
        </is>
      </c>
      <c r="U583" s="24" t="inlineStr">
        <is>
          <t>Additional Austria/Czechia benchmark. Original assignment and match quality retained.</t>
        </is>
      </c>
      <c r="V583" s="98" t="n"/>
      <c r="W583" s="98" t="n"/>
      <c r="X583" s="24" t="inlineStr">
        <is>
          <t>research_CZ.xlsx</t>
        </is>
      </c>
      <c r="Y583" s="24" t="n"/>
      <c r="Z583" s="24" t="n"/>
      <c r="AA583" s="24" t="n"/>
      <c r="AB583" s="24" t="inlineStr">
        <is>
          <t>CZK</t>
        </is>
      </c>
      <c r="AC583" s="24" t="inlineStr">
        <is>
          <t>yes</t>
        </is>
      </c>
      <c r="AD583" s="24">
        <f>IF(OR(F583="",Q583="",R583=""),"",ROUND(IF(P583="incl.",F583/(1+Q583),F583)/IF(S583="per pack",R583,1),2))</f>
        <v/>
      </c>
      <c r="AE583" s="24">
        <f>IF(AND(AC583="yes",ISNUMBER(F583),IF('Compare'!$H$5="All mapped",TRUE,IF('Compare'!$H$5="EXACT only",J583="EXACT",OR(J583="EXACT",J583="CLOSE")))),"yes","no")</f>
        <v/>
      </c>
      <c r="AF583" s="24">
        <f>IF(ISNUMBER(H583),COUNTIFS($B$7:$B$608,B583,$C$7:$C$608,C583,$H$7:$H$608,"&lt;"&amp;H583,$AH$7:$AH$608,"yes")+COUNTIFS($B$7:B583,B583,$C$7:C583,C583,$H$7:H583,H583,$AH$7:AH583,"yes"),"")</f>
        <v/>
      </c>
      <c r="AG583" s="24">
        <f>IF(ISNUMBER(I583),COUNTIFS($B$7:$B$608,B583,$C$7:$C$608,C583,$I$7:$I$608,"&lt;"&amp;I583,$AI$7:$AI$608,"yes")+COUNTIFS($B$7:B583,B583,$C$7:C583,C583,$I$7:I583,I583,$AI$7:AI583,"yes"),"")</f>
        <v/>
      </c>
      <c r="AH583" s="24">
        <f>IF(ISNUMBER(H583),"yes","no")</f>
        <v/>
      </c>
      <c r="AI583" s="24">
        <f>IF(ISNUMBER(I583),"yes","no")</f>
        <v/>
      </c>
      <c r="AJ583" s="101" t="n">
        <v>46295</v>
      </c>
      <c r="AK583" s="24" t="n"/>
    </row>
    <row r="584" ht="42" customHeight="1">
      <c r="A584" s="2" t="n"/>
      <c r="B584" s="27" t="inlineStr">
        <is>
          <t>Red PE cutting board 300 × 200 × 20 mm</t>
        </is>
      </c>
      <c r="C584" s="27" t="inlineStr">
        <is>
          <t>Austria</t>
        </is>
      </c>
      <c r="D584" s="27" t="inlineStr">
        <is>
          <t>Gastroladen.at (Harotec GmbH)</t>
        </is>
      </c>
      <c r="E584" s="27" t="inlineStr">
        <is>
          <t>Hygiplas HDPE kleines Schneidebrett rot 300x225x12mm</t>
        </is>
      </c>
      <c r="F584" s="102" t="n">
        <v>8.890000000000001</v>
      </c>
      <c r="G584" s="27" t="inlineStr">
        <is>
          <t>EUR</t>
        </is>
      </c>
      <c r="H584" s="102">
        <f>IF(AND(AE584="yes",ISNUMBER(AD584)),AD584,"")</f>
        <v/>
      </c>
      <c r="I584" s="103">
        <f>IF(AND(AE584="yes",ISNUMBER(AD584),ISNUMBER(INDEX('Sources'!$G$7:$G$10,MATCH(AB584,'Sources'!$B$7:$B$10,0)))),AD584/INDEX('Sources'!$G$7:$G$10,MATCH(AB584,'Sources'!$B$7:$B$10,0)),"")</f>
        <v/>
      </c>
      <c r="J584" s="27" t="inlineStr">
        <is>
          <t>CLOSE</t>
        </is>
      </c>
      <c r="K584" s="27" t="inlineStr">
        <is>
          <t>2026-09-30</t>
        </is>
      </c>
      <c r="L584" s="71" t="n"/>
      <c r="M584" s="27" t="inlineStr">
        <is>
          <t>Red HDPE, 300x225x12 mm (vs 300x200x20)</t>
        </is>
      </c>
      <c r="N584" s="28" t="inlineStr">
        <is>
          <t>https://www.gastroladen.at/2310@GN-HC866/Hygiplas-HDPE-kleines-Schneidebrett-rot-300x-225x12mm.htm</t>
        </is>
      </c>
      <c r="O584" s="27" t="inlineStr">
        <is>
          <t>Hygiplas</t>
        </is>
      </c>
      <c r="P584" s="27" t="inlineStr">
        <is>
          <t>incl.</t>
        </is>
      </c>
      <c r="Q584" s="104" t="n"/>
      <c r="R584" s="27" t="n">
        <v>1</v>
      </c>
      <c r="S584" s="27" t="n"/>
      <c r="T584" s="27" t="inlineStr">
        <is>
          <t>CLOSE</t>
        </is>
      </c>
      <c r="U584" s="27" t="inlineStr">
        <is>
          <t>Additional Austria/Czechia benchmark. Original assignment and match quality retained.</t>
        </is>
      </c>
      <c r="V584" s="102" t="n">
        <v>7.41</v>
      </c>
      <c r="W584" s="102" t="n"/>
      <c r="X584" s="27" t="inlineStr">
        <is>
          <t>research_AT.xlsx</t>
        </is>
      </c>
      <c r="Y584" s="27" t="n"/>
      <c r="Z584" s="27" t="n"/>
      <c r="AA584" s="27" t="n"/>
      <c r="AB584" s="27" t="inlineStr">
        <is>
          <t>EUR</t>
        </is>
      </c>
      <c r="AC584" s="27" t="inlineStr">
        <is>
          <t>yes</t>
        </is>
      </c>
      <c r="AD584" s="27">
        <f>IF(ISNUMBER(V584),V584,"")</f>
        <v/>
      </c>
      <c r="AE584" s="27">
        <f>IF(AND(AC584="yes",ISNUMBER(F584),IF('Compare'!$H$5="All mapped",TRUE,IF('Compare'!$H$5="EXACT only",J584="EXACT",OR(J584="EXACT",J584="CLOSE")))),"yes","no")</f>
        <v/>
      </c>
      <c r="AF584" s="27">
        <f>IF(ISNUMBER(H584),COUNTIFS($B$7:$B$608,B584,$C$7:$C$608,C584,$H$7:$H$608,"&lt;"&amp;H584,$AH$7:$AH$608,"yes")+COUNTIFS($B$7:B584,B584,$C$7:C584,C584,$H$7:H584,H584,$AH$7:AH584,"yes"),"")</f>
        <v/>
      </c>
      <c r="AG584" s="27">
        <f>IF(ISNUMBER(I584),COUNTIFS($B$7:$B$608,B584,$C$7:$C$608,C584,$I$7:$I$608,"&lt;"&amp;I584,$AI$7:$AI$608,"yes")+COUNTIFS($B$7:B584,B584,$C$7:C584,C584,$I$7:I584,I584,$AI$7:AI584,"yes"),"")</f>
        <v/>
      </c>
      <c r="AH584" s="27">
        <f>IF(ISNUMBER(H584),"yes","no")</f>
        <v/>
      </c>
      <c r="AI584" s="27">
        <f>IF(ISNUMBER(I584),"yes","no")</f>
        <v/>
      </c>
      <c r="AJ584" s="105" t="n">
        <v>46295</v>
      </c>
      <c r="AK584" s="27" t="n"/>
    </row>
    <row r="585" ht="42" customHeight="1">
      <c r="A585" s="2" t="n"/>
      <c r="B585" s="24" t="inlineStr">
        <is>
          <t>Red PE cutting board 300 × 200 × 20 mm</t>
        </is>
      </c>
      <c r="C585" s="24" t="inlineStr">
        <is>
          <t>Austria</t>
        </is>
      </c>
      <c r="D585" s="24" t="inlineStr">
        <is>
          <t>Intergastro (AT shop)</t>
        </is>
      </c>
      <c r="E585" s="24" t="inlineStr">
        <is>
          <t>Schneidebrett gelb HDPE 500, 300 mm x 200 mm</t>
        </is>
      </c>
      <c r="F585" s="98" t="n">
        <v>11.19</v>
      </c>
      <c r="G585" s="24" t="inlineStr">
        <is>
          <t>EUR</t>
        </is>
      </c>
      <c r="H585" s="98">
        <f>IF(AND(AE585="yes",ISNUMBER(AD585)),AD585,"")</f>
        <v/>
      </c>
      <c r="I585" s="99">
        <f>IF(AND(AE585="yes",ISNUMBER(AD585),ISNUMBER(INDEX('Sources'!$G$7:$G$10,MATCH(AB585,'Sources'!$B$7:$B$10,0)))),AD585/INDEX('Sources'!$G$7:$G$10,MATCH(AB585,'Sources'!$B$7:$B$10,0)),"")</f>
        <v/>
      </c>
      <c r="J585" s="24" t="inlineStr">
        <is>
          <t>CLOSE</t>
        </is>
      </c>
      <c r="K585" s="24" t="inlineStr">
        <is>
          <t>2026-09-30</t>
        </is>
      </c>
      <c r="L585" s="71" t="n"/>
      <c r="M585" s="24" t="inlineStr">
        <is>
          <t>Yellow (red not offered in this size); 20 mm per series size list</t>
        </is>
      </c>
      <c r="N585" s="25" t="inlineStr">
        <is>
          <t>https://www.intergastro.at/schneidebrett-gelb-hdpe-500-300-mm-x-200-mm-997231</t>
        </is>
      </c>
      <c r="O585" s="24" t="inlineStr">
        <is>
          <t>Comas</t>
        </is>
      </c>
      <c r="P585" s="24" t="inlineStr">
        <is>
          <t>excl.</t>
        </is>
      </c>
      <c r="Q585" s="100" t="n"/>
      <c r="R585" s="24" t="n">
        <v>1</v>
      </c>
      <c r="S585" s="24" t="n"/>
      <c r="T585" s="24" t="inlineStr">
        <is>
          <t>CLOSE</t>
        </is>
      </c>
      <c r="U585" s="24" t="inlineStr">
        <is>
          <t>Additional Austria/Czechia benchmark. Original assignment and match quality retained.</t>
        </is>
      </c>
      <c r="V585" s="98" t="n">
        <v>11.19</v>
      </c>
      <c r="W585" s="98" t="n"/>
      <c r="X585" s="24" t="inlineStr">
        <is>
          <t>research_AT.xlsx</t>
        </is>
      </c>
      <c r="Y585" s="24" t="n"/>
      <c r="Z585" s="24" t="n"/>
      <c r="AA585" s="24" t="n"/>
      <c r="AB585" s="24" t="inlineStr">
        <is>
          <t>EUR</t>
        </is>
      </c>
      <c r="AC585" s="24" t="inlineStr">
        <is>
          <t>yes</t>
        </is>
      </c>
      <c r="AD585" s="24">
        <f>IF(ISNUMBER(V585),V585,"")</f>
        <v/>
      </c>
      <c r="AE585" s="24">
        <f>IF(AND(AC585="yes",ISNUMBER(F585),IF('Compare'!$H$5="All mapped",TRUE,IF('Compare'!$H$5="EXACT only",J585="EXACT",OR(J585="EXACT",J585="CLOSE")))),"yes","no")</f>
        <v/>
      </c>
      <c r="AF585" s="24">
        <f>IF(ISNUMBER(H585),COUNTIFS($B$7:$B$608,B585,$C$7:$C$608,C585,$H$7:$H$608,"&lt;"&amp;H585,$AH$7:$AH$608,"yes")+COUNTIFS($B$7:B585,B585,$C$7:C585,C585,$H$7:H585,H585,$AH$7:AH585,"yes"),"")</f>
        <v/>
      </c>
      <c r="AG585" s="24">
        <f>IF(ISNUMBER(I585),COUNTIFS($B$7:$B$608,B585,$C$7:$C$608,C585,$I$7:$I$608,"&lt;"&amp;I585,$AI$7:$AI$608,"yes")+COUNTIFS($B$7:B585,B585,$C$7:C585,C585,$I$7:I585,I585,$AI$7:AI585,"yes"),"")</f>
        <v/>
      </c>
      <c r="AH585" s="24">
        <f>IF(ISNUMBER(H585),"yes","no")</f>
        <v/>
      </c>
      <c r="AI585" s="24">
        <f>IF(ISNUMBER(I585),"yes","no")</f>
        <v/>
      </c>
      <c r="AJ585" s="101" t="n">
        <v>46295</v>
      </c>
      <c r="AK585" s="24" t="n"/>
    </row>
    <row r="586" ht="42" customHeight="1">
      <c r="A586" s="2" t="n"/>
      <c r="B586" s="27" t="inlineStr">
        <is>
          <t>Red PE cutting board 300 × 200 × 20 mm</t>
        </is>
      </c>
      <c r="C586" s="27" t="inlineStr">
        <is>
          <t>Czech</t>
        </is>
      </c>
      <c r="D586" s="27" t="inlineStr">
        <is>
          <t>TOMGAST</t>
        </is>
      </c>
      <c r="E586" s="27" t="inlineStr">
        <is>
          <t>Deska krájecí 20 × 30 × 1,2 cm</t>
        </is>
      </c>
      <c r="F586" s="102" t="n">
        <v>115</v>
      </c>
      <c r="G586" s="27" t="inlineStr">
        <is>
          <t>CZK</t>
        </is>
      </c>
      <c r="H586" s="102">
        <f>IF(AND(AE586="yes",ISNUMBER(AD586)),AD586,"")</f>
        <v/>
      </c>
      <c r="I586" s="103">
        <f>IF(AND(AE586="yes",ISNUMBER(AD586),ISNUMBER(INDEX('Sources'!$G$7:$G$10,MATCH(AB586,'Sources'!$B$7:$B$10,0)))),AD586/INDEX('Sources'!$G$7:$G$10,MATCH(AB586,'Sources'!$B$7:$B$10,0)),"")</f>
        <v/>
      </c>
      <c r="J586" s="27" t="inlineStr">
        <is>
          <t>APPROX</t>
        </is>
      </c>
      <c r="K586" s="27" t="inlineStr">
        <is>
          <t>2026-09-30</t>
        </is>
      </c>
      <c r="L586" s="71" t="n"/>
      <c r="M586" s="27" t="inlineStr">
        <is>
          <t>PE 300 x 200 mm but 12 mm thick and white only (no red 300 x 200 x 20 listed); 95 CZK bez DPH</t>
        </is>
      </c>
      <c r="N586" s="28" t="inlineStr">
        <is>
          <t>https://www.tomgast.cz/deska-krajeci-20--30--1-2-cm/</t>
        </is>
      </c>
      <c r="O586" s="27" t="inlineStr">
        <is>
          <t>TOMGAST</t>
        </is>
      </c>
      <c r="P586" s="27" t="inlineStr">
        <is>
          <t>incl.</t>
        </is>
      </c>
      <c r="Q586" s="104" t="n">
        <v>0.21</v>
      </c>
      <c r="R586" s="27" t="n">
        <v>1</v>
      </c>
      <c r="S586" s="27" t="inlineStr">
        <is>
          <t>per piece</t>
        </is>
      </c>
      <c r="T586" s="27" t="inlineStr">
        <is>
          <t>APPROX</t>
        </is>
      </c>
      <c r="U586" s="27" t="inlineStr">
        <is>
          <t>Additional Austria/Czechia benchmark. Original assignment and match quality retained.</t>
        </is>
      </c>
      <c r="V586" s="102" t="n"/>
      <c r="W586" s="102" t="n"/>
      <c r="X586" s="27" t="inlineStr">
        <is>
          <t>research_CZ.xlsx</t>
        </is>
      </c>
      <c r="Y586" s="27" t="n"/>
      <c r="Z586" s="27" t="n"/>
      <c r="AA586" s="27" t="n"/>
      <c r="AB586" s="27" t="inlineStr">
        <is>
          <t>CZK</t>
        </is>
      </c>
      <c r="AC586" s="27" t="inlineStr">
        <is>
          <t>yes</t>
        </is>
      </c>
      <c r="AD586" s="27">
        <f>IF(OR(F586="",Q586="",R586=""),"",ROUND(IF(P586="incl.",F586/(1+Q586),F586)/IF(S586="per pack",R586,1),2))</f>
        <v/>
      </c>
      <c r="AE586" s="27">
        <f>IF(AND(AC586="yes",ISNUMBER(F586),IF('Compare'!$H$5="All mapped",TRUE,IF('Compare'!$H$5="EXACT only",J586="EXACT",OR(J586="EXACT",J586="CLOSE")))),"yes","no")</f>
        <v/>
      </c>
      <c r="AF586" s="27">
        <f>IF(ISNUMBER(H586),COUNTIFS($B$7:$B$608,B586,$C$7:$C$608,C586,$H$7:$H$608,"&lt;"&amp;H586,$AH$7:$AH$608,"yes")+COUNTIFS($B$7:B586,B586,$C$7:C586,C586,$H$7:H586,H586,$AH$7:AH586,"yes"),"")</f>
        <v/>
      </c>
      <c r="AG586" s="27">
        <f>IF(ISNUMBER(I586),COUNTIFS($B$7:$B$608,B586,$C$7:$C$608,C586,$I$7:$I$608,"&lt;"&amp;I586,$AI$7:$AI$608,"yes")+COUNTIFS($B$7:B586,B586,$C$7:C586,C586,$I$7:I586,I586,$AI$7:AI586,"yes"),"")</f>
        <v/>
      </c>
      <c r="AH586" s="27">
        <f>IF(ISNUMBER(H586),"yes","no")</f>
        <v/>
      </c>
      <c r="AI586" s="27">
        <f>IF(ISNUMBER(I586),"yes","no")</f>
        <v/>
      </c>
      <c r="AJ586" s="105" t="n">
        <v>46295</v>
      </c>
      <c r="AK586" s="27" t="n"/>
    </row>
    <row r="587" ht="42" customHeight="1">
      <c r="A587" s="2" t="n"/>
      <c r="B587" s="24" t="inlineStr">
        <is>
          <t>PP dough box 400 × 300 × 100 mm, no lid</t>
        </is>
      </c>
      <c r="C587" s="24" t="inlineStr">
        <is>
          <t>Austria</t>
        </is>
      </c>
      <c r="D587" s="24" t="inlineStr">
        <is>
          <t>Intergastro (AT shop)</t>
        </is>
      </c>
      <c r="E587" s="24" t="inlineStr">
        <is>
          <t>Pizzaballenbehälter PP 10 ltr, 400 x 300 x 100 mm</t>
        </is>
      </c>
      <c r="F587" s="98" t="n">
        <v>11.97</v>
      </c>
      <c r="G587" s="24" t="inlineStr">
        <is>
          <t>EUR</t>
        </is>
      </c>
      <c r="H587" s="98">
        <f>IF(AND(AE587="yes",ISNUMBER(AD587)),AD587,"")</f>
        <v/>
      </c>
      <c r="I587" s="99">
        <f>IF(AND(AE587="yes",ISNUMBER(AD587),ISNUMBER(INDEX('Sources'!$G$7:$G$10,MATCH(AB587,'Sources'!$B$7:$B$10,0)))),AD587/INDEX('Sources'!$G$7:$G$10,MATCH(AB587,'Sources'!$B$7:$B$10,0)),"")</f>
        <v/>
      </c>
      <c r="J587" s="24" t="inlineStr">
        <is>
          <t>EXACT</t>
        </is>
      </c>
      <c r="K587" s="24" t="inlineStr">
        <is>
          <t>2026-09-30</t>
        </is>
      </c>
      <c r="L587" s="71" t="n"/>
      <c r="M587" s="24" t="inlineStr">
        <is>
          <t>PP, no lid</t>
        </is>
      </c>
      <c r="N587" s="25" t="inlineStr">
        <is>
          <t>https://www.intergastro.at/pizzaballenbehaelter-pp-10-ltr-400-mm-x-300-mm-h-100-mm-1039856</t>
        </is>
      </c>
      <c r="O587" s="24" t="inlineStr">
        <is>
          <t>Schneider</t>
        </is>
      </c>
      <c r="P587" s="24" t="inlineStr">
        <is>
          <t>excl.</t>
        </is>
      </c>
      <c r="Q587" s="100" t="n"/>
      <c r="R587" s="24" t="n">
        <v>1</v>
      </c>
      <c r="S587" s="24" t="n"/>
      <c r="T587" s="24" t="inlineStr">
        <is>
          <t>EXACT</t>
        </is>
      </c>
      <c r="U587" s="24" t="inlineStr">
        <is>
          <t>Additional Austria/Czechia benchmark. Original assignment and match quality retained.</t>
        </is>
      </c>
      <c r="V587" s="98" t="n">
        <v>11.97</v>
      </c>
      <c r="W587" s="98" t="n"/>
      <c r="X587" s="24" t="inlineStr">
        <is>
          <t>research_AT.xlsx</t>
        </is>
      </c>
      <c r="Y587" s="24" t="n"/>
      <c r="Z587" s="24" t="n"/>
      <c r="AA587" s="24" t="n"/>
      <c r="AB587" s="24" t="inlineStr">
        <is>
          <t>EUR</t>
        </is>
      </c>
      <c r="AC587" s="24" t="inlineStr">
        <is>
          <t>yes</t>
        </is>
      </c>
      <c r="AD587" s="24">
        <f>IF(ISNUMBER(V587),V587,"")</f>
        <v/>
      </c>
      <c r="AE587" s="24">
        <f>IF(AND(AC587="yes",ISNUMBER(F587),IF('Compare'!$H$5="All mapped",TRUE,IF('Compare'!$H$5="EXACT only",J587="EXACT",OR(J587="EXACT",J587="CLOSE")))),"yes","no")</f>
        <v/>
      </c>
      <c r="AF587" s="24">
        <f>IF(ISNUMBER(H587),COUNTIFS($B$7:$B$608,B587,$C$7:$C$608,C587,$H$7:$H$608,"&lt;"&amp;H587,$AH$7:$AH$608,"yes")+COUNTIFS($B$7:B587,B587,$C$7:C587,C587,$H$7:H587,H587,$AH$7:AH587,"yes"),"")</f>
        <v/>
      </c>
      <c r="AG587" s="24">
        <f>IF(ISNUMBER(I587),COUNTIFS($B$7:$B$608,B587,$C$7:$C$608,C587,$I$7:$I$608,"&lt;"&amp;I587,$AI$7:$AI$608,"yes")+COUNTIFS($B$7:B587,B587,$C$7:C587,C587,$I$7:I587,I587,$AI$7:AI587,"yes"),"")</f>
        <v/>
      </c>
      <c r="AH587" s="24">
        <f>IF(ISNUMBER(H587),"yes","no")</f>
        <v/>
      </c>
      <c r="AI587" s="24">
        <f>IF(ISNUMBER(I587),"yes","no")</f>
        <v/>
      </c>
      <c r="AJ587" s="101" t="n">
        <v>46295</v>
      </c>
      <c r="AK587" s="24" t="n"/>
    </row>
    <row r="588" ht="42" customHeight="1">
      <c r="A588" s="2" t="n"/>
      <c r="B588" s="27" t="inlineStr">
        <is>
          <t>PP dough box 400 × 300 × 100 mm, no lid</t>
        </is>
      </c>
      <c r="C588" s="27" t="inlineStr">
        <is>
          <t>Austria</t>
        </is>
      </c>
      <c r="D588" s="27" t="inlineStr">
        <is>
          <t>Jungheinrich PROFISHOP Austria</t>
        </is>
      </c>
      <c r="E588" s="27" t="inlineStr">
        <is>
          <t>Stalgast Pizzaballenbehälter aus Polypropylen 400x300x100 mm</t>
        </is>
      </c>
      <c r="F588" s="102" t="n">
        <v>20.9</v>
      </c>
      <c r="G588" s="27" t="inlineStr">
        <is>
          <t>EUR</t>
        </is>
      </c>
      <c r="H588" s="102">
        <f>IF(AND(AE588="yes",ISNUMBER(AD588)),AD588,"")</f>
        <v/>
      </c>
      <c r="I588" s="103">
        <f>IF(AND(AE588="yes",ISNUMBER(AD588),ISNUMBER(INDEX('Sources'!$G$7:$G$10,MATCH(AB588,'Sources'!$B$7:$B$10,0)))),AD588/INDEX('Sources'!$G$7:$G$10,MATCH(AB588,'Sources'!$B$7:$B$10,0)),"")</f>
        <v/>
      </c>
      <c r="J588" s="27" t="inlineStr">
        <is>
          <t>EXACT</t>
        </is>
      </c>
      <c r="K588" s="27" t="inlineStr">
        <is>
          <t>2026-09-30</t>
        </is>
      </c>
      <c r="L588" s="71" t="n"/>
      <c r="M588" s="27" t="inlineStr">
        <is>
          <t>PP per title, no lid</t>
        </is>
      </c>
      <c r="N588" s="28" t="inlineStr">
        <is>
          <t>https://www.jh-profishop.at/p/stalgast-pizzaballenbehaelter-aus-polypropylen-400x300x100-mm-bxtxh-929479-349076/</t>
        </is>
      </c>
      <c r="O588" s="27" t="inlineStr">
        <is>
          <t>Stalgast</t>
        </is>
      </c>
      <c r="P588" s="27" t="inlineStr">
        <is>
          <t>excl.</t>
        </is>
      </c>
      <c r="Q588" s="104" t="n"/>
      <c r="R588" s="27" t="n">
        <v>1</v>
      </c>
      <c r="S588" s="27" t="n"/>
      <c r="T588" s="27" t="inlineStr">
        <is>
          <t>EXACT</t>
        </is>
      </c>
      <c r="U588" s="27" t="inlineStr">
        <is>
          <t>Additional Austria/Czechia benchmark. Original assignment and match quality retained.</t>
        </is>
      </c>
      <c r="V588" s="102" t="n">
        <v>20.9</v>
      </c>
      <c r="W588" s="102" t="n"/>
      <c r="X588" s="27" t="inlineStr">
        <is>
          <t>research_AT.xlsx</t>
        </is>
      </c>
      <c r="Y588" s="27" t="n"/>
      <c r="Z588" s="27" t="n"/>
      <c r="AA588" s="27" t="n"/>
      <c r="AB588" s="27" t="inlineStr">
        <is>
          <t>EUR</t>
        </is>
      </c>
      <c r="AC588" s="27" t="inlineStr">
        <is>
          <t>yes</t>
        </is>
      </c>
      <c r="AD588" s="27">
        <f>IF(ISNUMBER(V588),V588,"")</f>
        <v/>
      </c>
      <c r="AE588" s="27">
        <f>IF(AND(AC588="yes",ISNUMBER(F588),IF('Compare'!$H$5="All mapped",TRUE,IF('Compare'!$H$5="EXACT only",J588="EXACT",OR(J588="EXACT",J588="CLOSE")))),"yes","no")</f>
        <v/>
      </c>
      <c r="AF588" s="27">
        <f>IF(ISNUMBER(H588),COUNTIFS($B$7:$B$608,B588,$C$7:$C$608,C588,$H$7:$H$608,"&lt;"&amp;H588,$AH$7:$AH$608,"yes")+COUNTIFS($B$7:B588,B588,$C$7:C588,C588,$H$7:H588,H588,$AH$7:AH588,"yes"),"")</f>
        <v/>
      </c>
      <c r="AG588" s="27">
        <f>IF(ISNUMBER(I588),COUNTIFS($B$7:$B$608,B588,$C$7:$C$608,C588,$I$7:$I$608,"&lt;"&amp;I588,$AI$7:$AI$608,"yes")+COUNTIFS($B$7:B588,B588,$C$7:C588,C588,$I$7:I588,I588,$AI$7:AI588,"yes"),"")</f>
        <v/>
      </c>
      <c r="AH588" s="27">
        <f>IF(ISNUMBER(H588),"yes","no")</f>
        <v/>
      </c>
      <c r="AI588" s="27">
        <f>IF(ISNUMBER(I588),"yes","no")</f>
        <v/>
      </c>
      <c r="AJ588" s="105" t="n">
        <v>46295</v>
      </c>
      <c r="AK588" s="27" t="n"/>
    </row>
    <row r="589" ht="42" customHeight="1">
      <c r="A589" s="2" t="n"/>
      <c r="B589" s="24" t="inlineStr">
        <is>
          <t>PP dough box 400 × 300 × 100 mm, no lid</t>
        </is>
      </c>
      <c r="C589" s="24" t="inlineStr">
        <is>
          <t>Austria</t>
        </is>
      </c>
      <c r="D589" s="24" t="inlineStr">
        <is>
          <t>shopbuero.com</t>
        </is>
      </c>
      <c r="E589" s="24" t="inlineStr">
        <is>
          <t>Pizzaballenbehälter - 40,0 x 30,0 x 10,0 cm - Inhalt 10,0 l - Polypropylen</t>
        </is>
      </c>
      <c r="F589" s="98" t="n">
        <v>9.800000000000001</v>
      </c>
      <c r="G589" s="24" t="inlineStr">
        <is>
          <t>EUR</t>
        </is>
      </c>
      <c r="H589" s="98">
        <f>IF(AND(AE589="yes",ISNUMBER(AD589)),AD589,"")</f>
        <v/>
      </c>
      <c r="I589" s="99">
        <f>IF(AND(AE589="yes",ISNUMBER(AD589),ISNUMBER(INDEX('Sources'!$G$7:$G$10,MATCH(AB589,'Sources'!$B$7:$B$10,0)))),AD589/INDEX('Sources'!$G$7:$G$10,MATCH(AB589,'Sources'!$B$7:$B$10,0)),"")</f>
        <v/>
      </c>
      <c r="J589" s="24" t="inlineStr">
        <is>
          <t>EXACT</t>
        </is>
      </c>
      <c r="K589" s="24" t="inlineStr">
        <is>
          <t>2026-09-30</t>
        </is>
      </c>
      <c r="L589" s="71" t="n"/>
      <c r="M589" s="24" t="inlineStr">
        <is>
          <t>PP, no lid; regular price 15.80</t>
        </is>
      </c>
      <c r="N589" s="25" t="inlineStr">
        <is>
          <t>https://shopbuero.com/pizzaballenbehaelter-40-0-x-30-0-x-10-0-cm-inhalt-10-0-l-polypropylen/202175-C</t>
        </is>
      </c>
      <c r="O589" s="24" t="inlineStr">
        <is>
          <t>Schneider</t>
        </is>
      </c>
      <c r="P589" s="24" t="inlineStr">
        <is>
          <t>excl.</t>
        </is>
      </c>
      <c r="Q589" s="100" t="n"/>
      <c r="R589" s="24" t="n">
        <v>1</v>
      </c>
      <c r="S589" s="24" t="n"/>
      <c r="T589" s="24" t="inlineStr">
        <is>
          <t>EXACT</t>
        </is>
      </c>
      <c r="U589" s="24" t="inlineStr">
        <is>
          <t>Additional Austria/Czechia benchmark. Original assignment and match quality retained.</t>
        </is>
      </c>
      <c r="V589" s="98" t="n">
        <v>9.800000000000001</v>
      </c>
      <c r="W589" s="98" t="n"/>
      <c r="X589" s="24" t="inlineStr">
        <is>
          <t>research_AT.xlsx</t>
        </is>
      </c>
      <c r="Y589" s="24" t="n"/>
      <c r="Z589" s="24" t="n"/>
      <c r="AA589" s="24" t="n"/>
      <c r="AB589" s="24" t="inlineStr">
        <is>
          <t>EUR</t>
        </is>
      </c>
      <c r="AC589" s="24" t="inlineStr">
        <is>
          <t>yes</t>
        </is>
      </c>
      <c r="AD589" s="24">
        <f>IF(ISNUMBER(V589),V589,"")</f>
        <v/>
      </c>
      <c r="AE589" s="24">
        <f>IF(AND(AC589="yes",ISNUMBER(F589),IF('Compare'!$H$5="All mapped",TRUE,IF('Compare'!$H$5="EXACT only",J589="EXACT",OR(J589="EXACT",J589="CLOSE")))),"yes","no")</f>
        <v/>
      </c>
      <c r="AF589" s="24">
        <f>IF(ISNUMBER(H589),COUNTIFS($B$7:$B$608,B589,$C$7:$C$608,C589,$H$7:$H$608,"&lt;"&amp;H589,$AH$7:$AH$608,"yes")+COUNTIFS($B$7:B589,B589,$C$7:C589,C589,$H$7:H589,H589,$AH$7:AH589,"yes"),"")</f>
        <v/>
      </c>
      <c r="AG589" s="24">
        <f>IF(ISNUMBER(I589),COUNTIFS($B$7:$B$608,B589,$C$7:$C$608,C589,$I$7:$I$608,"&lt;"&amp;I589,$AI$7:$AI$608,"yes")+COUNTIFS($B$7:B589,B589,$C$7:C589,C589,$I$7:I589,I589,$AI$7:AI589,"yes"),"")</f>
        <v/>
      </c>
      <c r="AH589" s="24">
        <f>IF(ISNUMBER(H589),"yes","no")</f>
        <v/>
      </c>
      <c r="AI589" s="24">
        <f>IF(ISNUMBER(I589),"yes","no")</f>
        <v/>
      </c>
      <c r="AJ589" s="101" t="n">
        <v>46295</v>
      </c>
      <c r="AK589" s="24" t="n"/>
    </row>
    <row r="590" ht="42" customHeight="1">
      <c r="A590" s="2" t="n"/>
      <c r="B590" s="27" t="inlineStr">
        <is>
          <t>PP dough box 400 × 300 × 100 mm, no lid</t>
        </is>
      </c>
      <c r="C590" s="27" t="inlineStr">
        <is>
          <t>Czech</t>
        </is>
      </c>
      <c r="D590" s="27" t="inlineStr">
        <is>
          <t>Gastromania</t>
        </is>
      </c>
      <c r="E590" s="27" t="inlineStr">
        <is>
          <t>Nádoba na pizza těsto 400x300x100 mm | STALGAST, 563411</t>
        </is>
      </c>
      <c r="F590" s="102" t="n">
        <v>336</v>
      </c>
      <c r="G590" s="27" t="inlineStr">
        <is>
          <t>CZK</t>
        </is>
      </c>
      <c r="H590" s="102">
        <f>IF(AND(AE590="yes",ISNUMBER(AD590)),AD590,"")</f>
        <v/>
      </c>
      <c r="I590" s="103">
        <f>IF(AND(AE590="yes",ISNUMBER(AD590),ISNUMBER(INDEX('Sources'!$G$7:$G$10,MATCH(AB590,'Sources'!$B$7:$B$10,0)))),AD590/INDEX('Sources'!$G$7:$G$10,MATCH(AB590,'Sources'!$B$7:$B$10,0)),"")</f>
        <v/>
      </c>
      <c r="J590" s="27" t="inlineStr">
        <is>
          <t>CLOSE</t>
        </is>
      </c>
      <c r="K590" s="27" t="inlineStr">
        <is>
          <t>2026-09-30</t>
        </is>
      </c>
      <c r="L590" s="71" t="n"/>
      <c r="M590" s="27" t="inlineStr">
        <is>
          <t>400 x 300 x 100 mm but polyethylene (not PP); 278 CZK bez DPH; price incl. 21% VAT as published in product data (current price, in stock)</t>
        </is>
      </c>
      <c r="N590" s="28" t="inlineStr">
        <is>
          <t>https://www.gastromania.cz/kose-na-pizza-testo/nadoba-na-pizza-testo-400x300x100-mm-stalgast-563411</t>
        </is>
      </c>
      <c r="O590" s="27" t="inlineStr">
        <is>
          <t>Stalgast</t>
        </is>
      </c>
      <c r="P590" s="27" t="inlineStr">
        <is>
          <t>incl.</t>
        </is>
      </c>
      <c r="Q590" s="104" t="n">
        <v>0.21</v>
      </c>
      <c r="R590" s="27" t="n">
        <v>1</v>
      </c>
      <c r="S590" s="27" t="inlineStr">
        <is>
          <t>per piece</t>
        </is>
      </c>
      <c r="T590" s="27" t="inlineStr">
        <is>
          <t>CLOSE</t>
        </is>
      </c>
      <c r="U590" s="27" t="inlineStr">
        <is>
          <t>Additional Austria/Czechia benchmark. Original assignment and match quality retained.</t>
        </is>
      </c>
      <c r="V590" s="102" t="n"/>
      <c r="W590" s="102" t="n"/>
      <c r="X590" s="27" t="inlineStr">
        <is>
          <t>research_CZ.xlsx</t>
        </is>
      </c>
      <c r="Y590" s="27" t="n"/>
      <c r="Z590" s="27" t="n"/>
      <c r="AA590" s="27" t="n"/>
      <c r="AB590" s="27" t="inlineStr">
        <is>
          <t>CZK</t>
        </is>
      </c>
      <c r="AC590" s="27" t="inlineStr">
        <is>
          <t>yes</t>
        </is>
      </c>
      <c r="AD590" s="27">
        <f>IF(OR(F590="",Q590="",R590=""),"",ROUND(IF(P590="incl.",F590/(1+Q590),F590)/IF(S590="per pack",R590,1),2))</f>
        <v/>
      </c>
      <c r="AE590" s="27">
        <f>IF(AND(AC590="yes",ISNUMBER(F590),IF('Compare'!$H$5="All mapped",TRUE,IF('Compare'!$H$5="EXACT only",J590="EXACT",OR(J590="EXACT",J590="CLOSE")))),"yes","no")</f>
        <v/>
      </c>
      <c r="AF590" s="27">
        <f>IF(ISNUMBER(H590),COUNTIFS($B$7:$B$608,B590,$C$7:$C$608,C590,$H$7:$H$608,"&lt;"&amp;H590,$AH$7:$AH$608,"yes")+COUNTIFS($B$7:B590,B590,$C$7:C590,C590,$H$7:H590,H590,$AH$7:AH590,"yes"),"")</f>
        <v/>
      </c>
      <c r="AG590" s="27">
        <f>IF(ISNUMBER(I590),COUNTIFS($B$7:$B$608,B590,$C$7:$C$608,C590,$I$7:$I$608,"&lt;"&amp;I590,$AI$7:$AI$608,"yes")+COUNTIFS($B$7:B590,B590,$C$7:C590,C590,$I$7:I590,I590,$AI$7:AI590,"yes"),"")</f>
        <v/>
      </c>
      <c r="AH590" s="27">
        <f>IF(ISNUMBER(H590),"yes","no")</f>
        <v/>
      </c>
      <c r="AI590" s="27">
        <f>IF(ISNUMBER(I590),"yes","no")</f>
        <v/>
      </c>
      <c r="AJ590" s="105" t="n">
        <v>46295</v>
      </c>
      <c r="AK590" s="27" t="n"/>
    </row>
    <row r="591" ht="42" customHeight="1">
      <c r="A591" s="2" t="n"/>
      <c r="B591" s="24" t="inlineStr">
        <is>
          <t>GN 1/1 PC container, 65 mm</t>
        </is>
      </c>
      <c r="C591" s="24" t="inlineStr">
        <is>
          <t>Austria</t>
        </is>
      </c>
      <c r="D591" s="24" t="inlineStr">
        <is>
          <t>GGM Gastro (Austrian storefront)</t>
        </is>
      </c>
      <c r="E591" s="24" t="inlineStr">
        <is>
          <t>(6 Stück) Polycarbonat-Behälter GN 1/1 - Transparent - Höhe: 65mm</t>
        </is>
      </c>
      <c r="F591" s="98" t="n">
        <v>46.99</v>
      </c>
      <c r="G591" s="24" t="inlineStr">
        <is>
          <t>EUR</t>
        </is>
      </c>
      <c r="H591" s="98">
        <f>IF(AND(AE591="yes",ISNUMBER(AD591)),AD591,"")</f>
        <v/>
      </c>
      <c r="I591" s="99">
        <f>IF(AND(AE591="yes",ISNUMBER(AD591),ISNUMBER(INDEX('Sources'!$G$7:$G$10,MATCH(AB591,'Sources'!$B$7:$B$10,0)))),AD591/INDEX('Sources'!$G$7:$G$10,MATCH(AB591,'Sources'!$B$7:$B$10,0)),"")</f>
        <v/>
      </c>
      <c r="J591" s="24" t="inlineStr">
        <is>
          <t>EXACT</t>
        </is>
      </c>
      <c r="K591" s="24" t="inlineStr">
        <is>
          <t>2026-09-30</t>
        </is>
      </c>
      <c r="L591" s="71" t="n"/>
      <c r="M591" s="24" t="inlineStr">
        <is>
          <t>RRP 87.99</t>
        </is>
      </c>
      <c r="N591" s="25" t="inlineStr">
        <is>
          <t>https://www.ggmgastro.com/de-at-eur/6-stueck-polycarbonat-behaelter-gn-1-1-transparent-hoehe-65mm-gpcp1165</t>
        </is>
      </c>
      <c r="O591" s="24" t="inlineStr">
        <is>
          <t>GGM</t>
        </is>
      </c>
      <c r="P591" s="24" t="inlineStr">
        <is>
          <t>excl.</t>
        </is>
      </c>
      <c r="Q591" s="100" t="n"/>
      <c r="R591" s="24" t="n">
        <v>6</v>
      </c>
      <c r="S591" s="24" t="inlineStr">
        <is>
          <t>set of 6</t>
        </is>
      </c>
      <c r="T591" s="24" t="inlineStr">
        <is>
          <t>EXACT</t>
        </is>
      </c>
      <c r="U591" s="24" t="inlineStr">
        <is>
          <t>Current research_AT.xlsx row (added after live check on 30 Sep 2026). Original assignment and match quality retained.</t>
        </is>
      </c>
      <c r="V591" s="98" t="n">
        <v>7.83</v>
      </c>
      <c r="W591" s="98" t="n"/>
      <c r="X591" s="24" t="inlineStr">
        <is>
          <t>research_AT.xlsx</t>
        </is>
      </c>
      <c r="Y591" s="24" t="n"/>
      <c r="Z591" s="24" t="n"/>
      <c r="AA591" s="24" t="n"/>
      <c r="AB591" s="24" t="inlineStr">
        <is>
          <t>EUR</t>
        </is>
      </c>
      <c r="AC591" s="24" t="inlineStr">
        <is>
          <t>yes</t>
        </is>
      </c>
      <c r="AD591" s="24">
        <f>IF(ISNUMBER(V591),V591,"")</f>
        <v/>
      </c>
      <c r="AE591" s="24">
        <f>IF(AND(AC591="yes",ISNUMBER(F591),IF('Compare'!$H$5="All mapped",TRUE,IF('Compare'!$H$5="EXACT only",J591="EXACT",OR(J591="EXACT",J591="CLOSE")))),"yes","no")</f>
        <v/>
      </c>
      <c r="AF591" s="24">
        <f>IF(ISNUMBER(H591),COUNTIFS($B$7:$B$608,B591,$C$7:$C$608,C591,$H$7:$H$608,"&lt;"&amp;H591,$AH$7:$AH$608,"yes")+COUNTIFS($B$7:B591,B591,$C$7:C591,C591,$H$7:H591,H591,$AH$7:AH591,"yes"),"")</f>
        <v/>
      </c>
      <c r="AG591" s="24">
        <f>IF(ISNUMBER(I591),COUNTIFS($B$7:$B$608,B591,$C$7:$C$608,C591,$I$7:$I$608,"&lt;"&amp;I591,$AI$7:$AI$608,"yes")+COUNTIFS($B$7:B591,B591,$C$7:C591,C591,$I$7:I591,I591,$AI$7:AI591,"yes"),"")</f>
        <v/>
      </c>
      <c r="AH591" s="24">
        <f>IF(ISNUMBER(H591),"yes","no")</f>
        <v/>
      </c>
      <c r="AI591" s="24">
        <f>IF(ISNUMBER(I591),"yes","no")</f>
        <v/>
      </c>
      <c r="AJ591" s="101" t="n">
        <v>46295</v>
      </c>
      <c r="AK591" s="24" t="n"/>
    </row>
    <row r="592" ht="42" customHeight="1">
      <c r="A592" s="2" t="n"/>
      <c r="B592" s="24" t="inlineStr">
        <is>
          <t>GN 1/1 PC container, 65 mm</t>
        </is>
      </c>
      <c r="C592" s="24" t="inlineStr">
        <is>
          <t>Austria</t>
        </is>
      </c>
      <c r="D592" s="24" t="inlineStr">
        <is>
          <t>Gastro Star</t>
        </is>
      </c>
      <c r="E592" s="24" t="inlineStr">
        <is>
          <t>RIEBER GN 1/1 Polycarbonat-Behälter - Tiefe 65mm</t>
        </is>
      </c>
      <c r="F592" s="98" t="n">
        <v>23</v>
      </c>
      <c r="G592" s="24" t="inlineStr">
        <is>
          <t>EUR</t>
        </is>
      </c>
      <c r="H592" s="98">
        <f>IF(AND(AE592="yes",ISNUMBER(AD592)),AD592,"")</f>
        <v/>
      </c>
      <c r="I592" s="99">
        <f>IF(AND(AE592="yes",ISNUMBER(AD592),ISNUMBER(INDEX('Sources'!$G$7:$G$10,MATCH(AB592,'Sources'!$B$7:$B$10,0)))),AD592/INDEX('Sources'!$G$7:$G$10,MATCH(AB592,'Sources'!$B$7:$B$10,0)),"")</f>
        <v/>
      </c>
      <c r="J592" s="24" t="inlineStr">
        <is>
          <t>EXACT</t>
        </is>
      </c>
      <c r="K592" s="24" t="inlineStr">
        <is>
          <t>2026-09-30</t>
        </is>
      </c>
      <c r="L592" s="71" t="n"/>
      <c r="M592" s="24" t="inlineStr">
        <is>
          <t>Gross 27.60</t>
        </is>
      </c>
      <c r="N592" s="25" t="inlineStr">
        <is>
          <t>https://www.gastro-star.at/produkt/riebergn11polycarbonat-behaelter-tiefe65mm/</t>
        </is>
      </c>
      <c r="O592" s="24" t="inlineStr">
        <is>
          <t>Rieber</t>
        </is>
      </c>
      <c r="P592" s="24" t="inlineStr">
        <is>
          <t>excl.</t>
        </is>
      </c>
      <c r="Q592" s="100" t="n"/>
      <c r="R592" s="24" t="n">
        <v>1</v>
      </c>
      <c r="S592" s="24" t="n"/>
      <c r="T592" s="24" t="inlineStr">
        <is>
          <t>EXACT</t>
        </is>
      </c>
      <c r="U592" s="24" t="inlineStr">
        <is>
          <t>Current research_AT.xlsx row (added after live check on 30 Sep 2026). Original assignment and match quality retained.</t>
        </is>
      </c>
      <c r="V592" s="98" t="n">
        <v>23</v>
      </c>
      <c r="W592" s="98" t="n"/>
      <c r="X592" s="24" t="inlineStr">
        <is>
          <t>research_AT.xlsx</t>
        </is>
      </c>
      <c r="Y592" s="24" t="n"/>
      <c r="Z592" s="24" t="n"/>
      <c r="AA592" s="24" t="n"/>
      <c r="AB592" s="24" t="inlineStr">
        <is>
          <t>EUR</t>
        </is>
      </c>
      <c r="AC592" s="24" t="inlineStr">
        <is>
          <t>yes</t>
        </is>
      </c>
      <c r="AD592" s="24">
        <f>IF(ISNUMBER(V592),V592,"")</f>
        <v/>
      </c>
      <c r="AE592" s="24">
        <f>IF(AND(AC592="yes",ISNUMBER(F592),IF('Compare'!$H$5="All mapped",TRUE,IF('Compare'!$H$5="EXACT only",J592="EXACT",OR(J592="EXACT",J592="CLOSE")))),"yes","no")</f>
        <v/>
      </c>
      <c r="AF592" s="24">
        <f>IF(ISNUMBER(H592),COUNTIFS($B$7:$B$608,B592,$C$7:$C$608,C592,$H$7:$H$608,"&lt;"&amp;H592,$AH$7:$AH$608,"yes")+COUNTIFS($B$7:B592,B592,$C$7:C592,C592,$H$7:H592,H592,$AH$7:AH592,"yes"),"")</f>
        <v/>
      </c>
      <c r="AG592" s="24">
        <f>IF(ISNUMBER(I592),COUNTIFS($B$7:$B$608,B592,$C$7:$C$608,C592,$I$7:$I$608,"&lt;"&amp;I592,$AI$7:$AI$608,"yes")+COUNTIFS($B$7:B592,B592,$C$7:C592,C592,$I$7:I592,I592,$AI$7:AI592,"yes"),"")</f>
        <v/>
      </c>
      <c r="AH592" s="24">
        <f>IF(ISNUMBER(H592),"yes","no")</f>
        <v/>
      </c>
      <c r="AI592" s="24">
        <f>IF(ISNUMBER(I592),"yes","no")</f>
        <v/>
      </c>
      <c r="AJ592" s="101" t="n">
        <v>46295</v>
      </c>
      <c r="AK592" s="24" t="n"/>
    </row>
    <row r="593" ht="42" customHeight="1">
      <c r="A593" s="2" t="n"/>
      <c r="B593" s="24" t="inlineStr">
        <is>
          <t>GN 1/2 PC container, 150 mm</t>
        </is>
      </c>
      <c r="C593" s="24" t="inlineStr">
        <is>
          <t>Austria</t>
        </is>
      </c>
      <c r="D593" s="24" t="inlineStr">
        <is>
          <t>GGM Gastro (Austrian storefront)</t>
        </is>
      </c>
      <c r="E593" s="24" t="inlineStr">
        <is>
          <t>(6 Stück) CAMBRO CAMVIEW Copolymer-Behälter GN 1/2 - Höhe 150mm - BPA-frei</t>
        </is>
      </c>
      <c r="F593" s="98" t="n">
        <v>60.99</v>
      </c>
      <c r="G593" s="24" t="inlineStr">
        <is>
          <t>EUR</t>
        </is>
      </c>
      <c r="H593" s="98">
        <f>IF(AND(AE593="yes",ISNUMBER(AD593)),AD593,"")</f>
        <v/>
      </c>
      <c r="I593" s="99">
        <f>IF(AND(AE593="yes",ISNUMBER(AD593),ISNUMBER(INDEX('Sources'!$G$7:$G$10,MATCH(AB593,'Sources'!$B$7:$B$10,0)))),AD593/INDEX('Sources'!$G$7:$G$10,MATCH(AB593,'Sources'!$B$7:$B$10,0)),"")</f>
        <v/>
      </c>
      <c r="J593" s="24" t="inlineStr">
        <is>
          <t>APPROX</t>
        </is>
      </c>
      <c r="K593" s="24" t="inlineStr">
        <is>
          <t>2026-09-30</t>
        </is>
      </c>
      <c r="L593" s="71" t="n"/>
      <c r="M593" s="24" t="inlineStr">
        <is>
          <t>Copolyester (Tritan-type), not polycarbonate; no PC GN 1/2 150 mm found in GGM sitemap</t>
        </is>
      </c>
      <c r="N593" s="25" t="inlineStr">
        <is>
          <t>https://www.ggmgastro.com/de-at-eur/6-stueck-cambro-camview-r-copolymer-behaelter-gn-1-2-transparent-hoehe-150mm-bpa-frei-26cv135</t>
        </is>
      </c>
      <c r="O593" s="24" t="inlineStr">
        <is>
          <t>Cambro</t>
        </is>
      </c>
      <c r="P593" s="24" t="inlineStr">
        <is>
          <t>excl.</t>
        </is>
      </c>
      <c r="Q593" s="100" t="n"/>
      <c r="R593" s="24" t="n">
        <v>6</v>
      </c>
      <c r="S593" s="24" t="inlineStr">
        <is>
          <t>set of 6</t>
        </is>
      </c>
      <c r="T593" s="24" t="inlineStr">
        <is>
          <t>APPROX</t>
        </is>
      </c>
      <c r="U593" s="24" t="inlineStr">
        <is>
          <t>Current research_AT.xlsx row (added after live check on 30 Sep 2026). Original assignment and match quality retained.</t>
        </is>
      </c>
      <c r="V593" s="98" t="n">
        <v>10.17</v>
      </c>
      <c r="W593" s="98" t="n"/>
      <c r="X593" s="24" t="inlineStr">
        <is>
          <t>research_AT.xlsx</t>
        </is>
      </c>
      <c r="Y593" s="24" t="n"/>
      <c r="Z593" s="24" t="n"/>
      <c r="AA593" s="24" t="n"/>
      <c r="AB593" s="24" t="inlineStr">
        <is>
          <t>EUR</t>
        </is>
      </c>
      <c r="AC593" s="24" t="inlineStr">
        <is>
          <t>yes</t>
        </is>
      </c>
      <c r="AD593" s="24">
        <f>IF(ISNUMBER(V593),V593,"")</f>
        <v/>
      </c>
      <c r="AE593" s="24">
        <f>IF(AND(AC593="yes",ISNUMBER(F593),IF('Compare'!$H$5="All mapped",TRUE,IF('Compare'!$H$5="EXACT only",J593="EXACT",OR(J593="EXACT",J593="CLOSE")))),"yes","no")</f>
        <v/>
      </c>
      <c r="AF593" s="24">
        <f>IF(ISNUMBER(H593),COUNTIFS($B$7:$B$608,B593,$C$7:$C$608,C593,$H$7:$H$608,"&lt;"&amp;H593,$AH$7:$AH$608,"yes")+COUNTIFS($B$7:B593,B593,$C$7:C593,C593,$H$7:H593,H593,$AH$7:AH593,"yes"),"")</f>
        <v/>
      </c>
      <c r="AG593" s="24">
        <f>IF(ISNUMBER(I593),COUNTIFS($B$7:$B$608,B593,$C$7:$C$608,C593,$I$7:$I$608,"&lt;"&amp;I593,$AI$7:$AI$608,"yes")+COUNTIFS($B$7:B593,B593,$C$7:C593,C593,$I$7:I593,I593,$AI$7:AI593,"yes"),"")</f>
        <v/>
      </c>
      <c r="AH593" s="24">
        <f>IF(ISNUMBER(H593),"yes","no")</f>
        <v/>
      </c>
      <c r="AI593" s="24">
        <f>IF(ISNUMBER(I593),"yes","no")</f>
        <v/>
      </c>
      <c r="AJ593" s="101" t="n">
        <v>46295</v>
      </c>
      <c r="AK593" s="24" t="n"/>
    </row>
    <row r="594" ht="42" customHeight="1">
      <c r="A594" s="2" t="n"/>
      <c r="B594" s="24" t="inlineStr">
        <is>
          <t>GN 1/2 PC container, 150 mm</t>
        </is>
      </c>
      <c r="C594" s="24" t="inlineStr">
        <is>
          <t>Austria</t>
        </is>
      </c>
      <c r="D594" s="24" t="inlineStr">
        <is>
          <t>Gastro Star</t>
        </is>
      </c>
      <c r="E594" s="24" t="inlineStr">
        <is>
          <t>RIEBER GN 1/2 Polycarbonat-Behälter - Tiefe 150mm</t>
        </is>
      </c>
      <c r="F594" s="98" t="n">
        <v>21</v>
      </c>
      <c r="G594" s="24" t="inlineStr">
        <is>
          <t>EUR</t>
        </is>
      </c>
      <c r="H594" s="98">
        <f>IF(AND(AE594="yes",ISNUMBER(AD594)),AD594,"")</f>
        <v/>
      </c>
      <c r="I594" s="99">
        <f>IF(AND(AE594="yes",ISNUMBER(AD594),ISNUMBER(INDEX('Sources'!$G$7:$G$10,MATCH(AB594,'Sources'!$B$7:$B$10,0)))),AD594/INDEX('Sources'!$G$7:$G$10,MATCH(AB594,'Sources'!$B$7:$B$10,0)),"")</f>
        <v/>
      </c>
      <c r="J594" s="24" t="inlineStr">
        <is>
          <t>EXACT</t>
        </is>
      </c>
      <c r="K594" s="24" t="inlineStr">
        <is>
          <t>2026-09-30</t>
        </is>
      </c>
      <c r="L594" s="71" t="n"/>
      <c r="M594" s="24" t="inlineStr">
        <is>
          <t>Gross 25.20</t>
        </is>
      </c>
      <c r="N594" s="25" t="inlineStr">
        <is>
          <t>https://www.gastro-star.at/produkt/riebergn12polycarbonat-behaelter-tiefe150mm/</t>
        </is>
      </c>
      <c r="O594" s="24" t="inlineStr">
        <is>
          <t>Rieber</t>
        </is>
      </c>
      <c r="P594" s="24" t="inlineStr">
        <is>
          <t>excl.</t>
        </is>
      </c>
      <c r="Q594" s="100" t="n"/>
      <c r="R594" s="24" t="n">
        <v>1</v>
      </c>
      <c r="S594" s="24" t="n"/>
      <c r="T594" s="24" t="inlineStr">
        <is>
          <t>EXACT</t>
        </is>
      </c>
      <c r="U594" s="24" t="inlineStr">
        <is>
          <t>Current research_AT.xlsx row (added after live check on 30 Sep 2026). Original assignment and match quality retained.</t>
        </is>
      </c>
      <c r="V594" s="98" t="n">
        <v>21</v>
      </c>
      <c r="W594" s="98" t="n"/>
      <c r="X594" s="24" t="inlineStr">
        <is>
          <t>research_AT.xlsx</t>
        </is>
      </c>
      <c r="Y594" s="24" t="n"/>
      <c r="Z594" s="24" t="n"/>
      <c r="AA594" s="24" t="n"/>
      <c r="AB594" s="24" t="inlineStr">
        <is>
          <t>EUR</t>
        </is>
      </c>
      <c r="AC594" s="24" t="inlineStr">
        <is>
          <t>yes</t>
        </is>
      </c>
      <c r="AD594" s="24">
        <f>IF(ISNUMBER(V594),V594,"")</f>
        <v/>
      </c>
      <c r="AE594" s="24">
        <f>IF(AND(AC594="yes",ISNUMBER(F594),IF('Compare'!$H$5="All mapped",TRUE,IF('Compare'!$H$5="EXACT only",J594="EXACT",OR(J594="EXACT",J594="CLOSE")))),"yes","no")</f>
        <v/>
      </c>
      <c r="AF594" s="24">
        <f>IF(ISNUMBER(H594),COUNTIFS($B$7:$B$608,B594,$C$7:$C$608,C594,$H$7:$H$608,"&lt;"&amp;H594,$AH$7:$AH$608,"yes")+COUNTIFS($B$7:B594,B594,$C$7:C594,C594,$H$7:H594,H594,$AH$7:AH594,"yes"),"")</f>
        <v/>
      </c>
      <c r="AG594" s="24">
        <f>IF(ISNUMBER(I594),COUNTIFS($B$7:$B$608,B594,$C$7:$C$608,C594,$I$7:$I$608,"&lt;"&amp;I594,$AI$7:$AI$608,"yes")+COUNTIFS($B$7:B594,B594,$C$7:C594,C594,$I$7:I594,I594,$AI$7:AI594,"yes"),"")</f>
        <v/>
      </c>
      <c r="AH594" s="24">
        <f>IF(ISNUMBER(H594),"yes","no")</f>
        <v/>
      </c>
      <c r="AI594" s="24">
        <f>IF(ISNUMBER(I594),"yes","no")</f>
        <v/>
      </c>
      <c r="AJ594" s="101" t="n">
        <v>46295</v>
      </c>
      <c r="AK594" s="24" t="n"/>
    </row>
    <row r="595" ht="42" customHeight="1">
      <c r="A595" s="2" t="n"/>
      <c r="B595" s="24" t="inlineStr">
        <is>
          <t>GN 1/3 PP container, 100 mm</t>
        </is>
      </c>
      <c r="C595" s="24" t="inlineStr">
        <is>
          <t>Austria</t>
        </is>
      </c>
      <c r="D595" s="24" t="inlineStr">
        <is>
          <t>GGM Gastro (Austrian storefront)</t>
        </is>
      </c>
      <c r="E595" s="24" t="inlineStr">
        <is>
          <t>(12 Stück) Polypropylen-Behälter GN 1/3 - Milchig - Höhe: 100mm</t>
        </is>
      </c>
      <c r="F595" s="98" t="n">
        <v>39.99</v>
      </c>
      <c r="G595" s="24" t="inlineStr">
        <is>
          <t>EUR</t>
        </is>
      </c>
      <c r="H595" s="98">
        <f>IF(AND(AE595="yes",ISNUMBER(AD595)),AD595,"")</f>
        <v/>
      </c>
      <c r="I595" s="99">
        <f>IF(AND(AE595="yes",ISNUMBER(AD595),ISNUMBER(INDEX('Sources'!$G$7:$G$10,MATCH(AB595,'Sources'!$B$7:$B$10,0)))),AD595/INDEX('Sources'!$G$7:$G$10,MATCH(AB595,'Sources'!$B$7:$B$10,0)),"")</f>
        <v/>
      </c>
      <c r="J595" s="24" t="inlineStr">
        <is>
          <t>EXACT</t>
        </is>
      </c>
      <c r="K595" s="24" t="inlineStr">
        <is>
          <t>2026-09-30</t>
        </is>
      </c>
      <c r="L595" s="71" t="n"/>
      <c r="M595" s="24" t="inlineStr">
        <is>
          <t>The 6-piece version of the same item is listed at 175.99 net (looks like a listing error; not used)</t>
        </is>
      </c>
      <c r="N595" s="25" t="inlineStr">
        <is>
          <t>https://www.ggmgastro.com/de-at-eur/12-stueck-polypropylen-behaelter-gn-1-3-milchig-hoehe-100mm-gpp13100</t>
        </is>
      </c>
      <c r="O595" s="24" t="inlineStr">
        <is>
          <t>GGM</t>
        </is>
      </c>
      <c r="P595" s="24" t="inlineStr">
        <is>
          <t>excl.</t>
        </is>
      </c>
      <c r="Q595" s="100" t="n"/>
      <c r="R595" s="24" t="n">
        <v>12</v>
      </c>
      <c r="S595" s="24" t="inlineStr">
        <is>
          <t>set of 12</t>
        </is>
      </c>
      <c r="T595" s="24" t="inlineStr">
        <is>
          <t>EXACT</t>
        </is>
      </c>
      <c r="U595" s="24" t="inlineStr">
        <is>
          <t>Current research_AT.xlsx row (added after live check on 30 Sep 2026). Original assignment and match quality retained.</t>
        </is>
      </c>
      <c r="V595" s="98" t="n">
        <v>3.33</v>
      </c>
      <c r="W595" s="98" t="n"/>
      <c r="X595" s="24" t="inlineStr">
        <is>
          <t>research_AT.xlsx</t>
        </is>
      </c>
      <c r="Y595" s="24" t="n"/>
      <c r="Z595" s="24" t="n"/>
      <c r="AA595" s="24" t="n"/>
      <c r="AB595" s="24" t="inlineStr">
        <is>
          <t>EUR</t>
        </is>
      </c>
      <c r="AC595" s="24" t="inlineStr">
        <is>
          <t>yes</t>
        </is>
      </c>
      <c r="AD595" s="24">
        <f>IF(ISNUMBER(V595),V595,"")</f>
        <v/>
      </c>
      <c r="AE595" s="24">
        <f>IF(AND(AC595="yes",ISNUMBER(F595),IF('Compare'!$H$5="All mapped",TRUE,IF('Compare'!$H$5="EXACT only",J595="EXACT",OR(J595="EXACT",J595="CLOSE")))),"yes","no")</f>
        <v/>
      </c>
      <c r="AF595" s="24">
        <f>IF(ISNUMBER(H595),COUNTIFS($B$7:$B$608,B595,$C$7:$C$608,C595,$H$7:$H$608,"&lt;"&amp;H595,$AH$7:$AH$608,"yes")+COUNTIFS($B$7:B595,B595,$C$7:C595,C595,$H$7:H595,H595,$AH$7:AH595,"yes"),"")</f>
        <v/>
      </c>
      <c r="AG595" s="24">
        <f>IF(ISNUMBER(I595),COUNTIFS($B$7:$B$608,B595,$C$7:$C$608,C595,$I$7:$I$608,"&lt;"&amp;I595,$AI$7:$AI$608,"yes")+COUNTIFS($B$7:B595,B595,$C$7:C595,C595,$I$7:I595,I595,$AI$7:AI595,"yes"),"")</f>
        <v/>
      </c>
      <c r="AH595" s="24">
        <f>IF(ISNUMBER(H595),"yes","no")</f>
        <v/>
      </c>
      <c r="AI595" s="24">
        <f>IF(ISNUMBER(I595),"yes","no")</f>
        <v/>
      </c>
      <c r="AJ595" s="101" t="n">
        <v>46295</v>
      </c>
      <c r="AK595" s="24" t="n"/>
    </row>
    <row r="596" ht="42" customHeight="1">
      <c r="A596" s="2" t="n"/>
      <c r="B596" s="24" t="inlineStr">
        <is>
          <t>GN 1/3 PP container, 100 mm</t>
        </is>
      </c>
      <c r="C596" s="24" t="inlineStr">
        <is>
          <t>Austria</t>
        </is>
      </c>
      <c r="D596" s="24" t="inlineStr">
        <is>
          <t>Gastro Star</t>
        </is>
      </c>
      <c r="E596" s="24" t="inlineStr">
        <is>
          <t>Polypropylen Behälter GN 1/3 – 325x176x100mm</t>
        </is>
      </c>
      <c r="F596" s="98" t="n">
        <v>4.75</v>
      </c>
      <c r="G596" s="24" t="inlineStr">
        <is>
          <t>EUR</t>
        </is>
      </c>
      <c r="H596" s="98">
        <f>IF(AND(AE596="yes",ISNUMBER(AD596)),AD596,"")</f>
        <v/>
      </c>
      <c r="I596" s="99">
        <f>IF(AND(AE596="yes",ISNUMBER(AD596),ISNUMBER(INDEX('Sources'!$G$7:$G$10,MATCH(AB596,'Sources'!$B$7:$B$10,0)))),AD596/INDEX('Sources'!$G$7:$G$10,MATCH(AB596,'Sources'!$B$7:$B$10,0)),"")</f>
        <v/>
      </c>
      <c r="J596" s="24" t="inlineStr">
        <is>
          <t>EXACT</t>
        </is>
      </c>
      <c r="K596" s="24" t="inlineStr">
        <is>
          <t>2026-09-30</t>
        </is>
      </c>
      <c r="L596" s="71" t="n"/>
      <c r="M596" s="24" t="inlineStr">
        <is>
          <t>4 l; gross 5.70</t>
        </is>
      </c>
      <c r="N596" s="25" t="inlineStr">
        <is>
          <t>https://www.gastro-star.at/produkt/polypropylenbehaeltergn13-325x176x100mm/</t>
        </is>
      </c>
      <c r="O596" s="24" t="inlineStr">
        <is>
          <t>Hendi</t>
        </is>
      </c>
      <c r="P596" s="24" t="inlineStr">
        <is>
          <t>excl.</t>
        </is>
      </c>
      <c r="Q596" s="100" t="n"/>
      <c r="R596" s="24" t="n">
        <v>1</v>
      </c>
      <c r="S596" s="24" t="n"/>
      <c r="T596" s="24" t="inlineStr">
        <is>
          <t>EXACT</t>
        </is>
      </c>
      <c r="U596" s="24" t="inlineStr">
        <is>
          <t>Current research_AT.xlsx row (added after live check on 30 Sep 2026). Original assignment and match quality retained.</t>
        </is>
      </c>
      <c r="V596" s="98" t="n">
        <v>4.75</v>
      </c>
      <c r="W596" s="98" t="n"/>
      <c r="X596" s="24" t="inlineStr">
        <is>
          <t>research_AT.xlsx</t>
        </is>
      </c>
      <c r="Y596" s="24" t="n"/>
      <c r="Z596" s="24" t="n"/>
      <c r="AA596" s="24" t="n"/>
      <c r="AB596" s="24" t="inlineStr">
        <is>
          <t>EUR</t>
        </is>
      </c>
      <c r="AC596" s="24" t="inlineStr">
        <is>
          <t>yes</t>
        </is>
      </c>
      <c r="AD596" s="24">
        <f>IF(ISNUMBER(V596),V596,"")</f>
        <v/>
      </c>
      <c r="AE596" s="24">
        <f>IF(AND(AC596="yes",ISNUMBER(F596),IF('Compare'!$H$5="All mapped",TRUE,IF('Compare'!$H$5="EXACT only",J596="EXACT",OR(J596="EXACT",J596="CLOSE")))),"yes","no")</f>
        <v/>
      </c>
      <c r="AF596" s="24">
        <f>IF(ISNUMBER(H596),COUNTIFS($B$7:$B$608,B596,$C$7:$C$608,C596,$H$7:$H$608,"&lt;"&amp;H596,$AH$7:$AH$608,"yes")+COUNTIFS($B$7:B596,B596,$C$7:C596,C596,$H$7:H596,H596,$AH$7:AH596,"yes"),"")</f>
        <v/>
      </c>
      <c r="AG596" s="24">
        <f>IF(ISNUMBER(I596),COUNTIFS($B$7:$B$608,B596,$C$7:$C$608,C596,$I$7:$I$608,"&lt;"&amp;I596,$AI$7:$AI$608,"yes")+COUNTIFS($B$7:B596,B596,$C$7:C596,C596,$I$7:I596,I596,$AI$7:AI596,"yes"),"")</f>
        <v/>
      </c>
      <c r="AH596" s="24">
        <f>IF(ISNUMBER(H596),"yes","no")</f>
        <v/>
      </c>
      <c r="AI596" s="24">
        <f>IF(ISNUMBER(I596),"yes","no")</f>
        <v/>
      </c>
      <c r="AJ596" s="101" t="n">
        <v>46295</v>
      </c>
      <c r="AK596" s="24" t="n"/>
    </row>
    <row r="597" ht="42" customHeight="1">
      <c r="A597" s="2" t="n"/>
      <c r="B597" s="24" t="inlineStr">
        <is>
          <t>GN 1/1 PP lid</t>
        </is>
      </c>
      <c r="C597" s="24" t="inlineStr">
        <is>
          <t>Austria</t>
        </is>
      </c>
      <c r="D597" s="24" t="inlineStr">
        <is>
          <t>GGM Gastro (Austrian storefront)</t>
        </is>
      </c>
      <c r="E597" s="24" t="inlineStr">
        <is>
          <t>(12 Stück) Polypropylen-Deckel GN 1/1 - Milchig - mit 24 Codierclips</t>
        </is>
      </c>
      <c r="F597" s="98" t="n">
        <v>29.49</v>
      </c>
      <c r="G597" s="24" t="inlineStr">
        <is>
          <t>EUR</t>
        </is>
      </c>
      <c r="H597" s="98">
        <f>IF(AND(AE597="yes",ISNUMBER(AD597)),AD597,"")</f>
        <v/>
      </c>
      <c r="I597" s="99">
        <f>IF(AND(AE597="yes",ISNUMBER(AD597),ISNUMBER(INDEX('Sources'!$G$7:$G$10,MATCH(AB597,'Sources'!$B$7:$B$10,0)))),AD597/INDEX('Sources'!$G$7:$G$10,MATCH(AB597,'Sources'!$B$7:$B$10,0)),"")</f>
        <v/>
      </c>
      <c r="J597" s="24" t="inlineStr">
        <is>
          <t>EXACT</t>
        </is>
      </c>
      <c r="K597" s="24" t="inlineStr">
        <is>
          <t>2026-09-30</t>
        </is>
      </c>
      <c r="L597" s="71" t="n"/>
      <c r="M597" s="24" t="inlineStr">
        <is>
          <t>Title says 12 pcs but spec table says 'Set Menge 6 Stk' - conflicting; if 6 pcs, net/pc would be 4.92</t>
        </is>
      </c>
      <c r="N597" s="25" t="inlineStr">
        <is>
          <t>https://www.ggmgastro.com/de-at-eur/12-stueck-polypropylen-deckel-gn-1-1-milchig-mit-24-codierclips-gppl11-12</t>
        </is>
      </c>
      <c r="O597" s="24" t="inlineStr">
        <is>
          <t>GGM</t>
        </is>
      </c>
      <c r="P597" s="24" t="inlineStr">
        <is>
          <t>excl.</t>
        </is>
      </c>
      <c r="Q597" s="100" t="n"/>
      <c r="R597" s="24" t="n">
        <v>12</v>
      </c>
      <c r="S597" s="24" t="inlineStr">
        <is>
          <t>set of 12 (per title)</t>
        </is>
      </c>
      <c r="T597" s="24" t="inlineStr">
        <is>
          <t>EXACT</t>
        </is>
      </c>
      <c r="U597" s="24" t="inlineStr">
        <is>
          <t>Current research_AT.xlsx row (added after live check on 30 Sep 2026). Original assignment and match quality retained.</t>
        </is>
      </c>
      <c r="V597" s="98" t="n">
        <v>2.46</v>
      </c>
      <c r="W597" s="98" t="n"/>
      <c r="X597" s="24" t="inlineStr">
        <is>
          <t>research_AT.xlsx</t>
        </is>
      </c>
      <c r="Y597" s="24" t="n"/>
      <c r="Z597" s="24" t="n"/>
      <c r="AA597" s="24" t="n"/>
      <c r="AB597" s="24" t="inlineStr">
        <is>
          <t>EUR</t>
        </is>
      </c>
      <c r="AC597" s="24" t="inlineStr">
        <is>
          <t>yes</t>
        </is>
      </c>
      <c r="AD597" s="24">
        <f>IF(ISNUMBER(V597),V597,"")</f>
        <v/>
      </c>
      <c r="AE597" s="24">
        <f>IF(AND(AC597="yes",ISNUMBER(F597),IF('Compare'!$H$5="All mapped",TRUE,IF('Compare'!$H$5="EXACT only",J597="EXACT",OR(J597="EXACT",J597="CLOSE")))),"yes","no")</f>
        <v/>
      </c>
      <c r="AF597" s="24">
        <f>IF(ISNUMBER(H597),COUNTIFS($B$7:$B$608,B597,$C$7:$C$608,C597,$H$7:$H$608,"&lt;"&amp;H597,$AH$7:$AH$608,"yes")+COUNTIFS($B$7:B597,B597,$C$7:C597,C597,$H$7:H597,H597,$AH$7:AH597,"yes"),"")</f>
        <v/>
      </c>
      <c r="AG597" s="24">
        <f>IF(ISNUMBER(I597),COUNTIFS($B$7:$B$608,B597,$C$7:$C$608,C597,$I$7:$I$608,"&lt;"&amp;I597,$AI$7:$AI$608,"yes")+COUNTIFS($B$7:B597,B597,$C$7:C597,C597,$I$7:I597,I597,$AI$7:AI597,"yes"),"")</f>
        <v/>
      </c>
      <c r="AH597" s="24">
        <f>IF(ISNUMBER(H597),"yes","no")</f>
        <v/>
      </c>
      <c r="AI597" s="24">
        <f>IF(ISNUMBER(I597),"yes","no")</f>
        <v/>
      </c>
      <c r="AJ597" s="101" t="n">
        <v>46295</v>
      </c>
      <c r="AK597" s="24" t="n"/>
    </row>
    <row r="598" ht="42" customHeight="1">
      <c r="A598" s="2" t="n"/>
      <c r="B598" s="24" t="inlineStr">
        <is>
          <t>GN 1/1 PP lid</t>
        </is>
      </c>
      <c r="C598" s="24" t="inlineStr">
        <is>
          <t>Austria</t>
        </is>
      </c>
      <c r="D598" s="24" t="inlineStr">
        <is>
          <t>Gastro Star</t>
        </is>
      </c>
      <c r="E598" s="24" t="inlineStr">
        <is>
          <t>Polypropylen Deckel GN 1/1</t>
        </is>
      </c>
      <c r="F598" s="98" t="n">
        <v>5.55</v>
      </c>
      <c r="G598" s="24" t="inlineStr">
        <is>
          <t>EUR</t>
        </is>
      </c>
      <c r="H598" s="98">
        <f>IF(AND(AE598="yes",ISNUMBER(AD598)),AD598,"")</f>
        <v/>
      </c>
      <c r="I598" s="99">
        <f>IF(AND(AE598="yes",ISNUMBER(AD598),ISNUMBER(INDEX('Sources'!$G$7:$G$10,MATCH(AB598,'Sources'!$B$7:$B$10,0)))),AD598/INDEX('Sources'!$G$7:$G$10,MATCH(AB598,'Sources'!$B$7:$B$10,0)),"")</f>
        <v/>
      </c>
      <c r="J598" s="24" t="inlineStr">
        <is>
          <t>EXACT</t>
        </is>
      </c>
      <c r="K598" s="24" t="inlineStr">
        <is>
          <t>2026-09-30</t>
        </is>
      </c>
      <c r="L598" s="71" t="n"/>
      <c r="M598" s="24" t="inlineStr">
        <is>
          <t>Gross 6.66</t>
        </is>
      </c>
      <c r="N598" s="25" t="inlineStr">
        <is>
          <t>https://www.gastro-star.at/produkt/polypropylendeckelgn11/</t>
        </is>
      </c>
      <c r="O598" s="24" t="inlineStr">
        <is>
          <t>Hendi</t>
        </is>
      </c>
      <c r="P598" s="24" t="inlineStr">
        <is>
          <t>excl.</t>
        </is>
      </c>
      <c r="Q598" s="100" t="n"/>
      <c r="R598" s="24" t="n">
        <v>1</v>
      </c>
      <c r="S598" s="24" t="n"/>
      <c r="T598" s="24" t="inlineStr">
        <is>
          <t>EXACT</t>
        </is>
      </c>
      <c r="U598" s="24" t="inlineStr">
        <is>
          <t>Current research_AT.xlsx row (added after live check on 30 Sep 2026). Original assignment and match quality retained.</t>
        </is>
      </c>
      <c r="V598" s="98" t="n">
        <v>5.55</v>
      </c>
      <c r="W598" s="98" t="n"/>
      <c r="X598" s="24" t="inlineStr">
        <is>
          <t>research_AT.xlsx</t>
        </is>
      </c>
      <c r="Y598" s="24" t="n"/>
      <c r="Z598" s="24" t="n"/>
      <c r="AA598" s="24" t="n"/>
      <c r="AB598" s="24" t="inlineStr">
        <is>
          <t>EUR</t>
        </is>
      </c>
      <c r="AC598" s="24" t="inlineStr">
        <is>
          <t>yes</t>
        </is>
      </c>
      <c r="AD598" s="24">
        <f>IF(ISNUMBER(V598),V598,"")</f>
        <v/>
      </c>
      <c r="AE598" s="24">
        <f>IF(AND(AC598="yes",ISNUMBER(F598),IF('Compare'!$H$5="All mapped",TRUE,IF('Compare'!$H$5="EXACT only",J598="EXACT",OR(J598="EXACT",J598="CLOSE")))),"yes","no")</f>
        <v/>
      </c>
      <c r="AF598" s="24">
        <f>IF(ISNUMBER(H598),COUNTIFS($B$7:$B$608,B598,$C$7:$C$608,C598,$H$7:$H$608,"&lt;"&amp;H598,$AH$7:$AH$608,"yes")+COUNTIFS($B$7:B598,B598,$C$7:C598,C598,$H$7:H598,H598,$AH$7:AH598,"yes"),"")</f>
        <v/>
      </c>
      <c r="AG598" s="24">
        <f>IF(ISNUMBER(I598),COUNTIFS($B$7:$B$608,B598,$C$7:$C$608,C598,$I$7:$I$608,"&lt;"&amp;I598,$AI$7:$AI$608,"yes")+COUNTIFS($B$7:B598,B598,$C$7:C598,C598,$I$7:I598,I598,$AI$7:AI598,"yes"),"")</f>
        <v/>
      </c>
      <c r="AH598" s="24">
        <f>IF(ISNUMBER(H598),"yes","no")</f>
        <v/>
      </c>
      <c r="AI598" s="24">
        <f>IF(ISNUMBER(I598),"yes","no")</f>
        <v/>
      </c>
      <c r="AJ598" s="101" t="n">
        <v>46295</v>
      </c>
      <c r="AK598" s="24" t="n"/>
    </row>
    <row r="599" ht="42" customHeight="1">
      <c r="A599" s="2" t="n"/>
      <c r="B599" s="24" t="inlineStr">
        <is>
          <t>Squeeze bottle 500 ml, PP, single tip</t>
        </is>
      </c>
      <c r="C599" s="24" t="inlineStr">
        <is>
          <t>Austria</t>
        </is>
      </c>
      <c r="D599" s="24" t="inlineStr">
        <is>
          <t>GGM Gastro (Austrian storefront)</t>
        </is>
      </c>
      <c r="E599" s="24" t="inlineStr">
        <is>
          <t>(12 Stück) Quetschflasche mit mittlerer Membran - 473ml</t>
        </is>
      </c>
      <c r="F599" s="98" t="n">
        <v>51.99</v>
      </c>
      <c r="G599" s="24" t="inlineStr">
        <is>
          <t>EUR</t>
        </is>
      </c>
      <c r="H599" s="98">
        <f>IF(AND(AE599="yes",ISNUMBER(AD599)),AD599,"")</f>
        <v/>
      </c>
      <c r="I599" s="99">
        <f>IF(AND(AE599="yes",ISNUMBER(AD599),ISNUMBER(INDEX('Sources'!$G$7:$G$10,MATCH(AB599,'Sources'!$B$7:$B$10,0)))),AD599/INDEX('Sources'!$G$7:$G$10,MATCH(AB599,'Sources'!$B$7:$B$10,0)),"")</f>
        <v/>
      </c>
      <c r="J599" s="24" t="inlineStr">
        <is>
          <t>CLOSE</t>
        </is>
      </c>
      <c r="K599" s="24" t="inlineStr">
        <is>
          <t>2026-09-30</t>
        </is>
      </c>
      <c r="L599" s="71" t="n"/>
      <c r="M599" s="24" t="inlineStr">
        <is>
          <t>473 ml, FIFO type with valve; material not stated</t>
        </is>
      </c>
      <c r="N599" s="25" t="inlineStr">
        <is>
          <t>https://www.ggmgastro.com/de-at-eur/12-stueck-quetschflasche-mit-mittlerer-membran-473ml-ffo-002</t>
        </is>
      </c>
      <c r="O599" s="24" t="inlineStr">
        <is>
          <t>GGM</t>
        </is>
      </c>
      <c r="P599" s="24" t="inlineStr">
        <is>
          <t>excl.</t>
        </is>
      </c>
      <c r="Q599" s="100" t="n"/>
      <c r="R599" s="24" t="n">
        <v>12</v>
      </c>
      <c r="S599" s="24" t="inlineStr">
        <is>
          <t>set of 12</t>
        </is>
      </c>
      <c r="T599" s="24" t="inlineStr">
        <is>
          <t>CLOSE</t>
        </is>
      </c>
      <c r="U599" s="24" t="inlineStr">
        <is>
          <t>Current research_AT.xlsx row (added after live check on 30 Sep 2026). Original assignment and match quality retained.</t>
        </is>
      </c>
      <c r="V599" s="98" t="n">
        <v>4.33</v>
      </c>
      <c r="W599" s="98" t="n"/>
      <c r="X599" s="24" t="inlineStr">
        <is>
          <t>research_AT.xlsx</t>
        </is>
      </c>
      <c r="Y599" s="24" t="n"/>
      <c r="Z599" s="24" t="n"/>
      <c r="AA599" s="24" t="n"/>
      <c r="AB599" s="24" t="inlineStr">
        <is>
          <t>EUR</t>
        </is>
      </c>
      <c r="AC599" s="24" t="inlineStr">
        <is>
          <t>yes</t>
        </is>
      </c>
      <c r="AD599" s="24">
        <f>IF(ISNUMBER(V599),V599,"")</f>
        <v/>
      </c>
      <c r="AE599" s="24">
        <f>IF(AND(AC599="yes",ISNUMBER(F599),IF('Compare'!$H$5="All mapped",TRUE,IF('Compare'!$H$5="EXACT only",J599="EXACT",OR(J599="EXACT",J599="CLOSE")))),"yes","no")</f>
        <v/>
      </c>
      <c r="AF599" s="24">
        <f>IF(ISNUMBER(H599),COUNTIFS($B$7:$B$608,B599,$C$7:$C$608,C599,$H$7:$H$608,"&lt;"&amp;H599,$AH$7:$AH$608,"yes")+COUNTIFS($B$7:B599,B599,$C$7:C599,C599,$H$7:H599,H599,$AH$7:AH599,"yes"),"")</f>
        <v/>
      </c>
      <c r="AG599" s="24">
        <f>IF(ISNUMBER(I599),COUNTIFS($B$7:$B$608,B599,$C$7:$C$608,C599,$I$7:$I$608,"&lt;"&amp;I599,$AI$7:$AI$608,"yes")+COUNTIFS($B$7:B599,B599,$C$7:C599,C599,$I$7:I599,I599,$AI$7:AI599,"yes"),"")</f>
        <v/>
      </c>
      <c r="AH599" s="24">
        <f>IF(ISNUMBER(H599),"yes","no")</f>
        <v/>
      </c>
      <c r="AI599" s="24">
        <f>IF(ISNUMBER(I599),"yes","no")</f>
        <v/>
      </c>
      <c r="AJ599" s="101" t="n">
        <v>46295</v>
      </c>
      <c r="AK599" s="24" t="n"/>
    </row>
    <row r="600" ht="42" customHeight="1">
      <c r="A600" s="2" t="n"/>
      <c r="B600" s="24" t="inlineStr">
        <is>
          <t>Squeeze bottle 1,000 ml, PP, single tip</t>
        </is>
      </c>
      <c r="C600" s="24" t="inlineStr">
        <is>
          <t>Austria</t>
        </is>
      </c>
      <c r="D600" s="24" t="inlineStr">
        <is>
          <t>GGM Gastro (Austrian storefront)</t>
        </is>
      </c>
      <c r="E600" s="24" t="inlineStr">
        <is>
          <t>(6 Stück) Quetschflasche mit mittlerer Membran - 946ml</t>
        </is>
      </c>
      <c r="F600" s="98" t="n">
        <v>35.99</v>
      </c>
      <c r="G600" s="24" t="inlineStr">
        <is>
          <t>EUR</t>
        </is>
      </c>
      <c r="H600" s="98">
        <f>IF(AND(AE600="yes",ISNUMBER(AD600)),AD600,"")</f>
        <v/>
      </c>
      <c r="I600" s="99">
        <f>IF(AND(AE600="yes",ISNUMBER(AD600),ISNUMBER(INDEX('Sources'!$G$7:$G$10,MATCH(AB600,'Sources'!$B$7:$B$10,0)))),AD600/INDEX('Sources'!$G$7:$G$10,MATCH(AB600,'Sources'!$B$7:$B$10,0)),"")</f>
        <v/>
      </c>
      <c r="J600" s="24" t="inlineStr">
        <is>
          <t>CLOSE</t>
        </is>
      </c>
      <c r="K600" s="24" t="inlineStr">
        <is>
          <t>2026-09-30</t>
        </is>
      </c>
      <c r="L600" s="71" t="n"/>
      <c r="M600" s="24" t="inlineStr">
        <is>
          <t>946 ml, FIFO type; material not stated</t>
        </is>
      </c>
      <c r="N600" s="25" t="inlineStr">
        <is>
          <t>https://www.ggmgastro.com/de-at-eur/6-stueck-quetschflasche-mit-mittlerer-membran-946ml-ffo-005</t>
        </is>
      </c>
      <c r="O600" s="24" t="inlineStr">
        <is>
          <t>GGM</t>
        </is>
      </c>
      <c r="P600" s="24" t="inlineStr">
        <is>
          <t>excl.</t>
        </is>
      </c>
      <c r="Q600" s="100" t="n"/>
      <c r="R600" s="24" t="n">
        <v>6</v>
      </c>
      <c r="S600" s="24" t="inlineStr">
        <is>
          <t>set of 6</t>
        </is>
      </c>
      <c r="T600" s="24" t="inlineStr">
        <is>
          <t>CLOSE</t>
        </is>
      </c>
      <c r="U600" s="24" t="inlineStr">
        <is>
          <t>Current research_AT.xlsx row (added after live check on 30 Sep 2026). Original assignment and match quality retained.</t>
        </is>
      </c>
      <c r="V600" s="98" t="n">
        <v>6</v>
      </c>
      <c r="W600" s="98" t="n"/>
      <c r="X600" s="24" t="inlineStr">
        <is>
          <t>research_AT.xlsx</t>
        </is>
      </c>
      <c r="Y600" s="24" t="n"/>
      <c r="Z600" s="24" t="n"/>
      <c r="AA600" s="24" t="n"/>
      <c r="AB600" s="24" t="inlineStr">
        <is>
          <t>EUR</t>
        </is>
      </c>
      <c r="AC600" s="24" t="inlineStr">
        <is>
          <t>yes</t>
        </is>
      </c>
      <c r="AD600" s="24">
        <f>IF(ISNUMBER(V600),V600,"")</f>
        <v/>
      </c>
      <c r="AE600" s="24">
        <f>IF(AND(AC600="yes",ISNUMBER(F600),IF('Compare'!$H$5="All mapped",TRUE,IF('Compare'!$H$5="EXACT only",J600="EXACT",OR(J600="EXACT",J600="CLOSE")))),"yes","no")</f>
        <v/>
      </c>
      <c r="AF600" s="24">
        <f>IF(ISNUMBER(H600),COUNTIFS($B$7:$B$608,B600,$C$7:$C$608,C600,$H$7:$H$608,"&lt;"&amp;H600,$AH$7:$AH$608,"yes")+COUNTIFS($B$7:B600,B600,$C$7:C600,C600,$H$7:H600,H600,$AH$7:AH600,"yes"),"")</f>
        <v/>
      </c>
      <c r="AG600" s="24">
        <f>IF(ISNUMBER(I600),COUNTIFS($B$7:$B$608,B600,$C$7:$C$608,C600,$I$7:$I$608,"&lt;"&amp;I600,$AI$7:$AI$608,"yes")+COUNTIFS($B$7:B600,B600,$C$7:C600,C600,$I$7:I600,I600,$AI$7:AI600,"yes"),"")</f>
        <v/>
      </c>
      <c r="AH600" s="24">
        <f>IF(ISNUMBER(H600),"yes","no")</f>
        <v/>
      </c>
      <c r="AI600" s="24">
        <f>IF(ISNUMBER(I600),"yes","no")</f>
        <v/>
      </c>
      <c r="AJ600" s="101" t="n">
        <v>46295</v>
      </c>
      <c r="AK600" s="24" t="n"/>
    </row>
    <row r="601" ht="42" customHeight="1">
      <c r="A601" s="2" t="n"/>
      <c r="B601" s="24" t="inlineStr">
        <is>
          <t>Sauce pump dispenser with stand</t>
        </is>
      </c>
      <c r="C601" s="24" t="inlineStr">
        <is>
          <t>Austria</t>
        </is>
      </c>
      <c r="D601" s="24" t="inlineStr">
        <is>
          <t>GGM Gastro (Austrian storefront)</t>
        </is>
      </c>
      <c r="E601" s="24" t="inlineStr">
        <is>
          <t>Ketchup / Saucenspender - 2 Liter - Polypropylen - mit Pumpe</t>
        </is>
      </c>
      <c r="F601" s="98" t="n">
        <v>28.99</v>
      </c>
      <c r="G601" s="24" t="inlineStr">
        <is>
          <t>EUR</t>
        </is>
      </c>
      <c r="H601" s="98">
        <f>IF(AND(AE601="yes",ISNUMBER(AD601)),AD601,"")</f>
        <v/>
      </c>
      <c r="I601" s="99">
        <f>IF(AND(AE601="yes",ISNUMBER(AD601),ISNUMBER(INDEX('Sources'!$G$7:$G$10,MATCH(AB601,'Sources'!$B$7:$B$10,0)))),AD601/INDEX('Sources'!$G$7:$G$10,MATCH(AB601,'Sources'!$B$7:$B$10,0)),"")</f>
        <v/>
      </c>
      <c r="J601" s="24" t="inlineStr">
        <is>
          <t>EXACT</t>
        </is>
      </c>
      <c r="K601" s="24" t="inlineStr">
        <is>
          <t>2026-09-30</t>
        </is>
      </c>
      <c r="L601" s="71" t="n"/>
      <c r="M601" s="24" t="inlineStr">
        <is>
          <t>210x220x210 mm, PP with pump</t>
        </is>
      </c>
      <c r="N601" s="25" t="inlineStr">
        <is>
          <t>https://www.ggmgastro.com/de-at-eur/ketchup-saucenspender-2-liter-polypropylen-mit-pumpe-ksp2</t>
        </is>
      </c>
      <c r="O601" s="24" t="inlineStr">
        <is>
          <t>GGM</t>
        </is>
      </c>
      <c r="P601" s="24" t="inlineStr">
        <is>
          <t>excl.</t>
        </is>
      </c>
      <c r="Q601" s="100" t="n"/>
      <c r="R601" s="24" t="n">
        <v>1</v>
      </c>
      <c r="S601" s="24" t="n"/>
      <c r="T601" s="24" t="inlineStr">
        <is>
          <t>EXACT</t>
        </is>
      </c>
      <c r="U601" s="24" t="inlineStr">
        <is>
          <t>Current research_AT.xlsx row (added after live check on 30 Sep 2026). Original assignment and match quality retained.</t>
        </is>
      </c>
      <c r="V601" s="98" t="n">
        <v>28.99</v>
      </c>
      <c r="W601" s="98" t="n"/>
      <c r="X601" s="24" t="inlineStr">
        <is>
          <t>research_AT.xlsx</t>
        </is>
      </c>
      <c r="Y601" s="24" t="n"/>
      <c r="Z601" s="24" t="n"/>
      <c r="AA601" s="24" t="n"/>
      <c r="AB601" s="24" t="inlineStr">
        <is>
          <t>EUR</t>
        </is>
      </c>
      <c r="AC601" s="24" t="inlineStr">
        <is>
          <t>yes</t>
        </is>
      </c>
      <c r="AD601" s="24">
        <f>IF(ISNUMBER(V601),V601,"")</f>
        <v/>
      </c>
      <c r="AE601" s="24">
        <f>IF(AND(AC601="yes",ISNUMBER(F601),IF('Compare'!$H$5="All mapped",TRUE,IF('Compare'!$H$5="EXACT only",J601="EXACT",OR(J601="EXACT",J601="CLOSE")))),"yes","no")</f>
        <v/>
      </c>
      <c r="AF601" s="24">
        <f>IF(ISNUMBER(H601),COUNTIFS($B$7:$B$608,B601,$C$7:$C$608,C601,$H$7:$H$608,"&lt;"&amp;H601,$AH$7:$AH$608,"yes")+COUNTIFS($B$7:B601,B601,$C$7:C601,C601,$H$7:H601,H601,$AH$7:AH601,"yes"),"")</f>
        <v/>
      </c>
      <c r="AG601" s="24">
        <f>IF(ISNUMBER(I601),COUNTIFS($B$7:$B$608,B601,$C$7:$C$608,C601,$I$7:$I$608,"&lt;"&amp;I601,$AI$7:$AI$608,"yes")+COUNTIFS($B$7:B601,B601,$C$7:C601,C601,$I$7:I601,I601,$AI$7:AI601,"yes"),"")</f>
        <v/>
      </c>
      <c r="AH601" s="24">
        <f>IF(ISNUMBER(H601),"yes","no")</f>
        <v/>
      </c>
      <c r="AI601" s="24">
        <f>IF(ISNUMBER(I601),"yes","no")</f>
        <v/>
      </c>
      <c r="AJ601" s="101" t="n">
        <v>46295</v>
      </c>
      <c r="AK601" s="24" t="n"/>
    </row>
    <row r="602" ht="42" customHeight="1">
      <c r="A602" s="2" t="n"/>
      <c r="B602" s="24" t="inlineStr">
        <is>
          <t>PE cutting board 530 × 325 × 20 mm</t>
        </is>
      </c>
      <c r="C602" s="24" t="inlineStr">
        <is>
          <t>Austria</t>
        </is>
      </c>
      <c r="D602" s="24" t="inlineStr">
        <is>
          <t>GGM Gastro (Austrian storefront)</t>
        </is>
      </c>
      <c r="E602" s="24" t="inlineStr">
        <is>
          <t>Schneidebrett - 325x530mm - HACCP-Konform - Weiß</t>
        </is>
      </c>
      <c r="F602" s="98" t="n">
        <v>26.49</v>
      </c>
      <c r="G602" s="24" t="inlineStr">
        <is>
          <t>EUR</t>
        </is>
      </c>
      <c r="H602" s="98">
        <f>IF(AND(AE602="yes",ISNUMBER(AD602)),AD602,"")</f>
        <v/>
      </c>
      <c r="I602" s="99">
        <f>IF(AND(AE602="yes",ISNUMBER(AD602),ISNUMBER(INDEX('Sources'!$G$7:$G$10,MATCH(AB602,'Sources'!$B$7:$B$10,0)))),AD602/INDEX('Sources'!$G$7:$G$10,MATCH(AB602,'Sources'!$B$7:$B$10,0)),"")</f>
        <v/>
      </c>
      <c r="J602" s="24" t="inlineStr">
        <is>
          <t>EXACT</t>
        </is>
      </c>
      <c r="K602" s="24" t="inlineStr">
        <is>
          <t>2026-09-30</t>
        </is>
      </c>
      <c r="L602" s="71" t="n"/>
      <c r="M602" s="24" t="inlineStr">
        <is>
          <t>PE, 325x530x20 mm</t>
        </is>
      </c>
      <c r="N602" s="25" t="inlineStr">
        <is>
          <t>https://www.ggmgastro.com/de-at-eur/schneidebrett-325x530mm-haccp-konform-weiss-sbp53w</t>
        </is>
      </c>
      <c r="O602" s="24" t="inlineStr">
        <is>
          <t>GGM</t>
        </is>
      </c>
      <c r="P602" s="24" t="inlineStr">
        <is>
          <t>excl.</t>
        </is>
      </c>
      <c r="Q602" s="100" t="n"/>
      <c r="R602" s="24" t="n">
        <v>1</v>
      </c>
      <c r="S602" s="24" t="n"/>
      <c r="T602" s="24" t="inlineStr">
        <is>
          <t>EXACT</t>
        </is>
      </c>
      <c r="U602" s="24" t="inlineStr">
        <is>
          <t>Current research_AT.xlsx row (added after live check on 30 Sep 2026). Original assignment and match quality retained.</t>
        </is>
      </c>
      <c r="V602" s="98" t="n">
        <v>26.49</v>
      </c>
      <c r="W602" s="98" t="n"/>
      <c r="X602" s="24" t="inlineStr">
        <is>
          <t>research_AT.xlsx</t>
        </is>
      </c>
      <c r="Y602" s="24" t="n"/>
      <c r="Z602" s="24" t="n"/>
      <c r="AA602" s="24" t="n"/>
      <c r="AB602" s="24" t="inlineStr">
        <is>
          <t>EUR</t>
        </is>
      </c>
      <c r="AC602" s="24" t="inlineStr">
        <is>
          <t>yes</t>
        </is>
      </c>
      <c r="AD602" s="24">
        <f>IF(ISNUMBER(V602),V602,"")</f>
        <v/>
      </c>
      <c r="AE602" s="24">
        <f>IF(AND(AC602="yes",ISNUMBER(F602),IF('Compare'!$H$5="All mapped",TRUE,IF('Compare'!$H$5="EXACT only",J602="EXACT",OR(J602="EXACT",J602="CLOSE")))),"yes","no")</f>
        <v/>
      </c>
      <c r="AF602" s="24">
        <f>IF(ISNUMBER(H602),COUNTIFS($B$7:$B$608,B602,$C$7:$C$608,C602,$H$7:$H$608,"&lt;"&amp;H602,$AH$7:$AH$608,"yes")+COUNTIFS($B$7:B602,B602,$C$7:C602,C602,$H$7:H602,H602,$AH$7:AH602,"yes"),"")</f>
        <v/>
      </c>
      <c r="AG602" s="24">
        <f>IF(ISNUMBER(I602),COUNTIFS($B$7:$B$608,B602,$C$7:$C$608,C602,$I$7:$I$608,"&lt;"&amp;I602,$AI$7:$AI$608,"yes")+COUNTIFS($B$7:B602,B602,$C$7:C602,C602,$I$7:I602,I602,$AI$7:AI602,"yes"),"")</f>
        <v/>
      </c>
      <c r="AH602" s="24">
        <f>IF(ISNUMBER(H602),"yes","no")</f>
        <v/>
      </c>
      <c r="AI602" s="24">
        <f>IF(ISNUMBER(I602),"yes","no")</f>
        <v/>
      </c>
      <c r="AJ602" s="101" t="n">
        <v>46295</v>
      </c>
      <c r="AK602" s="24" t="n"/>
    </row>
    <row r="603" ht="42" customHeight="1">
      <c r="A603" s="2" t="n"/>
      <c r="B603" s="24" t="inlineStr">
        <is>
          <t>PE cutting board 600 × 400 × 20 mm</t>
        </is>
      </c>
      <c r="C603" s="24" t="inlineStr">
        <is>
          <t>Austria</t>
        </is>
      </c>
      <c r="D603" s="24" t="inlineStr">
        <is>
          <t>GGM Gastro (Austrian storefront)</t>
        </is>
      </c>
      <c r="E603" s="24" t="inlineStr">
        <is>
          <t>Schneidebrett - EN 600x400 - HACCP-Konform - Weiß</t>
        </is>
      </c>
      <c r="F603" s="98" t="n">
        <v>29.49</v>
      </c>
      <c r="G603" s="24" t="inlineStr">
        <is>
          <t>EUR</t>
        </is>
      </c>
      <c r="H603" s="98">
        <f>IF(AND(AE603="yes",ISNUMBER(AD603)),AD603,"")</f>
        <v/>
      </c>
      <c r="I603" s="99">
        <f>IF(AND(AE603="yes",ISNUMBER(AD603),ISNUMBER(INDEX('Sources'!$G$7:$G$10,MATCH(AB603,'Sources'!$B$7:$B$10,0)))),AD603/INDEX('Sources'!$G$7:$G$10,MATCH(AB603,'Sources'!$B$7:$B$10,0)),"")</f>
        <v/>
      </c>
      <c r="J603" s="24" t="inlineStr">
        <is>
          <t>EXACT</t>
        </is>
      </c>
      <c r="K603" s="24" t="inlineStr">
        <is>
          <t>2026-09-30</t>
        </is>
      </c>
      <c r="L603" s="71" t="n"/>
      <c r="M603" s="24" t="inlineStr">
        <is>
          <t>PE, 600x400x20 mm</t>
        </is>
      </c>
      <c r="N603" s="25" t="inlineStr">
        <is>
          <t>https://www.ggmgastro.com/de-at-eur/schneidebrett-en-600x400-haccp-konform-weiss-sbp46w</t>
        </is>
      </c>
      <c r="O603" s="24" t="inlineStr">
        <is>
          <t>GGM</t>
        </is>
      </c>
      <c r="P603" s="24" t="inlineStr">
        <is>
          <t>excl.</t>
        </is>
      </c>
      <c r="Q603" s="100" t="n"/>
      <c r="R603" s="24" t="n">
        <v>1</v>
      </c>
      <c r="S603" s="24" t="n"/>
      <c r="T603" s="24" t="inlineStr">
        <is>
          <t>EXACT</t>
        </is>
      </c>
      <c r="U603" s="24" t="inlineStr">
        <is>
          <t>Current research_AT.xlsx row (added after live check on 30 Sep 2026). Original assignment and match quality retained.</t>
        </is>
      </c>
      <c r="V603" s="98" t="n">
        <v>29.49</v>
      </c>
      <c r="W603" s="98" t="n"/>
      <c r="X603" s="24" t="inlineStr">
        <is>
          <t>research_AT.xlsx</t>
        </is>
      </c>
      <c r="Y603" s="24" t="n"/>
      <c r="Z603" s="24" t="n"/>
      <c r="AA603" s="24" t="n"/>
      <c r="AB603" s="24" t="inlineStr">
        <is>
          <t>EUR</t>
        </is>
      </c>
      <c r="AC603" s="24" t="inlineStr">
        <is>
          <t>yes</t>
        </is>
      </c>
      <c r="AD603" s="24">
        <f>IF(ISNUMBER(V603),V603,"")</f>
        <v/>
      </c>
      <c r="AE603" s="24">
        <f>IF(AND(AC603="yes",ISNUMBER(F603),IF('Compare'!$H$5="All mapped",TRUE,IF('Compare'!$H$5="EXACT only",J603="EXACT",OR(J603="EXACT",J603="CLOSE")))),"yes","no")</f>
        <v/>
      </c>
      <c r="AF603" s="24">
        <f>IF(ISNUMBER(H603),COUNTIFS($B$7:$B$608,B603,$C$7:$C$608,C603,$H$7:$H$608,"&lt;"&amp;H603,$AH$7:$AH$608,"yes")+COUNTIFS($B$7:B603,B603,$C$7:C603,C603,$H$7:H603,H603,$AH$7:AH603,"yes"),"")</f>
        <v/>
      </c>
      <c r="AG603" s="24">
        <f>IF(ISNUMBER(I603),COUNTIFS($B$7:$B$608,B603,$C$7:$C$608,C603,$I$7:$I$608,"&lt;"&amp;I603,$AI$7:$AI$608,"yes")+COUNTIFS($B$7:B603,B603,$C$7:C603,C603,$I$7:I603,I603,$AI$7:AI603,"yes"),"")</f>
        <v/>
      </c>
      <c r="AH603" s="24">
        <f>IF(ISNUMBER(H603),"yes","no")</f>
        <v/>
      </c>
      <c r="AI603" s="24">
        <f>IF(ISNUMBER(I603),"yes","no")</f>
        <v/>
      </c>
      <c r="AJ603" s="101" t="n">
        <v>46295</v>
      </c>
      <c r="AK603" s="24" t="n"/>
    </row>
    <row r="604" ht="42" customHeight="1">
      <c r="A604" s="2" t="n"/>
      <c r="B604" s="24" t="inlineStr">
        <is>
          <t>PP dough box 600 × 400 × 100 mm</t>
        </is>
      </c>
      <c r="C604" s="24" t="inlineStr">
        <is>
          <t>Austria</t>
        </is>
      </c>
      <c r="D604" s="24" t="inlineStr">
        <is>
          <t>GGM Gastro (Austrian storefront)</t>
        </is>
      </c>
      <c r="E604" s="24" t="inlineStr">
        <is>
          <t>9-tlg Teigbehälter-Set - 8 Behälter &amp; 1 Deckel - EN 600x400 - Höhe: 100mm - Polypropylen</t>
        </is>
      </c>
      <c r="F604" s="98" t="n">
        <v>88.98999999999999</v>
      </c>
      <c r="G604" s="24" t="inlineStr">
        <is>
          <t>EUR</t>
        </is>
      </c>
      <c r="H604" s="98">
        <f>IF(AND(AE604="yes",ISNUMBER(AD604)),AD604,"")</f>
        <v/>
      </c>
      <c r="I604" s="99">
        <f>IF(AND(AE604="yes",ISNUMBER(AD604),ISNUMBER(INDEX('Sources'!$G$7:$G$10,MATCH(AB604,'Sources'!$B$7:$B$10,0)))),AD604/INDEX('Sources'!$G$7:$G$10,MATCH(AB604,'Sources'!$B$7:$B$10,0)),"")</f>
        <v/>
      </c>
      <c r="J604" s="24" t="inlineStr">
        <is>
          <t>CLOSE</t>
        </is>
      </c>
      <c r="K604" s="24" t="inlineStr">
        <is>
          <t>2026-09-30</t>
        </is>
      </c>
      <c r="L604" s="71" t="n"/>
      <c r="M604" s="24" t="inlineStr">
        <is>
          <t>Only sold as a set of 8 boxes plus 1 lid; net per box includes a share of the lid</t>
        </is>
      </c>
      <c r="N604" s="25" t="inlineStr">
        <is>
          <t>https://www.ggmgastro.com/de-at-eur/9-tlg-teigbehaelter-set-8-behaelter-und-1-deckel-en-600x400-hoehe-100mm-polypropylen-weiss-tbpp6410</t>
        </is>
      </c>
      <c r="O604" s="24" t="inlineStr">
        <is>
          <t>GGM</t>
        </is>
      </c>
      <c r="P604" s="24" t="inlineStr">
        <is>
          <t>excl.</t>
        </is>
      </c>
      <c r="Q604" s="100" t="n"/>
      <c r="R604" s="24" t="n">
        <v>8</v>
      </c>
      <c r="S604" s="24" t="inlineStr">
        <is>
          <t>8 boxes + 1 lid</t>
        </is>
      </c>
      <c r="T604" s="24" t="inlineStr">
        <is>
          <t>CLOSE</t>
        </is>
      </c>
      <c r="U604" s="24" t="inlineStr">
        <is>
          <t>Current research_AT.xlsx row (added after live check on 30 Sep 2026). Original assignment and match quality retained.</t>
        </is>
      </c>
      <c r="V604" s="98" t="n">
        <v>11.12</v>
      </c>
      <c r="W604" s="98" t="n"/>
      <c r="X604" s="24" t="inlineStr">
        <is>
          <t>research_AT.xlsx</t>
        </is>
      </c>
      <c r="Y604" s="24" t="n"/>
      <c r="Z604" s="24" t="n"/>
      <c r="AA604" s="24" t="n"/>
      <c r="AB604" s="24" t="inlineStr">
        <is>
          <t>EUR</t>
        </is>
      </c>
      <c r="AC604" s="24" t="inlineStr">
        <is>
          <t>yes</t>
        </is>
      </c>
      <c r="AD604" s="24">
        <f>IF(ISNUMBER(V604),V604,"")</f>
        <v/>
      </c>
      <c r="AE604" s="24">
        <f>IF(AND(AC604="yes",ISNUMBER(F604),IF('Compare'!$H$5="All mapped",TRUE,IF('Compare'!$H$5="EXACT only",J604="EXACT",OR(J604="EXACT",J604="CLOSE")))),"yes","no")</f>
        <v/>
      </c>
      <c r="AF604" s="24">
        <f>IF(ISNUMBER(H604),COUNTIFS($B$7:$B$608,B604,$C$7:$C$608,C604,$H$7:$H$608,"&lt;"&amp;H604,$AH$7:$AH$608,"yes")+COUNTIFS($B$7:B604,B604,$C$7:C604,C604,$H$7:H604,H604,$AH$7:AH604,"yes"),"")</f>
        <v/>
      </c>
      <c r="AG604" s="24">
        <f>IF(ISNUMBER(I604),COUNTIFS($B$7:$B$608,B604,$C$7:$C$608,C604,$I$7:$I$608,"&lt;"&amp;I604,$AI$7:$AI$608,"yes")+COUNTIFS($B$7:B604,B604,$C$7:C604,C604,$I$7:I604,I604,$AI$7:AI604,"yes"),"")</f>
        <v/>
      </c>
      <c r="AH604" s="24">
        <f>IF(ISNUMBER(H604),"yes","no")</f>
        <v/>
      </c>
      <c r="AI604" s="24">
        <f>IF(ISNUMBER(I604),"yes","no")</f>
        <v/>
      </c>
      <c r="AJ604" s="101" t="n">
        <v>46295</v>
      </c>
      <c r="AK604" s="24" t="n"/>
    </row>
    <row r="605" ht="42" customHeight="1">
      <c r="A605" s="2" t="n"/>
      <c r="B605" s="24" t="inlineStr">
        <is>
          <t>PE dough box 600 × 400 × 75 mm</t>
        </is>
      </c>
      <c r="C605" s="24" t="inlineStr">
        <is>
          <t>Austria</t>
        </is>
      </c>
      <c r="D605" s="24" t="inlineStr">
        <is>
          <t>GGM Gastro (Austrian storefront)</t>
        </is>
      </c>
      <c r="E605" s="24" t="inlineStr">
        <is>
          <t>(8 Stück) Teigbehälter - EN 600x400 - Weiß (70 mm)</t>
        </is>
      </c>
      <c r="F605" s="98" t="n">
        <v>76.98999999999999</v>
      </c>
      <c r="G605" s="24" t="inlineStr">
        <is>
          <t>EUR</t>
        </is>
      </c>
      <c r="H605" s="98">
        <f>IF(AND(AE605="yes",ISNUMBER(AD605)),AD605,"")</f>
        <v/>
      </c>
      <c r="I605" s="99">
        <f>IF(AND(AE605="yes",ISNUMBER(AD605),ISNUMBER(INDEX('Sources'!$G$7:$G$10,MATCH(AB605,'Sources'!$B$7:$B$10,0)))),AD605/INDEX('Sources'!$G$7:$G$10,MATCH(AB605,'Sources'!$B$7:$B$10,0)),"")</f>
        <v/>
      </c>
      <c r="J605" s="24" t="inlineStr">
        <is>
          <t>CLOSE</t>
        </is>
      </c>
      <c r="K605" s="24" t="inlineStr">
        <is>
          <t>2026-09-30</t>
        </is>
      </c>
      <c r="L605" s="71" t="n"/>
      <c r="M605" s="24" t="inlineStr">
        <is>
          <t>70 mm high, polypropylene (vs 75 mm PE)</t>
        </is>
      </c>
      <c r="N605" s="25" t="inlineStr">
        <is>
          <t>https://www.ggmgastro.com/de-at-eur/8-stueck-teigbehaelter-en-600x400-weiss-tbp647</t>
        </is>
      </c>
      <c r="O605" s="24" t="inlineStr">
        <is>
          <t>GGM</t>
        </is>
      </c>
      <c r="P605" s="24" t="inlineStr">
        <is>
          <t>excl.</t>
        </is>
      </c>
      <c r="Q605" s="100" t="n"/>
      <c r="R605" s="24" t="n">
        <v>8</v>
      </c>
      <c r="S605" s="24" t="inlineStr">
        <is>
          <t>set of 8</t>
        </is>
      </c>
      <c r="T605" s="24" t="inlineStr">
        <is>
          <t>CLOSE</t>
        </is>
      </c>
      <c r="U605" s="24" t="inlineStr">
        <is>
          <t>Current research_AT.xlsx row (added after live check on 30 Sep 2026). Original assignment and match quality retained.</t>
        </is>
      </c>
      <c r="V605" s="98" t="n">
        <v>9.619999999999999</v>
      </c>
      <c r="W605" s="98" t="n"/>
      <c r="X605" s="24" t="inlineStr">
        <is>
          <t>research_AT.xlsx</t>
        </is>
      </c>
      <c r="Y605" s="24" t="n"/>
      <c r="Z605" s="24" t="n"/>
      <c r="AA605" s="24" t="n"/>
      <c r="AB605" s="24" t="inlineStr">
        <is>
          <t>EUR</t>
        </is>
      </c>
      <c r="AC605" s="24" t="inlineStr">
        <is>
          <t>yes</t>
        </is>
      </c>
      <c r="AD605" s="24">
        <f>IF(ISNUMBER(V605),V605,"")</f>
        <v/>
      </c>
      <c r="AE605" s="24">
        <f>IF(AND(AC605="yes",ISNUMBER(F605),IF('Compare'!$H$5="All mapped",TRUE,IF('Compare'!$H$5="EXACT only",J605="EXACT",OR(J605="EXACT",J605="CLOSE")))),"yes","no")</f>
        <v/>
      </c>
      <c r="AF605" s="24">
        <f>IF(ISNUMBER(H605),COUNTIFS($B$7:$B$608,B605,$C$7:$C$608,C605,$H$7:$H$608,"&lt;"&amp;H605,$AH$7:$AH$608,"yes")+COUNTIFS($B$7:B605,B605,$C$7:C605,C605,$H$7:H605,H605,$AH$7:AH605,"yes"),"")</f>
        <v/>
      </c>
      <c r="AG605" s="24">
        <f>IF(ISNUMBER(I605),COUNTIFS($B$7:$B$608,B605,$C$7:$C$608,C605,$I$7:$I$608,"&lt;"&amp;I605,$AI$7:$AI$608,"yes")+COUNTIFS($B$7:B605,B605,$C$7:C605,C605,$I$7:I605,I605,$AI$7:AI605,"yes"),"")</f>
        <v/>
      </c>
      <c r="AH605" s="24">
        <f>IF(ISNUMBER(H605),"yes","no")</f>
        <v/>
      </c>
      <c r="AI605" s="24">
        <f>IF(ISNUMBER(I605),"yes","no")</f>
        <v/>
      </c>
      <c r="AJ605" s="101" t="n">
        <v>46295</v>
      </c>
      <c r="AK605" s="24" t="n"/>
    </row>
    <row r="606" ht="42" customHeight="1">
      <c r="A606" s="2" t="n"/>
      <c r="B606" s="24" t="inlineStr">
        <is>
          <t>Front-load GN 1/1 thermobox, 80–90 L</t>
        </is>
      </c>
      <c r="C606" s="24" t="inlineStr">
        <is>
          <t>Austria</t>
        </is>
      </c>
      <c r="D606" s="24" t="inlineStr">
        <is>
          <t>GGM Gastro (Austrian storefront)</t>
        </is>
      </c>
      <c r="E606" s="24" t="inlineStr">
        <is>
          <t>Porter - Frontlader - 83 Liter - für 12x GN 1/1</t>
        </is>
      </c>
      <c r="F606" s="98" t="n">
        <v>289.99</v>
      </c>
      <c r="G606" s="24" t="inlineStr">
        <is>
          <t>EUR</t>
        </is>
      </c>
      <c r="H606" s="98">
        <f>IF(AND(AE606="yes",ISNUMBER(AD606)),AD606,"")</f>
        <v/>
      </c>
      <c r="I606" s="99">
        <f>IF(AND(AE606="yes",ISNUMBER(AD606),ISNUMBER(INDEX('Sources'!$G$7:$G$10,MATCH(AB606,'Sources'!$B$7:$B$10,0)))),AD606/INDEX('Sources'!$G$7:$G$10,MATCH(AB606,'Sources'!$B$7:$B$10,0)),"")</f>
        <v/>
      </c>
      <c r="J606" s="24" t="inlineStr">
        <is>
          <t>EXACT</t>
        </is>
      </c>
      <c r="K606" s="24" t="inlineStr">
        <is>
          <t>2026-09-30</t>
        </is>
      </c>
      <c r="L606" s="71" t="n"/>
      <c r="M606" s="24" t="inlineStr">
        <is>
          <t>PP, 83 l. Cheaper PU 'Thermobox Frontlader 92 l' (tpbe92): 127.99 net</t>
        </is>
      </c>
      <c r="N606" s="25" t="inlineStr">
        <is>
          <t>https://www.ggmgastro.com/de-at-eur/porter-frontlader-83-liter-fuer-12x-gn-1-1-plb-300</t>
        </is>
      </c>
      <c r="O606" s="24" t="inlineStr">
        <is>
          <t>GGM</t>
        </is>
      </c>
      <c r="P606" s="24" t="inlineStr">
        <is>
          <t>excl.</t>
        </is>
      </c>
      <c r="Q606" s="100" t="n"/>
      <c r="R606" s="24" t="n">
        <v>1</v>
      </c>
      <c r="S606" s="24" t="n"/>
      <c r="T606" s="24" t="inlineStr">
        <is>
          <t>EXACT</t>
        </is>
      </c>
      <c r="U606" s="24" t="inlineStr">
        <is>
          <t>Current research_AT.xlsx row (added after live check on 30 Sep 2026). Original assignment and match quality retained.</t>
        </is>
      </c>
      <c r="V606" s="98" t="n">
        <v>289.99</v>
      </c>
      <c r="W606" s="98" t="n"/>
      <c r="X606" s="24" t="inlineStr">
        <is>
          <t>research_AT.xlsx</t>
        </is>
      </c>
      <c r="Y606" s="24" t="n"/>
      <c r="Z606" s="24" t="n"/>
      <c r="AA606" s="24" t="n"/>
      <c r="AB606" s="24" t="inlineStr">
        <is>
          <t>EUR</t>
        </is>
      </c>
      <c r="AC606" s="24" t="inlineStr">
        <is>
          <t>yes</t>
        </is>
      </c>
      <c r="AD606" s="24">
        <f>IF(ISNUMBER(V606),V606,"")</f>
        <v/>
      </c>
      <c r="AE606" s="24">
        <f>IF(AND(AC606="yes",ISNUMBER(F606),IF('Compare'!$H$5="All mapped",TRUE,IF('Compare'!$H$5="EXACT only",J606="EXACT",OR(J606="EXACT",J606="CLOSE")))),"yes","no")</f>
        <v/>
      </c>
      <c r="AF606" s="24">
        <f>IF(ISNUMBER(H606),COUNTIFS($B$7:$B$608,B606,$C$7:$C$608,C606,$H$7:$H$608,"&lt;"&amp;H606,$AH$7:$AH$608,"yes")+COUNTIFS($B$7:B606,B606,$C$7:C606,C606,$H$7:H606,H606,$AH$7:AH606,"yes"),"")</f>
        <v/>
      </c>
      <c r="AG606" s="24">
        <f>IF(ISNUMBER(I606),COUNTIFS($B$7:$B$608,B606,$C$7:$C$608,C606,$I$7:$I$608,"&lt;"&amp;I606,$AI$7:$AI$608,"yes")+COUNTIFS($B$7:B606,B606,$C$7:C606,C606,$I$7:I606,I606,$AI$7:AI606,"yes"),"")</f>
        <v/>
      </c>
      <c r="AH606" s="24">
        <f>IF(ISNUMBER(H606),"yes","no")</f>
        <v/>
      </c>
      <c r="AI606" s="24">
        <f>IF(ISNUMBER(I606),"yes","no")</f>
        <v/>
      </c>
      <c r="AJ606" s="101" t="n">
        <v>46295</v>
      </c>
      <c r="AK606" s="24" t="n"/>
    </row>
    <row r="607" ht="42" customHeight="1">
      <c r="A607" s="2" t="n"/>
      <c r="B607" s="24" t="inlineStr">
        <is>
          <t>Front-load GN 1/1 thermobox, 80–90 L</t>
        </is>
      </c>
      <c r="C607" s="24" t="inlineStr">
        <is>
          <t>Austria</t>
        </is>
      </c>
      <c r="D607" s="24" t="inlineStr">
        <is>
          <t>Gastro Star</t>
        </is>
      </c>
      <c r="E607" s="24" t="inlineStr">
        <is>
          <t>RIEBER thermoport K 1000 unbeheizt-orange</t>
        </is>
      </c>
      <c r="F607" s="98" t="n">
        <v>561</v>
      </c>
      <c r="G607" s="24" t="inlineStr">
        <is>
          <t>EUR</t>
        </is>
      </c>
      <c r="H607" s="98">
        <f>IF(AND(AE607="yes",ISNUMBER(AD607)),AD607,"")</f>
        <v/>
      </c>
      <c r="I607" s="99">
        <f>IF(AND(AE607="yes",ISNUMBER(AD607),ISNUMBER(INDEX('Sources'!$G$7:$G$10,MATCH(AB607,'Sources'!$B$7:$B$10,0)))),AD607/INDEX('Sources'!$G$7:$G$10,MATCH(AB607,'Sources'!$B$7:$B$10,0)),"")</f>
        <v/>
      </c>
      <c r="J607" s="24" t="inlineStr">
        <is>
          <t>APPROX</t>
        </is>
      </c>
      <c r="K607" s="24" t="inlineStr">
        <is>
          <t>2026-09-30</t>
        </is>
      </c>
      <c r="L607" s="71" t="n"/>
      <c r="M607" s="24" t="inlineStr">
        <is>
          <t>Premium PP front-loader for GN 1/1 (12 rail pairs), unheated; volume not stated on the page. K 6000 front-loader 472.00 net</t>
        </is>
      </c>
      <c r="N607" s="25" t="inlineStr">
        <is>
          <t>https://www.gastro-star.at/produkt/rieberthermoportk1000unbeheizt-orange/</t>
        </is>
      </c>
      <c r="O607" s="24" t="inlineStr">
        <is>
          <t>Rieber</t>
        </is>
      </c>
      <c r="P607" s="24" t="inlineStr">
        <is>
          <t>excl.</t>
        </is>
      </c>
      <c r="Q607" s="100" t="n"/>
      <c r="R607" s="24" t="n">
        <v>1</v>
      </c>
      <c r="S607" s="24" t="n"/>
      <c r="T607" s="24" t="inlineStr">
        <is>
          <t>APPROX</t>
        </is>
      </c>
      <c r="U607" s="24" t="inlineStr">
        <is>
          <t>Current research_AT.xlsx row (added after live check on 30 Sep 2026). Original assignment and match quality retained.</t>
        </is>
      </c>
      <c r="V607" s="98" t="n">
        <v>561</v>
      </c>
      <c r="W607" s="98" t="n"/>
      <c r="X607" s="24" t="inlineStr">
        <is>
          <t>research_AT.xlsx</t>
        </is>
      </c>
      <c r="Y607" s="24" t="n"/>
      <c r="Z607" s="24" t="n"/>
      <c r="AA607" s="24" t="n"/>
      <c r="AB607" s="24" t="inlineStr">
        <is>
          <t>EUR</t>
        </is>
      </c>
      <c r="AC607" s="24" t="inlineStr">
        <is>
          <t>yes</t>
        </is>
      </c>
      <c r="AD607" s="24">
        <f>IF(ISNUMBER(V607),V607,"")</f>
        <v/>
      </c>
      <c r="AE607" s="24">
        <f>IF(AND(AC607="yes",ISNUMBER(F607),IF('Compare'!$H$5="All mapped",TRUE,IF('Compare'!$H$5="EXACT only",J607="EXACT",OR(J607="EXACT",J607="CLOSE")))),"yes","no")</f>
        <v/>
      </c>
      <c r="AF607" s="24">
        <f>IF(ISNUMBER(H607),COUNTIFS($B$7:$B$608,B607,$C$7:$C$608,C607,$H$7:$H$608,"&lt;"&amp;H607,$AH$7:$AH$608,"yes")+COUNTIFS($B$7:B607,B607,$C$7:C607,C607,$H$7:H607,H607,$AH$7:AH607,"yes"),"")</f>
        <v/>
      </c>
      <c r="AG607" s="24">
        <f>IF(ISNUMBER(I607),COUNTIFS($B$7:$B$608,B607,$C$7:$C$608,C607,$I$7:$I$608,"&lt;"&amp;I607,$AI$7:$AI$608,"yes")+COUNTIFS($B$7:B607,B607,$C$7:C607,C607,$I$7:I607,I607,$AI$7:AI607,"yes"),"")</f>
        <v/>
      </c>
      <c r="AH607" s="24">
        <f>IF(ISNUMBER(H607),"yes","no")</f>
        <v/>
      </c>
      <c r="AI607" s="24">
        <f>IF(ISNUMBER(I607),"yes","no")</f>
        <v/>
      </c>
      <c r="AJ607" s="101" t="n">
        <v>46295</v>
      </c>
      <c r="AK607" s="24" t="n"/>
    </row>
    <row r="608" ht="42" customHeight="1">
      <c r="A608" s="2" t="n"/>
      <c r="B608" s="24" t="inlineStr">
        <is>
          <t>Service tray approx. 370 × 530 mm</t>
        </is>
      </c>
      <c r="C608" s="24" t="inlineStr">
        <is>
          <t>Austria</t>
        </is>
      </c>
      <c r="D608" s="24" t="inlineStr">
        <is>
          <t>GGM Gastro (Austrian storefront)</t>
        </is>
      </c>
      <c r="E608" s="24" t="inlineStr">
        <is>
          <t>(6 Stück) FAST FOOD Tablett - GN 1/1 - Polypropylen - Höhe 20mm - Schwarz</t>
        </is>
      </c>
      <c r="F608" s="98" t="n">
        <v>43.99</v>
      </c>
      <c r="G608" s="24" t="inlineStr">
        <is>
          <t>EUR</t>
        </is>
      </c>
      <c r="H608" s="98">
        <f>IF(AND(AE608="yes",ISNUMBER(AD608)),AD608,"")</f>
        <v/>
      </c>
      <c r="I608" s="99">
        <f>IF(AND(AE608="yes",ISNUMBER(AD608),ISNUMBER(INDEX('Sources'!$G$7:$G$10,MATCH(AB608,'Sources'!$B$7:$B$10,0)))),AD608/INDEX('Sources'!$G$7:$G$10,MATCH(AB608,'Sources'!$B$7:$B$10,0)),"")</f>
        <v/>
      </c>
      <c r="J608" s="24" t="inlineStr">
        <is>
          <t>APPROX</t>
        </is>
      </c>
      <c r="K608" s="24" t="inlineStr">
        <is>
          <t>2026-09-30</t>
        </is>
      </c>
      <c r="L608" s="71" t="n"/>
      <c r="M608" s="24" t="inlineStr">
        <is>
          <t>PP but GN 1/1 size (530x325), not 530x370. Cambro fibreglass 530x370 tray: 199.99 per 12</t>
        </is>
      </c>
      <c r="N608" s="25" t="inlineStr">
        <is>
          <t>https://www.ggmgastro.com/de-at-eur/6-stueck-fast-food-tablett-gn-1-1-polypropylen-hoehe-20mm-schwarz-00553-6</t>
        </is>
      </c>
      <c r="O608" s="24" t="inlineStr">
        <is>
          <t>GGM</t>
        </is>
      </c>
      <c r="P608" s="24" t="inlineStr">
        <is>
          <t>excl.</t>
        </is>
      </c>
      <c r="Q608" s="100" t="n"/>
      <c r="R608" s="24" t="n">
        <v>6</v>
      </c>
      <c r="S608" s="24" t="inlineStr">
        <is>
          <t>set of 6</t>
        </is>
      </c>
      <c r="T608" s="24" t="inlineStr">
        <is>
          <t>APPROX</t>
        </is>
      </c>
      <c r="U608" s="24" t="inlineStr">
        <is>
          <t>Current research_AT.xlsx row (added after live check on 30 Sep 2026). Original assignment and match quality retained.</t>
        </is>
      </c>
      <c r="V608" s="98" t="n">
        <v>7.33</v>
      </c>
      <c r="W608" s="98" t="n"/>
      <c r="X608" s="24" t="inlineStr">
        <is>
          <t>research_AT.xlsx</t>
        </is>
      </c>
      <c r="Y608" s="24" t="n"/>
      <c r="Z608" s="24" t="n"/>
      <c r="AA608" s="24" t="n"/>
      <c r="AB608" s="24" t="inlineStr">
        <is>
          <t>EUR</t>
        </is>
      </c>
      <c r="AC608" s="24" t="inlineStr">
        <is>
          <t>yes</t>
        </is>
      </c>
      <c r="AD608" s="24">
        <f>IF(ISNUMBER(V608),V608,"")</f>
        <v/>
      </c>
      <c r="AE608" s="24">
        <f>IF(AND(AC608="yes",ISNUMBER(F608),IF('Compare'!$H$5="All mapped",TRUE,IF('Compare'!$H$5="EXACT only",J608="EXACT",OR(J608="EXACT",J608="CLOSE")))),"yes","no")</f>
        <v/>
      </c>
      <c r="AF608" s="24">
        <f>IF(ISNUMBER(H608),COUNTIFS($B$7:$B$608,B608,$C$7:$C$608,C608,$H$7:$H$608,"&lt;"&amp;H608,$AH$7:$AH$608,"yes")+COUNTIFS($B$7:B608,B608,$C$7:C608,C608,$H$7:H608,H608,$AH$7:AH608,"yes"),"")</f>
        <v/>
      </c>
      <c r="AG608" s="24">
        <f>IF(ISNUMBER(I608),COUNTIFS($B$7:$B$608,B608,$C$7:$C$608,C608,$I$7:$I$608,"&lt;"&amp;I608,$AI$7:$AI$608,"yes")+COUNTIFS($B$7:B608,B608,$C$7:C608,C608,$I$7:I608,I608,$AI$7:AI608,"yes"),"")</f>
        <v/>
      </c>
      <c r="AH608" s="24">
        <f>IF(ISNUMBER(H608),"yes","no")</f>
        <v/>
      </c>
      <c r="AI608" s="24">
        <f>IF(ISNUMBER(I608),"yes","no")</f>
        <v/>
      </c>
      <c r="AJ608" s="101" t="n">
        <v>46295</v>
      </c>
      <c r="AK608" s="24" t="n"/>
    </row>
  </sheetData>
  <conditionalFormatting sqref="J7:J608">
    <cfRule type="expression" priority="1" dxfId="0">
      <formula>J7="INCOMPLETE"</formula>
    </cfRule>
    <cfRule type="expression" priority="2" dxfId="1">
      <formula>J7="APPROX"</formula>
    </cfRule>
    <cfRule type="expression" priority="3" dxfId="2">
      <formula>J7="EXACT"</formula>
    </cfRule>
  </conditionalFormatting>
  <conditionalFormatting sqref="K7:K608">
    <cfRule type="expression" priority="4" dxfId="3">
      <formula>$AJ7&gt;DATE(2026,9,30)</formula>
    </cfRule>
  </conditionalFormatting>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43"/>
  <sheetViews>
    <sheetView showGridLines="0" workbookViewId="0">
      <pane xSplit="2" ySplit="6" topLeftCell="C7" activePane="bottomRight" state="frozen"/>
      <selection activeCell="A1" sqref="A1"/>
    </sheetView>
  </sheetViews>
  <sheetFormatPr baseColWidth="8" defaultRowHeight="15"/>
  <cols>
    <col width="3" customWidth="1" min="1" max="1"/>
    <col width="48" customWidth="1" min="2" max="2"/>
    <col width="68" customWidth="1" min="3" max="3"/>
    <col width="86" customWidth="1" min="4" max="4"/>
  </cols>
  <sheetData>
    <row r="1" ht="22" customHeight="1">
      <c r="A1" s="2" t="n"/>
      <c r="B1" s="2" t="n"/>
      <c r="C1" s="2" t="n"/>
      <c r="D1" s="2" t="n"/>
      <c r="E1" s="2" t="n"/>
    </row>
    <row r="2" ht="28" customHeight="1">
      <c r="A2" s="2" t="n"/>
      <c r="B2" s="3" t="inlineStr">
        <is>
          <t>Benchmark products</t>
        </is>
      </c>
      <c r="C2" s="2" t="n"/>
      <c r="D2" s="2" t="n"/>
      <c r="E2" s="2" t="n"/>
    </row>
    <row r="3" ht="22" customHeight="1">
      <c r="A3" s="2" t="n"/>
      <c r="B3" s="4" t="inlineStr">
        <is>
          <t>Brand is unrestricted. Product materials and dimensions remain distinct.</t>
        </is>
      </c>
      <c r="C3" s="2" t="n"/>
      <c r="D3" s="2" t="n"/>
      <c r="E3" s="2" t="n"/>
    </row>
    <row r="4" ht="22" customHeight="1">
      <c r="A4" s="2" t="n"/>
      <c r="B4" s="5" t="n"/>
      <c r="C4" s="5" t="n"/>
      <c r="D4" s="5" t="n"/>
      <c r="E4" s="2" t="n"/>
    </row>
    <row r="5" ht="22" customHeight="1">
      <c r="A5" s="2" t="n"/>
      <c r="B5" s="2" t="n"/>
      <c r="C5" s="2" t="n"/>
      <c r="D5" s="2" t="n"/>
      <c r="E5" s="2" t="n"/>
    </row>
    <row r="6" ht="38" customHeight="1">
      <c r="A6" s="2" t="n"/>
      <c r="B6" s="16" t="inlineStr">
        <is>
          <t>Product</t>
        </is>
      </c>
      <c r="C6" s="17" t="inlineStr">
        <is>
          <t>Full benchmark specification</t>
        </is>
      </c>
      <c r="D6" s="18" t="inlineStr">
        <is>
          <t>Matching requirements</t>
        </is>
      </c>
      <c r="E6" s="2" t="n"/>
    </row>
    <row r="7" ht="52" customHeight="1">
      <c r="A7" s="2" t="n"/>
      <c r="B7" s="24" t="inlineStr">
        <is>
          <t>GN 1/1 PC container, 65 mm</t>
        </is>
      </c>
      <c r="C7" s="24" t="inlineStr">
        <is>
          <t>GN 1/1 polycarbonate container, 65 mm deep</t>
        </is>
      </c>
      <c r="D7" s="24" t="inlineStr">
        <is>
          <t>Colour unrestricted. Black and clear variants are retained where size, material and depth agree.</t>
        </is>
      </c>
      <c r="E7" s="2" t="n"/>
    </row>
    <row r="8" ht="52" customHeight="1">
      <c r="A8" s="2" t="n"/>
      <c r="B8" s="27" t="inlineStr">
        <is>
          <t>GN 1/2 PC container, 150 mm</t>
        </is>
      </c>
      <c r="C8" s="27" t="inlineStr">
        <is>
          <t>GN 1/2 polycarbonate container, 150 mm deep</t>
        </is>
      </c>
      <c r="D8" s="27" t="inlineStr">
        <is>
          <t>Colour unrestricted. Black and clear variants are retained where size, material and depth agree.</t>
        </is>
      </c>
      <c r="E8" s="2" t="n"/>
    </row>
    <row r="9" ht="52" customHeight="1">
      <c r="A9" s="2" t="n"/>
      <c r="B9" s="24" t="inlineStr">
        <is>
          <t>GN 1/3 PP container, 100 mm</t>
        </is>
      </c>
      <c r="C9" s="24" t="inlineStr">
        <is>
          <t>GN 1/3 polypropylene container, 100 mm deep</t>
        </is>
      </c>
      <c r="D9" s="24" t="inlineStr">
        <is>
          <t>Colour unrestricted. Black and clear variants are retained where size, material and depth agree.</t>
        </is>
      </c>
      <c r="E9" s="2" t="n"/>
    </row>
    <row r="10" ht="52" customHeight="1">
      <c r="A10" s="2" t="n"/>
      <c r="B10" s="27" t="inlineStr">
        <is>
          <t>GN 1/1 PP lid</t>
        </is>
      </c>
      <c r="C10" s="27" t="inlineStr">
        <is>
          <t>GN 1/1 polypropylene lid</t>
        </is>
      </c>
      <c r="D10" s="27" t="inlineStr">
        <is>
          <t>Stated material or dimension conflicts in Hungary and Romania were excluded.</t>
        </is>
      </c>
      <c r="E10" s="2" t="n"/>
    </row>
    <row r="11" ht="52" customHeight="1">
      <c r="A11" s="2" t="n"/>
      <c r="B11" s="24" t="inlineStr">
        <is>
          <t>Squeeze bottle 500 ml, PP, single tip</t>
        </is>
      </c>
      <c r="C11" s="24" t="inlineStr">
        <is>
          <t>Squeeze bottle 500 ml, PP, single tip</t>
        </is>
      </c>
      <c r="D11" s="24" t="inlineStr">
        <is>
          <t>Stated material or dimension conflicts in Hungary and Romania were excluded.</t>
        </is>
      </c>
      <c r="E11" s="2" t="n"/>
    </row>
    <row r="12" ht="52" customHeight="1">
      <c r="A12" s="2" t="n"/>
      <c r="B12" s="27" t="inlineStr">
        <is>
          <t>Squeeze bottle 1,000 ml, PP, single tip</t>
        </is>
      </c>
      <c r="C12" s="27" t="inlineStr">
        <is>
          <t>Squeeze bottle 1000 ml, PP, single tip</t>
        </is>
      </c>
      <c r="D12" s="27" t="inlineStr">
        <is>
          <t>Stated material or dimension conflicts in Hungary and Romania were excluded.</t>
        </is>
      </c>
      <c r="E12" s="2" t="n"/>
    </row>
    <row r="13" ht="52" customHeight="1">
      <c r="A13" s="2" t="n"/>
      <c r="B13" s="24" t="inlineStr">
        <is>
          <t>Squeeze bottle 500 ml, triple tip</t>
        </is>
      </c>
      <c r="C13" s="24" t="inlineStr">
        <is>
          <t>Squeeze bottle 500 ml, triple tip</t>
        </is>
      </c>
      <c r="D13" s="24" t="inlineStr">
        <is>
          <t>Stated material or dimension conflicts in Hungary and Romania were excluded.</t>
        </is>
      </c>
      <c r="E13" s="2" t="n"/>
    </row>
    <row r="14" ht="52" customHeight="1">
      <c r="A14" s="2" t="n"/>
      <c r="B14" s="27" t="inlineStr">
        <is>
          <t>Sauce pump dispenser with stand</t>
        </is>
      </c>
      <c r="C14" s="27" t="inlineStr">
        <is>
          <t>Ketchup/sauce pump dispenser with stand</t>
        </is>
      </c>
      <c r="D14" s="27" t="inlineStr">
        <is>
          <t>Stated material or dimension conflicts in Hungary and Romania were excluded.</t>
        </is>
      </c>
      <c r="E14" s="2" t="n"/>
    </row>
    <row r="15" ht="52" customHeight="1">
      <c r="A15" s="2" t="n"/>
      <c r="B15" s="24" t="inlineStr">
        <is>
          <t>PE cutting board 530 × 325 × 20 mm</t>
        </is>
      </c>
      <c r="C15" s="24" t="inlineStr">
        <is>
          <t>HACCP cutting board PE 530x325x20 mm (GN 1/1)</t>
        </is>
      </c>
      <c r="D15" s="24" t="inlineStr">
        <is>
          <t>Size and PE material matter. Missing HACCP or colour-coding evidence is flagged.</t>
        </is>
      </c>
      <c r="E15" s="2" t="n"/>
    </row>
    <row r="16" ht="52" customHeight="1">
      <c r="A16" s="2" t="n"/>
      <c r="B16" s="27" t="inlineStr">
        <is>
          <t>PE cutting board 600 × 400 × 20 mm</t>
        </is>
      </c>
      <c r="C16" s="27" t="inlineStr">
        <is>
          <t>HACCP cutting board PE 600x400x20 mm</t>
        </is>
      </c>
      <c r="D16" s="27" t="inlineStr">
        <is>
          <t>Size and PE material matter. Missing HACCP or colour-coding evidence is flagged.</t>
        </is>
      </c>
      <c r="E16" s="2" t="n"/>
    </row>
    <row r="17" ht="52" customHeight="1">
      <c r="A17" s="2" t="n"/>
      <c r="B17" s="24" t="inlineStr">
        <is>
          <t>PE cutting board 300 × 200 × 10 mm</t>
        </is>
      </c>
      <c r="C17" s="24" t="inlineStr">
        <is>
          <t>HACCP cutting board PE 300x200x10 mm</t>
        </is>
      </c>
      <c r="D17" s="24" t="inlineStr">
        <is>
          <t>Size and PE material matter. Missing HACCP or colour-coding evidence is flagged.</t>
        </is>
      </c>
      <c r="E17" s="2" t="n"/>
    </row>
    <row r="18" ht="52" customHeight="1">
      <c r="A18" s="2" t="n"/>
      <c r="B18" s="27" t="inlineStr">
        <is>
          <t>PP dough box 600 × 400 × 100 mm</t>
        </is>
      </c>
      <c r="C18" s="27" t="inlineStr">
        <is>
          <t>Pizza dough box 600x400x100 mm, PP</t>
        </is>
      </c>
      <c r="D18" s="27" t="inlineStr">
        <is>
          <t>Stated material or dimension conflicts in Hungary and Romania were excluded.</t>
        </is>
      </c>
      <c r="E18" s="2" t="n"/>
    </row>
    <row r="19" ht="52" customHeight="1">
      <c r="A19" s="2" t="n"/>
      <c r="B19" s="24" t="inlineStr">
        <is>
          <t>Lid for 600 × 400 mm dough box</t>
        </is>
      </c>
      <c r="C19" s="24" t="inlineStr">
        <is>
          <t>Lid for 600x400 dough box</t>
        </is>
      </c>
      <c r="D19" s="24" t="inlineStr">
        <is>
          <t>Material unrestricted. Both PP and PE lids can match.</t>
        </is>
      </c>
      <c r="E19" s="2" t="n"/>
    </row>
    <row r="20" ht="52" customHeight="1">
      <c r="A20" s="2" t="n"/>
      <c r="B20" s="27" t="inlineStr">
        <is>
          <t>PE dough box 600 × 400 × 75 mm</t>
        </is>
      </c>
      <c r="C20" s="27" t="inlineStr">
        <is>
          <t>Pizza dough box 600x400x75 mm, PE</t>
        </is>
      </c>
      <c r="D20" s="27" t="inlineStr">
        <is>
          <t>Stated material or dimension conflicts in Hungary and Romania were excluded.</t>
        </is>
      </c>
      <c r="E20" s="2" t="n"/>
    </row>
    <row r="21" ht="52" customHeight="1">
      <c r="A21" s="2" t="n"/>
      <c r="B21" s="24" t="inlineStr">
        <is>
          <t>Front-load GN 1/1 thermobox, 80–90 L</t>
        </is>
      </c>
      <c r="C21" s="24" t="inlineStr">
        <is>
          <t>Front-loading insulated thermobox for GN 1/1 (~80-90 l)</t>
        </is>
      </c>
      <c r="D21" s="24" t="inlineStr">
        <is>
          <t>Front loading and 80–90 L must be supported; a generic GN 1/1 box is not sufficient.</t>
        </is>
      </c>
      <c r="E21" s="2" t="n"/>
    </row>
    <row r="22" ht="52" customHeight="1">
      <c r="A22" s="2" t="n"/>
      <c r="B22" s="27" t="inlineStr">
        <is>
          <t>Service tray approx. 370 × 530 mm</t>
        </is>
      </c>
      <c r="C22" s="27" t="inlineStr">
        <is>
          <t>Service tray approx. 370x530 mm, ABS/PP</t>
        </is>
      </c>
      <c r="D22" s="27" t="inlineStr">
        <is>
          <t>Stated material or dimension conflicts in Hungary and Romania were excluded.</t>
        </is>
      </c>
      <c r="E22" s="2" t="n"/>
    </row>
    <row r="23" ht="52" customHeight="1">
      <c r="A23" s="2" t="n"/>
      <c r="B23" s="24" t="inlineStr">
        <is>
          <t>Thermo tray + lid, 5–6 compartments</t>
        </is>
      </c>
      <c r="C23" s="24" t="inlineStr">
        <is>
          <t>Insulated thermo tray with lid, 5-6 compartments</t>
        </is>
      </c>
      <c r="D23" s="24" t="inlineStr">
        <is>
          <t>Stated material or dimension conflicts in Hungary and Romania were excluded.</t>
        </is>
      </c>
      <c r="E23" s="2" t="n"/>
    </row>
    <row r="24" ht="52" customHeight="1">
      <c r="A24" s="2" t="n"/>
      <c r="B24" s="27" t="inlineStr">
        <is>
          <t>GN 1/1 PP container, 65 mm</t>
        </is>
      </c>
      <c r="C24" s="27" t="inlineStr">
        <is>
          <t>GN 1/1 container, PP, 65 mm</t>
        </is>
      </c>
      <c r="D24" s="27" t="inlineStr">
        <is>
          <t>Austria / Czechia addition. Match the stated size, material and depth or tip type. Source match labels and notes are retained.</t>
        </is>
      </c>
      <c r="E24" s="2" t="n"/>
    </row>
    <row r="25" ht="52" customHeight="1">
      <c r="A25" s="2" t="n"/>
      <c r="B25" s="24" t="inlineStr">
        <is>
          <t>GN 1/3 PC container, 100 mm</t>
        </is>
      </c>
      <c r="C25" s="24" t="inlineStr">
        <is>
          <t>GN 1/3 container, PC, 100 mm</t>
        </is>
      </c>
      <c r="D25" s="24" t="inlineStr">
        <is>
          <t>Austria / Czechia addition. Match the stated size, material and depth or tip type. Source match labels and notes are retained.</t>
        </is>
      </c>
      <c r="E25" s="2" t="n"/>
    </row>
    <row r="26" ht="52" customHeight="1">
      <c r="A26" s="2" t="n"/>
      <c r="B26" s="27" t="inlineStr">
        <is>
          <t>GN 1/2 PP container, 150 mm</t>
        </is>
      </c>
      <c r="C26" s="27" t="inlineStr">
        <is>
          <t>GN 1/2 container, PP, 150 mm</t>
        </is>
      </c>
      <c r="D26" s="27" t="inlineStr">
        <is>
          <t>Austria / Czechia addition. Match the stated size, material and depth or tip type. Source match labels and notes are retained.</t>
        </is>
      </c>
      <c r="E26" s="2" t="n"/>
    </row>
    <row r="27" ht="52" customHeight="1">
      <c r="A27" s="2" t="n"/>
      <c r="B27" s="24" t="inlineStr">
        <is>
          <t>GN 1/1 PC lid</t>
        </is>
      </c>
      <c r="C27" s="24" t="inlineStr">
        <is>
          <t>GN 1/1 PC lid, standard</t>
        </is>
      </c>
      <c r="D27" s="24" t="inlineStr">
        <is>
          <t>Austria / Czechia addition. Match the stated size, material and depth or tip type. Source match labels and notes are retained.</t>
        </is>
      </c>
      <c r="E27" s="2" t="n"/>
    </row>
    <row r="28" ht="52" customHeight="1">
      <c r="A28" s="2" t="n"/>
      <c r="B28" s="27" t="inlineStr">
        <is>
          <t>GN 1/6 PP container, 100 mm</t>
        </is>
      </c>
      <c r="C28" s="27" t="inlineStr">
        <is>
          <t>GN 1/6 container, PP, 100 mm</t>
        </is>
      </c>
      <c r="D28" s="27" t="inlineStr">
        <is>
          <t>Austria / Czechia addition. Match the stated size, material and depth or tip type. Source match labels and notes are retained.</t>
        </is>
      </c>
      <c r="E28" s="2" t="n"/>
    </row>
    <row r="29" ht="52" customHeight="1">
      <c r="A29" s="2" t="n"/>
      <c r="B29" s="24" t="inlineStr">
        <is>
          <t>GN 1/9 PP container, 100 mm</t>
        </is>
      </c>
      <c r="C29" s="24" t="inlineStr">
        <is>
          <t>GN 1/9 container, PP, 100 mm</t>
        </is>
      </c>
      <c r="D29" s="24" t="inlineStr">
        <is>
          <t>Austria / Czechia addition. Match the stated size, material and depth or tip type. Source match labels and notes are retained.</t>
        </is>
      </c>
      <c r="E29" s="2" t="n"/>
    </row>
    <row r="30" ht="52" customHeight="1">
      <c r="A30" s="2" t="n"/>
      <c r="B30" s="27" t="inlineStr">
        <is>
          <t>Squeeze bottle 250 ml, PP, single tip</t>
        </is>
      </c>
      <c r="C30" s="27" t="inlineStr">
        <is>
          <t>Squeeze bottle 250 ml, PP, single tip</t>
        </is>
      </c>
      <c r="D30" s="27" t="inlineStr">
        <is>
          <t>Austria / Czechia addition. Match the stated size, material and depth or tip type. Source match labels and notes are retained.</t>
        </is>
      </c>
      <c r="E30" s="2" t="n"/>
    </row>
    <row r="31" ht="52" customHeight="1">
      <c r="A31" s="2" t="n"/>
      <c r="B31" s="24" t="inlineStr">
        <is>
          <t>Squeeze bottle 750 ml, PP, single tip</t>
        </is>
      </c>
      <c r="C31" s="24" t="inlineStr">
        <is>
          <t>Squeeze bottle 750 ml, PP, single tip</t>
        </is>
      </c>
      <c r="D31" s="24" t="inlineStr">
        <is>
          <t>Austria / Czechia addition. Match the stated size, material and depth or tip type. Source match labels and notes are retained.</t>
        </is>
      </c>
      <c r="E31" s="2" t="n"/>
    </row>
    <row r="32" ht="52" customHeight="1">
      <c r="A32" s="2" t="n"/>
      <c r="B32" s="27" t="inlineStr">
        <is>
          <t>Red PE cutting board 400 × 300 × 20 mm</t>
        </is>
      </c>
      <c r="C32" s="27" t="inlineStr">
        <is>
          <t>Cutting board 400x300x20 mm, red PE</t>
        </is>
      </c>
      <c r="D32" s="27" t="inlineStr">
        <is>
          <t>Austria / Czechia addition. Red PE and every stated dimension are required for an exact match; source match labels and substitutions are retained.</t>
        </is>
      </c>
      <c r="E32" s="2" t="n"/>
    </row>
    <row r="33" ht="52" customHeight="1">
      <c r="A33" s="2" t="n"/>
      <c r="B33" s="24" t="inlineStr">
        <is>
          <t>PP dough box 600 × 400 × 75 mm, no lid</t>
        </is>
      </c>
      <c r="C33" s="24" t="inlineStr">
        <is>
          <t>Dough box 600x400x75 mm, PP, without lid</t>
        </is>
      </c>
      <c r="D33" s="24" t="inlineStr">
        <is>
          <t>Austria / Czechia addition. PP material, dimensions and no lid are required for an exact match; source match labels and substitutions are retained.</t>
        </is>
      </c>
      <c r="E33" s="2" t="n"/>
    </row>
    <row r="34" ht="52" customHeight="1">
      <c r="A34" s="2" t="n"/>
      <c r="B34" s="27" t="inlineStr">
        <is>
          <t>GN 1/1 PC container, 100 mm</t>
        </is>
      </c>
      <c r="C34" s="27" t="inlineStr">
        <is>
          <t>GN 1/1 container, PC, 100 mm</t>
        </is>
      </c>
      <c r="D34" s="27" t="inlineStr">
        <is>
          <t>Austria / Czechia addition. Match the stated size, material and depth or tip type. Source match labels and notes are retained.</t>
        </is>
      </c>
      <c r="E34" s="2" t="n"/>
    </row>
    <row r="35" ht="52" customHeight="1">
      <c r="A35" s="2" t="n"/>
      <c r="B35" s="24" t="inlineStr">
        <is>
          <t>GN 1/6 PC container, 100 mm</t>
        </is>
      </c>
      <c r="C35" s="24" t="inlineStr">
        <is>
          <t>GN 1/6 container, PC, 100 mm</t>
        </is>
      </c>
      <c r="D35" s="24" t="inlineStr">
        <is>
          <t>Austria / Czechia addition. Match the stated size, material and depth or tip type. Source match labels and notes are retained.</t>
        </is>
      </c>
      <c r="E35" s="2" t="n"/>
    </row>
    <row r="36" ht="52" customHeight="1">
      <c r="A36" s="2" t="n"/>
      <c r="B36" s="27" t="inlineStr">
        <is>
          <t>Red PE cutting board 530 × 325 × 15 mm</t>
        </is>
      </c>
      <c r="C36" s="27" t="inlineStr">
        <is>
          <t>Cutting board 530x325x15 mm, red PE</t>
        </is>
      </c>
      <c r="D36" s="27" t="inlineStr">
        <is>
          <t>Austria / Czechia addition. Red PE and every stated dimension are required for an exact match; source match labels and substitutions are retained.</t>
        </is>
      </c>
      <c r="E36" s="2" t="n"/>
    </row>
    <row r="37" ht="52" customHeight="1">
      <c r="A37" s="2" t="n"/>
      <c r="B37" s="24" t="inlineStr">
        <is>
          <t>GN 1/3 PP lid</t>
        </is>
      </c>
      <c r="C37" s="24" t="inlineStr">
        <is>
          <t>GN 1/3 PP lid, standard</t>
        </is>
      </c>
      <c r="D37" s="24" t="inlineStr">
        <is>
          <t>Austria / Czechia addition. Match the stated size, material and depth or tip type. Source match labels and notes are retained.</t>
        </is>
      </c>
      <c r="E37" s="2" t="n"/>
    </row>
    <row r="38" ht="52" customHeight="1">
      <c r="A38" s="2" t="n"/>
      <c r="B38" s="27" t="inlineStr">
        <is>
          <t>Squeeze bottle 750 ml, PP/PE, wide covered tip</t>
        </is>
      </c>
      <c r="C38" s="27" t="inlineStr">
        <is>
          <t>Squeeze bottle 750 ml, PP/PE, wide covered tip</t>
        </is>
      </c>
      <c r="D38" s="27" t="inlineStr">
        <is>
          <t>Austria / Czechia addition. Capacity, PP/PE material and a wide covered tip distinguish this variant; source match labels are retained.</t>
        </is>
      </c>
      <c r="E38" s="2" t="n"/>
    </row>
    <row r="39" ht="52" customHeight="1">
      <c r="A39" s="2" t="n"/>
      <c r="B39" s="24" t="inlineStr">
        <is>
          <t>Red PE cutting board 300 × 200 × 20 mm</t>
        </is>
      </c>
      <c r="C39" s="24" t="inlineStr">
        <is>
          <t>Cutting board 300x200x20 mm, red PE</t>
        </is>
      </c>
      <c r="D39" s="24" t="inlineStr">
        <is>
          <t>Austria / Czechia addition. Red PE and every stated dimension are required for an exact match; source match labels and substitutions are retained.</t>
        </is>
      </c>
      <c r="E39" s="2" t="n"/>
    </row>
    <row r="40" ht="52" customHeight="1">
      <c r="A40" s="2" t="n"/>
      <c r="B40" s="27" t="inlineStr">
        <is>
          <t>PP dough box 400 × 300 × 100 mm, no lid</t>
        </is>
      </c>
      <c r="C40" s="27" t="inlineStr">
        <is>
          <t>Dough box 400x300x100 mm, PP, without lid</t>
        </is>
      </c>
      <c r="D40" s="27" t="inlineStr">
        <is>
          <t>Austria / Czechia addition. PP material, dimensions and no lid are required for an exact match; source match labels and substitutions are retained.</t>
        </is>
      </c>
      <c r="E40" s="2" t="n"/>
    </row>
    <row r="41" ht="22" customHeight="1">
      <c r="A41" s="2" t="n"/>
      <c r="B41" s="2" t="n"/>
      <c r="C41" s="2" t="n"/>
      <c r="D41" s="2" t="n"/>
      <c r="E41" s="2" t="n"/>
    </row>
    <row r="42" ht="22" customHeight="1">
      <c r="A42" s="2" t="n"/>
      <c r="B42" s="2" t="n"/>
      <c r="C42" s="2" t="n"/>
      <c r="D42" s="2" t="n"/>
      <c r="E42" s="2" t="n"/>
    </row>
    <row r="43" ht="22" customHeight="1">
      <c r="A43" s="2" t="n"/>
      <c r="B43" s="2" t="n"/>
      <c r="C43" s="2" t="n"/>
      <c r="D43" s="2" t="n"/>
      <c r="E43" s="2"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tabColor rgb="FF245A81"/>
    <outlinePr summaryBelow="1" summaryRight="1"/>
    <pageSetUpPr/>
  </sheetPr>
  <dimension ref="A1:L40"/>
  <sheetViews>
    <sheetView showGridLines="0" workbookViewId="0">
      <selection activeCell="A1" sqref="A1"/>
    </sheetView>
  </sheetViews>
  <sheetFormatPr baseColWidth="8" defaultRowHeight="15"/>
  <cols>
    <col width="3" customWidth="1" min="1" max="1"/>
    <col width="24" customWidth="1" min="2" max="2"/>
    <col width="20" customWidth="1" min="3" max="3"/>
    <col width="18" customWidth="1" min="4" max="4"/>
    <col width="18" customWidth="1" min="5" max="5"/>
    <col width="25" customWidth="1" min="6" max="6"/>
    <col width="23" customWidth="1" min="7" max="7"/>
    <col width="3" customWidth="1" min="8" max="8"/>
    <col width="16" customWidth="1" min="9" max="9"/>
    <col width="65" customWidth="1" min="10" max="10"/>
    <col width="3" customWidth="1" min="11" max="11"/>
    <col width="3" customWidth="1" min="12" max="12"/>
  </cols>
  <sheetData>
    <row r="1" ht="22" customHeight="1">
      <c r="A1" s="2" t="n"/>
      <c r="B1" s="2" t="n"/>
      <c r="C1" s="2" t="n"/>
      <c r="D1" s="2" t="n"/>
      <c r="E1" s="2" t="n"/>
      <c r="F1" s="2" t="n"/>
      <c r="G1" s="2" t="n"/>
      <c r="H1" s="2" t="n"/>
      <c r="I1" s="2" t="n"/>
      <c r="J1" s="2" t="n"/>
      <c r="K1" s="2" t="n"/>
      <c r="L1" s="2" t="n"/>
    </row>
    <row r="2" ht="28" customHeight="1">
      <c r="A2" s="2" t="n"/>
      <c r="B2" s="3" t="inlineStr">
        <is>
          <t>Sources and exchange rates</t>
        </is>
      </c>
      <c r="C2" s="2" t="n"/>
      <c r="D2" s="2" t="n"/>
      <c r="E2" s="2" t="n"/>
      <c r="F2" s="2" t="n"/>
      <c r="G2" s="2" t="n"/>
      <c r="H2" s="2" t="n"/>
      <c r="I2" s="2" t="n"/>
      <c r="J2" s="2" t="n"/>
      <c r="K2" s="2" t="n"/>
      <c r="L2" s="2" t="n"/>
    </row>
    <row r="3" ht="22" customHeight="1">
      <c r="A3" s="2" t="n"/>
      <c r="B3" s="4" t="inlineStr">
        <is>
          <t>Erste Bank account-conversion mid-rates. Published 30 Sep 2026, 18:00 CEST.</t>
        </is>
      </c>
      <c r="C3" s="2" t="n"/>
      <c r="D3" s="2" t="n"/>
      <c r="E3" s="2" t="n"/>
      <c r="F3" s="2" t="n"/>
      <c r="G3" s="2" t="n"/>
      <c r="H3" s="2" t="n"/>
      <c r="I3" s="2" t="n"/>
      <c r="J3" s="2" t="n"/>
      <c r="K3" s="2" t="n"/>
      <c r="L3" s="2" t="n"/>
    </row>
    <row r="4" ht="22" customHeight="1">
      <c r="A4" s="2" t="n"/>
      <c r="B4" s="5" t="n"/>
      <c r="C4" s="5" t="n"/>
      <c r="D4" s="5" t="n"/>
      <c r="E4" s="5" t="n"/>
      <c r="F4" s="5" t="n"/>
      <c r="G4" s="5" t="n"/>
      <c r="H4" s="5" t="n"/>
      <c r="I4" s="5" t="n"/>
      <c r="J4" s="5" t="n"/>
      <c r="K4" s="5" t="n"/>
      <c r="L4" s="2" t="n"/>
    </row>
    <row r="5" ht="22" customHeight="1">
      <c r="A5" s="2" t="n"/>
      <c r="B5" s="2" t="n"/>
      <c r="C5" s="2" t="n"/>
      <c r="D5" s="2" t="n"/>
      <c r="E5" s="2" t="n"/>
      <c r="F5" s="2" t="n"/>
      <c r="G5" s="2" t="n"/>
      <c r="H5" s="2" t="n"/>
      <c r="I5" s="2" t="n"/>
      <c r="J5" s="2" t="n"/>
      <c r="K5" s="2" t="n"/>
      <c r="L5" s="2" t="n"/>
    </row>
    <row r="6" ht="38" customHeight="1">
      <c r="A6" s="2" t="n"/>
      <c r="B6" s="16" t="inlineStr">
        <is>
          <t>Currency</t>
        </is>
      </c>
      <c r="C6" s="17" t="inlineStr">
        <is>
          <t>HUF per unit (mid)</t>
        </is>
      </c>
      <c r="D6" s="17" t="inlineStr">
        <is>
          <t>Bank buys at</t>
        </is>
      </c>
      <c r="E6" s="17" t="inlineStr">
        <is>
          <t>Bank sells at</t>
        </is>
      </c>
      <c r="F6" s="17" t="inlineStr">
        <is>
          <t>Published (Budapest)</t>
        </is>
      </c>
      <c r="G6" s="18" t="inlineStr">
        <is>
          <t>Units per EUR</t>
        </is>
      </c>
      <c r="H6" s="2" t="n"/>
      <c r="I6" s="16" t="inlineStr">
        <is>
          <t>Market</t>
        </is>
      </c>
      <c r="J6" s="18" t="inlineStr">
        <is>
          <t>Source file</t>
        </is>
      </c>
      <c r="K6" s="2" t="n"/>
      <c r="L6" s="2" t="n"/>
    </row>
    <row r="7" ht="35" customHeight="1">
      <c r="A7" s="2" t="n"/>
      <c r="B7" s="2" t="inlineStr">
        <is>
          <t>EUR</t>
        </is>
      </c>
      <c r="C7" s="106" t="n">
        <v>366.11</v>
      </c>
      <c r="D7" s="107" t="n">
        <v>351.47</v>
      </c>
      <c r="E7" s="107" t="n">
        <v>380.75</v>
      </c>
      <c r="F7" s="108" t="n">
        <v>46295.75</v>
      </c>
      <c r="G7" s="109">
        <f>IF(AND(ISNUMBER($C$7),$C$7&gt;0,ISNUMBER(C7),C7&gt;0),$C$7/C7,"")</f>
        <v/>
      </c>
      <c r="H7" s="2" t="n"/>
      <c r="I7" s="2" t="inlineStr">
        <is>
          <t>Hungary</t>
        </is>
      </c>
      <c r="J7" s="24" t="inlineStr">
        <is>
          <t>YES Gastro Hungary Market Research.xlsx</t>
        </is>
      </c>
      <c r="K7" s="2" t="n"/>
      <c r="L7" s="2" t="n"/>
    </row>
    <row r="8" ht="35" customHeight="1">
      <c r="A8" s="2" t="n"/>
      <c r="B8" s="19" t="inlineStr">
        <is>
          <t>HUF</t>
        </is>
      </c>
      <c r="C8" s="106" t="n">
        <v>1</v>
      </c>
      <c r="D8" s="110" t="n"/>
      <c r="E8" s="110" t="n"/>
      <c r="F8" s="111" t="n"/>
      <c r="G8" s="112">
        <f>IF(AND(ISNUMBER($C$7),$C$7&gt;0,ISNUMBER(C8),C8&gt;0),$C$7/C8,"")</f>
        <v/>
      </c>
      <c r="H8" s="2" t="n"/>
      <c r="I8" s="2" t="inlineStr">
        <is>
          <t>Romania</t>
        </is>
      </c>
      <c r="J8" s="24" t="inlineStr">
        <is>
          <t>YES Gastro Romania Market Research.xlsx</t>
        </is>
      </c>
      <c r="K8" s="2" t="n"/>
      <c r="L8" s="2" t="n"/>
    </row>
    <row r="9" ht="35" customHeight="1">
      <c r="A9" s="2" t="n"/>
      <c r="B9" s="2" t="inlineStr">
        <is>
          <t>RON</t>
        </is>
      </c>
      <c r="C9" s="106" t="n">
        <v>69.37</v>
      </c>
      <c r="D9" s="107" t="n">
        <v>66.59999999999999</v>
      </c>
      <c r="E9" s="107" t="n">
        <v>72.14</v>
      </c>
      <c r="F9" s="108" t="n">
        <v>46295.75</v>
      </c>
      <c r="G9" s="109">
        <f>IF(AND(ISNUMBER($C$7),$C$7&gt;0,ISNUMBER(C9),C9&gt;0),$C$7/C9,"")</f>
        <v/>
      </c>
      <c r="H9" s="2" t="n"/>
      <c r="I9" s="2" t="inlineStr">
        <is>
          <t>Austria</t>
        </is>
      </c>
      <c r="J9" s="24" t="inlineStr">
        <is>
          <t>YES Gastro Austria Market Research.xlsx</t>
        </is>
      </c>
      <c r="K9" s="2" t="n"/>
      <c r="L9" s="2" t="n"/>
    </row>
    <row r="10" ht="35" customHeight="1">
      <c r="A10" s="2" t="n"/>
      <c r="B10" s="19" t="inlineStr">
        <is>
          <t>CZK</t>
        </is>
      </c>
      <c r="C10" s="106" t="n">
        <v>14.99</v>
      </c>
      <c r="D10" s="110" t="n">
        <v>14.39</v>
      </c>
      <c r="E10" s="110" t="n">
        <v>15.59</v>
      </c>
      <c r="F10" s="111" t="n">
        <v>46295.75</v>
      </c>
      <c r="G10" s="112">
        <f>IF(AND(ISNUMBER($C$7),$C$7&gt;0,ISNUMBER(C10),C10&gt;0),$C$7/C10,"")</f>
        <v/>
      </c>
      <c r="H10" s="2" t="n"/>
      <c r="I10" s="2" t="inlineStr">
        <is>
          <t>Germany</t>
        </is>
      </c>
      <c r="J10" s="24" t="inlineStr">
        <is>
          <t>YES Gastro Germany Market Research.xlsx</t>
        </is>
      </c>
      <c r="K10" s="2" t="n"/>
      <c r="L10" s="2" t="n"/>
    </row>
    <row r="11" ht="35" customHeight="1">
      <c r="A11" s="2" t="n"/>
      <c r="B11" s="2" t="n"/>
      <c r="C11" s="2" t="n"/>
      <c r="D11" s="2" t="n"/>
      <c r="E11" s="2" t="n"/>
      <c r="F11" s="2" t="n"/>
      <c r="G11" s="2" t="n"/>
      <c r="H11" s="2" t="n"/>
      <c r="I11" s="2" t="inlineStr">
        <is>
          <t>Czech</t>
        </is>
      </c>
      <c r="J11" s="24" t="inlineStr">
        <is>
          <t>YES Gastro Czech Market Research.xlsx</t>
        </is>
      </c>
      <c r="K11" s="2" t="n"/>
      <c r="L11" s="2" t="n"/>
    </row>
    <row r="12" ht="35" customHeight="1">
      <c r="A12" s="2" t="n"/>
      <c r="B12" s="63" t="inlineStr">
        <is>
          <t>Mid-rates provide a consistent reference for market comparisons. Cross-rates use the HUF mid-rates above. These are a dated snapshot, not a live feed.</t>
        </is>
      </c>
      <c r="H12" s="2" t="n"/>
      <c r="I12" s="2" t="inlineStr">
        <is>
          <t>Slovakia</t>
        </is>
      </c>
      <c r="J12" s="24" t="inlineStr">
        <is>
          <t>YES Gastro Slovakia Market Research.xlsx</t>
        </is>
      </c>
      <c r="K12" s="2" t="n"/>
      <c r="L12" s="2" t="n"/>
    </row>
    <row r="13" ht="35" customHeight="1">
      <c r="A13" s="2" t="n"/>
      <c r="H13" s="2" t="n"/>
      <c r="I13" s="2" t="inlineStr">
        <is>
          <t>Austria</t>
        </is>
      </c>
      <c r="J13" s="24" t="inlineStr">
        <is>
          <t>research_AT.xlsx</t>
        </is>
      </c>
      <c r="K13" s="2" t="n"/>
      <c r="L13" s="2" t="n"/>
    </row>
    <row r="14" ht="35" customHeight="1">
      <c r="A14" s="2" t="n"/>
      <c r="B14" s="20" t="inlineStr">
        <is>
          <t>https://www.erstebank.hu/hu/arfolyamok-table-szamlakonv-from200302</t>
        </is>
      </c>
      <c r="H14" s="2" t="n"/>
      <c r="I14" s="2" t="inlineStr">
        <is>
          <t>Czech</t>
        </is>
      </c>
      <c r="J14" s="24" t="inlineStr">
        <is>
          <t>research_CZ.xlsx</t>
        </is>
      </c>
      <c r="K14" s="2" t="n"/>
      <c r="L14" s="2" t="n"/>
    </row>
    <row r="15" ht="22" customHeight="1">
      <c r="A15" s="2" t="n"/>
      <c r="B15" s="2" t="n"/>
      <c r="C15" s="2" t="n"/>
      <c r="D15" s="2" t="n"/>
      <c r="E15" s="2" t="n"/>
      <c r="F15" s="2" t="n"/>
      <c r="G15" s="2" t="n"/>
      <c r="H15" s="2" t="n"/>
      <c r="I15" s="2" t="n"/>
      <c r="J15" s="2" t="n"/>
      <c r="K15" s="2" t="n"/>
      <c r="L15" s="2" t="n"/>
    </row>
    <row r="16" ht="22" customHeight="1">
      <c r="A16" s="2" t="n"/>
      <c r="B16" s="2" t="n"/>
      <c r="C16" s="2" t="n"/>
      <c r="D16" s="2" t="n"/>
      <c r="E16" s="2" t="n"/>
      <c r="F16" s="2" t="n"/>
      <c r="G16" s="2" t="n"/>
      <c r="H16" s="2" t="n"/>
      <c r="I16" s="7" t="inlineStr">
        <is>
          <t>Official rate data</t>
        </is>
      </c>
      <c r="J16" s="2" t="n"/>
      <c r="K16" s="2" t="n"/>
      <c r="L16" s="2" t="n"/>
    </row>
    <row r="17" ht="22" customHeight="1">
      <c r="A17" s="2" t="n"/>
      <c r="B17" s="7" t="inlineStr">
        <is>
          <t>How to use the workbook</t>
        </is>
      </c>
      <c r="C17" s="2" t="n"/>
      <c r="D17" s="2" t="n"/>
      <c r="E17" s="2" t="n"/>
      <c r="F17" s="2" t="n"/>
      <c r="G17" s="2" t="n"/>
      <c r="H17" s="2" t="n"/>
      <c r="I17" s="2" t="n"/>
      <c r="J17" s="2" t="n"/>
      <c r="K17" s="2" t="n"/>
      <c r="L17" s="2" t="n"/>
    </row>
    <row r="18" ht="42" customHeight="1">
      <c r="A18" s="2" t="n"/>
      <c r="B18" s="7" t="inlineStr">
        <is>
          <t>Coverage</t>
        </is>
      </c>
      <c r="C18" s="24" t="inlineStr">
        <is>
          <t>Additional variants have research for Austria and Czechia only. Other markets show a dash where no offer exists. Original basket entries are unchanged apart from the live-checked corrections in Change log.</t>
        </is>
      </c>
      <c r="H18" s="2" t="n"/>
      <c r="I18" s="2" t="inlineStr">
        <is>
          <t>EUR</t>
        </is>
      </c>
      <c r="J18" s="25" t="inlineStr">
        <is>
          <t>https://openbankapi.erstebank.hu/public/api/v1/fxRatesList?rateType=ipInterBank&amp;date=2026-09-30&amp;currencies=EUR</t>
        </is>
      </c>
      <c r="K18" s="2" t="n"/>
      <c r="L18" s="2" t="n"/>
    </row>
    <row r="19" ht="42" customHeight="1">
      <c r="A19" s="2" t="n"/>
      <c r="B19" s="7" t="inlineStr">
        <is>
          <t>Compare</t>
        </is>
      </c>
      <c r="C19" s="24" t="inlineStr">
        <is>
          <t>Choose Minimum, Median or Maximum. Switch local prices / EUR net per piece. Select a product by name for the detailed country comparison.</t>
        </is>
      </c>
      <c r="H19" s="2" t="n"/>
      <c r="I19" s="2" t="n"/>
      <c r="K19" s="2" t="n"/>
      <c r="L19" s="2" t="n"/>
    </row>
    <row r="20" ht="42" customHeight="1">
      <c r="A20" s="2" t="n"/>
      <c r="B20" s="7" t="inlineStr">
        <is>
          <t>Review</t>
        </is>
      </c>
      <c r="C20" s="24" t="inlineStr">
        <is>
          <t>Filter by product or country. Enter your decision, priority and comments in amber cells.</t>
        </is>
      </c>
      <c r="H20" s="2" t="n"/>
      <c r="I20" s="2" t="n"/>
      <c r="J20" s="2" t="n"/>
      <c r="K20" s="2" t="n"/>
      <c r="L20" s="2" t="n"/>
    </row>
    <row r="21" ht="42" customHeight="1">
      <c r="A21" s="2" t="n"/>
      <c r="B21" s="7" t="inlineStr">
        <is>
          <t>Offers</t>
        </is>
      </c>
      <c r="C21" s="24" t="inlineStr">
        <is>
          <t>Original prices, notes and URLs sit beside the current net-per-piece conversions. Filter by product, country, competitor or match quality.</t>
        </is>
      </c>
      <c r="H21" s="2" t="n"/>
      <c r="I21" s="2" t="inlineStr">
        <is>
          <t>RON</t>
        </is>
      </c>
      <c r="J21" s="25" t="inlineStr">
        <is>
          <t>https://openbankapi.erstebank.hu/public/api/v1/fxRatesList?rateType=ipInterBank&amp;date=2026-09-30&amp;currencies=RON</t>
        </is>
      </c>
      <c r="K21" s="2" t="n"/>
      <c r="L21" s="2" t="n"/>
    </row>
    <row r="22" ht="42" customHeight="1">
      <c r="A22" s="2" t="n"/>
      <c r="B22" s="7" t="inlineStr">
        <is>
          <t>Hungary / Romania</t>
        </is>
      </c>
      <c r="C22" s="24" t="inlineStr">
        <is>
          <t>You confirmed all listed prices are net per piece on 30 Sep 2026. Analysis uses that basis. Live checks on 30 Sep 2026 corrected one VAT-inclusive Romania price and three EUR prices recorded as RON; see Change log.</t>
        </is>
      </c>
      <c r="H22" s="2" t="n"/>
      <c r="I22" s="2" t="n"/>
      <c r="K22" s="2" t="n"/>
      <c r="L22" s="2" t="n"/>
    </row>
    <row r="23" ht="42" customHeight="1">
      <c r="A23" s="2" t="n"/>
      <c r="B23" s="7" t="inlineStr">
        <is>
          <t>Match filter</t>
        </is>
      </c>
      <c r="C23" s="24" t="inlineStr">
        <is>
          <t>EXACT + CLOSE follows the benchmark files. EXACT only is stricter. All mapped includes existing APPROX and INCOMPLETE matches.</t>
        </is>
      </c>
      <c r="H23" s="2" t="n"/>
      <c r="I23" s="2" t="n"/>
      <c r="J23" s="2" t="n"/>
      <c r="K23" s="2" t="n"/>
      <c r="L23" s="2" t="n"/>
    </row>
    <row r="24" ht="42" customHeight="1">
      <c r="A24" s="2" t="n"/>
      <c r="B24" s="7" t="inlineStr">
        <is>
          <t>Source extracts</t>
        </is>
      </c>
      <c r="C24" s="24" t="inlineStr">
        <is>
          <t>Prices, descriptions, notes and dates are preserved. Item numbers and observation-count fields were removed. Historical source FX values remain historical.</t>
        </is>
      </c>
      <c r="H24" s="2" t="n"/>
      <c r="I24" s="2" t="inlineStr">
        <is>
          <t>CZK</t>
        </is>
      </c>
      <c r="J24" s="25" t="inlineStr">
        <is>
          <t>https://openbankapi.erstebank.hu/public/api/v1/fxRatesList?rateType=ipInterBank&amp;date=2026-09-30&amp;currencies=CZK</t>
        </is>
      </c>
      <c r="K24" s="2" t="n"/>
      <c r="L24" s="2" t="n"/>
    </row>
    <row r="25" ht="42" customHeight="1">
      <c r="A25" s="2" t="n"/>
      <c r="B25" s="7" t="inlineStr">
        <is>
          <t>Czech calculations</t>
        </is>
      </c>
      <c r="C25" s="24" t="inlineStr">
        <is>
          <t>The original VAT, pack-size and rounding rules calculate the net piece price. Erste FX then converts that amount into EUR.</t>
        </is>
      </c>
      <c r="H25" s="2" t="n"/>
      <c r="I25" s="2" t="n"/>
      <c r="K25" s="2" t="n"/>
      <c r="L25" s="2" t="n"/>
    </row>
    <row r="26" ht="42" customHeight="1">
      <c r="A26" s="2" t="n"/>
      <c r="B26" s="7" t="inlineStr">
        <is>
          <t>Missing values</t>
        </is>
      </c>
      <c r="C26" s="24" t="inlineStr">
        <is>
          <t>A dash means no qualifying price, not zero. Existing source competitor-eligibility rules are preserved.</t>
        </is>
      </c>
      <c r="H26" s="2" t="n"/>
      <c r="I26" s="2" t="n"/>
      <c r="J26" s="2" t="n"/>
      <c r="K26" s="2" t="n"/>
      <c r="L26" s="2" t="n"/>
    </row>
    <row r="27" ht="42" customHeight="1">
      <c r="A27" s="2" t="n"/>
      <c r="B27" s="7" t="inlineStr">
        <is>
          <t>Research dates</t>
        </is>
      </c>
      <c r="C27" s="24" t="inlineStr">
        <is>
          <t>The supplied snapshots remain unchanged except rows re-checked live (see Change log). Romania still contains one 2029 date (Hendi; hendi.ro could not be re-checked); it is highlighted.</t>
        </is>
      </c>
      <c r="H27" s="2" t="n"/>
      <c r="I27" s="2" t="n"/>
      <c r="J27" s="2" t="n"/>
      <c r="K27" s="2" t="n"/>
      <c r="L27" s="2" t="n"/>
    </row>
    <row r="28" ht="42" customHeight="1">
      <c r="A28" s="2" t="n"/>
      <c r="B28" s="7" t="inlineStr">
        <is>
          <t>Repeated observations</t>
        </is>
      </c>
      <c r="C28" s="24" t="inlineStr">
        <is>
          <t>Repeated shops, colour variants and dates retain their original statistical weight.</t>
        </is>
      </c>
      <c r="H28" s="2" t="n"/>
      <c r="I28" s="2" t="n"/>
      <c r="J28" s="2" t="n"/>
      <c r="K28" s="2" t="n"/>
      <c r="L28" s="2" t="n"/>
    </row>
    <row r="29" ht="42" customHeight="1">
      <c r="A29" s="2" t="n"/>
      <c r="B29" s="7" t="inlineStr">
        <is>
          <t>Refresh</t>
        </is>
      </c>
      <c r="C29" s="24" t="inlineStr">
        <is>
          <t>Changing the amber FX inputs or comparison selectors updates the analysis. New research requires an updated source import.</t>
        </is>
      </c>
      <c r="H29" s="2" t="n"/>
      <c r="I29" s="2" t="n"/>
      <c r="J29" s="2" t="n"/>
      <c r="K29" s="2" t="n"/>
      <c r="L29" s="2" t="n"/>
    </row>
    <row r="30" ht="42" customHeight="1">
      <c r="A30" s="2" t="n"/>
      <c r="B30" s="7" t="inlineStr">
        <is>
          <t>Live corrections</t>
        </is>
      </c>
      <c r="C30" s="24" t="inlineStr">
        <is>
          <t>Rows corrected or added after live checks on 30 Sep 2026 are listed in Change log, with the old value, new value and the page used. Source extracts keep the original values.</t>
        </is>
      </c>
      <c r="H30" s="2" t="n"/>
      <c r="I30" s="2" t="n"/>
      <c r="J30" s="2" t="n"/>
      <c r="K30" s="2" t="n"/>
      <c r="L30" s="2" t="n"/>
    </row>
    <row r="31" ht="22" customHeight="1">
      <c r="A31" s="2" t="n"/>
      <c r="B31" s="2" t="n"/>
      <c r="C31" s="2" t="n"/>
      <c r="D31" s="2" t="n"/>
      <c r="E31" s="2" t="n"/>
      <c r="F31" s="2" t="n"/>
      <c r="G31" s="2" t="n"/>
      <c r="H31" s="2" t="n"/>
      <c r="I31" s="2" t="n"/>
      <c r="J31" s="2" t="n"/>
      <c r="K31" s="2" t="n"/>
      <c r="L31" s="2" t="n"/>
    </row>
    <row r="32" ht="22" customHeight="1">
      <c r="A32" s="2" t="n"/>
      <c r="B32" s="2" t="n"/>
      <c r="C32" s="2" t="n"/>
      <c r="D32" s="2" t="n"/>
      <c r="E32" s="2" t="n"/>
      <c r="F32" s="2" t="n"/>
      <c r="G32" s="2" t="n"/>
      <c r="H32" s="2" t="n"/>
      <c r="I32" s="2" t="n"/>
      <c r="J32" s="2" t="n"/>
      <c r="K32" s="2" t="n"/>
      <c r="L32" s="2" t="n"/>
    </row>
    <row r="33" ht="22" customHeight="1">
      <c r="A33" s="2" t="n"/>
      <c r="B33" s="2" t="n"/>
      <c r="C33" s="2" t="n"/>
      <c r="D33" s="2" t="n"/>
      <c r="E33" s="2" t="n"/>
      <c r="F33" s="2" t="n"/>
      <c r="G33" s="2" t="n"/>
      <c r="H33" s="2" t="n"/>
      <c r="I33" s="2" t="n"/>
      <c r="J33" s="2" t="n"/>
      <c r="K33" s="2" t="n"/>
      <c r="L33" s="2" t="n"/>
    </row>
    <row r="34" ht="22" customHeight="1">
      <c r="A34" s="2" t="n"/>
      <c r="B34" s="2" t="n"/>
      <c r="C34" s="2" t="n"/>
      <c r="D34" s="2" t="n"/>
      <c r="E34" s="2" t="n"/>
      <c r="F34" s="2" t="n"/>
      <c r="G34" s="2" t="n"/>
      <c r="H34" s="2" t="n"/>
      <c r="I34" s="2" t="n"/>
      <c r="J34" s="2" t="n"/>
      <c r="K34" s="2" t="n"/>
      <c r="L34" s="2" t="n"/>
    </row>
    <row r="35" ht="22" customHeight="1">
      <c r="A35" s="2" t="n"/>
      <c r="B35" s="2" t="n"/>
      <c r="C35" s="2" t="n"/>
      <c r="D35" s="2" t="n"/>
      <c r="E35" s="2" t="n"/>
      <c r="F35" s="2" t="n"/>
      <c r="G35" s="2" t="n"/>
      <c r="H35" s="2" t="n"/>
      <c r="I35" s="2" t="n"/>
      <c r="J35" s="2" t="n"/>
      <c r="K35" s="2" t="n"/>
      <c r="L35" s="2" t="n"/>
    </row>
    <row r="36" ht="22" customHeight="1">
      <c r="A36" s="2" t="n"/>
      <c r="B36" s="2" t="n"/>
      <c r="C36" s="2" t="n"/>
      <c r="D36" s="2" t="n"/>
      <c r="E36" s="2" t="n"/>
      <c r="F36" s="2" t="n"/>
      <c r="G36" s="2" t="n"/>
      <c r="H36" s="2" t="n"/>
      <c r="I36" s="2" t="n"/>
      <c r="J36" s="2" t="n"/>
      <c r="K36" s="2" t="n"/>
      <c r="L36" s="2" t="n"/>
    </row>
    <row r="37" ht="22" customHeight="1">
      <c r="A37" s="2" t="n"/>
      <c r="B37" s="2" t="n"/>
      <c r="C37" s="2" t="n"/>
      <c r="D37" s="2" t="n"/>
      <c r="E37" s="2" t="n"/>
      <c r="F37" s="2" t="n"/>
      <c r="G37" s="2" t="n"/>
      <c r="H37" s="2" t="n"/>
      <c r="I37" s="2" t="n"/>
      <c r="J37" s="2" t="n"/>
      <c r="K37" s="2" t="n"/>
      <c r="L37" s="2" t="n"/>
    </row>
    <row r="38" ht="22" customHeight="1">
      <c r="A38" s="2" t="n"/>
      <c r="B38" s="2" t="n"/>
      <c r="C38" s="2" t="n"/>
      <c r="D38" s="2" t="n"/>
      <c r="E38" s="2" t="n"/>
      <c r="F38" s="2" t="n"/>
      <c r="G38" s="2" t="n"/>
      <c r="H38" s="2" t="n"/>
      <c r="I38" s="2" t="n"/>
      <c r="J38" s="2" t="n"/>
      <c r="K38" s="2" t="n"/>
      <c r="L38" s="2" t="n"/>
    </row>
    <row r="39" ht="22" customHeight="1">
      <c r="A39" s="2" t="n"/>
      <c r="B39" s="2" t="n"/>
      <c r="C39" s="2" t="n"/>
      <c r="D39" s="2" t="n"/>
      <c r="E39" s="2" t="n"/>
      <c r="F39" s="2" t="n"/>
      <c r="G39" s="2" t="n"/>
      <c r="H39" s="2" t="n"/>
      <c r="I39" s="2" t="n"/>
      <c r="J39" s="2" t="n"/>
      <c r="K39" s="2" t="n"/>
      <c r="L39" s="2" t="n"/>
    </row>
    <row r="40" ht="22" customHeight="1">
      <c r="A40" s="2" t="n"/>
      <c r="B40" s="2" t="n"/>
      <c r="C40" s="2" t="n"/>
      <c r="D40" s="2" t="n"/>
      <c r="E40" s="2" t="n"/>
      <c r="F40" s="2" t="n"/>
      <c r="G40" s="2" t="n"/>
      <c r="H40" s="2" t="n"/>
      <c r="I40" s="2" t="n"/>
      <c r="J40" s="2" t="n"/>
      <c r="K40" s="2" t="n"/>
      <c r="L40" s="2" t="n"/>
    </row>
  </sheetData>
  <mergeCells count="18">
    <mergeCell ref="C29:G29"/>
    <mergeCell ref="C21:G21"/>
    <mergeCell ref="C30:G30"/>
    <mergeCell ref="C20:G20"/>
    <mergeCell ref="B14:G14"/>
    <mergeCell ref="C24:G24"/>
    <mergeCell ref="J18:J19"/>
    <mergeCell ref="J24:J25"/>
    <mergeCell ref="C25:G25"/>
    <mergeCell ref="C28:G28"/>
    <mergeCell ref="C27:G27"/>
    <mergeCell ref="C19:G19"/>
    <mergeCell ref="J21:J22"/>
    <mergeCell ref="C23:G23"/>
    <mergeCell ref="B12:G13"/>
    <mergeCell ref="C22:G22"/>
    <mergeCell ref="C18:G18"/>
    <mergeCell ref="C26:G26"/>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L2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 customWidth="1" min="1" max="1"/>
    <col width="12" customWidth="1" min="2" max="2"/>
    <col width="9" customWidth="1" min="3" max="3"/>
    <col width="7" customWidth="1" min="4" max="4"/>
    <col width="10" customWidth="1" min="5" max="5"/>
    <col width="26" customWidth="1" min="6" max="6"/>
    <col width="30" customWidth="1" min="7" max="7"/>
    <col width="22" customWidth="1" min="8" max="8"/>
    <col width="24" customWidth="1" min="9" max="9"/>
    <col width="26" customWidth="1" min="10" max="10"/>
    <col width="48" customWidth="1" min="11" max="11"/>
    <col width="60" customWidth="1" min="12" max="12"/>
  </cols>
  <sheetData>
    <row r="2">
      <c r="B2" s="3" t="inlineStr">
        <is>
          <t>Change log</t>
        </is>
      </c>
    </row>
    <row r="3">
      <c r="B3" s="4" t="inlineStr">
        <is>
          <t>Corrections confirmed on live shop pages on 30 Sep 2026. Only confirmed mistakes were changed; Offers row numbers refer to this workbook.</t>
        </is>
      </c>
    </row>
    <row r="5">
      <c r="B5" s="16" t="inlineStr">
        <is>
          <t>Date</t>
        </is>
      </c>
      <c r="C5" s="16" t="inlineStr">
        <is>
          <t>Sheet</t>
        </is>
      </c>
      <c r="D5" s="16" t="inlineStr">
        <is>
          <t>Row</t>
        </is>
      </c>
      <c r="E5" s="16" t="inlineStr">
        <is>
          <t>Market</t>
        </is>
      </c>
      <c r="F5" s="16" t="inlineStr">
        <is>
          <t>Competitor</t>
        </is>
      </c>
      <c r="G5" s="16" t="inlineStr">
        <is>
          <t>Product</t>
        </is>
      </c>
      <c r="H5" s="16" t="inlineStr">
        <is>
          <t>Field(s)</t>
        </is>
      </c>
      <c r="I5" s="16" t="inlineStr">
        <is>
          <t>Old value</t>
        </is>
      </c>
      <c r="J5" s="16" t="inlineStr">
        <is>
          <t>New value</t>
        </is>
      </c>
      <c r="K5" s="16" t="inlineStr">
        <is>
          <t>Evidence (live page)</t>
        </is>
      </c>
      <c r="L5" s="16" t="inlineStr">
        <is>
          <t>Reason</t>
        </is>
      </c>
    </row>
    <row r="6" ht="54" customHeight="1">
      <c r="B6" s="113" t="inlineStr">
        <is>
          <t>30 Sep 2026</t>
        </is>
      </c>
      <c r="C6" s="113" t="inlineStr">
        <is>
          <t>Offers</t>
        </is>
      </c>
      <c r="D6" s="113" t="n">
        <v>15</v>
      </c>
      <c r="E6" s="113" t="inlineStr">
        <is>
          <t>Romania</t>
        </is>
      </c>
      <c r="F6" s="113" t="inlineStr">
        <is>
          <t>Gastrozone</t>
        </is>
      </c>
      <c r="G6" s="113" t="inlineStr">
        <is>
          <t>GN 1/1 PC container, 65 mm</t>
        </is>
      </c>
      <c r="H6" s="113" t="inlineStr">
        <is>
          <t>Listed price / date / URL</t>
        </is>
      </c>
      <c r="I6" s="113" t="inlineStr">
        <is>
          <t>132.98 RON · 30.06.2026 · search page</t>
        </is>
      </c>
      <c r="J6" s="113" t="inlineStr">
        <is>
          <t>91.90 RON · 30.09.2026 · product page</t>
        </is>
      </c>
      <c r="K6" s="113" t="inlineStr">
        <is>
          <t>https://www.gastrozone.ro/araven-gn-containere-1-1-policarbonat-adancime-65-mm-capacitate-8-6-l.html</t>
        </is>
      </c>
      <c r="L6" s="113" t="inlineStr">
        <is>
          <t>Recorded value included 21% VAT (109.90 x 1.21 = 132.98) but was analysed as net. Live page: 111.20 lei incl. TVA / 91.90 lei fără TVA.</t>
        </is>
      </c>
    </row>
    <row r="7" ht="54" customHeight="1">
      <c r="B7" s="113" t="inlineStr">
        <is>
          <t>30 Sep 2026</t>
        </is>
      </c>
      <c r="C7" s="113" t="inlineStr">
        <is>
          <t>Offers</t>
        </is>
      </c>
      <c r="D7" s="113" t="n">
        <v>18</v>
      </c>
      <c r="E7" s="113" t="inlineStr">
        <is>
          <t>Romania</t>
        </is>
      </c>
      <c r="F7" s="113" t="inlineStr">
        <is>
          <t>Lancom</t>
        </is>
      </c>
      <c r="G7" s="113" t="inlineStr">
        <is>
          <t>GN 1/1 PC container, 65 mm</t>
        </is>
      </c>
      <c r="H7" s="113" t="inlineStr">
        <is>
          <t>Listed price / currency</t>
        </is>
      </c>
      <c r="I7" s="113" t="inlineStr">
        <is>
          <t>42.05 RON</t>
        </is>
      </c>
      <c r="J7" s="113" t="inlineStr">
        <is>
          <t>8.00 EUR</t>
        </is>
      </c>
      <c r="K7" s="113" t="inlineStr">
        <is>
          <t>https://www.lancom.ro/tava-gastronorm-gn-11-65-policarbonat-6936</t>
        </is>
      </c>
      <c r="L7" s="113" t="inlineStr">
        <is>
          <t>Shop lists prices in EUR (8.00 € / buc fara TVA), invoiced in RON at the BNR rate; the RON figure was a converted value recorded under the wrong currency.</t>
        </is>
      </c>
    </row>
    <row r="8" ht="54" customHeight="1">
      <c r="B8" s="113" t="inlineStr">
        <is>
          <t>30 Sep 2026</t>
        </is>
      </c>
      <c r="C8" s="113" t="inlineStr">
        <is>
          <t>Offers</t>
        </is>
      </c>
      <c r="D8" s="113" t="n">
        <v>19</v>
      </c>
      <c r="E8" s="113" t="inlineStr">
        <is>
          <t>Romania</t>
        </is>
      </c>
      <c r="F8" s="113" t="inlineStr">
        <is>
          <t>Lancom</t>
        </is>
      </c>
      <c r="G8" s="113" t="inlineStr">
        <is>
          <t>GN 1/1 PC container, 65 mm</t>
        </is>
      </c>
      <c r="H8" s="113" t="inlineStr">
        <is>
          <t>Listed price / currency</t>
        </is>
      </c>
      <c r="I8" s="113" t="inlineStr">
        <is>
          <t>42.05 RON</t>
        </is>
      </c>
      <c r="J8" s="113" t="inlineStr">
        <is>
          <t>8.00 EUR</t>
        </is>
      </c>
      <c r="K8" s="113" t="inlineStr">
        <is>
          <t>https://www.lancom.ro/tava-policarbonat-gn-1-1-65-mm-neagra-6937</t>
        </is>
      </c>
      <c r="L8" s="113" t="inlineStr">
        <is>
          <t>Shop lists prices in EUR (8.00 € / buc fara TVA), invoiced in RON at the BNR rate; the RON figure was a converted value recorded under the wrong currency.</t>
        </is>
      </c>
    </row>
    <row r="9" ht="54" customHeight="1">
      <c r="B9" s="113" t="inlineStr">
        <is>
          <t>30 Sep 2026</t>
        </is>
      </c>
      <c r="C9" s="113" t="inlineStr">
        <is>
          <t>Offers</t>
        </is>
      </c>
      <c r="D9" s="113" t="n">
        <v>55</v>
      </c>
      <c r="E9" s="113" t="inlineStr">
        <is>
          <t>Romania</t>
        </is>
      </c>
      <c r="F9" s="113" t="inlineStr">
        <is>
          <t>Lancom</t>
        </is>
      </c>
      <c r="G9" s="113" t="inlineStr">
        <is>
          <t>GN 1/2 PC container, 150 mm</t>
        </is>
      </c>
      <c r="H9" s="113" t="inlineStr">
        <is>
          <t>Listed price / currency</t>
        </is>
      </c>
      <c r="I9" s="113" t="inlineStr">
        <is>
          <t>26.28 RON</t>
        </is>
      </c>
      <c r="J9" s="113" t="inlineStr">
        <is>
          <t>5.00 EUR</t>
        </is>
      </c>
      <c r="K9" s="113" t="inlineStr">
        <is>
          <t>https://www.lancom.ro/tava-gastronorm-gn-12-150-policarbonat-6940</t>
        </is>
      </c>
      <c r="L9" s="113" t="inlineStr">
        <is>
          <t>Shop lists prices in EUR (5.00 € / buc fara TVA (discounted from 6.24 €)), invoiced in RON at the BNR rate; the RON figure was a converted value recorded under the wrong currency.</t>
        </is>
      </c>
    </row>
    <row r="10" ht="54" customHeight="1">
      <c r="B10" s="113" t="inlineStr">
        <is>
          <t>30 Sep 2026</t>
        </is>
      </c>
      <c r="C10" s="113" t="inlineStr">
        <is>
          <t>Offers</t>
        </is>
      </c>
      <c r="D10" s="113" t="n">
        <v>51</v>
      </c>
      <c r="E10" s="113" t="inlineStr">
        <is>
          <t>Romania</t>
        </is>
      </c>
      <c r="F10" s="113" t="inlineStr">
        <is>
          <t>Gastrozone</t>
        </is>
      </c>
      <c r="G10" s="113" t="inlineStr">
        <is>
          <t>GN 1/2 PC container, 150 mm</t>
        </is>
      </c>
      <c r="H10" s="113" t="inlineStr">
        <is>
          <t>Date checked / listed price</t>
        </is>
      </c>
      <c r="I10" s="113" t="inlineStr">
        <is>
          <t>30.06.2028 · 85.27 RON</t>
        </is>
      </c>
      <c r="J10" s="113" t="inlineStr">
        <is>
          <t>30.09.2026 · 85.04 RON</t>
        </is>
      </c>
      <c r="K10" s="113" t="inlineStr">
        <is>
          <t>https://www.gastrozone.ro/cautare/?text=gn+1/2+150mm+policarbonat</t>
        </is>
      </c>
      <c r="L10" s="113" t="inlineStr">
        <is>
          <t>Source date 30.06.2028 is impossible. Offer re-checked live: 102.90 lei incl. TVA (85.04 net), within 0.3% of the recorded 85.27.</t>
        </is>
      </c>
    </row>
    <row r="11" ht="54" customHeight="1">
      <c r="B11" s="113" t="inlineStr">
        <is>
          <t>30 Sep 2026</t>
        </is>
      </c>
      <c r="C11" s="113" t="inlineStr">
        <is>
          <t>Offers</t>
        </is>
      </c>
      <c r="D11" s="113" t="n">
        <v>591</v>
      </c>
      <c r="E11" s="113" t="inlineStr">
        <is>
          <t>Austria</t>
        </is>
      </c>
      <c r="F11" s="113" t="inlineStr">
        <is>
          <t>GGM Gastro (Austrian storefront)</t>
        </is>
      </c>
      <c r="G11" s="113" t="inlineStr">
        <is>
          <t>GN 1/1 PC container, 65 mm</t>
        </is>
      </c>
      <c r="H11" s="113" t="inlineStr">
        <is>
          <t>Row added</t>
        </is>
      </c>
      <c r="I11" s="113" t="inlineStr">
        <is>
          <t>(missing)</t>
        </is>
      </c>
      <c r="J11" s="113" t="inlineStr">
        <is>
          <t>46.99 EUR excl. · pack 6 · EXACT</t>
        </is>
      </c>
      <c r="K11" s="113" t="inlineStr">
        <is>
          <t>https://www.ggmgastro.com/de-at-eur/6-stueck-polycarbonat-behaelter-gn-1-1-transparent-hoehe-65mm-gpcp1165</t>
        </is>
      </c>
      <c r="L11" s="113" t="inlineStr">
        <is>
          <t>Row is in the current research_AT.xlsx (added in commit c11720d) but the master used the older 95-row Austria snapshot. Live page shows the same net price.</t>
        </is>
      </c>
    </row>
    <row r="12" ht="54" customHeight="1">
      <c r="B12" s="113" t="inlineStr">
        <is>
          <t>30 Sep 2026</t>
        </is>
      </c>
      <c r="C12" s="113" t="inlineStr">
        <is>
          <t>Offers</t>
        </is>
      </c>
      <c r="D12" s="113" t="n">
        <v>592</v>
      </c>
      <c r="E12" s="113" t="inlineStr">
        <is>
          <t>Austria</t>
        </is>
      </c>
      <c r="F12" s="113" t="inlineStr">
        <is>
          <t>Gastro Star</t>
        </is>
      </c>
      <c r="G12" s="113" t="inlineStr">
        <is>
          <t>GN 1/1 PC container, 65 mm</t>
        </is>
      </c>
      <c r="H12" s="113" t="inlineStr">
        <is>
          <t>Row added</t>
        </is>
      </c>
      <c r="I12" s="113" t="inlineStr">
        <is>
          <t>(missing)</t>
        </is>
      </c>
      <c r="J12" s="113" t="inlineStr">
        <is>
          <t>23.00 EUR excl. · pack 1 · EXACT</t>
        </is>
      </c>
      <c r="K12" s="113" t="inlineStr">
        <is>
          <t>https://www.gastro-star.at/produkt/riebergn11polycarbonat-behaelter-tiefe65mm/</t>
        </is>
      </c>
      <c r="L12" s="113" t="inlineStr">
        <is>
          <t>Row is in the current research_AT.xlsx (added in commit c11720d) but the master used the older 95-row Austria snapshot. Live page shows the same net price.</t>
        </is>
      </c>
    </row>
    <row r="13" ht="54" customHeight="1">
      <c r="B13" s="113" t="inlineStr">
        <is>
          <t>30 Sep 2026</t>
        </is>
      </c>
      <c r="C13" s="113" t="inlineStr">
        <is>
          <t>Offers</t>
        </is>
      </c>
      <c r="D13" s="113" t="n">
        <v>593</v>
      </c>
      <c r="E13" s="113" t="inlineStr">
        <is>
          <t>Austria</t>
        </is>
      </c>
      <c r="F13" s="113" t="inlineStr">
        <is>
          <t>GGM Gastro (Austrian storefront)</t>
        </is>
      </c>
      <c r="G13" s="113" t="inlineStr">
        <is>
          <t>GN 1/2 PC container, 150 mm</t>
        </is>
      </c>
      <c r="H13" s="113" t="inlineStr">
        <is>
          <t>Row added</t>
        </is>
      </c>
      <c r="I13" s="113" t="inlineStr">
        <is>
          <t>(missing)</t>
        </is>
      </c>
      <c r="J13" s="113" t="inlineStr">
        <is>
          <t>60.99 EUR excl. · pack 6 · APPROX</t>
        </is>
      </c>
      <c r="K13" s="113" t="inlineStr">
        <is>
          <t>https://www.ggmgastro.com/de-at-eur/6-stueck-cambro-camview-r-copolymer-behaelter-gn-1-2-transparent-hoehe-150mm-bpa-frei-26cv135</t>
        </is>
      </c>
      <c r="L13" s="113" t="inlineStr">
        <is>
          <t>Row is in the current research_AT.xlsx (added in commit c11720d) but the master used the older 95-row Austria snapshot. Live page shows the same net price.</t>
        </is>
      </c>
    </row>
    <row r="14" ht="54" customHeight="1">
      <c r="B14" s="113" t="inlineStr">
        <is>
          <t>30 Sep 2026</t>
        </is>
      </c>
      <c r="C14" s="113" t="inlineStr">
        <is>
          <t>Offers</t>
        </is>
      </c>
      <c r="D14" s="113" t="n">
        <v>594</v>
      </c>
      <c r="E14" s="113" t="inlineStr">
        <is>
          <t>Austria</t>
        </is>
      </c>
      <c r="F14" s="113" t="inlineStr">
        <is>
          <t>Gastro Star</t>
        </is>
      </c>
      <c r="G14" s="113" t="inlineStr">
        <is>
          <t>GN 1/2 PC container, 150 mm</t>
        </is>
      </c>
      <c r="H14" s="113" t="inlineStr">
        <is>
          <t>Row added</t>
        </is>
      </c>
      <c r="I14" s="113" t="inlineStr">
        <is>
          <t>(missing)</t>
        </is>
      </c>
      <c r="J14" s="113" t="inlineStr">
        <is>
          <t>21.00 EUR excl. · pack 1 · EXACT</t>
        </is>
      </c>
      <c r="K14" s="113" t="inlineStr">
        <is>
          <t>https://www.gastro-star.at/produkt/riebergn12polycarbonat-behaelter-tiefe150mm/</t>
        </is>
      </c>
      <c r="L14" s="113" t="inlineStr">
        <is>
          <t>Row is in the current research_AT.xlsx (added in commit c11720d) but the master used the older 95-row Austria snapshot. Live page shows the same net price.</t>
        </is>
      </c>
    </row>
    <row r="15" ht="54" customHeight="1">
      <c r="B15" s="113" t="inlineStr">
        <is>
          <t>30 Sep 2026</t>
        </is>
      </c>
      <c r="C15" s="113" t="inlineStr">
        <is>
          <t>Offers</t>
        </is>
      </c>
      <c r="D15" s="113" t="n">
        <v>595</v>
      </c>
      <c r="E15" s="113" t="inlineStr">
        <is>
          <t>Austria</t>
        </is>
      </c>
      <c r="F15" s="113" t="inlineStr">
        <is>
          <t>GGM Gastro (Austrian storefront)</t>
        </is>
      </c>
      <c r="G15" s="113" t="inlineStr">
        <is>
          <t>GN 1/3 PP container, 100 mm</t>
        </is>
      </c>
      <c r="H15" s="113" t="inlineStr">
        <is>
          <t>Row added</t>
        </is>
      </c>
      <c r="I15" s="113" t="inlineStr">
        <is>
          <t>(missing)</t>
        </is>
      </c>
      <c r="J15" s="113" t="inlineStr">
        <is>
          <t>39.99 EUR excl. · pack 12 · EXACT</t>
        </is>
      </c>
      <c r="K15" s="113" t="inlineStr">
        <is>
          <t>https://www.ggmgastro.com/de-at-eur/12-stueck-polypropylen-behaelter-gn-1-3-milchig-hoehe-100mm-gpp13100</t>
        </is>
      </c>
      <c r="L15" s="113" t="inlineStr">
        <is>
          <t>Row is in the current research_AT.xlsx (added in commit c11720d) but the master used the older 95-row Austria snapshot. Live page shows the same net price.</t>
        </is>
      </c>
    </row>
    <row r="16" ht="54" customHeight="1">
      <c r="B16" s="113" t="inlineStr">
        <is>
          <t>30 Sep 2026</t>
        </is>
      </c>
      <c r="C16" s="113" t="inlineStr">
        <is>
          <t>Offers</t>
        </is>
      </c>
      <c r="D16" s="113" t="n">
        <v>596</v>
      </c>
      <c r="E16" s="113" t="inlineStr">
        <is>
          <t>Austria</t>
        </is>
      </c>
      <c r="F16" s="113" t="inlineStr">
        <is>
          <t>Gastro Star</t>
        </is>
      </c>
      <c r="G16" s="113" t="inlineStr">
        <is>
          <t>GN 1/3 PP container, 100 mm</t>
        </is>
      </c>
      <c r="H16" s="113" t="inlineStr">
        <is>
          <t>Row added</t>
        </is>
      </c>
      <c r="I16" s="113" t="inlineStr">
        <is>
          <t>(missing)</t>
        </is>
      </c>
      <c r="J16" s="113" t="inlineStr">
        <is>
          <t>4.75 EUR excl. · pack 1 · EXACT</t>
        </is>
      </c>
      <c r="K16" s="113" t="inlineStr">
        <is>
          <t>https://www.gastro-star.at/produkt/polypropylenbehaeltergn13-325x176x100mm/</t>
        </is>
      </c>
      <c r="L16" s="113" t="inlineStr">
        <is>
          <t>Row is in the current research_AT.xlsx (added in commit c11720d) but the master used the older 95-row Austria snapshot. Live page shows the same net price.</t>
        </is>
      </c>
    </row>
    <row r="17" ht="54" customHeight="1">
      <c r="B17" s="113" t="inlineStr">
        <is>
          <t>30 Sep 2026</t>
        </is>
      </c>
      <c r="C17" s="113" t="inlineStr">
        <is>
          <t>Offers</t>
        </is>
      </c>
      <c r="D17" s="113" t="n">
        <v>597</v>
      </c>
      <c r="E17" s="113" t="inlineStr">
        <is>
          <t>Austria</t>
        </is>
      </c>
      <c r="F17" s="113" t="inlineStr">
        <is>
          <t>GGM Gastro (Austrian storefront)</t>
        </is>
      </c>
      <c r="G17" s="113" t="inlineStr">
        <is>
          <t>GN 1/1 PP lid</t>
        </is>
      </c>
      <c r="H17" s="113" t="inlineStr">
        <is>
          <t>Row added</t>
        </is>
      </c>
      <c r="I17" s="113" t="inlineStr">
        <is>
          <t>(missing)</t>
        </is>
      </c>
      <c r="J17" s="113" t="inlineStr">
        <is>
          <t>29.49 EUR excl. · pack 12 · EXACT</t>
        </is>
      </c>
      <c r="K17" s="113" t="inlineStr">
        <is>
          <t>https://www.ggmgastro.com/de-at-eur/12-stueck-polypropylen-deckel-gn-1-1-milchig-mit-24-codierclips-gppl11-12</t>
        </is>
      </c>
      <c r="L17" s="113" t="inlineStr">
        <is>
          <t>Row is in the current research_AT.xlsx (added in commit c11720d) but the master used the older 95-row Austria snapshot. Live page shows the same net price.</t>
        </is>
      </c>
    </row>
    <row r="18" ht="54" customHeight="1">
      <c r="B18" s="113" t="inlineStr">
        <is>
          <t>30 Sep 2026</t>
        </is>
      </c>
      <c r="C18" s="113" t="inlineStr">
        <is>
          <t>Offers</t>
        </is>
      </c>
      <c r="D18" s="113" t="n">
        <v>598</v>
      </c>
      <c r="E18" s="113" t="inlineStr">
        <is>
          <t>Austria</t>
        </is>
      </c>
      <c r="F18" s="113" t="inlineStr">
        <is>
          <t>Gastro Star</t>
        </is>
      </c>
      <c r="G18" s="113" t="inlineStr">
        <is>
          <t>GN 1/1 PP lid</t>
        </is>
      </c>
      <c r="H18" s="113" t="inlineStr">
        <is>
          <t>Row added</t>
        </is>
      </c>
      <c r="I18" s="113" t="inlineStr">
        <is>
          <t>(missing)</t>
        </is>
      </c>
      <c r="J18" s="113" t="inlineStr">
        <is>
          <t>5.55 EUR excl. · pack 1 · EXACT</t>
        </is>
      </c>
      <c r="K18" s="113" t="inlineStr">
        <is>
          <t>https://www.gastro-star.at/produkt/polypropylendeckelgn11/</t>
        </is>
      </c>
      <c r="L18" s="113" t="inlineStr">
        <is>
          <t>Row is in the current research_AT.xlsx (added in commit c11720d) but the master used the older 95-row Austria snapshot. Live page shows the same net price.</t>
        </is>
      </c>
    </row>
    <row r="19" ht="54" customHeight="1">
      <c r="B19" s="113" t="inlineStr">
        <is>
          <t>30 Sep 2026</t>
        </is>
      </c>
      <c r="C19" s="113" t="inlineStr">
        <is>
          <t>Offers</t>
        </is>
      </c>
      <c r="D19" s="113" t="n">
        <v>599</v>
      </c>
      <c r="E19" s="113" t="inlineStr">
        <is>
          <t>Austria</t>
        </is>
      </c>
      <c r="F19" s="113" t="inlineStr">
        <is>
          <t>GGM Gastro (Austrian storefront)</t>
        </is>
      </c>
      <c r="G19" s="113" t="inlineStr">
        <is>
          <t>Squeeze bottle 500 ml, PP, single tip</t>
        </is>
      </c>
      <c r="H19" s="113" t="inlineStr">
        <is>
          <t>Row added</t>
        </is>
      </c>
      <c r="I19" s="113" t="inlineStr">
        <is>
          <t>(missing)</t>
        </is>
      </c>
      <c r="J19" s="113" t="inlineStr">
        <is>
          <t>51.99 EUR excl. · pack 12 · CLOSE</t>
        </is>
      </c>
      <c r="K19" s="113" t="inlineStr">
        <is>
          <t>https://www.ggmgastro.com/de-at-eur/12-stueck-quetschflasche-mit-mittlerer-membran-473ml-ffo-002</t>
        </is>
      </c>
      <c r="L19" s="113" t="inlineStr">
        <is>
          <t>Row is in the current research_AT.xlsx (added in commit c11720d) but the master used the older 95-row Austria snapshot. Live page shows the same net price.</t>
        </is>
      </c>
    </row>
    <row r="20" ht="54" customHeight="1">
      <c r="B20" s="113" t="inlineStr">
        <is>
          <t>30 Sep 2026</t>
        </is>
      </c>
      <c r="C20" s="113" t="inlineStr">
        <is>
          <t>Offers</t>
        </is>
      </c>
      <c r="D20" s="113" t="n">
        <v>600</v>
      </c>
      <c r="E20" s="113" t="inlineStr">
        <is>
          <t>Austria</t>
        </is>
      </c>
      <c r="F20" s="113" t="inlineStr">
        <is>
          <t>GGM Gastro (Austrian storefront)</t>
        </is>
      </c>
      <c r="G20" s="113" t="inlineStr">
        <is>
          <t>Squeeze bottle 1,000 ml, PP, single tip</t>
        </is>
      </c>
      <c r="H20" s="113" t="inlineStr">
        <is>
          <t>Row added</t>
        </is>
      </c>
      <c r="I20" s="113" t="inlineStr">
        <is>
          <t>(missing)</t>
        </is>
      </c>
      <c r="J20" s="113" t="inlineStr">
        <is>
          <t>35.99 EUR excl. · pack 6 · CLOSE</t>
        </is>
      </c>
      <c r="K20" s="113" t="inlineStr">
        <is>
          <t>https://www.ggmgastro.com/de-at-eur/6-stueck-quetschflasche-mit-mittlerer-membran-946ml-ffo-005</t>
        </is>
      </c>
      <c r="L20" s="113" t="inlineStr">
        <is>
          <t>Row is in the current research_AT.xlsx (added in commit c11720d) but the master used the older 95-row Austria snapshot. Live page shows the same net price.</t>
        </is>
      </c>
    </row>
    <row r="21" ht="54" customHeight="1">
      <c r="B21" s="113" t="inlineStr">
        <is>
          <t>30 Sep 2026</t>
        </is>
      </c>
      <c r="C21" s="113" t="inlineStr">
        <is>
          <t>Offers</t>
        </is>
      </c>
      <c r="D21" s="113" t="n">
        <v>601</v>
      </c>
      <c r="E21" s="113" t="inlineStr">
        <is>
          <t>Austria</t>
        </is>
      </c>
      <c r="F21" s="113" t="inlineStr">
        <is>
          <t>GGM Gastro (Austrian storefront)</t>
        </is>
      </c>
      <c r="G21" s="113" t="inlineStr">
        <is>
          <t>Sauce pump dispenser with stand</t>
        </is>
      </c>
      <c r="H21" s="113" t="inlineStr">
        <is>
          <t>Row added</t>
        </is>
      </c>
      <c r="I21" s="113" t="inlineStr">
        <is>
          <t>(missing)</t>
        </is>
      </c>
      <c r="J21" s="113" t="inlineStr">
        <is>
          <t>28.99 EUR excl. · pack 1 · EXACT</t>
        </is>
      </c>
      <c r="K21" s="113" t="inlineStr">
        <is>
          <t>https://www.ggmgastro.com/de-at-eur/ketchup-saucenspender-2-liter-polypropylen-mit-pumpe-ksp2</t>
        </is>
      </c>
      <c r="L21" s="113" t="inlineStr">
        <is>
          <t>Row is in the current research_AT.xlsx (added in commit c11720d) but the master used the older 95-row Austria snapshot. Live page shows the same net price.</t>
        </is>
      </c>
    </row>
    <row r="22" ht="54" customHeight="1">
      <c r="B22" s="113" t="inlineStr">
        <is>
          <t>30 Sep 2026</t>
        </is>
      </c>
      <c r="C22" s="113" t="inlineStr">
        <is>
          <t>Offers</t>
        </is>
      </c>
      <c r="D22" s="113" t="n">
        <v>602</v>
      </c>
      <c r="E22" s="113" t="inlineStr">
        <is>
          <t>Austria</t>
        </is>
      </c>
      <c r="F22" s="113" t="inlineStr">
        <is>
          <t>GGM Gastro (Austrian storefront)</t>
        </is>
      </c>
      <c r="G22" s="113" t="inlineStr">
        <is>
          <t>PE cutting board 530 × 325 × 20 mm</t>
        </is>
      </c>
      <c r="H22" s="113" t="inlineStr">
        <is>
          <t>Row added</t>
        </is>
      </c>
      <c r="I22" s="113" t="inlineStr">
        <is>
          <t>(missing)</t>
        </is>
      </c>
      <c r="J22" s="113" t="inlineStr">
        <is>
          <t>26.49 EUR excl. · pack 1 · EXACT</t>
        </is>
      </c>
      <c r="K22" s="113" t="inlineStr">
        <is>
          <t>https://www.ggmgastro.com/de-at-eur/schneidebrett-325x530mm-haccp-konform-weiss-sbp53w</t>
        </is>
      </c>
      <c r="L22" s="113" t="inlineStr">
        <is>
          <t>Row is in the current research_AT.xlsx (added in commit c11720d) but the master used the older 95-row Austria snapshot. Live page shows the same net price.</t>
        </is>
      </c>
    </row>
    <row r="23" ht="54" customHeight="1">
      <c r="B23" s="113" t="inlineStr">
        <is>
          <t>30 Sep 2026</t>
        </is>
      </c>
      <c r="C23" s="113" t="inlineStr">
        <is>
          <t>Offers</t>
        </is>
      </c>
      <c r="D23" s="113" t="n">
        <v>603</v>
      </c>
      <c r="E23" s="113" t="inlineStr">
        <is>
          <t>Austria</t>
        </is>
      </c>
      <c r="F23" s="113" t="inlineStr">
        <is>
          <t>GGM Gastro (Austrian storefront)</t>
        </is>
      </c>
      <c r="G23" s="113" t="inlineStr">
        <is>
          <t>PE cutting board 600 × 400 × 20 mm</t>
        </is>
      </c>
      <c r="H23" s="113" t="inlineStr">
        <is>
          <t>Row added</t>
        </is>
      </c>
      <c r="I23" s="113" t="inlineStr">
        <is>
          <t>(missing)</t>
        </is>
      </c>
      <c r="J23" s="113" t="inlineStr">
        <is>
          <t>29.49 EUR excl. · pack 1 · EXACT</t>
        </is>
      </c>
      <c r="K23" s="113" t="inlineStr">
        <is>
          <t>https://www.ggmgastro.com/de-at-eur/schneidebrett-en-600x400-haccp-konform-weiss-sbp46w</t>
        </is>
      </c>
      <c r="L23" s="113" t="inlineStr">
        <is>
          <t>Row is in the current research_AT.xlsx (added in commit c11720d) but the master used the older 95-row Austria snapshot. Live page shows the same net price.</t>
        </is>
      </c>
    </row>
    <row r="24" ht="54" customHeight="1">
      <c r="B24" s="113" t="inlineStr">
        <is>
          <t>30 Sep 2026</t>
        </is>
      </c>
      <c r="C24" s="113" t="inlineStr">
        <is>
          <t>Offers</t>
        </is>
      </c>
      <c r="D24" s="113" t="n">
        <v>604</v>
      </c>
      <c r="E24" s="113" t="inlineStr">
        <is>
          <t>Austria</t>
        </is>
      </c>
      <c r="F24" s="113" t="inlineStr">
        <is>
          <t>GGM Gastro (Austrian storefront)</t>
        </is>
      </c>
      <c r="G24" s="113" t="inlineStr">
        <is>
          <t>PP dough box 600 × 400 × 100 mm</t>
        </is>
      </c>
      <c r="H24" s="113" t="inlineStr">
        <is>
          <t>Row added</t>
        </is>
      </c>
      <c r="I24" s="113" t="inlineStr">
        <is>
          <t>(missing)</t>
        </is>
      </c>
      <c r="J24" s="113" t="inlineStr">
        <is>
          <t>88.99 EUR excl. · pack 8 · CLOSE</t>
        </is>
      </c>
      <c r="K24" s="113" t="inlineStr">
        <is>
          <t>https://www.ggmgastro.com/de-at-eur/9-tlg-teigbehaelter-set-8-behaelter-und-1-deckel-en-600x400-hoehe-100mm-polypropylen-weiss-tbpp6410</t>
        </is>
      </c>
      <c r="L24" s="113" t="inlineStr">
        <is>
          <t>Row is in the current research_AT.xlsx (added in commit c11720d) but the master used the older 95-row Austria snapshot. Live page shows the same net price.</t>
        </is>
      </c>
    </row>
    <row r="25" ht="54" customHeight="1">
      <c r="B25" s="113" t="inlineStr">
        <is>
          <t>30 Sep 2026</t>
        </is>
      </c>
      <c r="C25" s="113" t="inlineStr">
        <is>
          <t>Offers</t>
        </is>
      </c>
      <c r="D25" s="113" t="n">
        <v>605</v>
      </c>
      <c r="E25" s="113" t="inlineStr">
        <is>
          <t>Austria</t>
        </is>
      </c>
      <c r="F25" s="113" t="inlineStr">
        <is>
          <t>GGM Gastro (Austrian storefront)</t>
        </is>
      </c>
      <c r="G25" s="113" t="inlineStr">
        <is>
          <t>PE dough box 600 × 400 × 75 mm</t>
        </is>
      </c>
      <c r="H25" s="113" t="inlineStr">
        <is>
          <t>Row added</t>
        </is>
      </c>
      <c r="I25" s="113" t="inlineStr">
        <is>
          <t>(missing)</t>
        </is>
      </c>
      <c r="J25" s="113" t="inlineStr">
        <is>
          <t>76.99 EUR excl. · pack 8 · CLOSE</t>
        </is>
      </c>
      <c r="K25" s="113" t="inlineStr">
        <is>
          <t>https://www.ggmgastro.com/de-at-eur/8-stueck-teigbehaelter-en-600x400-weiss-tbp647</t>
        </is>
      </c>
      <c r="L25" s="113" t="inlineStr">
        <is>
          <t>Row is in the current research_AT.xlsx (added in commit c11720d) but the master used the older 95-row Austria snapshot. Live page shows the same net price.</t>
        </is>
      </c>
    </row>
    <row r="26" ht="54" customHeight="1">
      <c r="B26" s="113" t="inlineStr">
        <is>
          <t>30 Sep 2026</t>
        </is>
      </c>
      <c r="C26" s="113" t="inlineStr">
        <is>
          <t>Offers</t>
        </is>
      </c>
      <c r="D26" s="113" t="n">
        <v>606</v>
      </c>
      <c r="E26" s="113" t="inlineStr">
        <is>
          <t>Austria</t>
        </is>
      </c>
      <c r="F26" s="113" t="inlineStr">
        <is>
          <t>GGM Gastro (Austrian storefront)</t>
        </is>
      </c>
      <c r="G26" s="113" t="inlineStr">
        <is>
          <t>Front-load GN 1/1 thermobox, 80–90 L</t>
        </is>
      </c>
      <c r="H26" s="113" t="inlineStr">
        <is>
          <t>Row added</t>
        </is>
      </c>
      <c r="I26" s="113" t="inlineStr">
        <is>
          <t>(missing)</t>
        </is>
      </c>
      <c r="J26" s="113" t="inlineStr">
        <is>
          <t>289.99 EUR excl. · pack 1 · EXACT</t>
        </is>
      </c>
      <c r="K26" s="113" t="inlineStr">
        <is>
          <t>https://www.ggmgastro.com/de-at-eur/porter-frontlader-83-liter-fuer-12x-gn-1-1-plb-300</t>
        </is>
      </c>
      <c r="L26" s="113" t="inlineStr">
        <is>
          <t>Row is in the current research_AT.xlsx (added in commit c11720d) but the master used the older 95-row Austria snapshot. Live page shows the same net price.</t>
        </is>
      </c>
    </row>
    <row r="27" ht="54" customHeight="1">
      <c r="B27" s="113" t="inlineStr">
        <is>
          <t>30 Sep 2026</t>
        </is>
      </c>
      <c r="C27" s="113" t="inlineStr">
        <is>
          <t>Offers</t>
        </is>
      </c>
      <c r="D27" s="113" t="n">
        <v>607</v>
      </c>
      <c r="E27" s="113" t="inlineStr">
        <is>
          <t>Austria</t>
        </is>
      </c>
      <c r="F27" s="113" t="inlineStr">
        <is>
          <t>Gastro Star</t>
        </is>
      </c>
      <c r="G27" s="113" t="inlineStr">
        <is>
          <t>Front-load GN 1/1 thermobox, 80–90 L</t>
        </is>
      </c>
      <c r="H27" s="113" t="inlineStr">
        <is>
          <t>Row added</t>
        </is>
      </c>
      <c r="I27" s="113" t="inlineStr">
        <is>
          <t>(missing)</t>
        </is>
      </c>
      <c r="J27" s="113" t="inlineStr">
        <is>
          <t>561.00 EUR excl. · pack 1 · APPROX</t>
        </is>
      </c>
      <c r="K27" s="113" t="inlineStr">
        <is>
          <t>https://www.gastro-star.at/produkt/rieberthermoportk1000unbeheizt-orange/</t>
        </is>
      </c>
      <c r="L27" s="113" t="inlineStr">
        <is>
          <t>Row is in the current research_AT.xlsx (added in commit c11720d) but the master used the older 95-row Austria snapshot. Live page shows the same net price.</t>
        </is>
      </c>
    </row>
    <row r="28" ht="54" customHeight="1">
      <c r="B28" s="113" t="inlineStr">
        <is>
          <t>30 Sep 2026</t>
        </is>
      </c>
      <c r="C28" s="113" t="inlineStr">
        <is>
          <t>Offers</t>
        </is>
      </c>
      <c r="D28" s="113" t="n">
        <v>608</v>
      </c>
      <c r="E28" s="113" t="inlineStr">
        <is>
          <t>Austria</t>
        </is>
      </c>
      <c r="F28" s="113" t="inlineStr">
        <is>
          <t>GGM Gastro (Austrian storefront)</t>
        </is>
      </c>
      <c r="G28" s="113" t="inlineStr">
        <is>
          <t>Service tray approx. 370 × 530 mm</t>
        </is>
      </c>
      <c r="H28" s="113" t="inlineStr">
        <is>
          <t>Row added</t>
        </is>
      </c>
      <c r="I28" s="113" t="inlineStr">
        <is>
          <t>(missing)</t>
        </is>
      </c>
      <c r="J28" s="113" t="inlineStr">
        <is>
          <t>43.99 EUR excl. · pack 6 · APPROX</t>
        </is>
      </c>
      <c r="K28" s="113" t="inlineStr">
        <is>
          <t>https://www.ggmgastro.com/de-at-eur/6-stueck-fast-food-tablett-gn-1-1-polypropylen-hoehe-20mm-schwarz-00553-6</t>
        </is>
      </c>
      <c r="L28" s="113" t="inlineStr">
        <is>
          <t>Row is in the current research_AT.xlsx (added in commit c11720d) but the master used the older 95-row Austria snapshot. Live page shows the same net price.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AC230"/>
  <sheetViews>
    <sheetView showGridLines="0" workbookViewId="0">
      <pane xSplit="4" ySplit="8" topLeftCell="E9" activePane="bottomRight" state="frozen"/>
      <selection activeCell="A1" sqref="A1"/>
    </sheetView>
  </sheetViews>
  <sheetFormatPr baseColWidth="8" defaultRowHeight="15"/>
  <cols>
    <col width="3" customWidth="1" min="1" max="1"/>
    <col width="14" customWidth="1" min="2" max="2"/>
    <col width="23" customWidth="1" min="3" max="3"/>
    <col width="56" customWidth="1" min="4" max="4"/>
    <col width="27" customWidth="1" min="5" max="5"/>
    <col width="70" customWidth="1" min="6" max="6"/>
    <col width="24" customWidth="1" min="7" max="7"/>
    <col width="24" customWidth="1" min="8" max="8"/>
    <col width="24" customWidth="1" min="9" max="9"/>
    <col width="24" customWidth="1" min="10" max="10"/>
    <col width="80"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s>
  <sheetData>
    <row r="1" ht="22"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ht="28" customHeight="1">
      <c r="A2" s="2" t="n"/>
      <c r="B2" s="3" t="inlineStr">
        <is>
          <t>Hungary source extract</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row>
    <row r="3" ht="22" customHeight="1">
      <c r="A3" s="2" t="n"/>
      <c r="B3" s="4" t="inlineStr">
        <is>
          <t>YES Gastro Hungary Market Research.xlsx</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row>
    <row r="4" ht="22" customHeight="1">
      <c r="A4" s="2" t="n"/>
      <c r="B4" s="5" t="n"/>
      <c r="C4" s="5" t="n"/>
      <c r="D4" s="5" t="n"/>
      <c r="E4" s="5" t="n"/>
      <c r="F4" s="5" t="n"/>
      <c r="G4" s="5" t="n"/>
      <c r="H4" s="5" t="n"/>
      <c r="I4" s="5" t="n"/>
      <c r="J4" s="5" t="n"/>
      <c r="K4" s="5" t="n"/>
      <c r="L4" s="5" t="n"/>
      <c r="M4" s="5" t="n"/>
      <c r="N4" s="5" t="n"/>
      <c r="O4" s="2" t="n"/>
      <c r="P4" s="2" t="n"/>
      <c r="Q4" s="2" t="n"/>
      <c r="R4" s="2" t="n"/>
      <c r="S4" s="2" t="n"/>
      <c r="T4" s="2" t="n"/>
      <c r="U4" s="2" t="n"/>
      <c r="V4" s="2" t="n"/>
      <c r="W4" s="2" t="n"/>
      <c r="X4" s="2" t="n"/>
      <c r="Y4" s="2" t="n"/>
      <c r="Z4" s="2" t="n"/>
      <c r="AA4" s="2" t="n"/>
      <c r="AB4" s="2" t="n"/>
      <c r="AC4" s="2" t="n"/>
    </row>
    <row r="5" ht="22" customHeight="1">
      <c r="A5" s="2" t="n"/>
      <c r="B5" s="6" t="inlineStr">
        <is>
          <t>Original research values. Item numbers and observation counts removed; source formulas retain their original wording.</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row>
    <row r="6" ht="22" customHeight="1">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row>
    <row r="7" ht="22" customHeight="1">
      <c r="A7" s="2" t="n"/>
      <c r="B7" s="7" t="inlineStr">
        <is>
          <t>Prices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row>
    <row r="8" ht="38" customHeight="1">
      <c r="A8" s="2" t="n"/>
      <c r="B8" s="16" t="inlineStr">
        <is>
          <t>Country</t>
        </is>
      </c>
      <c r="C8" s="17" t="inlineStr">
        <is>
          <t>Product Type</t>
        </is>
      </c>
      <c r="D8" s="17" t="inlineStr">
        <is>
          <t>Product Name
(as listed on site)</t>
        </is>
      </c>
      <c r="E8" s="17" t="inlineStr">
        <is>
          <t>Competitor / Shop</t>
        </is>
      </c>
      <c r="F8" s="17" t="inlineStr">
        <is>
          <t>Competitor URL</t>
        </is>
      </c>
      <c r="G8" s="17" t="inlineStr">
        <is>
          <t>Price</t>
        </is>
      </c>
      <c r="H8" s="17" t="inlineStr">
        <is>
          <t>Currency</t>
        </is>
      </c>
      <c r="I8" s="17" t="inlineStr">
        <is>
          <t>Price (HUF equiv.)</t>
        </is>
      </c>
      <c r="J8" s="17" t="inlineStr">
        <is>
          <t>Date Checked</t>
        </is>
      </c>
      <c r="K8" s="17" t="inlineStr">
        <is>
          <t>Notes / Variant details</t>
        </is>
      </c>
      <c r="L8" s="17" t="inlineStr">
        <is>
          <t>Checked by</t>
        </is>
      </c>
      <c r="M8" s="18" t="inlineStr">
        <is>
          <t>Source reliability</t>
        </is>
      </c>
      <c r="N8" s="2" t="n"/>
      <c r="O8" s="2" t="n"/>
      <c r="P8" s="2" t="n"/>
      <c r="Q8" s="2" t="n"/>
      <c r="R8" s="2" t="n"/>
      <c r="S8" s="2" t="n"/>
      <c r="T8" s="2" t="n"/>
      <c r="U8" s="2" t="n"/>
      <c r="V8" s="2" t="n"/>
      <c r="W8" s="2" t="n"/>
      <c r="X8" s="2" t="n"/>
      <c r="Y8" s="2" t="n"/>
      <c r="Z8" s="2" t="n"/>
      <c r="AA8" s="2" t="n"/>
      <c r="AB8" s="2" t="n"/>
      <c r="AC8" s="2" t="n"/>
    </row>
    <row r="9" ht="36" customHeight="1">
      <c r="A9" s="2" t="n"/>
      <c r="B9" s="24" t="inlineStr">
        <is>
          <t>Hungary</t>
        </is>
      </c>
      <c r="C9" s="24" t="inlineStr">
        <is>
          <t>GN Container</t>
        </is>
      </c>
      <c r="D9" s="24" t="inlineStr">
        <is>
          <t>GN 1/1 65mm - Polycarbonate</t>
        </is>
      </c>
      <c r="E9" s="24" t="inlineStr">
        <is>
          <t>Attase</t>
        </is>
      </c>
      <c r="F9" s="25" t="inlineStr">
        <is>
          <t>https://www.attase.hu/konyhai-eszkozok/gn-edeny/polikarbonat-gn-edenyek</t>
        </is>
      </c>
      <c r="G9" s="114" t="n">
        <v>3990</v>
      </c>
      <c r="H9" s="24" t="inlineStr">
        <is>
          <t>HUF</t>
        </is>
      </c>
      <c r="I9" s="114" t="n">
        <v>3990</v>
      </c>
      <c r="J9" s="24" t="inlineStr">
        <is>
          <t>08.06.2026</t>
        </is>
      </c>
      <c r="K9" s="24" t="inlineStr">
        <is>
          <t>Source sheet: GN Containers; size: GN 1/1 65mm; material: Polycarbonate</t>
        </is>
      </c>
      <c r="L9" s="24" t="n"/>
      <c r="M9" s="24" t="inlineStr">
        <is>
          <t>Direct</t>
        </is>
      </c>
      <c r="N9" s="2" t="n"/>
      <c r="O9" s="2" t="n"/>
      <c r="P9" s="2" t="n"/>
      <c r="Q9" s="2" t="n"/>
      <c r="R9" s="2" t="n"/>
      <c r="S9" s="2" t="n"/>
      <c r="T9" s="2" t="n"/>
      <c r="U9" s="2" t="n"/>
      <c r="V9" s="2" t="n"/>
      <c r="W9" s="2" t="n"/>
      <c r="X9" s="2" t="n"/>
      <c r="Y9" s="2" t="n"/>
      <c r="Z9" s="2" t="n"/>
      <c r="AA9" s="2" t="n"/>
      <c r="AB9" s="2" t="n"/>
      <c r="AC9" s="2" t="n"/>
    </row>
    <row r="10" ht="36" customHeight="1">
      <c r="A10" s="2" t="n"/>
      <c r="B10" s="27" t="inlineStr">
        <is>
          <t>Hungary</t>
        </is>
      </c>
      <c r="C10" s="27" t="inlineStr">
        <is>
          <t>GN Container</t>
        </is>
      </c>
      <c r="D10" s="27" t="inlineStr">
        <is>
          <t>GN 1/1 65mm - Polycarbonate</t>
        </is>
      </c>
      <c r="E10" s="27" t="inlineStr">
        <is>
          <t>Inox-Pláza</t>
        </is>
      </c>
      <c r="F10" s="28" t="inlineStr">
        <is>
          <t>https://www.inoxplaza.hu/edenyzet/gn-edeny</t>
        </is>
      </c>
      <c r="G10" s="115" t="n">
        <v>3700</v>
      </c>
      <c r="H10" s="27" t="inlineStr">
        <is>
          <t>HUF</t>
        </is>
      </c>
      <c r="I10" s="115" t="n">
        <v>3700</v>
      </c>
      <c r="J10" s="27" t="inlineStr">
        <is>
          <t>08.06.2026</t>
        </is>
      </c>
      <c r="K10" s="27" t="inlineStr">
        <is>
          <t>Source sheet: GN Containers; size: GN 1/1 65mm; material: Polycarbonate</t>
        </is>
      </c>
      <c r="L10" s="27" t="n"/>
      <c r="M10" s="27" t="inlineStr">
        <is>
          <t>Direct</t>
        </is>
      </c>
      <c r="N10" s="2" t="n"/>
      <c r="O10" s="2" t="n"/>
      <c r="P10" s="2" t="n"/>
      <c r="Q10" s="2" t="n"/>
      <c r="R10" s="2" t="n"/>
      <c r="S10" s="2" t="n"/>
      <c r="T10" s="2" t="n"/>
      <c r="U10" s="2" t="n"/>
      <c r="V10" s="2" t="n"/>
      <c r="W10" s="2" t="n"/>
      <c r="X10" s="2" t="n"/>
      <c r="Y10" s="2" t="n"/>
      <c r="Z10" s="2" t="n"/>
      <c r="AA10" s="2" t="n"/>
      <c r="AB10" s="2" t="n"/>
      <c r="AC10" s="2" t="n"/>
    </row>
    <row r="11" ht="50" customHeight="1">
      <c r="A11" s="2" t="n"/>
      <c r="B11" s="24" t="inlineStr">
        <is>
          <t>Hungary</t>
        </is>
      </c>
      <c r="C11" s="24" t="inlineStr">
        <is>
          <t>GN Container</t>
        </is>
      </c>
      <c r="D11" s="24" t="inlineStr">
        <is>
          <t>GN 1/1 65mm - Polycarbonate</t>
        </is>
      </c>
      <c r="E11" s="24" t="inlineStr">
        <is>
          <t>Hunnia</t>
        </is>
      </c>
      <c r="F11" s="25" t="inlineStr">
        <is>
          <t>https://hunniakristaly.hu/nagy-konyha/gn-edenyek-rozsdamentes-acelbol-polipropilenb-l-polikarbonat/gn-edenyek-torhetetlen-viztiszta-polikarbonatbol</t>
        </is>
      </c>
      <c r="G11" s="114" t="n">
        <v>6872</v>
      </c>
      <c r="H11" s="24" t="inlineStr">
        <is>
          <t>HUF</t>
        </is>
      </c>
      <c r="I11" s="114" t="n">
        <v>6872</v>
      </c>
      <c r="J11" s="24" t="inlineStr">
        <is>
          <t>08.06.2026</t>
        </is>
      </c>
      <c r="K11" s="24" t="inlineStr">
        <is>
          <t>Source sheet: GN Containers; size: GN 1/1 65mm; material: Polycarbonate</t>
        </is>
      </c>
      <c r="L11" s="24" t="n"/>
      <c r="M11" s="24" t="inlineStr">
        <is>
          <t>Direct</t>
        </is>
      </c>
      <c r="N11" s="2" t="n"/>
      <c r="O11" s="2" t="n"/>
      <c r="P11" s="2" t="n"/>
      <c r="Q11" s="2" t="n"/>
      <c r="R11" s="2" t="n"/>
      <c r="S11" s="2" t="n"/>
      <c r="T11" s="2" t="n"/>
      <c r="U11" s="2" t="n"/>
      <c r="V11" s="2" t="n"/>
      <c r="W11" s="2" t="n"/>
      <c r="X11" s="2" t="n"/>
      <c r="Y11" s="2" t="n"/>
      <c r="Z11" s="2" t="n"/>
      <c r="AA11" s="2" t="n"/>
      <c r="AB11" s="2" t="n"/>
      <c r="AC11" s="2" t="n"/>
    </row>
    <row r="12" ht="36" customHeight="1">
      <c r="A12" s="2" t="n"/>
      <c r="B12" s="27" t="inlineStr">
        <is>
          <t>Hungary</t>
        </is>
      </c>
      <c r="C12" s="27" t="inlineStr">
        <is>
          <t>GN Container</t>
        </is>
      </c>
      <c r="D12" s="27" t="inlineStr">
        <is>
          <t>GN 1/1 65mm - Polycarbonate</t>
        </is>
      </c>
      <c r="E12" s="27" t="inlineStr">
        <is>
          <t>HFSE</t>
        </is>
      </c>
      <c r="F12" s="28" t="inlineStr">
        <is>
          <t>https://hfse.hu/termekkategoria/konyhai-eszkozok/gn-edenyek/</t>
        </is>
      </c>
      <c r="G12" s="115" t="n">
        <v>4000</v>
      </c>
      <c r="H12" s="27" t="inlineStr">
        <is>
          <t>HUF</t>
        </is>
      </c>
      <c r="I12" s="115" t="n">
        <v>4000</v>
      </c>
      <c r="J12" s="27" t="inlineStr">
        <is>
          <t>08.06.2026</t>
        </is>
      </c>
      <c r="K12" s="27" t="inlineStr">
        <is>
          <t>Source sheet: GN Containers; size: GN 1/1 65mm; material: Polycarbonate</t>
        </is>
      </c>
      <c r="L12" s="27" t="n"/>
      <c r="M12" s="27" t="inlineStr">
        <is>
          <t>Direct</t>
        </is>
      </c>
      <c r="N12" s="2" t="n"/>
      <c r="O12" s="2" t="n"/>
      <c r="P12" s="2" t="n"/>
      <c r="Q12" s="2" t="n"/>
      <c r="R12" s="2" t="n"/>
      <c r="S12" s="2" t="n"/>
      <c r="T12" s="2" t="n"/>
      <c r="U12" s="2" t="n"/>
      <c r="V12" s="2" t="n"/>
      <c r="W12" s="2" t="n"/>
      <c r="X12" s="2" t="n"/>
      <c r="Y12" s="2" t="n"/>
      <c r="Z12" s="2" t="n"/>
      <c r="AA12" s="2" t="n"/>
      <c r="AB12" s="2" t="n"/>
      <c r="AC12" s="2" t="n"/>
    </row>
    <row r="13" ht="36" customHeight="1">
      <c r="A13" s="2" t="n"/>
      <c r="B13" s="24" t="inlineStr">
        <is>
          <t>Hungary</t>
        </is>
      </c>
      <c r="C13" s="24" t="inlineStr">
        <is>
          <t>GN Container</t>
        </is>
      </c>
      <c r="D13" s="24" t="inlineStr">
        <is>
          <t>GN 1/1 65mm - Polycarbonate</t>
        </is>
      </c>
      <c r="E13" s="24" t="inlineStr">
        <is>
          <t>Gasztronagyker</t>
        </is>
      </c>
      <c r="F13" s="25" t="inlineStr">
        <is>
          <t>https://www.gasztronagyker.hu/gn-edenyek</t>
        </is>
      </c>
      <c r="G13" s="114" t="n">
        <v>3543</v>
      </c>
      <c r="H13" s="24" t="inlineStr">
        <is>
          <t>HUF</t>
        </is>
      </c>
      <c r="I13" s="114" t="n">
        <v>3543</v>
      </c>
      <c r="J13" s="24" t="inlineStr">
        <is>
          <t>08.06.2026</t>
        </is>
      </c>
      <c r="K13" s="24" t="inlineStr">
        <is>
          <t>Source sheet: GN Containers; size: GN 1/1 65mm; material: Polycarbonate</t>
        </is>
      </c>
      <c r="L13" s="24" t="n"/>
      <c r="M13" s="24" t="inlineStr">
        <is>
          <t>Direct</t>
        </is>
      </c>
      <c r="N13" s="2" t="n"/>
      <c r="O13" s="2" t="n"/>
      <c r="P13" s="2" t="n"/>
      <c r="Q13" s="2" t="n"/>
      <c r="R13" s="2" t="n"/>
      <c r="S13" s="2" t="n"/>
      <c r="T13" s="2" t="n"/>
      <c r="U13" s="2" t="n"/>
      <c r="V13" s="2" t="n"/>
      <c r="W13" s="2" t="n"/>
      <c r="X13" s="2" t="n"/>
      <c r="Y13" s="2" t="n"/>
      <c r="Z13" s="2" t="n"/>
      <c r="AA13" s="2" t="n"/>
      <c r="AB13" s="2" t="n"/>
      <c r="AC13" s="2" t="n"/>
    </row>
    <row r="14" ht="36" customHeight="1">
      <c r="A14" s="2" t="n"/>
      <c r="B14" s="27" t="inlineStr">
        <is>
          <t>Hungary</t>
        </is>
      </c>
      <c r="C14" s="27" t="inlineStr">
        <is>
          <t>GN Container</t>
        </is>
      </c>
      <c r="D14" s="27" t="inlineStr">
        <is>
          <t>GN 1/1 65mm - Polycarbonate</t>
        </is>
      </c>
      <c r="E14" s="27" t="inlineStr">
        <is>
          <t>Gammo</t>
        </is>
      </c>
      <c r="F14" s="28" t="inlineStr">
        <is>
          <t>https://gammo.hu/edeny-tepsi/gasztronorm-gn-edeny</t>
        </is>
      </c>
      <c r="G14" s="115" t="n">
        <v>2520</v>
      </c>
      <c r="H14" s="27" t="inlineStr">
        <is>
          <t>HUF</t>
        </is>
      </c>
      <c r="I14" s="115" t="n">
        <v>2520</v>
      </c>
      <c r="J14" s="27" t="inlineStr">
        <is>
          <t>08.06.2026</t>
        </is>
      </c>
      <c r="K14" s="27" t="inlineStr">
        <is>
          <t>Source sheet: GN Containers; size: GN 1/1 65mm; material: Polycarbonate</t>
        </is>
      </c>
      <c r="L14" s="27" t="n"/>
      <c r="M14" s="27" t="inlineStr">
        <is>
          <t>Direct</t>
        </is>
      </c>
      <c r="N14" s="2" t="n"/>
      <c r="O14" s="2" t="n"/>
      <c r="P14" s="2" t="n"/>
      <c r="Q14" s="2" t="n"/>
      <c r="R14" s="2" t="n"/>
      <c r="S14" s="2" t="n"/>
      <c r="T14" s="2" t="n"/>
      <c r="U14" s="2" t="n"/>
      <c r="V14" s="2" t="n"/>
      <c r="W14" s="2" t="n"/>
      <c r="X14" s="2" t="n"/>
      <c r="Y14" s="2" t="n"/>
      <c r="Z14" s="2" t="n"/>
      <c r="AA14" s="2" t="n"/>
      <c r="AB14" s="2" t="n"/>
      <c r="AC14" s="2" t="n"/>
    </row>
    <row r="15" ht="36" customHeight="1">
      <c r="A15" s="2" t="n"/>
      <c r="B15" s="24" t="inlineStr">
        <is>
          <t>Hungary</t>
        </is>
      </c>
      <c r="C15" s="24" t="inlineStr">
        <is>
          <t>GN Container</t>
        </is>
      </c>
      <c r="D15" s="24" t="inlineStr">
        <is>
          <t>GN 1/2 150 - Polycarbonate</t>
        </is>
      </c>
      <c r="E15" s="24" t="inlineStr">
        <is>
          <t>Attase</t>
        </is>
      </c>
      <c r="F15" s="25" t="inlineStr">
        <is>
          <t>https://www.attase.hu/konyhai-eszkozok/gn-edeny/polikarbonat-gn-edenyek</t>
        </is>
      </c>
      <c r="G15" s="114" t="n">
        <v>3129</v>
      </c>
      <c r="H15" s="24" t="inlineStr">
        <is>
          <t>HUF</t>
        </is>
      </c>
      <c r="I15" s="114" t="n">
        <v>3129</v>
      </c>
      <c r="J15" s="24" t="inlineStr">
        <is>
          <t>08.06.2026</t>
        </is>
      </c>
      <c r="K15" s="24" t="inlineStr">
        <is>
          <t>Source sheet: GN Containers; size: GN 1/2 150; material: Polycarbonate</t>
        </is>
      </c>
      <c r="L15" s="24" t="n"/>
      <c r="M15" s="24" t="inlineStr">
        <is>
          <t>Direct</t>
        </is>
      </c>
      <c r="N15" s="2" t="n"/>
      <c r="O15" s="2" t="n"/>
      <c r="P15" s="2" t="n"/>
      <c r="Q15" s="2" t="n"/>
      <c r="R15" s="2" t="n"/>
      <c r="S15" s="2" t="n"/>
      <c r="T15" s="2" t="n"/>
      <c r="U15" s="2" t="n"/>
      <c r="V15" s="2" t="n"/>
      <c r="W15" s="2" t="n"/>
      <c r="X15" s="2" t="n"/>
      <c r="Y15" s="2" t="n"/>
      <c r="Z15" s="2" t="n"/>
      <c r="AA15" s="2" t="n"/>
      <c r="AB15" s="2" t="n"/>
      <c r="AC15" s="2" t="n"/>
    </row>
    <row r="16" ht="36" customHeight="1">
      <c r="A16" s="2" t="n"/>
      <c r="B16" s="27" t="inlineStr">
        <is>
          <t>Hungary</t>
        </is>
      </c>
      <c r="C16" s="27" t="inlineStr">
        <is>
          <t>GN Container</t>
        </is>
      </c>
      <c r="D16" s="27" t="inlineStr">
        <is>
          <t>GN 1/2 150 - Polycarbonate</t>
        </is>
      </c>
      <c r="E16" s="27" t="inlineStr">
        <is>
          <t>Inox-Pláza</t>
        </is>
      </c>
      <c r="F16" s="28" t="inlineStr">
        <is>
          <t>https://www.inoxplaza.hu/edenyzet/gn-edeny</t>
        </is>
      </c>
      <c r="G16" s="115" t="n">
        <v>3500</v>
      </c>
      <c r="H16" s="27" t="inlineStr">
        <is>
          <t>HUF</t>
        </is>
      </c>
      <c r="I16" s="115" t="n">
        <v>3500</v>
      </c>
      <c r="J16" s="27" t="inlineStr">
        <is>
          <t>08.06.2026</t>
        </is>
      </c>
      <c r="K16" s="27" t="inlineStr">
        <is>
          <t>Source sheet: GN Containers; size: GN 1/2 150; material: Polycarbonate</t>
        </is>
      </c>
      <c r="L16" s="27" t="n"/>
      <c r="M16" s="27" t="inlineStr">
        <is>
          <t>Direct</t>
        </is>
      </c>
      <c r="N16" s="2" t="n"/>
      <c r="O16" s="2" t="n"/>
      <c r="P16" s="2" t="n"/>
      <c r="Q16" s="2" t="n"/>
      <c r="R16" s="2" t="n"/>
      <c r="S16" s="2" t="n"/>
      <c r="T16" s="2" t="n"/>
      <c r="U16" s="2" t="n"/>
      <c r="V16" s="2" t="n"/>
      <c r="W16" s="2" t="n"/>
      <c r="X16" s="2" t="n"/>
      <c r="Y16" s="2" t="n"/>
      <c r="Z16" s="2" t="n"/>
      <c r="AA16" s="2" t="n"/>
      <c r="AB16" s="2" t="n"/>
      <c r="AC16" s="2" t="n"/>
    </row>
    <row r="17" ht="50" customHeight="1">
      <c r="A17" s="2" t="n"/>
      <c r="B17" s="24" t="inlineStr">
        <is>
          <t>Hungary</t>
        </is>
      </c>
      <c r="C17" s="24" t="inlineStr">
        <is>
          <t>GN Container</t>
        </is>
      </c>
      <c r="D17" s="24" t="inlineStr">
        <is>
          <t>GN 1/2 150 - Polycarbonate</t>
        </is>
      </c>
      <c r="E17" s="24" t="inlineStr">
        <is>
          <t>Hunnia</t>
        </is>
      </c>
      <c r="F17" s="25" t="inlineStr">
        <is>
          <t>https://hunniakristaly.hu/nagy-konyha/gn-edenyek-rozsdamentes-acelbol-polipropilenb-l-polikarbonat/gn-edenyek-torhetetlen-viztiszta-polikarbonatbol</t>
        </is>
      </c>
      <c r="G17" s="114" t="n">
        <v>5419</v>
      </c>
      <c r="H17" s="24" t="inlineStr">
        <is>
          <t>HUF</t>
        </is>
      </c>
      <c r="I17" s="114" t="n">
        <v>5419</v>
      </c>
      <c r="J17" s="24" t="inlineStr">
        <is>
          <t>08.06.2026</t>
        </is>
      </c>
      <c r="K17" s="24" t="inlineStr">
        <is>
          <t>Source sheet: GN Containers; size: GN 1/2 150; material: Polycarbonate</t>
        </is>
      </c>
      <c r="L17" s="24" t="n"/>
      <c r="M17" s="24" t="inlineStr">
        <is>
          <t>Direct</t>
        </is>
      </c>
      <c r="N17" s="2" t="n"/>
      <c r="O17" s="2" t="n"/>
      <c r="P17" s="2" t="n"/>
      <c r="Q17" s="2" t="n"/>
      <c r="R17" s="2" t="n"/>
      <c r="S17" s="2" t="n"/>
      <c r="T17" s="2" t="n"/>
      <c r="U17" s="2" t="n"/>
      <c r="V17" s="2" t="n"/>
      <c r="W17" s="2" t="n"/>
      <c r="X17" s="2" t="n"/>
      <c r="Y17" s="2" t="n"/>
      <c r="Z17" s="2" t="n"/>
      <c r="AA17" s="2" t="n"/>
      <c r="AB17" s="2" t="n"/>
      <c r="AC17" s="2" t="n"/>
    </row>
    <row r="18" ht="36" customHeight="1">
      <c r="A18" s="2" t="n"/>
      <c r="B18" s="27" t="inlineStr">
        <is>
          <t>Hungary</t>
        </is>
      </c>
      <c r="C18" s="27" t="inlineStr">
        <is>
          <t>GN Container</t>
        </is>
      </c>
      <c r="D18" s="27" t="inlineStr">
        <is>
          <t>GN 1/2 150 - Polycarbonate</t>
        </is>
      </c>
      <c r="E18" s="27" t="inlineStr">
        <is>
          <t>HFSE</t>
        </is>
      </c>
      <c r="F18" s="28" t="inlineStr">
        <is>
          <t>https://hfse.hu/termekkategoria/konyhai-eszkozok/gn-edenyek/</t>
        </is>
      </c>
      <c r="G18" s="115" t="n">
        <v>3535</v>
      </c>
      <c r="H18" s="27" t="inlineStr">
        <is>
          <t>HUF</t>
        </is>
      </c>
      <c r="I18" s="115" t="n">
        <v>3535</v>
      </c>
      <c r="J18" s="27" t="inlineStr">
        <is>
          <t>08.06.2026</t>
        </is>
      </c>
      <c r="K18" s="27" t="inlineStr">
        <is>
          <t>Source sheet: GN Containers; size: GN 1/2 150; material: Polycarbonate</t>
        </is>
      </c>
      <c r="L18" s="27" t="n"/>
      <c r="M18" s="27" t="inlineStr">
        <is>
          <t>Direct</t>
        </is>
      </c>
      <c r="N18" s="2" t="n"/>
      <c r="O18" s="2" t="n"/>
      <c r="P18" s="2" t="n"/>
      <c r="Q18" s="2" t="n"/>
      <c r="R18" s="2" t="n"/>
      <c r="S18" s="2" t="n"/>
      <c r="T18" s="2" t="n"/>
      <c r="U18" s="2" t="n"/>
      <c r="V18" s="2" t="n"/>
      <c r="W18" s="2" t="n"/>
      <c r="X18" s="2" t="n"/>
      <c r="Y18" s="2" t="n"/>
      <c r="Z18" s="2" t="n"/>
      <c r="AA18" s="2" t="n"/>
      <c r="AB18" s="2" t="n"/>
      <c r="AC18" s="2" t="n"/>
    </row>
    <row r="19" ht="36" customHeight="1">
      <c r="A19" s="2" t="n"/>
      <c r="B19" s="24" t="inlineStr">
        <is>
          <t>Hungary</t>
        </is>
      </c>
      <c r="C19" s="24" t="inlineStr">
        <is>
          <t>GN Container</t>
        </is>
      </c>
      <c r="D19" s="24" t="inlineStr">
        <is>
          <t>GN 1/2 150 - Polycarbonate</t>
        </is>
      </c>
      <c r="E19" s="24" t="inlineStr">
        <is>
          <t>Gasztronagyker</t>
        </is>
      </c>
      <c r="F19" s="25" t="inlineStr">
        <is>
          <t>https://www.gasztronagyker.hu/gn-edenyek</t>
        </is>
      </c>
      <c r="G19" s="114" t="n">
        <v>5740</v>
      </c>
      <c r="H19" s="24" t="inlineStr">
        <is>
          <t>HUF</t>
        </is>
      </c>
      <c r="I19" s="114" t="n">
        <v>5740</v>
      </c>
      <c r="J19" s="24" t="inlineStr">
        <is>
          <t>08.06.2026</t>
        </is>
      </c>
      <c r="K19" s="24" t="inlineStr">
        <is>
          <t>Source sheet: GN Containers; size: GN 1/2 150; material: Polycarbonate</t>
        </is>
      </c>
      <c r="L19" s="24" t="n"/>
      <c r="M19" s="24" t="inlineStr">
        <is>
          <t>Direct</t>
        </is>
      </c>
      <c r="N19" s="2" t="n"/>
      <c r="O19" s="2" t="n"/>
      <c r="P19" s="2" t="n"/>
      <c r="Q19" s="2" t="n"/>
      <c r="R19" s="2" t="n"/>
      <c r="S19" s="2" t="n"/>
      <c r="T19" s="2" t="n"/>
      <c r="U19" s="2" t="n"/>
      <c r="V19" s="2" t="n"/>
      <c r="W19" s="2" t="n"/>
      <c r="X19" s="2" t="n"/>
      <c r="Y19" s="2" t="n"/>
      <c r="Z19" s="2" t="n"/>
      <c r="AA19" s="2" t="n"/>
      <c r="AB19" s="2" t="n"/>
      <c r="AC19" s="2" t="n"/>
    </row>
    <row r="20" ht="36" customHeight="1">
      <c r="A20" s="2" t="n"/>
      <c r="B20" s="27" t="inlineStr">
        <is>
          <t>Hungary</t>
        </is>
      </c>
      <c r="C20" s="27" t="inlineStr">
        <is>
          <t>GN Container</t>
        </is>
      </c>
      <c r="D20" s="27" t="inlineStr">
        <is>
          <t>GN 1/2 150 - Polycarbonate</t>
        </is>
      </c>
      <c r="E20" s="27" t="inlineStr">
        <is>
          <t>Gammo</t>
        </is>
      </c>
      <c r="F20" s="28" t="inlineStr">
        <is>
          <t>https://gammo.hu/edeny-tepsi/gasztronorm-gn-edeny</t>
        </is>
      </c>
      <c r="G20" s="115" t="n">
        <v>2340</v>
      </c>
      <c r="H20" s="27" t="inlineStr">
        <is>
          <t>HUF</t>
        </is>
      </c>
      <c r="I20" s="115" t="n">
        <v>2340</v>
      </c>
      <c r="J20" s="27" t="inlineStr">
        <is>
          <t>08.06.2026</t>
        </is>
      </c>
      <c r="K20" s="27" t="inlineStr">
        <is>
          <t>Source sheet: GN Containers; size: GN 1/2 150; material: Polycarbonate</t>
        </is>
      </c>
      <c r="L20" s="27" t="n"/>
      <c r="M20" s="27" t="inlineStr">
        <is>
          <t>Direct</t>
        </is>
      </c>
      <c r="N20" s="2" t="n"/>
      <c r="O20" s="2" t="n"/>
      <c r="P20" s="2" t="n"/>
      <c r="Q20" s="2" t="n"/>
      <c r="R20" s="2" t="n"/>
      <c r="S20" s="2" t="n"/>
      <c r="T20" s="2" t="n"/>
      <c r="U20" s="2" t="n"/>
      <c r="V20" s="2" t="n"/>
      <c r="W20" s="2" t="n"/>
      <c r="X20" s="2" t="n"/>
      <c r="Y20" s="2" t="n"/>
      <c r="Z20" s="2" t="n"/>
      <c r="AA20" s="2" t="n"/>
      <c r="AB20" s="2" t="n"/>
      <c r="AC20" s="2" t="n"/>
    </row>
    <row r="21" ht="36" customHeight="1">
      <c r="A21" s="2" t="n"/>
      <c r="B21" s="24" t="inlineStr">
        <is>
          <t>Hungary</t>
        </is>
      </c>
      <c r="C21" s="24" t="inlineStr">
        <is>
          <t>GN Container</t>
        </is>
      </c>
      <c r="D21" s="24" t="inlineStr">
        <is>
          <t>GN 1/3 100 - Polypropylene</t>
        </is>
      </c>
      <c r="E21" s="24" t="inlineStr">
        <is>
          <t>Attase</t>
        </is>
      </c>
      <c r="F21" s="25" t="inlineStr">
        <is>
          <t>https://www.attase.hu/konyhai-eszkozok/gn-edeny/polipropilen-gn-edenyek</t>
        </is>
      </c>
      <c r="G21" s="114" t="n">
        <v>840</v>
      </c>
      <c r="H21" s="24" t="inlineStr">
        <is>
          <t>HUF</t>
        </is>
      </c>
      <c r="I21" s="114" t="n">
        <v>840</v>
      </c>
      <c r="J21" s="24" t="inlineStr">
        <is>
          <t>08.06.2026</t>
        </is>
      </c>
      <c r="K21" s="24" t="inlineStr">
        <is>
          <t>Source sheet: GN Containers; size: GN 1/3 100; material: Polypropylene</t>
        </is>
      </c>
      <c r="L21" s="24" t="n"/>
      <c r="M21" s="24" t="inlineStr">
        <is>
          <t>Direct</t>
        </is>
      </c>
      <c r="N21" s="2" t="n"/>
      <c r="O21" s="2" t="n"/>
      <c r="P21" s="2" t="n"/>
      <c r="Q21" s="2" t="n"/>
      <c r="R21" s="2" t="n"/>
      <c r="S21" s="2" t="n"/>
      <c r="T21" s="2" t="n"/>
      <c r="U21" s="2" t="n"/>
      <c r="V21" s="2" t="n"/>
      <c r="W21" s="2" t="n"/>
      <c r="X21" s="2" t="n"/>
      <c r="Y21" s="2" t="n"/>
      <c r="Z21" s="2" t="n"/>
      <c r="AA21" s="2" t="n"/>
      <c r="AB21" s="2" t="n"/>
      <c r="AC21" s="2" t="n"/>
    </row>
    <row r="22" ht="36" customHeight="1">
      <c r="A22" s="2" t="n"/>
      <c r="B22" s="27" t="inlineStr">
        <is>
          <t>Hungary</t>
        </is>
      </c>
      <c r="C22" s="27" t="inlineStr">
        <is>
          <t>GN Container</t>
        </is>
      </c>
      <c r="D22" s="27" t="inlineStr">
        <is>
          <t>GN 1/3 100 - Polypropylene</t>
        </is>
      </c>
      <c r="E22" s="27" t="inlineStr">
        <is>
          <t>Inox-Pláza</t>
        </is>
      </c>
      <c r="F22" s="28" t="inlineStr">
        <is>
          <t>https://www.inoxplaza.hu/edenyzet/gn-edeny</t>
        </is>
      </c>
      <c r="G22" s="115" t="n">
        <v>1700</v>
      </c>
      <c r="H22" s="27" t="inlineStr">
        <is>
          <t>HUF</t>
        </is>
      </c>
      <c r="I22" s="115" t="n">
        <v>1700</v>
      </c>
      <c r="J22" s="27" t="inlineStr">
        <is>
          <t>08.06.2026</t>
        </is>
      </c>
      <c r="K22" s="27" t="inlineStr">
        <is>
          <t>Source sheet: GN Containers; size: GN 1/3 100; material: Polypropylene</t>
        </is>
      </c>
      <c r="L22" s="27" t="n"/>
      <c r="M22" s="27" t="inlineStr">
        <is>
          <t>Direct</t>
        </is>
      </c>
      <c r="N22" s="2" t="n"/>
      <c r="O22" s="2" t="n"/>
      <c r="P22" s="2" t="n"/>
      <c r="Q22" s="2" t="n"/>
      <c r="R22" s="2" t="n"/>
      <c r="S22" s="2" t="n"/>
      <c r="T22" s="2" t="n"/>
      <c r="U22" s="2" t="n"/>
      <c r="V22" s="2" t="n"/>
      <c r="W22" s="2" t="n"/>
      <c r="X22" s="2" t="n"/>
      <c r="Y22" s="2" t="n"/>
      <c r="Z22" s="2" t="n"/>
      <c r="AA22" s="2" t="n"/>
      <c r="AB22" s="2" t="n"/>
      <c r="AC22" s="2" t="n"/>
    </row>
    <row r="23" ht="50" customHeight="1">
      <c r="A23" s="2" t="n"/>
      <c r="B23" s="24" t="inlineStr">
        <is>
          <t>Hungary</t>
        </is>
      </c>
      <c r="C23" s="24" t="inlineStr">
        <is>
          <t>GN Container</t>
        </is>
      </c>
      <c r="D23" s="24" t="inlineStr">
        <is>
          <t>GN 1/3 100 - Polypropylene</t>
        </is>
      </c>
      <c r="E23" s="24" t="inlineStr">
        <is>
          <t>Hunnia</t>
        </is>
      </c>
      <c r="F23" s="25" t="inlineStr">
        <is>
          <t>https://hunniakristaly.hu/nagy-konyha/gn-edenyek-rozsdamentes-acelbol-polipropilenb-l-polikarbonat/gn-edenyek-polipropilenb-l</t>
        </is>
      </c>
      <c r="G23" s="114" t="n">
        <v>2023</v>
      </c>
      <c r="H23" s="24" t="inlineStr">
        <is>
          <t>HUF</t>
        </is>
      </c>
      <c r="I23" s="114" t="n">
        <v>2023</v>
      </c>
      <c r="J23" s="24" t="inlineStr">
        <is>
          <t>08.06.2026</t>
        </is>
      </c>
      <c r="K23" s="24" t="inlineStr">
        <is>
          <t>Source sheet: GN Containers; size: GN 1/3 100; material: Polypropylene</t>
        </is>
      </c>
      <c r="L23" s="24" t="n"/>
      <c r="M23" s="24" t="inlineStr">
        <is>
          <t>Direct</t>
        </is>
      </c>
      <c r="N23" s="2" t="n"/>
      <c r="O23" s="2" t="n"/>
      <c r="P23" s="2" t="n"/>
      <c r="Q23" s="2" t="n"/>
      <c r="R23" s="2" t="n"/>
      <c r="S23" s="2" t="n"/>
      <c r="T23" s="2" t="n"/>
      <c r="U23" s="2" t="n"/>
      <c r="V23" s="2" t="n"/>
      <c r="W23" s="2" t="n"/>
      <c r="X23" s="2" t="n"/>
      <c r="Y23" s="2" t="n"/>
      <c r="Z23" s="2" t="n"/>
      <c r="AA23" s="2" t="n"/>
      <c r="AB23" s="2" t="n"/>
      <c r="AC23" s="2" t="n"/>
    </row>
    <row r="24" ht="36" customHeight="1">
      <c r="A24" s="2" t="n"/>
      <c r="B24" s="27" t="inlineStr">
        <is>
          <t>Hungary</t>
        </is>
      </c>
      <c r="C24" s="27" t="inlineStr">
        <is>
          <t>GN Container</t>
        </is>
      </c>
      <c r="D24" s="27" t="inlineStr">
        <is>
          <t>GN 1/3 100 - Polypropylene</t>
        </is>
      </c>
      <c r="E24" s="27" t="inlineStr">
        <is>
          <t>HFSE</t>
        </is>
      </c>
      <c r="F24" s="28" t="inlineStr">
        <is>
          <t>https://hfse.hu/termekkategoria/konyhai-eszkozok/gn-edenyek/</t>
        </is>
      </c>
      <c r="G24" s="115" t="n">
        <v>1370</v>
      </c>
      <c r="H24" s="27" t="inlineStr">
        <is>
          <t>HUF</t>
        </is>
      </c>
      <c r="I24" s="115" t="n">
        <v>1370</v>
      </c>
      <c r="J24" s="27" t="inlineStr">
        <is>
          <t>08.06.2026</t>
        </is>
      </c>
      <c r="K24" s="27" t="inlineStr">
        <is>
          <t>Source sheet: GN Containers; size: GN 1/3 100; material: Polypropylene</t>
        </is>
      </c>
      <c r="L24" s="27" t="n"/>
      <c r="M24" s="27" t="inlineStr">
        <is>
          <t>Direct</t>
        </is>
      </c>
      <c r="N24" s="2" t="n"/>
      <c r="O24" s="2" t="n"/>
      <c r="P24" s="2" t="n"/>
      <c r="Q24" s="2" t="n"/>
      <c r="R24" s="2" t="n"/>
      <c r="S24" s="2" t="n"/>
      <c r="T24" s="2" t="n"/>
      <c r="U24" s="2" t="n"/>
      <c r="V24" s="2" t="n"/>
      <c r="W24" s="2" t="n"/>
      <c r="X24" s="2" t="n"/>
      <c r="Y24" s="2" t="n"/>
      <c r="Z24" s="2" t="n"/>
      <c r="AA24" s="2" t="n"/>
      <c r="AB24" s="2" t="n"/>
      <c r="AC24" s="2" t="n"/>
    </row>
    <row r="25" ht="36" customHeight="1">
      <c r="A25" s="2" t="n"/>
      <c r="B25" s="24" t="inlineStr">
        <is>
          <t>Hungary</t>
        </is>
      </c>
      <c r="C25" s="24" t="inlineStr">
        <is>
          <t>GN Container</t>
        </is>
      </c>
      <c r="D25" s="24" t="inlineStr">
        <is>
          <t>GN 1/3 100 - Polypropylene</t>
        </is>
      </c>
      <c r="E25" s="24" t="inlineStr">
        <is>
          <t>Gasztronagyker</t>
        </is>
      </c>
      <c r="F25" s="25" t="inlineStr">
        <is>
          <t>https://www.gasztronagyker.hu/gn-edenyek</t>
        </is>
      </c>
      <c r="G25" s="114" t="n">
        <v>1555</v>
      </c>
      <c r="H25" s="24" t="inlineStr">
        <is>
          <t>HUF</t>
        </is>
      </c>
      <c r="I25" s="114" t="n">
        <v>1555</v>
      </c>
      <c r="J25" s="24" t="inlineStr">
        <is>
          <t>08.06.2026</t>
        </is>
      </c>
      <c r="K25" s="24" t="inlineStr">
        <is>
          <t>Source sheet: GN Containers; size: GN 1/3 100; material: Polypropylene</t>
        </is>
      </c>
      <c r="L25" s="24" t="n"/>
      <c r="M25" s="24" t="inlineStr">
        <is>
          <t>Direct</t>
        </is>
      </c>
      <c r="N25" s="2" t="n"/>
      <c r="O25" s="2" t="n"/>
      <c r="P25" s="2" t="n"/>
      <c r="Q25" s="2" t="n"/>
      <c r="R25" s="2" t="n"/>
      <c r="S25" s="2" t="n"/>
      <c r="T25" s="2" t="n"/>
      <c r="U25" s="2" t="n"/>
      <c r="V25" s="2" t="n"/>
      <c r="W25" s="2" t="n"/>
      <c r="X25" s="2" t="n"/>
      <c r="Y25" s="2" t="n"/>
      <c r="Z25" s="2" t="n"/>
      <c r="AA25" s="2" t="n"/>
      <c r="AB25" s="2" t="n"/>
      <c r="AC25" s="2" t="n"/>
    </row>
    <row r="26" ht="36" customHeight="1">
      <c r="A26" s="2" t="n"/>
      <c r="B26" s="27" t="inlineStr">
        <is>
          <t>Hungary</t>
        </is>
      </c>
      <c r="C26" s="27" t="inlineStr">
        <is>
          <t>Cutting Board</t>
        </is>
      </c>
      <c r="D26" s="27" t="inlineStr">
        <is>
          <t>Cutting Board 530 x 325 x 20 mm</t>
        </is>
      </c>
      <c r="E26" s="27" t="inlineStr">
        <is>
          <t>Attase</t>
        </is>
      </c>
      <c r="F26" s="28" t="inlineStr">
        <is>
          <t>https://www.attase.hu/spd/PE-53322-GR/Vagodeszka-muanyag-53x325x2-cm-Zold</t>
        </is>
      </c>
      <c r="G26" s="115" t="n">
        <v>5772</v>
      </c>
      <c r="H26" s="27" t="inlineStr">
        <is>
          <t>HUF</t>
        </is>
      </c>
      <c r="I26" s="115" t="n">
        <v>5772</v>
      </c>
      <c r="J26" s="27" t="inlineStr">
        <is>
          <t>24.06.2026</t>
        </is>
      </c>
      <c r="K26" s="27" t="inlineStr">
        <is>
          <t>Source sheet: Cutting Boards</t>
        </is>
      </c>
      <c r="L26" s="27" t="inlineStr">
        <is>
          <t>Taha</t>
        </is>
      </c>
      <c r="M26" s="27" t="inlineStr">
        <is>
          <t>Direct</t>
        </is>
      </c>
      <c r="N26" s="2" t="n"/>
      <c r="O26" s="2" t="n"/>
      <c r="P26" s="2" t="n"/>
      <c r="Q26" s="2" t="n"/>
      <c r="R26" s="2" t="n"/>
      <c r="S26" s="2" t="n"/>
      <c r="T26" s="2" t="n"/>
      <c r="U26" s="2" t="n"/>
      <c r="V26" s="2" t="n"/>
      <c r="W26" s="2" t="n"/>
      <c r="X26" s="2" t="n"/>
      <c r="Y26" s="2" t="n"/>
      <c r="Z26" s="2" t="n"/>
      <c r="AA26" s="2" t="n"/>
      <c r="AB26" s="2" t="n"/>
      <c r="AC26" s="2" t="n"/>
    </row>
    <row r="27" ht="50" customHeight="1">
      <c r="A27" s="2" t="n"/>
      <c r="B27" s="24" t="inlineStr">
        <is>
          <t>Hungary</t>
        </is>
      </c>
      <c r="C27" s="24" t="inlineStr">
        <is>
          <t>Cutting Board</t>
        </is>
      </c>
      <c r="D27" s="24" t="inlineStr">
        <is>
          <t>Cutting Board 530 x 325 x 20 mm</t>
        </is>
      </c>
      <c r="E27" s="24" t="inlineStr">
        <is>
          <t>Hunnia</t>
        </is>
      </c>
      <c r="F27" s="25" t="inlineStr">
        <is>
          <t>https://hunniakristaly.hu/kereses?description=0&amp;keyword=muanyag+v%C3%A1g%C3%B3deszka&amp;filters=%7B%22category_id%22%3A3817%7D&amp;sort_order=price_asc</t>
        </is>
      </c>
      <c r="G27" s="114" t="n">
        <v>6881</v>
      </c>
      <c r="H27" s="24" t="inlineStr">
        <is>
          <t>HUF</t>
        </is>
      </c>
      <c r="I27" s="114" t="n">
        <v>6881</v>
      </c>
      <c r="J27" s="24" t="inlineStr">
        <is>
          <t>24.06.2026</t>
        </is>
      </c>
      <c r="K27" s="24" t="inlineStr">
        <is>
          <t>Source sheet: Cutting Boards</t>
        </is>
      </c>
      <c r="L27" s="24" t="inlineStr">
        <is>
          <t>Taha</t>
        </is>
      </c>
      <c r="M27" s="24" t="inlineStr">
        <is>
          <t>Direct</t>
        </is>
      </c>
      <c r="N27" s="2" t="n"/>
      <c r="O27" s="2" t="n"/>
      <c r="P27" s="2" t="n"/>
      <c r="Q27" s="2" t="n"/>
      <c r="R27" s="2" t="n"/>
      <c r="S27" s="2" t="n"/>
      <c r="T27" s="2" t="n"/>
      <c r="U27" s="2" t="n"/>
      <c r="V27" s="2" t="n"/>
      <c r="W27" s="2" t="n"/>
      <c r="X27" s="2" t="n"/>
      <c r="Y27" s="2" t="n"/>
      <c r="Z27" s="2" t="n"/>
      <c r="AA27" s="2" t="n"/>
      <c r="AB27" s="2" t="n"/>
      <c r="AC27" s="2" t="n"/>
    </row>
    <row r="28" ht="31" customHeight="1">
      <c r="A28" s="2" t="n"/>
      <c r="B28" s="27" t="inlineStr">
        <is>
          <t>Hungary</t>
        </is>
      </c>
      <c r="C28" s="27" t="inlineStr">
        <is>
          <t>Cutting Board</t>
        </is>
      </c>
      <c r="D28" s="27" t="inlineStr">
        <is>
          <t>Cutting Board 530 x 325 x 20 mm</t>
        </is>
      </c>
      <c r="E28" s="27" t="inlineStr">
        <is>
          <t>Gasztronagyker</t>
        </is>
      </c>
      <c r="F28" s="28" t="inlineStr">
        <is>
          <t>https://www.gasztronagyker.hu/vagolapok</t>
        </is>
      </c>
      <c r="G28" s="115" t="n">
        <v>7850</v>
      </c>
      <c r="H28" s="27" t="inlineStr">
        <is>
          <t>HUF</t>
        </is>
      </c>
      <c r="I28" s="115" t="n">
        <v>7850</v>
      </c>
      <c r="J28" s="27" t="inlineStr">
        <is>
          <t>24.06.2026</t>
        </is>
      </c>
      <c r="K28" s="27" t="inlineStr">
        <is>
          <t>Source sheet: Cutting Boards</t>
        </is>
      </c>
      <c r="L28" s="27" t="inlineStr">
        <is>
          <t>Taha</t>
        </is>
      </c>
      <c r="M28" s="27" t="inlineStr">
        <is>
          <t>Direct</t>
        </is>
      </c>
      <c r="N28" s="2" t="n"/>
      <c r="O28" s="2" t="n"/>
      <c r="P28" s="2" t="n"/>
      <c r="Q28" s="2" t="n"/>
      <c r="R28" s="2" t="n"/>
      <c r="S28" s="2" t="n"/>
      <c r="T28" s="2" t="n"/>
      <c r="U28" s="2" t="n"/>
      <c r="V28" s="2" t="n"/>
      <c r="W28" s="2" t="n"/>
      <c r="X28" s="2" t="n"/>
      <c r="Y28" s="2" t="n"/>
      <c r="Z28" s="2" t="n"/>
      <c r="AA28" s="2" t="n"/>
      <c r="AB28" s="2" t="n"/>
      <c r="AC28" s="2" t="n"/>
    </row>
    <row r="29" ht="31" customHeight="1">
      <c r="A29" s="2" t="n"/>
      <c r="B29" s="24" t="inlineStr">
        <is>
          <t>Hungary</t>
        </is>
      </c>
      <c r="C29" s="24" t="inlineStr">
        <is>
          <t>Cutting Board</t>
        </is>
      </c>
      <c r="D29" s="24" t="inlineStr">
        <is>
          <t>Cutting Board 600 x 400 x 20 mm</t>
        </is>
      </c>
      <c r="E29" s="24" t="inlineStr">
        <is>
          <t>Inox-Bázis</t>
        </is>
      </c>
      <c r="F29" s="25" t="inlineStr">
        <is>
          <t>https://www.inoxbazis.hu/search/?q=v%C3%A1g%C3%B3deszka</t>
        </is>
      </c>
      <c r="G29" s="114" t="n">
        <v>6990</v>
      </c>
      <c r="H29" s="24" t="inlineStr">
        <is>
          <t>HUF</t>
        </is>
      </c>
      <c r="I29" s="114" t="n">
        <v>6990</v>
      </c>
      <c r="J29" s="24" t="inlineStr">
        <is>
          <t>24.06.2026</t>
        </is>
      </c>
      <c r="K29" s="24" t="inlineStr">
        <is>
          <t>Source sheet: Cutting Boards</t>
        </is>
      </c>
      <c r="L29" s="24" t="inlineStr">
        <is>
          <t>Taha</t>
        </is>
      </c>
      <c r="M29" s="24" t="inlineStr">
        <is>
          <t>Direct</t>
        </is>
      </c>
      <c r="N29" s="2" t="n"/>
      <c r="O29" s="2" t="n"/>
      <c r="P29" s="2" t="n"/>
      <c r="Q29" s="2" t="n"/>
      <c r="R29" s="2" t="n"/>
      <c r="S29" s="2" t="n"/>
      <c r="T29" s="2" t="n"/>
      <c r="U29" s="2" t="n"/>
      <c r="V29" s="2" t="n"/>
      <c r="W29" s="2" t="n"/>
      <c r="X29" s="2" t="n"/>
      <c r="Y29" s="2" t="n"/>
      <c r="Z29" s="2" t="n"/>
      <c r="AA29" s="2" t="n"/>
      <c r="AB29" s="2" t="n"/>
      <c r="AC29" s="2" t="n"/>
    </row>
    <row r="30" ht="36" customHeight="1">
      <c r="A30" s="2" t="n"/>
      <c r="B30" s="27" t="inlineStr">
        <is>
          <t>Hungary</t>
        </is>
      </c>
      <c r="C30" s="27" t="inlineStr">
        <is>
          <t>Cutting Board</t>
        </is>
      </c>
      <c r="D30" s="27" t="inlineStr">
        <is>
          <t>Cutting Board 600 x 400 x 20 mm</t>
        </is>
      </c>
      <c r="E30" s="27" t="inlineStr">
        <is>
          <t>Inox-Pláza</t>
        </is>
      </c>
      <c r="F30" s="28" t="inlineStr">
        <is>
          <t>https://www.inoxplaza.hu/kereses?description=0&amp;keyword=v%C3%A1g%C3%B3deszka&amp;filters=%7B%22category_id%22%3A1641%7D</t>
        </is>
      </c>
      <c r="G30" s="115" t="n">
        <v>12200</v>
      </c>
      <c r="H30" s="27" t="inlineStr">
        <is>
          <t>HUF</t>
        </is>
      </c>
      <c r="I30" s="115" t="n">
        <v>12200</v>
      </c>
      <c r="J30" s="27" t="inlineStr">
        <is>
          <t>24.06.2026</t>
        </is>
      </c>
      <c r="K30" s="27" t="inlineStr">
        <is>
          <t>Source sheet: Cutting Boards</t>
        </is>
      </c>
      <c r="L30" s="27" t="inlineStr">
        <is>
          <t>Taha</t>
        </is>
      </c>
      <c r="M30" s="27" t="inlineStr">
        <is>
          <t>Direct</t>
        </is>
      </c>
      <c r="N30" s="2" t="n"/>
      <c r="O30" s="2" t="n"/>
      <c r="P30" s="2" t="n"/>
      <c r="Q30" s="2" t="n"/>
      <c r="R30" s="2" t="n"/>
      <c r="S30" s="2" t="n"/>
      <c r="T30" s="2" t="n"/>
      <c r="U30" s="2" t="n"/>
      <c r="V30" s="2" t="n"/>
      <c r="W30" s="2" t="n"/>
      <c r="X30" s="2" t="n"/>
      <c r="Y30" s="2" t="n"/>
      <c r="Z30" s="2" t="n"/>
      <c r="AA30" s="2" t="n"/>
      <c r="AB30" s="2" t="n"/>
      <c r="AC30" s="2" t="n"/>
    </row>
    <row r="31" ht="50" customHeight="1">
      <c r="A31" s="2" t="n"/>
      <c r="B31" s="24" t="inlineStr">
        <is>
          <t>Hungary</t>
        </is>
      </c>
      <c r="C31" s="24" t="inlineStr">
        <is>
          <t>Cutting Board</t>
        </is>
      </c>
      <c r="D31" s="24" t="inlineStr">
        <is>
          <t>Cutting Board 600 x 400 x 20 mm</t>
        </is>
      </c>
      <c r="E31" s="24" t="inlineStr">
        <is>
          <t>Hunnia</t>
        </is>
      </c>
      <c r="F31" s="25" t="inlineStr">
        <is>
          <t>https://hunniakristaly.hu/kereses?description=0&amp;keyword=muanyag+v%C3%A1g%C3%B3deszka&amp;filters=%7B%22category_id%22%3A3817%7D&amp;sort_order=price_asc</t>
        </is>
      </c>
      <c r="G31" s="114" t="n">
        <v>9569</v>
      </c>
      <c r="H31" s="24" t="inlineStr">
        <is>
          <t>HUF</t>
        </is>
      </c>
      <c r="I31" s="114" t="n">
        <v>9569</v>
      </c>
      <c r="J31" s="24" t="inlineStr">
        <is>
          <t>24.06.2026</t>
        </is>
      </c>
      <c r="K31" s="24" t="inlineStr">
        <is>
          <t>Source sheet: Cutting Boards</t>
        </is>
      </c>
      <c r="L31" s="24" t="inlineStr">
        <is>
          <t>Taha</t>
        </is>
      </c>
      <c r="M31" s="24" t="inlineStr">
        <is>
          <t>Direct</t>
        </is>
      </c>
      <c r="N31" s="2" t="n"/>
      <c r="O31" s="2" t="n"/>
      <c r="P31" s="2" t="n"/>
      <c r="Q31" s="2" t="n"/>
      <c r="R31" s="2" t="n"/>
      <c r="S31" s="2" t="n"/>
      <c r="T31" s="2" t="n"/>
      <c r="U31" s="2" t="n"/>
      <c r="V31" s="2" t="n"/>
      <c r="W31" s="2" t="n"/>
      <c r="X31" s="2" t="n"/>
      <c r="Y31" s="2" t="n"/>
      <c r="Z31" s="2" t="n"/>
      <c r="AA31" s="2" t="n"/>
      <c r="AB31" s="2" t="n"/>
      <c r="AC31" s="2" t="n"/>
    </row>
    <row r="32" ht="31" customHeight="1">
      <c r="A32" s="2" t="n"/>
      <c r="B32" s="27" t="inlineStr">
        <is>
          <t>Hungary</t>
        </is>
      </c>
      <c r="C32" s="27" t="inlineStr">
        <is>
          <t>Cutting Board</t>
        </is>
      </c>
      <c r="D32" s="27" t="inlineStr">
        <is>
          <t>Cutting Board 600 x 400 x 20 mm</t>
        </is>
      </c>
      <c r="E32" s="27" t="inlineStr">
        <is>
          <t>Gasztronagyker</t>
        </is>
      </c>
      <c r="F32" s="28" t="inlineStr">
        <is>
          <t>https://www.gasztronagyker.hu/vagolapok</t>
        </is>
      </c>
      <c r="G32" s="115" t="n">
        <v>12519</v>
      </c>
      <c r="H32" s="27" t="inlineStr">
        <is>
          <t>HUF</t>
        </is>
      </c>
      <c r="I32" s="115" t="n">
        <v>12519</v>
      </c>
      <c r="J32" s="27" t="inlineStr">
        <is>
          <t>24.06.2026</t>
        </is>
      </c>
      <c r="K32" s="27" t="inlineStr">
        <is>
          <t>Source sheet: Cutting Boards</t>
        </is>
      </c>
      <c r="L32" s="27" t="inlineStr">
        <is>
          <t>Taha</t>
        </is>
      </c>
      <c r="M32" s="27" t="inlineStr">
        <is>
          <t>Direct</t>
        </is>
      </c>
      <c r="N32" s="2" t="n"/>
      <c r="O32" s="2" t="n"/>
      <c r="P32" s="2" t="n"/>
      <c r="Q32" s="2" t="n"/>
      <c r="R32" s="2" t="n"/>
      <c r="S32" s="2" t="n"/>
      <c r="T32" s="2" t="n"/>
      <c r="U32" s="2" t="n"/>
      <c r="V32" s="2" t="n"/>
      <c r="W32" s="2" t="n"/>
      <c r="X32" s="2" t="n"/>
      <c r="Y32" s="2" t="n"/>
      <c r="Z32" s="2" t="n"/>
      <c r="AA32" s="2" t="n"/>
      <c r="AB32" s="2" t="n"/>
      <c r="AC32" s="2" t="n"/>
    </row>
    <row r="33" ht="36" customHeight="1">
      <c r="A33" s="2" t="n"/>
      <c r="B33" s="24" t="inlineStr">
        <is>
          <t>Hungary</t>
        </is>
      </c>
      <c r="C33" s="24" t="inlineStr">
        <is>
          <t>Pizza Dough Box / Lid</t>
        </is>
      </c>
      <c r="D33" s="24" t="inlineStr">
        <is>
          <t>PP Lid 600 x 400 mm</t>
        </is>
      </c>
      <c r="E33" s="24" t="inlineStr">
        <is>
          <t>Gasztronagyker</t>
        </is>
      </c>
      <c r="F33" s="25" t="inlineStr">
        <is>
          <t>https://www.gasztronagyker.hu/shop_search.php?search=Pizzat%C3%A9szta+keleszt%C5%91</t>
        </is>
      </c>
      <c r="G33" s="114" t="n">
        <v>2826</v>
      </c>
      <c r="H33" s="24" t="inlineStr">
        <is>
          <t>HUF</t>
        </is>
      </c>
      <c r="I33" s="114" t="n">
        <v>2826</v>
      </c>
      <c r="J33" s="24" t="inlineStr">
        <is>
          <t>26.06.2026</t>
        </is>
      </c>
      <c r="K33" s="24" t="inlineStr">
        <is>
          <t>Source sheet: Pizza Dough Boxes &amp; Lids</t>
        </is>
      </c>
      <c r="L33" s="24" t="inlineStr">
        <is>
          <t>Taha</t>
        </is>
      </c>
      <c r="M33" s="24" t="inlineStr">
        <is>
          <t>Direct</t>
        </is>
      </c>
      <c r="N33" s="2" t="n"/>
      <c r="O33" s="2" t="n"/>
      <c r="P33" s="2" t="n"/>
      <c r="Q33" s="2" t="n"/>
      <c r="R33" s="2" t="n"/>
      <c r="S33" s="2" t="n"/>
      <c r="T33" s="2" t="n"/>
      <c r="U33" s="2" t="n"/>
      <c r="V33" s="2" t="n"/>
      <c r="W33" s="2" t="n"/>
      <c r="X33" s="2" t="n"/>
      <c r="Y33" s="2" t="n"/>
      <c r="Z33" s="2" t="n"/>
      <c r="AA33" s="2" t="n"/>
      <c r="AB33" s="2" t="n"/>
      <c r="AC33" s="2" t="n"/>
    </row>
    <row r="34" ht="36" customHeight="1">
      <c r="A34" s="2" t="n"/>
      <c r="B34" s="27" t="inlineStr">
        <is>
          <t>Hungary</t>
        </is>
      </c>
      <c r="C34" s="27" t="inlineStr">
        <is>
          <t>Pizza Dough Box / Lid</t>
        </is>
      </c>
      <c r="D34" s="27" t="inlineStr">
        <is>
          <t>PE Lid 600 x 400 mm</t>
        </is>
      </c>
      <c r="E34" s="27" t="inlineStr">
        <is>
          <t>Attase</t>
        </is>
      </c>
      <c r="F34" s="28" t="inlineStr">
        <is>
          <t>https://www.attase.hu/en/pizza-pan?infinite_page=2</t>
        </is>
      </c>
      <c r="G34" s="115" t="n">
        <v>1522</v>
      </c>
      <c r="H34" s="27" t="inlineStr">
        <is>
          <t>HUF</t>
        </is>
      </c>
      <c r="I34" s="115" t="n">
        <v>1522</v>
      </c>
      <c r="J34" s="27" t="inlineStr">
        <is>
          <t>26.06.2026</t>
        </is>
      </c>
      <c r="K34" s="27" t="inlineStr">
        <is>
          <t>Source sheet: Pizza Dough Boxes &amp; Lids</t>
        </is>
      </c>
      <c r="L34" s="27" t="inlineStr">
        <is>
          <t>Taha</t>
        </is>
      </c>
      <c r="M34" s="27" t="inlineStr">
        <is>
          <t>Direct</t>
        </is>
      </c>
      <c r="N34" s="2" t="n"/>
      <c r="O34" s="2" t="n"/>
      <c r="P34" s="2" t="n"/>
      <c r="Q34" s="2" t="n"/>
      <c r="R34" s="2" t="n"/>
      <c r="S34" s="2" t="n"/>
      <c r="T34" s="2" t="n"/>
      <c r="U34" s="2" t="n"/>
      <c r="V34" s="2" t="n"/>
      <c r="W34" s="2" t="n"/>
      <c r="X34" s="2" t="n"/>
      <c r="Y34" s="2" t="n"/>
      <c r="Z34" s="2" t="n"/>
      <c r="AA34" s="2" t="n"/>
      <c r="AB34" s="2" t="n"/>
      <c r="AC34" s="2" t="n"/>
    </row>
    <row r="35" ht="36" customHeight="1">
      <c r="A35" s="2" t="n"/>
      <c r="B35" s="24" t="inlineStr">
        <is>
          <t>Hungary</t>
        </is>
      </c>
      <c r="C35" s="24" t="inlineStr">
        <is>
          <t>Pizza Dough Box / Lid</t>
        </is>
      </c>
      <c r="D35" s="24" t="inlineStr">
        <is>
          <t>PE Lid 600 x 400 mm</t>
        </is>
      </c>
      <c r="E35" s="24" t="inlineStr">
        <is>
          <t>Inox-Bázis</t>
        </is>
      </c>
      <c r="F35" s="25" t="inlineStr">
        <is>
          <t>https://www.inoxbazis.hu/search/?q=Pizza+keleszt%C5%91+doboz</t>
        </is>
      </c>
      <c r="G35" s="114" t="n">
        <v>2290</v>
      </c>
      <c r="H35" s="24" t="inlineStr">
        <is>
          <t>HUF</t>
        </is>
      </c>
      <c r="I35" s="114" t="n">
        <v>2290</v>
      </c>
      <c r="J35" s="24" t="inlineStr">
        <is>
          <t>26.06.2026</t>
        </is>
      </c>
      <c r="K35" s="24" t="inlineStr">
        <is>
          <t>Source sheet: Pizza Dough Boxes &amp; Lids</t>
        </is>
      </c>
      <c r="L35" s="24" t="inlineStr">
        <is>
          <t>Taha</t>
        </is>
      </c>
      <c r="M35" s="24" t="inlineStr">
        <is>
          <t>Direct</t>
        </is>
      </c>
      <c r="N35" s="2" t="n"/>
      <c r="O35" s="2" t="n"/>
      <c r="P35" s="2" t="n"/>
      <c r="Q35" s="2" t="n"/>
      <c r="R35" s="2" t="n"/>
      <c r="S35" s="2" t="n"/>
      <c r="T35" s="2" t="n"/>
      <c r="U35" s="2" t="n"/>
      <c r="V35" s="2" t="n"/>
      <c r="W35" s="2" t="n"/>
      <c r="X35" s="2" t="n"/>
      <c r="Y35" s="2" t="n"/>
      <c r="Z35" s="2" t="n"/>
      <c r="AA35" s="2" t="n"/>
      <c r="AB35" s="2" t="n"/>
      <c r="AC35" s="2" t="n"/>
    </row>
    <row r="36" ht="36" customHeight="1">
      <c r="A36" s="2" t="n"/>
      <c r="B36" s="27" t="inlineStr">
        <is>
          <t>Hungary</t>
        </is>
      </c>
      <c r="C36" s="27" t="inlineStr">
        <is>
          <t>Pizza Dough Box / Lid</t>
        </is>
      </c>
      <c r="D36" s="27" t="inlineStr">
        <is>
          <t>PE Lid 600 x 400 mm</t>
        </is>
      </c>
      <c r="E36" s="27" t="inlineStr">
        <is>
          <t>Inox-Pláza</t>
        </is>
      </c>
      <c r="F36" s="28" t="inlineStr">
        <is>
          <t>https://www.inoxplaza.hu/kereses?description=0&amp;keyword=Pizza+keleszt%C5%91</t>
        </is>
      </c>
      <c r="G36" s="115" t="n">
        <v>3400</v>
      </c>
      <c r="H36" s="27" t="inlineStr">
        <is>
          <t>HUF</t>
        </is>
      </c>
      <c r="I36" s="115" t="n">
        <v>3400</v>
      </c>
      <c r="J36" s="27" t="inlineStr">
        <is>
          <t>26.06.2026</t>
        </is>
      </c>
      <c r="K36" s="27" t="inlineStr">
        <is>
          <t>Source sheet: Pizza Dough Boxes &amp; Lids</t>
        </is>
      </c>
      <c r="L36" s="27" t="inlineStr">
        <is>
          <t>Taha</t>
        </is>
      </c>
      <c r="M36" s="27" t="inlineStr">
        <is>
          <t>Direct</t>
        </is>
      </c>
      <c r="N36" s="2" t="n"/>
      <c r="O36" s="2" t="n"/>
      <c r="P36" s="2" t="n"/>
      <c r="Q36" s="2" t="n"/>
      <c r="R36" s="2" t="n"/>
      <c r="S36" s="2" t="n"/>
      <c r="T36" s="2" t="n"/>
      <c r="U36" s="2" t="n"/>
      <c r="V36" s="2" t="n"/>
      <c r="W36" s="2" t="n"/>
      <c r="X36" s="2" t="n"/>
      <c r="Y36" s="2" t="n"/>
      <c r="Z36" s="2" t="n"/>
      <c r="AA36" s="2" t="n"/>
      <c r="AB36" s="2" t="n"/>
      <c r="AC36" s="2" t="n"/>
    </row>
    <row r="37" ht="36" customHeight="1">
      <c r="A37" s="2" t="n"/>
      <c r="B37" s="24" t="inlineStr">
        <is>
          <t>Hungary</t>
        </is>
      </c>
      <c r="C37" s="24" t="inlineStr">
        <is>
          <t>Pizza Dough Box / Lid</t>
        </is>
      </c>
      <c r="D37" s="24" t="inlineStr">
        <is>
          <t>PE Lid 600 x 400 mm</t>
        </is>
      </c>
      <c r="E37" s="24" t="inlineStr">
        <is>
          <t>Hunnia</t>
        </is>
      </c>
      <c r="F37" s="25" t="inlineStr">
        <is>
          <t>https://hunniakristaly.hu/kereses?description=0&amp;search=+Pizza+keleszt%C5%91&amp;keyword=+Pizza+keleszt%C5%91</t>
        </is>
      </c>
      <c r="G37" s="114" t="n">
        <v>2536</v>
      </c>
      <c r="H37" s="24" t="inlineStr">
        <is>
          <t>HUF</t>
        </is>
      </c>
      <c r="I37" s="114" t="n">
        <v>2536</v>
      </c>
      <c r="J37" s="24" t="inlineStr">
        <is>
          <t>26.06.2026</t>
        </is>
      </c>
      <c r="K37" s="24" t="inlineStr">
        <is>
          <t>Source sheet: Pizza Dough Boxes &amp; Lids</t>
        </is>
      </c>
      <c r="L37" s="24" t="inlineStr">
        <is>
          <t>Taha</t>
        </is>
      </c>
      <c r="M37" s="24" t="inlineStr">
        <is>
          <t>Direct</t>
        </is>
      </c>
      <c r="N37" s="2" t="n"/>
      <c r="O37" s="2" t="n"/>
      <c r="P37" s="2" t="n"/>
      <c r="Q37" s="2" t="n"/>
      <c r="R37" s="2" t="n"/>
      <c r="S37" s="2" t="n"/>
      <c r="T37" s="2" t="n"/>
      <c r="U37" s="2" t="n"/>
      <c r="V37" s="2" t="n"/>
      <c r="W37" s="2" t="n"/>
      <c r="X37" s="2" t="n"/>
      <c r="Y37" s="2" t="n"/>
      <c r="Z37" s="2" t="n"/>
      <c r="AA37" s="2" t="n"/>
      <c r="AB37" s="2" t="n"/>
      <c r="AC37" s="2" t="n"/>
    </row>
    <row r="38" ht="36" customHeight="1">
      <c r="A38" s="2" t="n"/>
      <c r="B38" s="27" t="inlineStr">
        <is>
          <t>Hungary</t>
        </is>
      </c>
      <c r="C38" s="27" t="inlineStr">
        <is>
          <t>Pizza Dough Box / Lid</t>
        </is>
      </c>
      <c r="D38" s="27" t="inlineStr">
        <is>
          <t>PE Lid 600 x 400 mm</t>
        </is>
      </c>
      <c r="E38" s="27" t="inlineStr">
        <is>
          <t>HFSE</t>
        </is>
      </c>
      <c r="F38" s="28" t="inlineStr">
        <is>
          <t>https://hfse.hu/?s=pizzat%C3%A9szta+keleszt%C5%91&amp;post_type=product&amp;dgwt_wcas=1</t>
        </is>
      </c>
      <c r="G38" s="115" t="n">
        <v>3087</v>
      </c>
      <c r="H38" s="27" t="inlineStr">
        <is>
          <t>HUF</t>
        </is>
      </c>
      <c r="I38" s="115" t="n">
        <v>3087</v>
      </c>
      <c r="J38" s="27" t="inlineStr">
        <is>
          <t>26.06.2026</t>
        </is>
      </c>
      <c r="K38" s="27" t="inlineStr">
        <is>
          <t>Source sheet: Pizza Dough Boxes &amp; Lids</t>
        </is>
      </c>
      <c r="L38" s="27" t="inlineStr">
        <is>
          <t>Taha</t>
        </is>
      </c>
      <c r="M38" s="27" t="inlineStr">
        <is>
          <t>Direct</t>
        </is>
      </c>
      <c r="N38" s="2" t="n"/>
      <c r="O38" s="2" t="n"/>
      <c r="P38" s="2" t="n"/>
      <c r="Q38" s="2" t="n"/>
      <c r="R38" s="2" t="n"/>
      <c r="S38" s="2" t="n"/>
      <c r="T38" s="2" t="n"/>
      <c r="U38" s="2" t="n"/>
      <c r="V38" s="2" t="n"/>
      <c r="W38" s="2" t="n"/>
      <c r="X38" s="2" t="n"/>
      <c r="Y38" s="2" t="n"/>
      <c r="Z38" s="2" t="n"/>
      <c r="AA38" s="2" t="n"/>
      <c r="AB38" s="2" t="n"/>
      <c r="AC38" s="2" t="n"/>
    </row>
    <row r="39" ht="36" customHeight="1">
      <c r="A39" s="2" t="n"/>
      <c r="B39" s="24" t="inlineStr">
        <is>
          <t>Hungary</t>
        </is>
      </c>
      <c r="C39" s="24" t="inlineStr">
        <is>
          <t>Pizza Dough Box / Lid</t>
        </is>
      </c>
      <c r="D39" s="24" t="inlineStr">
        <is>
          <t>PE Contacto Lid 600 x 400 mm</t>
        </is>
      </c>
      <c r="E39" s="24" t="inlineStr">
        <is>
          <t>Hunnia</t>
        </is>
      </c>
      <c r="F39" s="25" t="inlineStr">
        <is>
          <t>https://hunniakristaly.hu/kereses?description=0&amp;search=+Pizza+keleszt%C5%91&amp;keyword=+Pizza+keleszt%C5%91</t>
        </is>
      </c>
      <c r="G39" s="114" t="n">
        <v>7147</v>
      </c>
      <c r="H39" s="24" t="inlineStr">
        <is>
          <t>HUF</t>
        </is>
      </c>
      <c r="I39" s="114" t="n">
        <v>7147</v>
      </c>
      <c r="J39" s="24" t="inlineStr">
        <is>
          <t>26.06.2026</t>
        </is>
      </c>
      <c r="K39" s="24" t="inlineStr">
        <is>
          <t>Source sheet: Pizza Dough Boxes &amp; Lids</t>
        </is>
      </c>
      <c r="L39" s="24" t="inlineStr">
        <is>
          <t>Taha</t>
        </is>
      </c>
      <c r="M39" s="24" t="inlineStr">
        <is>
          <t>Direct</t>
        </is>
      </c>
      <c r="N39" s="2" t="n"/>
      <c r="O39" s="2" t="n"/>
      <c r="P39" s="2" t="n"/>
      <c r="Q39" s="2" t="n"/>
      <c r="R39" s="2" t="n"/>
      <c r="S39" s="2" t="n"/>
      <c r="T39" s="2" t="n"/>
      <c r="U39" s="2" t="n"/>
      <c r="V39" s="2" t="n"/>
      <c r="W39" s="2" t="n"/>
      <c r="X39" s="2" t="n"/>
      <c r="Y39" s="2" t="n"/>
      <c r="Z39" s="2" t="n"/>
      <c r="AA39" s="2" t="n"/>
      <c r="AB39" s="2" t="n"/>
      <c r="AC39" s="2" t="n"/>
    </row>
    <row r="40" ht="36" customHeight="1">
      <c r="A40" s="2" t="n"/>
      <c r="B40" s="27" t="inlineStr">
        <is>
          <t>Hungary</t>
        </is>
      </c>
      <c r="C40" s="27" t="inlineStr">
        <is>
          <t>Pizza Dough Box / Lid</t>
        </is>
      </c>
      <c r="D40" s="27" t="inlineStr">
        <is>
          <t>PP Lid 600 x 400 mm</t>
        </is>
      </c>
      <c r="E40" s="27" t="inlineStr">
        <is>
          <t>Attase</t>
        </is>
      </c>
      <c r="F40" s="28" t="inlineStr">
        <is>
          <t>https://www.attase.hu/en/pizza-pan?infinite_page=2</t>
        </is>
      </c>
      <c r="G40" s="115" t="n">
        <v>1910</v>
      </c>
      <c r="H40" s="27" t="inlineStr">
        <is>
          <t>HUF</t>
        </is>
      </c>
      <c r="I40" s="115" t="n">
        <v>1910</v>
      </c>
      <c r="J40" s="27" t="inlineStr">
        <is>
          <t>26.06.2026</t>
        </is>
      </c>
      <c r="K40" s="27" t="inlineStr">
        <is>
          <t>Source sheet: Pizza Dough Boxes &amp; Lids</t>
        </is>
      </c>
      <c r="L40" s="27" t="inlineStr">
        <is>
          <t>Taha</t>
        </is>
      </c>
      <c r="M40" s="27" t="inlineStr">
        <is>
          <t>Direct</t>
        </is>
      </c>
      <c r="N40" s="2" t="n"/>
      <c r="O40" s="2" t="n"/>
      <c r="P40" s="2" t="n"/>
      <c r="Q40" s="2" t="n"/>
      <c r="R40" s="2" t="n"/>
      <c r="S40" s="2" t="n"/>
      <c r="T40" s="2" t="n"/>
      <c r="U40" s="2" t="n"/>
      <c r="V40" s="2" t="n"/>
      <c r="W40" s="2" t="n"/>
      <c r="X40" s="2" t="n"/>
      <c r="Y40" s="2" t="n"/>
      <c r="Z40" s="2" t="n"/>
      <c r="AA40" s="2" t="n"/>
      <c r="AB40" s="2" t="n"/>
      <c r="AC40" s="2" t="n"/>
    </row>
    <row r="41" ht="36" customHeight="1">
      <c r="A41" s="2" t="n"/>
      <c r="B41" s="24" t="inlineStr">
        <is>
          <t>Hungary</t>
        </is>
      </c>
      <c r="C41" s="24" t="inlineStr">
        <is>
          <t>Pizza Dough Box / Lid</t>
        </is>
      </c>
      <c r="D41" s="24" t="inlineStr">
        <is>
          <t>PE Contacto Box 600 x 400 x 75 mm</t>
        </is>
      </c>
      <c r="E41" s="24" t="inlineStr">
        <is>
          <t>Hunnia</t>
        </is>
      </c>
      <c r="F41" s="25" t="inlineStr">
        <is>
          <t>https://hunniakristaly.hu/kereses?description=0&amp;search=+Pizza+keleszt%C5%91&amp;keyword=+Pizza+keleszt%C5%91</t>
        </is>
      </c>
      <c r="G41" s="114" t="n">
        <v>5105</v>
      </c>
      <c r="H41" s="24" t="inlineStr">
        <is>
          <t>HUF</t>
        </is>
      </c>
      <c r="I41" s="114" t="n">
        <v>5105</v>
      </c>
      <c r="J41" s="24" t="inlineStr">
        <is>
          <t>26.06.2026</t>
        </is>
      </c>
      <c r="K41" s="24" t="inlineStr">
        <is>
          <t>Source sheet: Pizza Dough Boxes &amp; Lids</t>
        </is>
      </c>
      <c r="L41" s="24" t="inlineStr">
        <is>
          <t>Taha</t>
        </is>
      </c>
      <c r="M41" s="24" t="inlineStr">
        <is>
          <t>Direct</t>
        </is>
      </c>
      <c r="N41" s="2" t="n"/>
      <c r="O41" s="2" t="n"/>
      <c r="P41" s="2" t="n"/>
      <c r="Q41" s="2" t="n"/>
      <c r="R41" s="2" t="n"/>
      <c r="S41" s="2" t="n"/>
      <c r="T41" s="2" t="n"/>
      <c r="U41" s="2" t="n"/>
      <c r="V41" s="2" t="n"/>
      <c r="W41" s="2" t="n"/>
      <c r="X41" s="2" t="n"/>
      <c r="Y41" s="2" t="n"/>
      <c r="Z41" s="2" t="n"/>
      <c r="AA41" s="2" t="n"/>
      <c r="AB41" s="2" t="n"/>
      <c r="AC41" s="2" t="n"/>
    </row>
    <row r="42" ht="36" customHeight="1">
      <c r="A42" s="2" t="n"/>
      <c r="B42" s="27" t="inlineStr">
        <is>
          <t>Hungary</t>
        </is>
      </c>
      <c r="C42" s="27" t="inlineStr">
        <is>
          <t>Pizza Dough Box / Lid</t>
        </is>
      </c>
      <c r="D42" s="27" t="inlineStr">
        <is>
          <t>PE Box 600 x 400 x 75 mm</t>
        </is>
      </c>
      <c r="E42" s="27" t="inlineStr">
        <is>
          <t>Attase</t>
        </is>
      </c>
      <c r="F42" s="28" t="inlineStr">
        <is>
          <t>https://www.attase.hu/en/pizza-pan?infinite_page=2</t>
        </is>
      </c>
      <c r="G42" s="115" t="n">
        <v>2480</v>
      </c>
      <c r="H42" s="27" t="inlineStr">
        <is>
          <t>HUF</t>
        </is>
      </c>
      <c r="I42" s="115" t="n">
        <v>2480</v>
      </c>
      <c r="J42" s="27" t="inlineStr">
        <is>
          <t>26.06.2026</t>
        </is>
      </c>
      <c r="K42" s="27" t="inlineStr">
        <is>
          <t>Source sheet: Pizza Dough Boxes &amp; Lids</t>
        </is>
      </c>
      <c r="L42" s="27" t="inlineStr">
        <is>
          <t>Taha</t>
        </is>
      </c>
      <c r="M42" s="27" t="inlineStr">
        <is>
          <t>Direct</t>
        </is>
      </c>
      <c r="N42" s="2" t="n"/>
      <c r="O42" s="2" t="n"/>
      <c r="P42" s="2" t="n"/>
      <c r="Q42" s="2" t="n"/>
      <c r="R42" s="2" t="n"/>
      <c r="S42" s="2" t="n"/>
      <c r="T42" s="2" t="n"/>
      <c r="U42" s="2" t="n"/>
      <c r="V42" s="2" t="n"/>
      <c r="W42" s="2" t="n"/>
      <c r="X42" s="2" t="n"/>
      <c r="Y42" s="2" t="n"/>
      <c r="Z42" s="2" t="n"/>
      <c r="AA42" s="2" t="n"/>
      <c r="AB42" s="2" t="n"/>
      <c r="AC42" s="2" t="n"/>
    </row>
    <row r="43" ht="36" customHeight="1">
      <c r="A43" s="2" t="n"/>
      <c r="B43" s="24" t="inlineStr">
        <is>
          <t>Hungary</t>
        </is>
      </c>
      <c r="C43" s="24" t="inlineStr">
        <is>
          <t>Pizza Dough Box / Lid</t>
        </is>
      </c>
      <c r="D43" s="24" t="inlineStr">
        <is>
          <t>PE Box 600 x 400 x 75 mm</t>
        </is>
      </c>
      <c r="E43" s="24" t="inlineStr">
        <is>
          <t>Inox-Pláza</t>
        </is>
      </c>
      <c r="F43" s="25" t="inlineStr">
        <is>
          <t>https://www.inoxplaza.hu/kereses?description=0&amp;keyword=Pizza+keleszt%C5%91</t>
        </is>
      </c>
      <c r="G43" s="114" t="n">
        <v>4000</v>
      </c>
      <c r="H43" s="24" t="inlineStr">
        <is>
          <t>HUF</t>
        </is>
      </c>
      <c r="I43" s="114" t="n">
        <v>4000</v>
      </c>
      <c r="J43" s="24" t="inlineStr">
        <is>
          <t>26.06.2026</t>
        </is>
      </c>
      <c r="K43" s="24" t="inlineStr">
        <is>
          <t>Source sheet: Pizza Dough Boxes &amp; Lids</t>
        </is>
      </c>
      <c r="L43" s="24" t="inlineStr">
        <is>
          <t>Taha</t>
        </is>
      </c>
      <c r="M43" s="24" t="inlineStr">
        <is>
          <t>Direct</t>
        </is>
      </c>
      <c r="N43" s="2" t="n"/>
      <c r="O43" s="2" t="n"/>
      <c r="P43" s="2" t="n"/>
      <c r="Q43" s="2" t="n"/>
      <c r="R43" s="2" t="n"/>
      <c r="S43" s="2" t="n"/>
      <c r="T43" s="2" t="n"/>
      <c r="U43" s="2" t="n"/>
      <c r="V43" s="2" t="n"/>
      <c r="W43" s="2" t="n"/>
      <c r="X43" s="2" t="n"/>
      <c r="Y43" s="2" t="n"/>
      <c r="Z43" s="2" t="n"/>
      <c r="AA43" s="2" t="n"/>
      <c r="AB43" s="2" t="n"/>
      <c r="AC43" s="2" t="n"/>
    </row>
    <row r="44" ht="36" customHeight="1">
      <c r="A44" s="2" t="n"/>
      <c r="B44" s="27" t="inlineStr">
        <is>
          <t>Hungary</t>
        </is>
      </c>
      <c r="C44" s="27" t="inlineStr">
        <is>
          <t>Pizza Dough Box / Lid</t>
        </is>
      </c>
      <c r="D44" s="27" t="inlineStr">
        <is>
          <t>PE Box 600 x 400 x 75 mm</t>
        </is>
      </c>
      <c r="E44" s="27" t="inlineStr">
        <is>
          <t>Hunnia</t>
        </is>
      </c>
      <c r="F44" s="28" t="inlineStr">
        <is>
          <t>https://hunniakristaly.hu/kereses?description=0&amp;search=+Pizza+keleszt%C5%91&amp;keyword=+Pizza+keleszt%C5%91</t>
        </is>
      </c>
      <c r="G44" s="115" t="n">
        <v>4518</v>
      </c>
      <c r="H44" s="27" t="inlineStr">
        <is>
          <t>HUF</t>
        </is>
      </c>
      <c r="I44" s="115" t="n">
        <v>4518</v>
      </c>
      <c r="J44" s="27" t="inlineStr">
        <is>
          <t>26.06.2026</t>
        </is>
      </c>
      <c r="K44" s="27" t="inlineStr">
        <is>
          <t>Source sheet: Pizza Dough Boxes &amp; Lids</t>
        </is>
      </c>
      <c r="L44" s="27" t="inlineStr">
        <is>
          <t>Taha</t>
        </is>
      </c>
      <c r="M44" s="27" t="inlineStr">
        <is>
          <t>Direct</t>
        </is>
      </c>
      <c r="N44" s="2" t="n"/>
      <c r="O44" s="2" t="n"/>
      <c r="P44" s="2" t="n"/>
      <c r="Q44" s="2" t="n"/>
      <c r="R44" s="2" t="n"/>
      <c r="S44" s="2" t="n"/>
      <c r="T44" s="2" t="n"/>
      <c r="U44" s="2" t="n"/>
      <c r="V44" s="2" t="n"/>
      <c r="W44" s="2" t="n"/>
      <c r="X44" s="2" t="n"/>
      <c r="Y44" s="2" t="n"/>
      <c r="Z44" s="2" t="n"/>
      <c r="AA44" s="2" t="n"/>
      <c r="AB44" s="2" t="n"/>
      <c r="AC44" s="2" t="n"/>
    </row>
    <row r="45" ht="36" customHeight="1">
      <c r="A45" s="2" t="n"/>
      <c r="B45" s="24" t="inlineStr">
        <is>
          <t>Hungary</t>
        </is>
      </c>
      <c r="C45" s="24" t="inlineStr">
        <is>
          <t>Pizza Dough Box / Lid</t>
        </is>
      </c>
      <c r="D45" s="24" t="inlineStr">
        <is>
          <t>PE Box 600 x 400 x 75 mm</t>
        </is>
      </c>
      <c r="E45" s="24" t="inlineStr">
        <is>
          <t>HFSE</t>
        </is>
      </c>
      <c r="F45" s="25" t="inlineStr">
        <is>
          <t>https://hfse.hu/?s=pizzat%C3%A9szta+keleszt%C5%91&amp;post_type=product&amp;dgwt_wcas=1</t>
        </is>
      </c>
      <c r="G45" s="114" t="n">
        <v>3614</v>
      </c>
      <c r="H45" s="24" t="inlineStr">
        <is>
          <t>HUF</t>
        </is>
      </c>
      <c r="I45" s="114" t="n">
        <v>3614</v>
      </c>
      <c r="J45" s="24" t="inlineStr">
        <is>
          <t>26.06.2026</t>
        </is>
      </c>
      <c r="K45" s="24" t="inlineStr">
        <is>
          <t>Source sheet: Pizza Dough Boxes &amp; Lids</t>
        </is>
      </c>
      <c r="L45" s="24" t="inlineStr">
        <is>
          <t>Taha</t>
        </is>
      </c>
      <c r="M45" s="24" t="inlineStr">
        <is>
          <t>Direct</t>
        </is>
      </c>
      <c r="N45" s="2" t="n"/>
      <c r="O45" s="2" t="n"/>
      <c r="P45" s="2" t="n"/>
      <c r="Q45" s="2" t="n"/>
      <c r="R45" s="2" t="n"/>
      <c r="S45" s="2" t="n"/>
      <c r="T45" s="2" t="n"/>
      <c r="U45" s="2" t="n"/>
      <c r="V45" s="2" t="n"/>
      <c r="W45" s="2" t="n"/>
      <c r="X45" s="2" t="n"/>
      <c r="Y45" s="2" t="n"/>
      <c r="Z45" s="2" t="n"/>
      <c r="AA45" s="2" t="n"/>
      <c r="AB45" s="2" t="n"/>
      <c r="AC45" s="2" t="n"/>
    </row>
    <row r="46" ht="36" customHeight="1">
      <c r="A46" s="2" t="n"/>
      <c r="B46" s="27" t="inlineStr">
        <is>
          <t>Hungary</t>
        </is>
      </c>
      <c r="C46" s="27" t="inlineStr">
        <is>
          <t>Pizza Dough Box / Lid</t>
        </is>
      </c>
      <c r="D46" s="27" t="inlineStr">
        <is>
          <t>PP Box 600 x 400 x 100 mm</t>
        </is>
      </c>
      <c r="E46" s="27" t="inlineStr">
        <is>
          <t>Attase</t>
        </is>
      </c>
      <c r="F46" s="28" t="inlineStr">
        <is>
          <t>https://www.attase.hu/en/pizza-pan?infinite_page=2</t>
        </is>
      </c>
      <c r="G46" s="115" t="n">
        <v>3560</v>
      </c>
      <c r="H46" s="27" t="inlineStr">
        <is>
          <t>HUF</t>
        </is>
      </c>
      <c r="I46" s="115" t="n">
        <v>3560</v>
      </c>
      <c r="J46" s="27" t="inlineStr">
        <is>
          <t>26.06.2026</t>
        </is>
      </c>
      <c r="K46" s="27" t="inlineStr">
        <is>
          <t>Source sheet: Pizza Dough Boxes &amp; Lids</t>
        </is>
      </c>
      <c r="L46" s="27" t="inlineStr">
        <is>
          <t>Taha</t>
        </is>
      </c>
      <c r="M46" s="27" t="inlineStr">
        <is>
          <t>Direct</t>
        </is>
      </c>
      <c r="N46" s="2" t="n"/>
      <c r="O46" s="2" t="n"/>
      <c r="P46" s="2" t="n"/>
      <c r="Q46" s="2" t="n"/>
      <c r="R46" s="2" t="n"/>
      <c r="S46" s="2" t="n"/>
      <c r="T46" s="2" t="n"/>
      <c r="U46" s="2" t="n"/>
      <c r="V46" s="2" t="n"/>
      <c r="W46" s="2" t="n"/>
      <c r="X46" s="2" t="n"/>
      <c r="Y46" s="2" t="n"/>
      <c r="Z46" s="2" t="n"/>
      <c r="AA46" s="2" t="n"/>
      <c r="AB46" s="2" t="n"/>
      <c r="AC46" s="2" t="n"/>
    </row>
    <row r="47" ht="36" customHeight="1">
      <c r="A47" s="2" t="n"/>
      <c r="B47" s="24" t="inlineStr">
        <is>
          <t>Hungary</t>
        </is>
      </c>
      <c r="C47" s="24" t="inlineStr">
        <is>
          <t>Pizza Dough Box / Lid</t>
        </is>
      </c>
      <c r="D47" s="24" t="inlineStr">
        <is>
          <t>PP Box 600 x 400 x 100 mm</t>
        </is>
      </c>
      <c r="E47" s="24" t="inlineStr">
        <is>
          <t>Inox-Bázis</t>
        </is>
      </c>
      <c r="F47" s="25" t="inlineStr">
        <is>
          <t>https://www.inoxbazis.hu/search/?q=Pizza+keleszt%C5%91+doboz</t>
        </is>
      </c>
      <c r="G47" s="114" t="n">
        <v>3990</v>
      </c>
      <c r="H47" s="24" t="inlineStr">
        <is>
          <t>HUF</t>
        </is>
      </c>
      <c r="I47" s="114" t="n">
        <v>3990</v>
      </c>
      <c r="J47" s="24" t="inlineStr">
        <is>
          <t>26.06.2026</t>
        </is>
      </c>
      <c r="K47" s="24" t="inlineStr">
        <is>
          <t>Source sheet: Pizza Dough Boxes &amp; Lids</t>
        </is>
      </c>
      <c r="L47" s="24" t="inlineStr">
        <is>
          <t>Taha</t>
        </is>
      </c>
      <c r="M47" s="24" t="inlineStr">
        <is>
          <t>Direct</t>
        </is>
      </c>
      <c r="N47" s="2" t="n"/>
      <c r="O47" s="2" t="n"/>
      <c r="P47" s="2" t="n"/>
      <c r="Q47" s="2" t="n"/>
      <c r="R47" s="2" t="n"/>
      <c r="S47" s="2" t="n"/>
      <c r="T47" s="2" t="n"/>
      <c r="U47" s="2" t="n"/>
      <c r="V47" s="2" t="n"/>
      <c r="W47" s="2" t="n"/>
      <c r="X47" s="2" t="n"/>
      <c r="Y47" s="2" t="n"/>
      <c r="Z47" s="2" t="n"/>
      <c r="AA47" s="2" t="n"/>
      <c r="AB47" s="2" t="n"/>
      <c r="AC47" s="2" t="n"/>
    </row>
    <row r="48" ht="36" customHeight="1">
      <c r="A48" s="2" t="n"/>
      <c r="B48" s="27" t="inlineStr">
        <is>
          <t>Hungary</t>
        </is>
      </c>
      <c r="C48" s="27" t="inlineStr">
        <is>
          <t>Pizza Dough Box / Lid</t>
        </is>
      </c>
      <c r="D48" s="27" t="inlineStr">
        <is>
          <t>PP Box 600 x 400 x 100 mm</t>
        </is>
      </c>
      <c r="E48" s="27" t="inlineStr">
        <is>
          <t>Gasztronagyker</t>
        </is>
      </c>
      <c r="F48" s="28" t="inlineStr">
        <is>
          <t>https://www.gasztronagyker.hu/shop_search.php?search=Pizzat%C3%A9szta+keleszt%C5%91</t>
        </is>
      </c>
      <c r="G48" s="115" t="n">
        <v>5897</v>
      </c>
      <c r="H48" s="27" t="inlineStr">
        <is>
          <t>HUF</t>
        </is>
      </c>
      <c r="I48" s="115" t="n">
        <v>5897</v>
      </c>
      <c r="J48" s="27" t="inlineStr">
        <is>
          <t>26.06.2026</t>
        </is>
      </c>
      <c r="K48" s="27" t="inlineStr">
        <is>
          <t>Source sheet: Pizza Dough Boxes &amp; Lids</t>
        </is>
      </c>
      <c r="L48" s="27" t="inlineStr">
        <is>
          <t>Taha</t>
        </is>
      </c>
      <c r="M48" s="27" t="inlineStr">
        <is>
          <t>Direct</t>
        </is>
      </c>
      <c r="N48" s="2" t="n"/>
      <c r="O48" s="2" t="n"/>
      <c r="P48" s="2" t="n"/>
      <c r="Q48" s="2" t="n"/>
      <c r="R48" s="2" t="n"/>
      <c r="S48" s="2" t="n"/>
      <c r="T48" s="2" t="n"/>
      <c r="U48" s="2" t="n"/>
      <c r="V48" s="2" t="n"/>
      <c r="W48" s="2" t="n"/>
      <c r="X48" s="2" t="n"/>
      <c r="Y48" s="2" t="n"/>
      <c r="Z48" s="2" t="n"/>
      <c r="AA48" s="2" t="n"/>
      <c r="AB48" s="2" t="n"/>
      <c r="AC48" s="2" t="n"/>
    </row>
    <row r="49" ht="36" customHeight="1">
      <c r="A49" s="2" t="n"/>
      <c r="B49" s="24" t="inlineStr">
        <is>
          <t>Hungary</t>
        </is>
      </c>
      <c r="C49" s="24" t="inlineStr">
        <is>
          <t>Tray</t>
        </is>
      </c>
      <c r="D49" s="24" t="inlineStr">
        <is>
          <t>Tray 530 x 370 mm</t>
        </is>
      </c>
      <c r="E49" s="24" t="inlineStr">
        <is>
          <t>Hunnia</t>
        </is>
      </c>
      <c r="F49" s="25" t="inlineStr">
        <is>
          <t>https://hunniakristaly.hu/kereses?description=0&amp;keyword=%C3%96nkiszolg%C3%A1l%C3%B3+t%C3%A1lca</t>
        </is>
      </c>
      <c r="G49" s="114" t="n">
        <v>2020</v>
      </c>
      <c r="H49" s="24" t="inlineStr">
        <is>
          <t>HUF</t>
        </is>
      </c>
      <c r="I49" s="114" t="n">
        <v>2020</v>
      </c>
      <c r="J49" s="24" t="inlineStr">
        <is>
          <t>27.06.2026</t>
        </is>
      </c>
      <c r="K49" s="24" t="inlineStr">
        <is>
          <t>Source sheet: Trays</t>
        </is>
      </c>
      <c r="L49" s="24" t="inlineStr">
        <is>
          <t>Taha</t>
        </is>
      </c>
      <c r="M49" s="24" t="inlineStr">
        <is>
          <t>Direct</t>
        </is>
      </c>
      <c r="N49" s="2" t="n"/>
      <c r="O49" s="2" t="n"/>
      <c r="P49" s="2" t="n"/>
      <c r="Q49" s="2" t="n"/>
      <c r="R49" s="2" t="n"/>
      <c r="S49" s="2" t="n"/>
      <c r="T49" s="2" t="n"/>
      <c r="U49" s="2" t="n"/>
      <c r="V49" s="2" t="n"/>
      <c r="W49" s="2" t="n"/>
      <c r="X49" s="2" t="n"/>
      <c r="Y49" s="2" t="n"/>
      <c r="Z49" s="2" t="n"/>
      <c r="AA49" s="2" t="n"/>
      <c r="AB49" s="2" t="n"/>
      <c r="AC49" s="2" t="n"/>
    </row>
    <row r="50" ht="36" customHeight="1">
      <c r="A50" s="2" t="n"/>
      <c r="B50" s="27" t="inlineStr">
        <is>
          <t>Hungary</t>
        </is>
      </c>
      <c r="C50" s="27" t="inlineStr">
        <is>
          <t>Thermobox / Thermo Tray</t>
        </is>
      </c>
      <c r="D50" s="27" t="inlineStr">
        <is>
          <t>Thermo Tray 5 elements 540 x 380 x 120 mm</t>
        </is>
      </c>
      <c r="E50" s="27" t="inlineStr">
        <is>
          <t>Attase</t>
        </is>
      </c>
      <c r="F50" s="28" t="inlineStr">
        <is>
          <t>https://www.attase.hu/shop_search.php?search=Thermobox</t>
        </is>
      </c>
      <c r="G50" s="115" t="n">
        <v>17250</v>
      </c>
      <c r="H50" s="27" t="inlineStr">
        <is>
          <t>HUF</t>
        </is>
      </c>
      <c r="I50" s="115" t="n">
        <v>17250</v>
      </c>
      <c r="J50" s="27" t="inlineStr">
        <is>
          <t>28.06.2026</t>
        </is>
      </c>
      <c r="K50" s="27" t="inlineStr">
        <is>
          <t>Source sheet: Thermoboxes and Thermo Trays</t>
        </is>
      </c>
      <c r="L50" s="27" t="inlineStr">
        <is>
          <t>Taha</t>
        </is>
      </c>
      <c r="M50" s="27" t="inlineStr">
        <is>
          <t>Direct</t>
        </is>
      </c>
      <c r="N50" s="2" t="n"/>
      <c r="O50" s="2" t="n"/>
      <c r="P50" s="2" t="n"/>
      <c r="Q50" s="2" t="n"/>
      <c r="R50" s="2" t="n"/>
      <c r="S50" s="2" t="n"/>
      <c r="T50" s="2" t="n"/>
      <c r="U50" s="2" t="n"/>
      <c r="V50" s="2" t="n"/>
      <c r="W50" s="2" t="n"/>
      <c r="X50" s="2" t="n"/>
      <c r="Y50" s="2" t="n"/>
      <c r="Z50" s="2" t="n"/>
      <c r="AA50" s="2" t="n"/>
      <c r="AB50" s="2" t="n"/>
      <c r="AC50" s="2" t="n"/>
    </row>
    <row r="51" ht="36" customHeight="1">
      <c r="A51" s="2" t="n"/>
      <c r="B51" s="24" t="inlineStr">
        <is>
          <t>Hungary</t>
        </is>
      </c>
      <c r="C51" s="24" t="inlineStr">
        <is>
          <t>Thermobox / Thermo Tray</t>
        </is>
      </c>
      <c r="D51" s="24" t="inlineStr">
        <is>
          <t>Thermo Tray 5 elements 540 x 380 x 120 mm</t>
        </is>
      </c>
      <c r="E51" s="24" t="inlineStr">
        <is>
          <t>Hunnia</t>
        </is>
      </c>
      <c r="F51" s="25" t="inlineStr">
        <is>
          <t>https://hunniakristaly.hu/etel-es-ital-szallitas-badelakkal-thermoladakkal/thermolada-termolada</t>
        </is>
      </c>
      <c r="G51" s="114" t="n">
        <v>30494</v>
      </c>
      <c r="H51" s="24" t="inlineStr">
        <is>
          <t>HUF</t>
        </is>
      </c>
      <c r="I51" s="114" t="n">
        <v>30494</v>
      </c>
      <c r="J51" s="24" t="inlineStr">
        <is>
          <t>28.06.2026</t>
        </is>
      </c>
      <c r="K51" s="24" t="inlineStr">
        <is>
          <t>Source sheet: Thermoboxes and Thermo Trays</t>
        </is>
      </c>
      <c r="L51" s="24" t="inlineStr">
        <is>
          <t>Taha</t>
        </is>
      </c>
      <c r="M51" s="24" t="inlineStr">
        <is>
          <t>Direct</t>
        </is>
      </c>
      <c r="N51" s="2" t="n"/>
      <c r="O51" s="2" t="n"/>
      <c r="P51" s="2" t="n"/>
      <c r="Q51" s="2" t="n"/>
      <c r="R51" s="2" t="n"/>
      <c r="S51" s="2" t="n"/>
      <c r="T51" s="2" t="n"/>
      <c r="U51" s="2" t="n"/>
      <c r="V51" s="2" t="n"/>
      <c r="W51" s="2" t="n"/>
      <c r="X51" s="2" t="n"/>
      <c r="Y51" s="2" t="n"/>
      <c r="Z51" s="2" t="n"/>
      <c r="AA51" s="2" t="n"/>
      <c r="AB51" s="2" t="n"/>
      <c r="AC51" s="2" t="n"/>
    </row>
    <row r="52" ht="36" customHeight="1">
      <c r="A52" s="2" t="n"/>
      <c r="B52" s="27" t="inlineStr">
        <is>
          <t>Hungary</t>
        </is>
      </c>
      <c r="C52" s="27" t="inlineStr">
        <is>
          <t>Thermobox / Thermo Tray</t>
        </is>
      </c>
      <c r="D52" s="27" t="inlineStr">
        <is>
          <t>Thermo Tray 5 elements 540 x 380 x 120 mm</t>
        </is>
      </c>
      <c r="E52" s="27" t="inlineStr">
        <is>
          <t>Gasztronagyker</t>
        </is>
      </c>
      <c r="F52" s="28" t="inlineStr">
        <is>
          <t>https://www.gasztronagyker.hu/shop_search.php?search=thermo</t>
        </is>
      </c>
      <c r="G52" s="115" t="n">
        <v>59685</v>
      </c>
      <c r="H52" s="27" t="inlineStr">
        <is>
          <t>HUF</t>
        </is>
      </c>
      <c r="I52" s="115" t="n">
        <v>59685</v>
      </c>
      <c r="J52" s="27" t="inlineStr">
        <is>
          <t>28.06.2026</t>
        </is>
      </c>
      <c r="K52" s="27" t="inlineStr">
        <is>
          <t>Source sheet: Thermoboxes and Thermo Trays</t>
        </is>
      </c>
      <c r="L52" s="27" t="inlineStr">
        <is>
          <t>Taha</t>
        </is>
      </c>
      <c r="M52" s="27" t="inlineStr">
        <is>
          <t>Direct</t>
        </is>
      </c>
      <c r="N52" s="2" t="n"/>
      <c r="O52" s="2" t="n"/>
      <c r="P52" s="2" t="n"/>
      <c r="Q52" s="2" t="n"/>
      <c r="R52" s="2" t="n"/>
      <c r="S52" s="2" t="n"/>
      <c r="T52" s="2" t="n"/>
      <c r="U52" s="2" t="n"/>
      <c r="V52" s="2" t="n"/>
      <c r="W52" s="2" t="n"/>
      <c r="X52" s="2" t="n"/>
      <c r="Y52" s="2" t="n"/>
      <c r="Z52" s="2" t="n"/>
      <c r="AA52" s="2" t="n"/>
      <c r="AB52" s="2" t="n"/>
      <c r="AC52" s="2" t="n"/>
    </row>
    <row r="53" ht="36" customHeight="1">
      <c r="A53" s="2" t="n"/>
      <c r="B53" s="24" t="inlineStr">
        <is>
          <t>Hungary</t>
        </is>
      </c>
      <c r="C53" s="24" t="inlineStr">
        <is>
          <t>Thermobox / Thermo Tray</t>
        </is>
      </c>
      <c r="D53" s="24" t="inlineStr">
        <is>
          <t>Thermo Tray 6 elements 540 x 380 x 120 mm</t>
        </is>
      </c>
      <c r="E53" s="24" t="inlineStr">
        <is>
          <t>Attase</t>
        </is>
      </c>
      <c r="F53" s="25" t="inlineStr">
        <is>
          <t>https://www.attase.hu/shop_search.php?search=Thermobox</t>
        </is>
      </c>
      <c r="G53" s="114" t="n">
        <v>16100</v>
      </c>
      <c r="H53" s="24" t="inlineStr">
        <is>
          <t>HUF</t>
        </is>
      </c>
      <c r="I53" s="114" t="n">
        <v>16100</v>
      </c>
      <c r="J53" s="24" t="inlineStr">
        <is>
          <t>28.06.2026</t>
        </is>
      </c>
      <c r="K53" s="24" t="inlineStr">
        <is>
          <t>Source sheet: Thermoboxes and Thermo Trays</t>
        </is>
      </c>
      <c r="L53" s="24" t="inlineStr">
        <is>
          <t>Taha</t>
        </is>
      </c>
      <c r="M53" s="24" t="inlineStr">
        <is>
          <t>Direct</t>
        </is>
      </c>
      <c r="N53" s="2" t="n"/>
      <c r="O53" s="2" t="n"/>
      <c r="P53" s="2" t="n"/>
      <c r="Q53" s="2" t="n"/>
      <c r="R53" s="2" t="n"/>
      <c r="S53" s="2" t="n"/>
      <c r="T53" s="2" t="n"/>
      <c r="U53" s="2" t="n"/>
      <c r="V53" s="2" t="n"/>
      <c r="W53" s="2" t="n"/>
      <c r="X53" s="2" t="n"/>
      <c r="Y53" s="2" t="n"/>
      <c r="Z53" s="2" t="n"/>
      <c r="AA53" s="2" t="n"/>
      <c r="AB53" s="2" t="n"/>
      <c r="AC53" s="2" t="n"/>
    </row>
    <row r="54" ht="31" customHeight="1">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row>
    <row r="55" ht="31" customHeight="1">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row>
    <row r="56" ht="31" customHeight="1">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c r="AC56" s="2" t="n"/>
    </row>
    <row r="57" ht="22" customHeight="1">
      <c r="A57" s="2" t="n"/>
      <c r="B57" s="7" t="inlineStr">
        <is>
          <t>Price basis</t>
        </is>
      </c>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row>
    <row r="58" ht="22" customHeight="1">
      <c r="A58" s="2" t="n"/>
      <c r="B58" s="6" t="inlineStr">
        <is>
          <t>Net per piece, confirmed by you on 30 Sep 2026. Current Erste conversions are in Offers, Review and Compare.</t>
        </is>
      </c>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row>
    <row r="59" ht="22" customHeight="1">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row>
    <row r="60" ht="22" customHeight="1">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row>
    <row r="61" ht="22" customHeight="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row>
    <row r="62" ht="22" customHeight="1">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row>
    <row r="63" ht="22" customHeight="1">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row>
    <row r="64" ht="22" customHeight="1">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row>
    <row r="65" ht="22" customHeight="1">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row>
    <row r="66" ht="22" customHeight="1">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row>
    <row r="67" ht="22" customHeight="1">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row>
    <row r="68" ht="22" customHeight="1">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row>
    <row r="69" ht="22" customHeight="1">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row>
    <row r="70" ht="22" customHeight="1">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row>
    <row r="71" ht="22" customHeight="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row>
    <row r="72" ht="22" customHeight="1">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row>
    <row r="73" ht="22" customHeight="1">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row>
    <row r="74" ht="22" customHeight="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row>
    <row r="75" ht="22" customHeight="1">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row>
    <row r="76" ht="22" customHeight="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row>
    <row r="77" ht="22" customHeight="1">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row>
    <row r="78" ht="22" customHeight="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row>
    <row r="79" ht="22" customHeight="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row>
    <row r="80" ht="22" customHeight="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row>
    <row r="81" ht="22" customHeight="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row>
    <row r="82" ht="22" customHeight="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row>
    <row r="83" ht="22" customHeight="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row>
    <row r="84" ht="22" customHeight="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row>
    <row r="85" ht="22" customHeight="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row>
    <row r="86" ht="22" customHeight="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row>
    <row r="87" ht="22" customHeight="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row>
    <row r="88" ht="22" customHeight="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row>
    <row r="89" ht="22" customHeight="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row>
    <row r="90" ht="22" customHeight="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row>
    <row r="91" ht="22" customHeight="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row>
    <row r="92" ht="22" customHeight="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row>
    <row r="93" ht="22" customHeight="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row>
    <row r="94" ht="22" customHeight="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row>
    <row r="95" ht="22" customHeight="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row>
    <row r="96" ht="22" customHeight="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row>
    <row r="97" ht="22" customHeight="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row>
    <row r="98" ht="22" customHeight="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row>
    <row r="99" ht="22" customHeight="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row>
    <row r="100" ht="22" customHeight="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row>
    <row r="101" ht="22" customHeight="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row>
    <row r="102" ht="22" customHeight="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row>
    <row r="103" ht="22" customHeight="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row>
    <row r="104" ht="22" customHeight="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row>
    <row r="105" ht="22" customHeight="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row>
    <row r="106" ht="22" customHeight="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row>
    <row r="107" ht="22" customHeight="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row>
    <row r="108" ht="22" customHeight="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row>
    <row r="109" ht="22" customHeight="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row>
    <row r="110" ht="22" customHeight="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row>
    <row r="111" ht="22" customHeight="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row>
    <row r="112" ht="22" customHeight="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row>
    <row r="113" ht="22" customHeight="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row>
    <row r="114" ht="22" customHeight="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row>
    <row r="115" ht="22" customHeight="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row>
    <row r="116" ht="22" customHeight="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row>
    <row r="117" ht="22" customHeight="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row>
    <row r="118" ht="22"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row>
    <row r="119" ht="22" customHeight="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row>
    <row r="120" ht="22" customHeight="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row>
    <row r="121" ht="22" customHeight="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row>
    <row r="122" ht="22" customHeight="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row>
    <row r="123" ht="22" customHeight="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row>
    <row r="124" ht="22"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row>
    <row r="125" ht="22" customHeight="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row>
    <row r="126" ht="22" customHeight="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row>
    <row r="127" ht="22" customHeight="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row>
    <row r="128" ht="22" customHeight="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row>
    <row r="129" ht="22" customHeight="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row>
    <row r="130" ht="22"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row>
    <row r="131" ht="22" customHeight="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row>
    <row r="132" ht="22" customHeight="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row>
    <row r="133" ht="22" customHeight="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row>
    <row r="134" ht="22"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row>
    <row r="135" ht="22" customHeight="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row>
    <row r="136" ht="22"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row>
    <row r="137" ht="22" customHeight="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row>
    <row r="138" ht="22" customHeight="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row>
    <row r="139" ht="22"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row>
    <row r="140" ht="22"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row>
    <row r="141" ht="22" customHeight="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row>
    <row r="142" ht="22" customHeight="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row>
    <row r="143" ht="22" customHeight="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row>
    <row r="144" ht="22" customHeight="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row>
    <row r="145" ht="22" customHeight="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row>
    <row r="146" ht="22" customHeight="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row>
    <row r="147" ht="22" customHeight="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row>
    <row r="148" ht="22" customHeight="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row>
    <row r="149" ht="22" customHeight="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row>
    <row r="150" ht="22" customHeight="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row>
    <row r="151" ht="22" customHeight="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row>
    <row r="152" ht="22"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row>
    <row r="153" ht="22" customHeight="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row>
    <row r="154" ht="22"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row>
    <row r="155" ht="22" customHeight="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row>
    <row r="156" ht="22" customHeight="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row>
    <row r="157" ht="22" customHeight="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row>
    <row r="158" ht="22" customHeight="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row>
    <row r="159" ht="22" customHeight="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row>
    <row r="160" ht="22"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row>
    <row r="161" ht="22"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row>
    <row r="162" ht="22"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row>
    <row r="163" ht="22" customHeight="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row>
    <row r="164" ht="22"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row>
    <row r="165" ht="22"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row>
    <row r="166" ht="22"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row>
    <row r="167" ht="22" customHeight="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row>
    <row r="168" ht="22"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row>
    <row r="169" ht="22" customHeight="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row>
    <row r="170" ht="22"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row>
    <row r="171" ht="22" customHeight="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row>
    <row r="172" ht="22"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row>
    <row r="173" ht="22" customHeight="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row>
    <row r="174" ht="22"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row>
    <row r="175" ht="22" customHeight="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row>
    <row r="176" ht="22"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row>
    <row r="177" ht="22" customHeight="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row>
    <row r="178" ht="22"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row>
    <row r="179" ht="22" customHeight="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row>
    <row r="180" ht="22"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row>
    <row r="181" ht="22" customHeight="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row>
    <row r="182" ht="22"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row>
    <row r="183" ht="22" customHeight="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row>
    <row r="184" ht="22"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row>
    <row r="185" ht="22" customHeight="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row>
    <row r="186" ht="22"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row>
    <row r="187" ht="22" customHeight="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row>
    <row r="188" ht="22"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row>
    <row r="189" ht="22" customHeight="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row>
    <row r="190" ht="22"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row>
    <row r="191" ht="22" customHeight="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row>
    <row r="192" ht="22"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row>
    <row r="193" ht="22" customHeight="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row>
    <row r="194" ht="22"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row>
    <row r="195" ht="22" customHeight="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row>
    <row r="196" ht="22"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row>
    <row r="197" ht="22" customHeight="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row>
    <row r="198" ht="22"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row>
    <row r="199" ht="22" customHeight="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row>
    <row r="200" ht="22"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row>
    <row r="201" ht="22" customHeight="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row>
    <row r="202" ht="22"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row>
    <row r="203" ht="22" customHeight="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row>
    <row r="204" ht="22"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row>
    <row r="205" ht="22" customHeight="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row>
    <row r="206" ht="22"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row>
    <row r="207" ht="22" customHeight="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row>
    <row r="208" ht="22"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row>
    <row r="209" ht="22" customHeight="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row>
    <row r="210" ht="22"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row>
    <row r="211" ht="22"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row>
    <row r="212" ht="22"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row>
    <row r="213" ht="22"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row>
    <row r="214" ht="22"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row>
    <row r="215" ht="22" customHeight="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row>
    <row r="216" ht="22"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row>
    <row r="217" ht="22" customHeight="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row>
    <row r="218" ht="22"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row>
    <row r="219" ht="22" customHeight="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row>
    <row r="220" ht="22"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row>
    <row r="221" ht="22" customHeight="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row>
    <row r="222" ht="22" customHeight="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row>
    <row r="223" ht="22" customHeight="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row>
    <row r="224" ht="22" customHeight="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row>
    <row r="225" ht="22" customHeight="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row>
    <row r="226" ht="22" customHeight="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row>
    <row r="227" ht="22" customHeight="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row>
    <row r="228" ht="22" customHeight="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row>
    <row r="229" ht="22" customHeight="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row>
    <row r="230" ht="22" customHeight="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AC230"/>
  <sheetViews>
    <sheetView showGridLines="0" workbookViewId="0">
      <pane xSplit="4" ySplit="8" topLeftCell="E9" activePane="bottomRight" state="frozen"/>
      <selection activeCell="A1" sqref="A1"/>
    </sheetView>
  </sheetViews>
  <sheetFormatPr baseColWidth="8" defaultRowHeight="15"/>
  <cols>
    <col width="3" customWidth="1" min="1" max="1"/>
    <col width="14" customWidth="1" min="2" max="2"/>
    <col width="23" customWidth="1" min="3" max="3"/>
    <col width="56" customWidth="1" min="4" max="4"/>
    <col width="27" customWidth="1" min="5" max="5"/>
    <col width="70" customWidth="1" min="6" max="6"/>
    <col width="24" customWidth="1" min="7" max="7"/>
    <col width="24" customWidth="1" min="8" max="8"/>
    <col width="24" customWidth="1" min="9" max="9"/>
    <col width="24" customWidth="1" min="10" max="10"/>
    <col width="80"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s>
  <sheetData>
    <row r="1" ht="22"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ht="28" customHeight="1">
      <c r="A2" s="2" t="n"/>
      <c r="B2" s="3" t="inlineStr">
        <is>
          <t>Romania source extract</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row>
    <row r="3" ht="22" customHeight="1">
      <c r="A3" s="2" t="n"/>
      <c r="B3" s="4" t="inlineStr">
        <is>
          <t>YES Gastro Romania Market Research.xlsx</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row>
    <row r="4" ht="22" customHeight="1">
      <c r="A4" s="2" t="n"/>
      <c r="B4" s="5" t="n"/>
      <c r="C4" s="5" t="n"/>
      <c r="D4" s="5" t="n"/>
      <c r="E4" s="5" t="n"/>
      <c r="F4" s="5" t="n"/>
      <c r="G4" s="5" t="n"/>
      <c r="H4" s="5" t="n"/>
      <c r="I4" s="5" t="n"/>
      <c r="J4" s="5" t="n"/>
      <c r="K4" s="5" t="n"/>
      <c r="L4" s="5" t="n"/>
      <c r="M4" s="5" t="n"/>
      <c r="N4" s="5" t="n"/>
      <c r="O4" s="2" t="n"/>
      <c r="P4" s="2" t="n"/>
      <c r="Q4" s="2" t="n"/>
      <c r="R4" s="2" t="n"/>
      <c r="S4" s="2" t="n"/>
      <c r="T4" s="2" t="n"/>
      <c r="U4" s="2" t="n"/>
      <c r="V4" s="2" t="n"/>
      <c r="W4" s="2" t="n"/>
      <c r="X4" s="2" t="n"/>
      <c r="Y4" s="2" t="n"/>
      <c r="Z4" s="2" t="n"/>
      <c r="AA4" s="2" t="n"/>
      <c r="AB4" s="2" t="n"/>
      <c r="AC4" s="2" t="n"/>
    </row>
    <row r="5" ht="22" customHeight="1">
      <c r="A5" s="2" t="n"/>
      <c r="B5" s="6" t="inlineStr">
        <is>
          <t>Original research values. Item numbers and observation counts removed; source formulas retain their original wording.</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row>
    <row r="6" ht="22" customHeight="1">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row>
    <row r="7" ht="22" customHeight="1">
      <c r="A7" s="2" t="n"/>
      <c r="B7" s="7" t="inlineStr">
        <is>
          <t>Prices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row>
    <row r="8" ht="38" customHeight="1">
      <c r="A8" s="2" t="n"/>
      <c r="B8" s="16" t="inlineStr">
        <is>
          <t>Country</t>
        </is>
      </c>
      <c r="C8" s="17" t="inlineStr">
        <is>
          <t>Product Type</t>
        </is>
      </c>
      <c r="D8" s="17" t="inlineStr">
        <is>
          <t>Product Name
(as listed on site)</t>
        </is>
      </c>
      <c r="E8" s="17" t="inlineStr">
        <is>
          <t>Competitor / Shop</t>
        </is>
      </c>
      <c r="F8" s="17" t="inlineStr">
        <is>
          <t>Competitor URL</t>
        </is>
      </c>
      <c r="G8" s="17" t="inlineStr">
        <is>
          <t>Price (local currency)</t>
        </is>
      </c>
      <c r="H8" s="17" t="inlineStr">
        <is>
          <t>Currency</t>
        </is>
      </c>
      <c r="I8" s="17" t="inlineStr">
        <is>
          <t>Price (EUR equiv.)</t>
        </is>
      </c>
      <c r="J8" s="17" t="inlineStr">
        <is>
          <t>Date Checked</t>
        </is>
      </c>
      <c r="K8" s="17" t="inlineStr">
        <is>
          <t>Notes / Variant details</t>
        </is>
      </c>
      <c r="L8" s="17" t="inlineStr">
        <is>
          <t>Brand</t>
        </is>
      </c>
      <c r="M8" s="17" t="inlineStr">
        <is>
          <t>Checked by</t>
        </is>
      </c>
      <c r="N8" s="18" t="inlineStr">
        <is>
          <t>Price (EUR equiv.) (saved value)</t>
        </is>
      </c>
      <c r="O8" s="2" t="n"/>
      <c r="P8" s="2" t="n"/>
      <c r="Q8" s="2" t="n"/>
      <c r="R8" s="2" t="n"/>
      <c r="S8" s="2" t="n"/>
      <c r="T8" s="2" t="n"/>
      <c r="U8" s="2" t="n"/>
      <c r="V8" s="2" t="n"/>
      <c r="W8" s="2" t="n"/>
      <c r="X8" s="2" t="n"/>
      <c r="Y8" s="2" t="n"/>
      <c r="Z8" s="2" t="n"/>
      <c r="AA8" s="2" t="n"/>
      <c r="AB8" s="2" t="n"/>
      <c r="AC8" s="2" t="n"/>
    </row>
    <row r="9" ht="64" customHeight="1">
      <c r="A9" s="2" t="n"/>
      <c r="B9" s="24" t="inlineStr">
        <is>
          <t>Romania</t>
        </is>
      </c>
      <c r="C9" s="24" t="inlineStr">
        <is>
          <t>GN Container</t>
        </is>
      </c>
      <c r="D9" s="24" t="inlineStr">
        <is>
          <t>GN 1/2 150 mm - Polycarbonate</t>
        </is>
      </c>
      <c r="E9" s="24" t="inlineStr">
        <is>
          <t>Hendi</t>
        </is>
      </c>
      <c r="F9" s="25" t="inlineStr">
        <is>
          <t>https://www.hendi.ro/tavi-gastronorm/containere-gn?filter=25820/l/478616</t>
        </is>
      </c>
      <c r="G9" s="116" t="n">
        <v>89.26000000000001</v>
      </c>
      <c r="H9" s="24" t="inlineStr">
        <is>
          <t>RON</t>
        </is>
      </c>
      <c r="I9" s="36" t="inlineStr">
        <is>
          <t>=IF($G63="HUF",$F63/$P$2,IF($G63="EUR",$F63,IF($G63="RON",$F63*$P$5,"")))</t>
        </is>
      </c>
      <c r="J9" s="24" t="inlineStr">
        <is>
          <t>30.06.2026</t>
        </is>
      </c>
      <c r="K9" s="24" t="inlineStr">
        <is>
          <t>PC</t>
        </is>
      </c>
      <c r="L9" s="24" t="inlineStr">
        <is>
          <t>Hendi</t>
        </is>
      </c>
      <c r="M9" s="24" t="inlineStr">
        <is>
          <t>Gabi</t>
        </is>
      </c>
      <c r="N9" s="24" t="n">
        <v>17.852</v>
      </c>
      <c r="O9" s="2" t="n"/>
      <c r="P9" s="2" t="n"/>
      <c r="Q9" s="2" t="n"/>
      <c r="R9" s="2" t="n"/>
      <c r="S9" s="2" t="n"/>
      <c r="T9" s="2" t="n"/>
      <c r="U9" s="2" t="n"/>
      <c r="V9" s="2" t="n"/>
      <c r="W9" s="2" t="n"/>
      <c r="X9" s="2" t="n"/>
      <c r="Y9" s="2" t="n"/>
      <c r="Z9" s="2" t="n"/>
      <c r="AA9" s="2" t="n"/>
      <c r="AB9" s="2" t="n"/>
      <c r="AC9" s="2" t="n"/>
    </row>
    <row r="10" ht="64" customHeight="1">
      <c r="A10" s="2" t="n"/>
      <c r="B10" s="27" t="inlineStr">
        <is>
          <t>Romania</t>
        </is>
      </c>
      <c r="C10" s="27" t="inlineStr">
        <is>
          <t>GN Container</t>
        </is>
      </c>
      <c r="D10" s="27" t="inlineStr">
        <is>
          <t>GN 1/2 150 mm - Polycarbonate</t>
        </is>
      </c>
      <c r="E10" s="27" t="inlineStr">
        <is>
          <t>Gastrozone</t>
        </is>
      </c>
      <c r="F10" s="28" t="inlineStr">
        <is>
          <t>https://www.gastrozone.ro/cautare/?text=gn+1/2+150mm+policarbonat</t>
        </is>
      </c>
      <c r="G10" s="117" t="n">
        <v>85.27</v>
      </c>
      <c r="H10" s="27" t="inlineStr">
        <is>
          <t>RON</t>
        </is>
      </c>
      <c r="I10" s="38" t="inlineStr">
        <is>
          <t>=IF($G68="HUF",$F68/$P$2,IF($G68="EUR",$F68,IF($G68="RON",$F68*$P$5,"")))</t>
        </is>
      </c>
      <c r="J10" s="27" t="inlineStr">
        <is>
          <t>30.06.2028</t>
        </is>
      </c>
      <c r="K10" s="27" t="inlineStr">
        <is>
          <t>PC</t>
        </is>
      </c>
      <c r="L10" s="27" t="inlineStr">
        <is>
          <t>Araven</t>
        </is>
      </c>
      <c r="M10" s="27" t="inlineStr">
        <is>
          <t>Gabi</t>
        </is>
      </c>
      <c r="N10" s="27" t="n">
        <v>17.054</v>
      </c>
      <c r="O10" s="2" t="n"/>
      <c r="P10" s="2" t="n"/>
      <c r="Q10" s="2" t="n"/>
      <c r="R10" s="2" t="n"/>
      <c r="S10" s="2" t="n"/>
      <c r="T10" s="2" t="n"/>
      <c r="U10" s="2" t="n"/>
      <c r="V10" s="2" t="n"/>
      <c r="W10" s="2" t="n"/>
      <c r="X10" s="2" t="n"/>
      <c r="Y10" s="2" t="n"/>
      <c r="Z10" s="2" t="n"/>
      <c r="AA10" s="2" t="n"/>
      <c r="AB10" s="2" t="n"/>
      <c r="AC10" s="2" t="n"/>
    </row>
    <row r="11" ht="64" customHeight="1">
      <c r="A11" s="2" t="n"/>
      <c r="B11" s="24" t="inlineStr">
        <is>
          <t>Romania</t>
        </is>
      </c>
      <c r="C11" s="24" t="inlineStr">
        <is>
          <t>GN Container</t>
        </is>
      </c>
      <c r="D11" s="24" t="inlineStr">
        <is>
          <t>GN 1/1 65 mm -  Polycarbonate</t>
        </is>
      </c>
      <c r="E11" s="24" t="inlineStr">
        <is>
          <t>Hendi</t>
        </is>
      </c>
      <c r="F11" s="25" t="inlineStr">
        <is>
          <t>https://www.hendi.ro/tavi-gastronorm/containere-gn?filter=25819/l/478606|25820/l/478616</t>
        </is>
      </c>
      <c r="G11" s="116" t="n">
        <v>52.68</v>
      </c>
      <c r="H11" s="24" t="inlineStr">
        <is>
          <t>RON</t>
        </is>
      </c>
      <c r="I11" s="36" t="inlineStr">
        <is>
          <t>=IF($G69="HUF",$F69/$P$2,IF($G69="EUR",$F69,IF($G69="RON",$F69*$P$5,"")))</t>
        </is>
      </c>
      <c r="J11" s="24" t="inlineStr">
        <is>
          <t>30.06.2029</t>
        </is>
      </c>
      <c r="K11" s="24" t="inlineStr">
        <is>
          <t>PC</t>
        </is>
      </c>
      <c r="L11" s="24" t="inlineStr">
        <is>
          <t>Hendi</t>
        </is>
      </c>
      <c r="M11" s="24" t="inlineStr">
        <is>
          <t>Gabi</t>
        </is>
      </c>
      <c r="N11" s="24" t="n">
        <v>10.536</v>
      </c>
      <c r="O11" s="2" t="n"/>
      <c r="P11" s="2" t="n"/>
      <c r="Q11" s="2" t="n"/>
      <c r="R11" s="2" t="n"/>
      <c r="S11" s="2" t="n"/>
      <c r="T11" s="2" t="n"/>
      <c r="U11" s="2" t="n"/>
      <c r="V11" s="2" t="n"/>
      <c r="W11" s="2" t="n"/>
      <c r="X11" s="2" t="n"/>
      <c r="Y11" s="2" t="n"/>
      <c r="Z11" s="2" t="n"/>
      <c r="AA11" s="2" t="n"/>
      <c r="AB11" s="2" t="n"/>
      <c r="AC11" s="2" t="n"/>
    </row>
    <row r="12" ht="64" customHeight="1">
      <c r="A12" s="2" t="n"/>
      <c r="B12" s="27" t="inlineStr">
        <is>
          <t>Romania</t>
        </is>
      </c>
      <c r="C12" s="27" t="inlineStr">
        <is>
          <t>GN Container</t>
        </is>
      </c>
      <c r="D12" s="27" t="inlineStr">
        <is>
          <t>GN 1/1 65 mm -  Polycarbonate</t>
        </is>
      </c>
      <c r="E12" s="27" t="inlineStr">
        <is>
          <t>Gastrozone</t>
        </is>
      </c>
      <c r="F12" s="28" t="inlineStr">
        <is>
          <t>https://www.gastrozone.ro/cautare/policarbonatice/marime=gn-1-1/?text=gn+1/1+65+mm+policarbonat&amp;frontendCategoryTree-categoryId=1051711</t>
        </is>
      </c>
      <c r="G12" s="117" t="n">
        <v>132.98</v>
      </c>
      <c r="H12" s="27" t="inlineStr">
        <is>
          <t>RON</t>
        </is>
      </c>
      <c r="I12" s="38" t="inlineStr">
        <is>
          <t>=IF($G70="HUF",$F70/$P$2,IF($G70="EUR",$F70,IF($G70="RON",$F70*$P$5,"")))</t>
        </is>
      </c>
      <c r="J12" s="27" t="inlineStr">
        <is>
          <t>30.06.2026</t>
        </is>
      </c>
      <c r="K12" s="27" t="inlineStr">
        <is>
          <t>PC</t>
        </is>
      </c>
      <c r="L12" s="27" t="inlineStr">
        <is>
          <t>Araven</t>
        </is>
      </c>
      <c r="M12" s="27" t="inlineStr">
        <is>
          <t>Gabi</t>
        </is>
      </c>
      <c r="N12" s="27" t="n">
        <v>26.596</v>
      </c>
      <c r="O12" s="2" t="n"/>
      <c r="P12" s="2" t="n"/>
      <c r="Q12" s="2" t="n"/>
      <c r="R12" s="2" t="n"/>
      <c r="S12" s="2" t="n"/>
      <c r="T12" s="2" t="n"/>
      <c r="U12" s="2" t="n"/>
      <c r="V12" s="2" t="n"/>
      <c r="W12" s="2" t="n"/>
      <c r="X12" s="2" t="n"/>
      <c r="Y12" s="2" t="n"/>
      <c r="Z12" s="2" t="n"/>
      <c r="AA12" s="2" t="n"/>
      <c r="AB12" s="2" t="n"/>
      <c r="AC12" s="2" t="n"/>
    </row>
    <row r="13" ht="64" customHeight="1">
      <c r="A13" s="2" t="n"/>
      <c r="B13" s="24" t="inlineStr">
        <is>
          <t>Romania</t>
        </is>
      </c>
      <c r="C13" s="24" t="inlineStr">
        <is>
          <t>GN Container</t>
        </is>
      </c>
      <c r="D13" s="24" t="inlineStr">
        <is>
          <t>GN 1/1 65mm - Polycarbonate</t>
        </is>
      </c>
      <c r="E13" s="24" t="inlineStr">
        <is>
          <t>mmgastro</t>
        </is>
      </c>
      <c r="F13" s="25" t="inlineStr">
        <is>
          <t>https://mmgastro.ro/ro/search?text=gn+1%2F1+policarbonat</t>
        </is>
      </c>
      <c r="G13" s="116" t="n">
        <v>42.98</v>
      </c>
      <c r="H13" s="24" t="inlineStr">
        <is>
          <t>RON</t>
        </is>
      </c>
      <c r="I13" s="36" t="inlineStr">
        <is>
          <t>=IF($G75="HUF",$F75/$P$2,IF($G75="EUR",$F75,IF($G75="RON",$F75*$P$5,"")))</t>
        </is>
      </c>
      <c r="J13" s="24" t="inlineStr">
        <is>
          <t>1.07.2026</t>
        </is>
      </c>
      <c r="K13" s="24" t="inlineStr">
        <is>
          <t>PC</t>
        </is>
      </c>
      <c r="L13" s="24" t="inlineStr">
        <is>
          <t>Yato-YG</t>
        </is>
      </c>
      <c r="M13" s="24" t="inlineStr">
        <is>
          <t>Gabi</t>
        </is>
      </c>
      <c r="N13" s="24" t="n">
        <v>8.596</v>
      </c>
      <c r="O13" s="2" t="n"/>
      <c r="P13" s="2" t="n"/>
      <c r="Q13" s="2" t="n"/>
      <c r="R13" s="2" t="n"/>
      <c r="S13" s="2" t="n"/>
      <c r="T13" s="2" t="n"/>
      <c r="U13" s="2" t="n"/>
      <c r="V13" s="2" t="n"/>
      <c r="W13" s="2" t="n"/>
      <c r="X13" s="2" t="n"/>
      <c r="Y13" s="2" t="n"/>
      <c r="Z13" s="2" t="n"/>
      <c r="AA13" s="2" t="n"/>
      <c r="AB13" s="2" t="n"/>
      <c r="AC13" s="2" t="n"/>
    </row>
    <row r="14" ht="64" customHeight="1">
      <c r="A14" s="2" t="n"/>
      <c r="B14" s="27" t="inlineStr">
        <is>
          <t>Romania</t>
        </is>
      </c>
      <c r="C14" s="27" t="inlineStr">
        <is>
          <t>GN Container</t>
        </is>
      </c>
      <c r="D14" s="27" t="inlineStr">
        <is>
          <t>GN 1/1 65mm - Polycarbonate</t>
        </is>
      </c>
      <c r="E14" s="27" t="inlineStr">
        <is>
          <t>pro-cucina</t>
        </is>
      </c>
      <c r="F14" s="28" t="inlineStr">
        <is>
          <t>https://pro-cucina.ro/tavi-gn/page/1/</t>
        </is>
      </c>
      <c r="G14" s="117" t="n">
        <v>8</v>
      </c>
      <c r="H14" s="27" t="inlineStr">
        <is>
          <t>EUR</t>
        </is>
      </c>
      <c r="I14" s="38" t="inlineStr">
        <is>
          <t>=IF($G81="HUF",$F81/$P$2,IF($G81="EUR",$F81,IF($G81="RON",$F81*$P$5,"")))</t>
        </is>
      </c>
      <c r="J14" s="27" t="inlineStr">
        <is>
          <t>1.07.2026</t>
        </is>
      </c>
      <c r="K14" s="27" t="inlineStr">
        <is>
          <t>PC</t>
        </is>
      </c>
      <c r="L14" s="27" t="n"/>
      <c r="M14" s="27" t="inlineStr">
        <is>
          <t>Gabi</t>
        </is>
      </c>
      <c r="N14" s="27" t="n">
        <v>8</v>
      </c>
      <c r="O14" s="2" t="n"/>
      <c r="P14" s="2" t="n"/>
      <c r="Q14" s="2" t="n"/>
      <c r="R14" s="2" t="n"/>
      <c r="S14" s="2" t="n"/>
      <c r="T14" s="2" t="n"/>
      <c r="U14" s="2" t="n"/>
      <c r="V14" s="2" t="n"/>
      <c r="W14" s="2" t="n"/>
      <c r="X14" s="2" t="n"/>
      <c r="Y14" s="2" t="n"/>
      <c r="Z14" s="2" t="n"/>
      <c r="AA14" s="2" t="n"/>
      <c r="AB14" s="2" t="n"/>
      <c r="AC14" s="2" t="n"/>
    </row>
    <row r="15" ht="64" customHeight="1">
      <c r="A15" s="2" t="n"/>
      <c r="B15" s="24" t="inlineStr">
        <is>
          <t>Romania</t>
        </is>
      </c>
      <c r="C15" s="24" t="inlineStr">
        <is>
          <t>GN Container</t>
        </is>
      </c>
      <c r="D15" s="24" t="inlineStr">
        <is>
          <t xml:space="preserve">GN 1/1 65mm - Polycarbonate </t>
        </is>
      </c>
      <c r="E15" s="24" t="inlineStr">
        <is>
          <t>FiMax</t>
        </is>
      </c>
      <c r="F15" s="25" t="inlineStr">
        <is>
          <t>https://www.fimax.ro/categorie/echipamente-catering-autoservire-si-cuve-inox-gastronorm/cuve-gastronorm-gn/cuve-gn-policarbonat-transparent/</t>
        </is>
      </c>
      <c r="G15" s="116" t="n">
        <v>67.56</v>
      </c>
      <c r="H15" s="24" t="inlineStr">
        <is>
          <t>RON</t>
        </is>
      </c>
      <c r="I15" s="36" t="inlineStr">
        <is>
          <t>=IF($G90="HUF",$F90/$P$2,IF($G90="EUR",$F90,IF($G90="RON",$F90*$P$5,"")))</t>
        </is>
      </c>
      <c r="J15" s="24" t="inlineStr">
        <is>
          <t>1.07.2026</t>
        </is>
      </c>
      <c r="K15" s="24" t="inlineStr">
        <is>
          <t>PC</t>
        </is>
      </c>
      <c r="L15" s="24" t="n"/>
      <c r="M15" s="24" t="inlineStr">
        <is>
          <t>Gabi</t>
        </is>
      </c>
      <c r="N15" s="24" t="n">
        <v>13.512</v>
      </c>
      <c r="O15" s="2" t="n"/>
      <c r="P15" s="2" t="n"/>
      <c r="Q15" s="2" t="n"/>
      <c r="R15" s="2" t="n"/>
      <c r="S15" s="2" t="n"/>
      <c r="T15" s="2" t="n"/>
      <c r="U15" s="2" t="n"/>
      <c r="V15" s="2" t="n"/>
      <c r="W15" s="2" t="n"/>
      <c r="X15" s="2" t="n"/>
      <c r="Y15" s="2" t="n"/>
      <c r="Z15" s="2" t="n"/>
      <c r="AA15" s="2" t="n"/>
      <c r="AB15" s="2" t="n"/>
      <c r="AC15" s="2" t="n"/>
    </row>
    <row r="16" ht="64" customHeight="1">
      <c r="A16" s="2" t="n"/>
      <c r="B16" s="27" t="inlineStr">
        <is>
          <t>Romania</t>
        </is>
      </c>
      <c r="C16" s="27" t="inlineStr">
        <is>
          <t>GN Container</t>
        </is>
      </c>
      <c r="D16" s="27" t="inlineStr">
        <is>
          <t>GN 1/3 100mm - Polypropylene</t>
        </is>
      </c>
      <c r="E16" s="27" t="inlineStr">
        <is>
          <t>gastroprofesional</t>
        </is>
      </c>
      <c r="F16" s="28" t="inlineStr">
        <is>
          <t>https://gastroprofesional.ro/accesorii-horeca/tavi-si-cuve-profesionale/tavi-gn-si-capace-polipropilena?q=Standard+t%C4%83vi+%5C/+recipiente-GN+1%5C/3</t>
        </is>
      </c>
      <c r="G16" s="117" t="n">
        <v>33.8</v>
      </c>
      <c r="H16" s="27" t="inlineStr">
        <is>
          <t>RON</t>
        </is>
      </c>
      <c r="I16" s="38" t="inlineStr">
        <is>
          <t>=IF($G108="HUF",$F108/$P$2,IF($G108="EUR",$F108,IF($G108="RON",$F108*$P$5,"")))</t>
        </is>
      </c>
      <c r="J16" s="27" t="inlineStr">
        <is>
          <t>2.07.2026</t>
        </is>
      </c>
      <c r="K16" s="27" t="inlineStr">
        <is>
          <t>PP</t>
        </is>
      </c>
      <c r="L16" s="27" t="inlineStr">
        <is>
          <t>Stalgast</t>
        </is>
      </c>
      <c r="M16" s="27" t="inlineStr">
        <is>
          <t>Gabi</t>
        </is>
      </c>
      <c r="N16" s="27" t="n">
        <v>6.76</v>
      </c>
      <c r="O16" s="2" t="n"/>
      <c r="P16" s="2" t="n"/>
      <c r="Q16" s="2" t="n"/>
      <c r="R16" s="2" t="n"/>
      <c r="S16" s="2" t="n"/>
      <c r="T16" s="2" t="n"/>
      <c r="U16" s="2" t="n"/>
      <c r="V16" s="2" t="n"/>
      <c r="W16" s="2" t="n"/>
      <c r="X16" s="2" t="n"/>
      <c r="Y16" s="2" t="n"/>
      <c r="Z16" s="2" t="n"/>
      <c r="AA16" s="2" t="n"/>
      <c r="AB16" s="2" t="n"/>
      <c r="AC16" s="2" t="n"/>
    </row>
    <row r="17" ht="64" customHeight="1">
      <c r="A17" s="2" t="n"/>
      <c r="B17" s="24" t="inlineStr">
        <is>
          <t>Romania</t>
        </is>
      </c>
      <c r="C17" s="24" t="inlineStr">
        <is>
          <t>GN Container</t>
        </is>
      </c>
      <c r="D17" s="24" t="inlineStr">
        <is>
          <t>GN 1/3 100mm - Polypropylene</t>
        </is>
      </c>
      <c r="E17" s="24" t="inlineStr">
        <is>
          <t>Gastrozone</t>
        </is>
      </c>
      <c r="F17" s="25" t="inlineStr">
        <is>
          <t>https://www.gastrozone.ro/polipropilenice/marime=gn-1-3/</t>
        </is>
      </c>
      <c r="G17" s="116" t="n">
        <v>35.63</v>
      </c>
      <c r="H17" s="24" t="inlineStr">
        <is>
          <t>RON</t>
        </is>
      </c>
      <c r="I17" s="36" t="inlineStr">
        <is>
          <t>=IF($G109="HUF",$F109/$P$2,IF($G109="EUR",$F109,IF($G109="RON",$F109*$P$5,"")))</t>
        </is>
      </c>
      <c r="J17" s="24" t="inlineStr">
        <is>
          <t>2.07.2026</t>
        </is>
      </c>
      <c r="K17" s="24" t="inlineStr">
        <is>
          <t>PP</t>
        </is>
      </c>
      <c r="L17" s="24" t="inlineStr">
        <is>
          <t>Pujadas</t>
        </is>
      </c>
      <c r="M17" s="24" t="inlineStr">
        <is>
          <t>Gabi</t>
        </is>
      </c>
      <c r="N17" s="24" t="n">
        <v>7.126000000000001</v>
      </c>
      <c r="O17" s="2" t="n"/>
      <c r="P17" s="2" t="n"/>
      <c r="Q17" s="2" t="n"/>
      <c r="R17" s="2" t="n"/>
      <c r="S17" s="2" t="n"/>
      <c r="T17" s="2" t="n"/>
      <c r="U17" s="2" t="n"/>
      <c r="V17" s="2" t="n"/>
      <c r="W17" s="2" t="n"/>
      <c r="X17" s="2" t="n"/>
      <c r="Y17" s="2" t="n"/>
      <c r="Z17" s="2" t="n"/>
      <c r="AA17" s="2" t="n"/>
      <c r="AB17" s="2" t="n"/>
      <c r="AC17" s="2" t="n"/>
    </row>
    <row r="18" ht="78" customHeight="1">
      <c r="A18" s="2" t="n"/>
      <c r="B18" s="27" t="inlineStr">
        <is>
          <t>Romania</t>
        </is>
      </c>
      <c r="C18" s="27" t="inlineStr">
        <is>
          <t>GN Container</t>
        </is>
      </c>
      <c r="D18" s="27" t="inlineStr">
        <is>
          <t>GN 1/3 100mm - Polypropylene</t>
        </is>
      </c>
      <c r="E18" s="27" t="inlineStr">
        <is>
          <t>mmgastro</t>
        </is>
      </c>
      <c r="F18" s="28" t="inlineStr">
        <is>
          <t>https://mmgastro.ro/ro/menu/categorii/vase-gastronomice/vase-gn-din-polipropilena-11725?filter_text=&amp;filter_producer=&amp;filter_price=&amp;filter_traits[47062]=72558&amp;filter_traits[47060]=&amp;filter_traits[47034]=&amp;filter_traits[69787]=&amp;filter_traits[73752]=</t>
        </is>
      </c>
      <c r="G18" s="117" t="n">
        <v>31.69</v>
      </c>
      <c r="H18" s="27" t="inlineStr">
        <is>
          <t>RON</t>
        </is>
      </c>
      <c r="I18" s="38" t="inlineStr">
        <is>
          <t>=IF($G110="HUF",$F110/$P$2,IF($G110="EUR",$F110,IF($G110="RON",$F110*$P$5,"")))</t>
        </is>
      </c>
      <c r="J18" s="27" t="inlineStr">
        <is>
          <t>2.07.2026</t>
        </is>
      </c>
      <c r="K18" s="27" t="inlineStr">
        <is>
          <t>PP</t>
        </is>
      </c>
      <c r="L18" s="27" t="inlineStr">
        <is>
          <t>Hendi</t>
        </is>
      </c>
      <c r="M18" s="27" t="inlineStr">
        <is>
          <t>Gabi</t>
        </is>
      </c>
      <c r="N18" s="27" t="n">
        <v>6.338000000000001</v>
      </c>
      <c r="O18" s="2" t="n"/>
      <c r="P18" s="2" t="n"/>
      <c r="Q18" s="2" t="n"/>
      <c r="R18" s="2" t="n"/>
      <c r="S18" s="2" t="n"/>
      <c r="T18" s="2" t="n"/>
      <c r="U18" s="2" t="n"/>
      <c r="V18" s="2" t="n"/>
      <c r="W18" s="2" t="n"/>
      <c r="X18" s="2" t="n"/>
      <c r="Y18" s="2" t="n"/>
      <c r="Z18" s="2" t="n"/>
      <c r="AA18" s="2" t="n"/>
      <c r="AB18" s="2" t="n"/>
      <c r="AC18" s="2" t="n"/>
    </row>
    <row r="19" ht="64" customHeight="1">
      <c r="A19" s="2" t="n"/>
      <c r="B19" s="24" t="inlineStr">
        <is>
          <t>Romania</t>
        </is>
      </c>
      <c r="C19" s="24" t="inlineStr">
        <is>
          <t>GN Container</t>
        </is>
      </c>
      <c r="D19" s="24" t="inlineStr">
        <is>
          <t>GN 1/1 65mm - Polycarbonate Black</t>
        </is>
      </c>
      <c r="E19" s="24" t="inlineStr">
        <is>
          <t>gastroprofesional</t>
        </is>
      </c>
      <c r="F19" s="25" t="inlineStr">
        <is>
          <t>https://gastroprofesional.ro/accesorii-horeca/tavi-si-cuve-profesionale/tavi-gn-si-cuve-policarbonat?q=Standard+t%C4%83vi+%5C/+recipiente-GN+1%5C/1</t>
        </is>
      </c>
      <c r="G19" s="116" t="n">
        <v>52.93</v>
      </c>
      <c r="H19" s="24" t="inlineStr">
        <is>
          <t>RON</t>
        </is>
      </c>
      <c r="I19" s="36" t="inlineStr">
        <is>
          <t>=IF($G156="HUF",$F156/$P$2,IF($G156="EUR",$F156,IF($G156="RON",$F156*$P$5,"")))</t>
        </is>
      </c>
      <c r="J19" s="24" t="inlineStr">
        <is>
          <t>2.07.2026</t>
        </is>
      </c>
      <c r="K19" s="24" t="inlineStr">
        <is>
          <t>PC</t>
        </is>
      </c>
      <c r="L19" s="24" t="n"/>
      <c r="M19" s="24" t="inlineStr">
        <is>
          <t>Gabi</t>
        </is>
      </c>
      <c r="N19" s="24" t="n">
        <v>10.586</v>
      </c>
      <c r="O19" s="2" t="n"/>
      <c r="P19" s="2" t="n"/>
      <c r="Q19" s="2" t="n"/>
      <c r="R19" s="2" t="n"/>
      <c r="S19" s="2" t="n"/>
      <c r="T19" s="2" t="n"/>
      <c r="U19" s="2" t="n"/>
      <c r="V19" s="2" t="n"/>
      <c r="W19" s="2" t="n"/>
      <c r="X19" s="2" t="n"/>
      <c r="Y19" s="2" t="n"/>
      <c r="Z19" s="2" t="n"/>
      <c r="AA19" s="2" t="n"/>
      <c r="AB19" s="2" t="n"/>
      <c r="AC19" s="2" t="n"/>
    </row>
    <row r="20" ht="64" customHeight="1">
      <c r="A20" s="2" t="n"/>
      <c r="B20" s="27" t="inlineStr">
        <is>
          <t>Romania</t>
        </is>
      </c>
      <c r="C20" s="27" t="inlineStr">
        <is>
          <t>GN Container</t>
        </is>
      </c>
      <c r="D20" s="27" t="inlineStr">
        <is>
          <t>GN 1/2 150mm - Polycarbonate</t>
        </is>
      </c>
      <c r="E20" s="27" t="inlineStr">
        <is>
          <t>FiMax</t>
        </is>
      </c>
      <c r="F20" s="28" t="inlineStr">
        <is>
          <t>https://www.fimax.ro/categorie/echipamente-catering-autoservire-si-cuve-inox-gastronorm/cuve-gastronorm-gn/cuve-gn-policarbonat-transparent/</t>
        </is>
      </c>
      <c r="G20" s="117" t="n">
        <v>57.38</v>
      </c>
      <c r="H20" s="27" t="inlineStr">
        <is>
          <t>RON</t>
        </is>
      </c>
      <c r="I20" s="38" t="inlineStr">
        <is>
          <t>=IF($G160="HUF",$F160/$P$2,IF($G160="EUR",$F160,IF($G160="RON",$F160*$P$5,"")))</t>
        </is>
      </c>
      <c r="J20" s="27" t="inlineStr">
        <is>
          <t>2.07.2026</t>
        </is>
      </c>
      <c r="K20" s="27" t="inlineStr">
        <is>
          <t>PC</t>
        </is>
      </c>
      <c r="L20" s="27" t="n"/>
      <c r="M20" s="27" t="inlineStr">
        <is>
          <t>Gabi</t>
        </is>
      </c>
      <c r="N20" s="27" t="n">
        <v>11.476</v>
      </c>
      <c r="O20" s="2" t="n"/>
      <c r="P20" s="2" t="n"/>
      <c r="Q20" s="2" t="n"/>
      <c r="R20" s="2" t="n"/>
      <c r="S20" s="2" t="n"/>
      <c r="T20" s="2" t="n"/>
      <c r="U20" s="2" t="n"/>
      <c r="V20" s="2" t="n"/>
      <c r="W20" s="2" t="n"/>
      <c r="X20" s="2" t="n"/>
      <c r="Y20" s="2" t="n"/>
      <c r="Z20" s="2" t="n"/>
      <c r="AA20" s="2" t="n"/>
      <c r="AB20" s="2" t="n"/>
      <c r="AC20" s="2" t="n"/>
    </row>
    <row r="21" ht="64" customHeight="1">
      <c r="A21" s="2" t="n"/>
      <c r="B21" s="24" t="inlineStr">
        <is>
          <t>Romania</t>
        </is>
      </c>
      <c r="C21" s="24" t="inlineStr">
        <is>
          <t>GN Container</t>
        </is>
      </c>
      <c r="D21" s="24" t="inlineStr">
        <is>
          <t>GN 1/2 150mm - Polycarbonate</t>
        </is>
      </c>
      <c r="E21" s="24" t="inlineStr">
        <is>
          <t>Pro-cucina</t>
        </is>
      </c>
      <c r="F21" s="25" t="inlineStr">
        <is>
          <t>https://pro-cucina.ro/tavi-gn/</t>
        </is>
      </c>
      <c r="G21" s="116" t="n">
        <v>6</v>
      </c>
      <c r="H21" s="24" t="inlineStr">
        <is>
          <t>EUR</t>
        </is>
      </c>
      <c r="I21" s="36" t="inlineStr">
        <is>
          <t>=IF($G161="HUF",$F161/$P$2,IF($G161="EUR",$F161,IF($G161="RON",$F161*$P$5,"")))</t>
        </is>
      </c>
      <c r="J21" s="24" t="inlineStr">
        <is>
          <t>2.07.2026</t>
        </is>
      </c>
      <c r="K21" s="24" t="inlineStr">
        <is>
          <t>PC</t>
        </is>
      </c>
      <c r="L21" s="24" t="n"/>
      <c r="M21" s="24" t="inlineStr">
        <is>
          <t>Gabi</t>
        </is>
      </c>
      <c r="N21" s="24" t="n">
        <v>6</v>
      </c>
      <c r="O21" s="2" t="n"/>
      <c r="P21" s="2" t="n"/>
      <c r="Q21" s="2" t="n"/>
      <c r="R21" s="2" t="n"/>
      <c r="S21" s="2" t="n"/>
      <c r="T21" s="2" t="n"/>
      <c r="U21" s="2" t="n"/>
      <c r="V21" s="2" t="n"/>
      <c r="W21" s="2" t="n"/>
      <c r="X21" s="2" t="n"/>
      <c r="Y21" s="2" t="n"/>
      <c r="Z21" s="2" t="n"/>
      <c r="AA21" s="2" t="n"/>
      <c r="AB21" s="2" t="n"/>
      <c r="AC21" s="2" t="n"/>
    </row>
    <row r="22" ht="78" customHeight="1">
      <c r="A22" s="2" t="n"/>
      <c r="B22" s="27" t="inlineStr">
        <is>
          <t>Romania</t>
        </is>
      </c>
      <c r="C22" s="27" t="inlineStr">
        <is>
          <t>GN Container</t>
        </is>
      </c>
      <c r="D22" s="27" t="inlineStr">
        <is>
          <t>GN 1/2 150mm - Polycarbonate</t>
        </is>
      </c>
      <c r="E22" s="27" t="inlineStr">
        <is>
          <t>mmgastro</t>
        </is>
      </c>
      <c r="F22" s="28" t="inlineStr">
        <is>
          <t>https://mmgastro.ro/ro/menu/categorii/vase-gastronomice/vase-gn-din-policarbonat-11707?filter_text=&amp;filter_producer=&amp;filter_price=&amp;filter_traits[47062]=70733&amp;filter_traits[21]=&amp;filter_traits[47060]=50734&amp;filter_traits[69787]=&amp;filter_traits[73752]=</t>
        </is>
      </c>
      <c r="G22" s="117" t="n">
        <v>35.79</v>
      </c>
      <c r="H22" s="27" t="inlineStr">
        <is>
          <t>RON</t>
        </is>
      </c>
      <c r="I22" s="38" t="inlineStr">
        <is>
          <t>=IF($G162="HUF",$F162/$P$2,IF($G162="EUR",$F162,IF($G162="RON",$F162*$P$5,"")))</t>
        </is>
      </c>
      <c r="J22" s="27" t="inlineStr">
        <is>
          <t>2.07.2026</t>
        </is>
      </c>
      <c r="K22" s="27" t="inlineStr">
        <is>
          <t>PC</t>
        </is>
      </c>
      <c r="L22" s="27" t="inlineStr">
        <is>
          <t>Forgast</t>
        </is>
      </c>
      <c r="M22" s="27" t="inlineStr">
        <is>
          <t>Gabi</t>
        </is>
      </c>
      <c r="N22" s="27" t="n">
        <v>7.158</v>
      </c>
      <c r="O22" s="2" t="n"/>
      <c r="P22" s="2" t="n"/>
      <c r="Q22" s="2" t="n"/>
      <c r="R22" s="2" t="n"/>
      <c r="S22" s="2" t="n"/>
      <c r="T22" s="2" t="n"/>
      <c r="U22" s="2" t="n"/>
      <c r="V22" s="2" t="n"/>
      <c r="W22" s="2" t="n"/>
      <c r="X22" s="2" t="n"/>
      <c r="Y22" s="2" t="n"/>
      <c r="Z22" s="2" t="n"/>
      <c r="AA22" s="2" t="n"/>
      <c r="AB22" s="2" t="n"/>
      <c r="AC22" s="2" t="n"/>
    </row>
    <row r="23" ht="64" customHeight="1">
      <c r="A23" s="2" t="n"/>
      <c r="B23" s="24" t="inlineStr">
        <is>
          <t>Romania</t>
        </is>
      </c>
      <c r="C23" s="24" t="inlineStr">
        <is>
          <t>Sauce Dispenser</t>
        </is>
      </c>
      <c r="D23" s="24" t="inlineStr">
        <is>
          <t>Dispenser with Stand 2.5 L</t>
        </is>
      </c>
      <c r="E23" s="24" t="inlineStr">
        <is>
          <t>Hendi</t>
        </is>
      </c>
      <c r="F23" s="25" t="inlineStr">
        <is>
          <t>https://www.hendi.ro/cofetarie-patiserie-si-cafenea/preparare-decorare</t>
        </is>
      </c>
      <c r="G23" s="116" t="n">
        <v>105.9</v>
      </c>
      <c r="H23" s="24" t="inlineStr">
        <is>
          <t>RON</t>
        </is>
      </c>
      <c r="I23" s="36" t="inlineStr">
        <is>
          <t>=IF($G281="HUF",$F281/$P$2,IF($G281="EUR",$F281,IF($G281="RON",$F281*$P$5,"")))</t>
        </is>
      </c>
      <c r="J23" s="24" t="inlineStr">
        <is>
          <t>4.07.2026</t>
        </is>
      </c>
      <c r="K23" s="24" t="n"/>
      <c r="L23" s="24" t="n"/>
      <c r="M23" s="24" t="inlineStr">
        <is>
          <t>Gabi</t>
        </is>
      </c>
      <c r="N23" s="24" t="n">
        <v>21.18</v>
      </c>
      <c r="O23" s="2" t="n"/>
      <c r="P23" s="2" t="n"/>
      <c r="Q23" s="2" t="n"/>
      <c r="R23" s="2" t="n"/>
      <c r="S23" s="2" t="n"/>
      <c r="T23" s="2" t="n"/>
      <c r="U23" s="2" t="n"/>
      <c r="V23" s="2" t="n"/>
      <c r="W23" s="2" t="n"/>
      <c r="X23" s="2" t="n"/>
      <c r="Y23" s="2" t="n"/>
      <c r="Z23" s="2" t="n"/>
      <c r="AA23" s="2" t="n"/>
      <c r="AB23" s="2" t="n"/>
      <c r="AC23" s="2" t="n"/>
    </row>
    <row r="24" ht="64" customHeight="1">
      <c r="A24" s="2" t="n"/>
      <c r="B24" s="27" t="inlineStr">
        <is>
          <t>Romania</t>
        </is>
      </c>
      <c r="C24" s="27" t="inlineStr">
        <is>
          <t>Sauce Dispenser</t>
        </is>
      </c>
      <c r="D24" s="27" t="inlineStr">
        <is>
          <t>Dispenser with Stand 350mm</t>
        </is>
      </c>
      <c r="E24" s="27" t="inlineStr">
        <is>
          <t>gastroprofesional</t>
        </is>
      </c>
      <c r="F24" s="28" t="inlineStr">
        <is>
          <t>https://gastroprofesional.ro/accesorii-horeca/servire/dispensere-sosuri?resultsPerPage=60&amp;q=Pret-lei-6.00-1024.90</t>
        </is>
      </c>
      <c r="G24" s="117" t="n">
        <v>222.32</v>
      </c>
      <c r="H24" s="27" t="inlineStr">
        <is>
          <t>RON</t>
        </is>
      </c>
      <c r="I24" s="38" t="inlineStr">
        <is>
          <t>=IF($G284="HUF",$F284/$P$2,IF($G284="EUR",$F284,IF($G284="RON",$F284*$P$5,"")))</t>
        </is>
      </c>
      <c r="J24" s="27" t="inlineStr">
        <is>
          <t>4.07.2026</t>
        </is>
      </c>
      <c r="K24" s="27" t="inlineStr">
        <is>
          <t>PP</t>
        </is>
      </c>
      <c r="L24" s="27" t="n"/>
      <c r="M24" s="27" t="inlineStr">
        <is>
          <t>Gabi</t>
        </is>
      </c>
      <c r="N24" s="27" t="n">
        <v>44.464</v>
      </c>
      <c r="O24" s="2" t="n"/>
      <c r="P24" s="2" t="n"/>
      <c r="Q24" s="2" t="n"/>
      <c r="R24" s="2" t="n"/>
      <c r="S24" s="2" t="n"/>
      <c r="T24" s="2" t="n"/>
      <c r="U24" s="2" t="n"/>
      <c r="V24" s="2" t="n"/>
      <c r="W24" s="2" t="n"/>
      <c r="X24" s="2" t="n"/>
      <c r="Y24" s="2" t="n"/>
      <c r="Z24" s="2" t="n"/>
      <c r="AA24" s="2" t="n"/>
      <c r="AB24" s="2" t="n"/>
      <c r="AC24" s="2" t="n"/>
    </row>
    <row r="25" ht="64" customHeight="1">
      <c r="A25" s="2" t="n"/>
      <c r="B25" s="24" t="inlineStr">
        <is>
          <t>Romania</t>
        </is>
      </c>
      <c r="C25" s="24" t="inlineStr">
        <is>
          <t>Sauce Dispenser</t>
        </is>
      </c>
      <c r="D25" s="24" t="inlineStr">
        <is>
          <t>Dispenser with Stand 2.5 L</t>
        </is>
      </c>
      <c r="E25" s="24" t="inlineStr">
        <is>
          <t>pentrubar.ro</t>
        </is>
      </c>
      <c r="F25" s="25" t="inlineStr">
        <is>
          <t>https://pentrubar.ro/ro/150-fast-food</t>
        </is>
      </c>
      <c r="G25" s="116" t="n">
        <v>106.27</v>
      </c>
      <c r="H25" s="24" t="inlineStr">
        <is>
          <t>RON</t>
        </is>
      </c>
      <c r="I25" s="36" t="inlineStr">
        <is>
          <t>=IF($G291="HUF",$F291/$P$2,IF($G291="EUR",$F291,IF($G291="RON",$F291*$P$5,"")))</t>
        </is>
      </c>
      <c r="J25" s="24" t="inlineStr">
        <is>
          <t>4.07.2026</t>
        </is>
      </c>
      <c r="K25" s="24" t="n"/>
      <c r="L25" s="24" t="n"/>
      <c r="M25" s="24" t="inlineStr">
        <is>
          <t>Gabi</t>
        </is>
      </c>
      <c r="N25" s="24" t="n">
        <v>21.254</v>
      </c>
      <c r="O25" s="2" t="n"/>
      <c r="P25" s="2" t="n"/>
      <c r="Q25" s="2" t="n"/>
      <c r="R25" s="2" t="n"/>
      <c r="S25" s="2" t="n"/>
      <c r="T25" s="2" t="n"/>
      <c r="U25" s="2" t="n"/>
      <c r="V25" s="2" t="n"/>
      <c r="W25" s="2" t="n"/>
      <c r="X25" s="2" t="n"/>
      <c r="Y25" s="2" t="n"/>
      <c r="Z25" s="2" t="n"/>
      <c r="AA25" s="2" t="n"/>
      <c r="AB25" s="2" t="n"/>
      <c r="AC25" s="2" t="n"/>
    </row>
    <row r="26" ht="64" customHeight="1">
      <c r="A26" s="2" t="n"/>
      <c r="B26" s="27" t="inlineStr">
        <is>
          <t>Romania</t>
        </is>
      </c>
      <c r="C26" s="27" t="inlineStr">
        <is>
          <t>Sauce Dispenser</t>
        </is>
      </c>
      <c r="D26" s="27" t="inlineStr">
        <is>
          <t>Dispenser with Stand 2.5 L</t>
        </is>
      </c>
      <c r="E26" s="27" t="inlineStr">
        <is>
          <t>mmgastro</t>
        </is>
      </c>
      <c r="F26" s="28" t="inlineStr">
        <is>
          <t>https://mmgastro.ro/ro/menu/categorii/vase-gastronomice/dozatoare-si-recipiente-pentru-sosuri-reci-11719</t>
        </is>
      </c>
      <c r="G26" s="117" t="n">
        <v>96.98</v>
      </c>
      <c r="H26" s="27" t="inlineStr">
        <is>
          <t>RON</t>
        </is>
      </c>
      <c r="I26" s="38" t="inlineStr">
        <is>
          <t>=IF($G294="HUF",$F294/$P$2,IF($G294="EUR",$F294,IF($G294="RON",$F294*$P$5,"")))</t>
        </is>
      </c>
      <c r="J26" s="27" t="inlineStr">
        <is>
          <t>4.07.2026</t>
        </is>
      </c>
      <c r="K26" s="27" t="n"/>
      <c r="L26" s="27" t="inlineStr">
        <is>
          <t>Hendi</t>
        </is>
      </c>
      <c r="M26" s="27" t="inlineStr">
        <is>
          <t>Gabi</t>
        </is>
      </c>
      <c r="N26" s="27" t="n">
        <v>19.396</v>
      </c>
      <c r="O26" s="2" t="n"/>
      <c r="P26" s="2" t="n"/>
      <c r="Q26" s="2" t="n"/>
      <c r="R26" s="2" t="n"/>
      <c r="S26" s="2" t="n"/>
      <c r="T26" s="2" t="n"/>
      <c r="U26" s="2" t="n"/>
      <c r="V26" s="2" t="n"/>
      <c r="W26" s="2" t="n"/>
      <c r="X26" s="2" t="n"/>
      <c r="Y26" s="2" t="n"/>
      <c r="Z26" s="2" t="n"/>
      <c r="AA26" s="2" t="n"/>
      <c r="AB26" s="2" t="n"/>
      <c r="AC26" s="2" t="n"/>
    </row>
    <row r="27" ht="64" customHeight="1">
      <c r="A27" s="2" t="n"/>
      <c r="B27" s="24" t="inlineStr">
        <is>
          <t>Romania</t>
        </is>
      </c>
      <c r="C27" s="24" t="inlineStr">
        <is>
          <t>GN Container</t>
        </is>
      </c>
      <c r="D27" s="24" t="inlineStr">
        <is>
          <t>GN 1/1 65 mm -  Polycarbonate Black</t>
        </is>
      </c>
      <c r="E27" s="24" t="inlineStr">
        <is>
          <t>Hendi</t>
        </is>
      </c>
      <c r="F27" s="25" t="inlineStr">
        <is>
          <t>https://www.hendi.ro/tavi-gastronorm/containere-gn?filter=25819/l/478606|25820/l/478616</t>
        </is>
      </c>
      <c r="G27" s="116" t="n">
        <v>68.90000000000001</v>
      </c>
      <c r="H27" s="24" t="inlineStr">
        <is>
          <t>RON</t>
        </is>
      </c>
      <c r="I27" s="36" t="inlineStr">
        <is>
          <t>=IF($G295="HUF",$F295/$P$2,IF($G295="EUR",$F295,IF($G295="RON",$F295*$P$5,"")))</t>
        </is>
      </c>
      <c r="J27" s="24" t="inlineStr">
        <is>
          <t>4.07.2026</t>
        </is>
      </c>
      <c r="K27" s="24" t="inlineStr">
        <is>
          <t>PC</t>
        </is>
      </c>
      <c r="L27" s="24" t="inlineStr">
        <is>
          <t>Hendi</t>
        </is>
      </c>
      <c r="M27" s="24" t="inlineStr">
        <is>
          <t>Gabi</t>
        </is>
      </c>
      <c r="N27" s="24" t="n">
        <v>13.78</v>
      </c>
      <c r="O27" s="2" t="n"/>
      <c r="P27" s="2" t="n"/>
      <c r="Q27" s="2" t="n"/>
      <c r="R27" s="2" t="n"/>
      <c r="S27" s="2" t="n"/>
      <c r="T27" s="2" t="n"/>
      <c r="U27" s="2" t="n"/>
      <c r="V27" s="2" t="n"/>
      <c r="W27" s="2" t="n"/>
      <c r="X27" s="2" t="n"/>
      <c r="Y27" s="2" t="n"/>
      <c r="Z27" s="2" t="n"/>
      <c r="AA27" s="2" t="n"/>
      <c r="AB27" s="2" t="n"/>
      <c r="AC27" s="2" t="n"/>
    </row>
    <row r="28" ht="64" customHeight="1">
      <c r="A28" s="2" t="n"/>
      <c r="B28" s="27" t="inlineStr">
        <is>
          <t>Romania</t>
        </is>
      </c>
      <c r="C28" s="27" t="inlineStr">
        <is>
          <t>GN Container</t>
        </is>
      </c>
      <c r="D28" s="27" t="inlineStr">
        <is>
          <t>GN 1/1 65 mm -  Polycarbonate Black</t>
        </is>
      </c>
      <c r="E28" s="27" t="inlineStr">
        <is>
          <t>FiMax</t>
        </is>
      </c>
      <c r="F28" s="28" t="inlineStr">
        <is>
          <t>https://www.fimax.ro/categorie/echipamente-catering-autoservire-si-cuve-inox-gastronorm/cuve-gastronorm-gn/cuve-gn-policarbonat-negru/</t>
        </is>
      </c>
      <c r="G28" s="117" t="n">
        <v>62.43</v>
      </c>
      <c r="H28" s="27" t="inlineStr">
        <is>
          <t>RON</t>
        </is>
      </c>
      <c r="I28" s="38" t="inlineStr">
        <is>
          <t>=IF($G296="HUF",$F296/$P$2,IF($G296="EUR",$F296,IF($G296="RON",$F296*$P$5,"")))</t>
        </is>
      </c>
      <c r="J28" s="27" t="inlineStr">
        <is>
          <t>4.07.2026</t>
        </is>
      </c>
      <c r="K28" s="27" t="inlineStr">
        <is>
          <t>PC</t>
        </is>
      </c>
      <c r="L28" s="27" t="n"/>
      <c r="M28" s="27" t="inlineStr">
        <is>
          <t>Gabi</t>
        </is>
      </c>
      <c r="N28" s="27" t="n">
        <v>12.486</v>
      </c>
      <c r="O28" s="2" t="n"/>
      <c r="P28" s="2" t="n"/>
      <c r="Q28" s="2" t="n"/>
      <c r="R28" s="2" t="n"/>
      <c r="S28" s="2" t="n"/>
      <c r="T28" s="2" t="n"/>
      <c r="U28" s="2" t="n"/>
      <c r="V28" s="2" t="n"/>
      <c r="W28" s="2" t="n"/>
      <c r="X28" s="2" t="n"/>
      <c r="Y28" s="2" t="n"/>
      <c r="Z28" s="2" t="n"/>
      <c r="AA28" s="2" t="n"/>
      <c r="AB28" s="2" t="n"/>
      <c r="AC28" s="2" t="n"/>
    </row>
    <row r="29" ht="64" customHeight="1">
      <c r="A29" s="2" t="n"/>
      <c r="B29" s="24" t="inlineStr">
        <is>
          <t>Romania</t>
        </is>
      </c>
      <c r="C29" s="24" t="inlineStr">
        <is>
          <t>GN Container</t>
        </is>
      </c>
      <c r="D29" s="24" t="inlineStr">
        <is>
          <t>GN 1/1 65 mm -  Polycarbonate Black</t>
        </is>
      </c>
      <c r="E29" s="24" t="inlineStr">
        <is>
          <t>Pro-cucina</t>
        </is>
      </c>
      <c r="F29" s="25" t="inlineStr">
        <is>
          <t>https://pro-cucina.ro/tavi-gn/</t>
        </is>
      </c>
      <c r="G29" s="116" t="n">
        <v>8</v>
      </c>
      <c r="H29" s="24" t="inlineStr">
        <is>
          <t>EUR</t>
        </is>
      </c>
      <c r="I29" s="36" t="inlineStr">
        <is>
          <t>=IF($G297="HUF",$F297/$P$2,IF($G297="EUR",$F297,IF($G297="RON",$F297*$P$5,"")))</t>
        </is>
      </c>
      <c r="J29" s="24" t="inlineStr">
        <is>
          <t>4.07.2026</t>
        </is>
      </c>
      <c r="K29" s="24" t="inlineStr">
        <is>
          <t>PC</t>
        </is>
      </c>
      <c r="L29" s="24" t="n"/>
      <c r="M29" s="24" t="inlineStr">
        <is>
          <t>Gabi</t>
        </is>
      </c>
      <c r="N29" s="24" t="n">
        <v>8</v>
      </c>
      <c r="O29" s="2" t="n"/>
      <c r="P29" s="2" t="n"/>
      <c r="Q29" s="2" t="n"/>
      <c r="R29" s="2" t="n"/>
      <c r="S29" s="2" t="n"/>
      <c r="T29" s="2" t="n"/>
      <c r="U29" s="2" t="n"/>
      <c r="V29" s="2" t="n"/>
      <c r="W29" s="2" t="n"/>
      <c r="X29" s="2" t="n"/>
      <c r="Y29" s="2" t="n"/>
      <c r="Z29" s="2" t="n"/>
      <c r="AA29" s="2" t="n"/>
      <c r="AB29" s="2" t="n"/>
      <c r="AC29" s="2" t="n"/>
    </row>
    <row r="30" ht="78" customHeight="1">
      <c r="A30" s="2" t="n"/>
      <c r="B30" s="27" t="inlineStr">
        <is>
          <t>Romania</t>
        </is>
      </c>
      <c r="C30" s="27" t="inlineStr">
        <is>
          <t>GN Container</t>
        </is>
      </c>
      <c r="D30" s="27" t="inlineStr">
        <is>
          <t>GN 1/1 65 mm -  Polycarbonate Black</t>
        </is>
      </c>
      <c r="E30" s="27" t="inlineStr">
        <is>
          <t>mmgastro</t>
        </is>
      </c>
      <c r="F30" s="28" t="inlineStr">
        <is>
          <t>https://mmgastro.ro/ro/menu/categorii/vase-gastronomice/vase-gn-din-policarbonat-11707?filter_text=&amp;filter_producer=&amp;filter_price=&amp;filter_traits[47062]=70730&amp;filter_traits[21]=76590&amp;filter_traits[47060]=&amp;filter_traits[69787]=&amp;filter_traits[73752]=</t>
        </is>
      </c>
      <c r="G30" s="117" t="n">
        <v>63.38</v>
      </c>
      <c r="H30" s="27" t="inlineStr">
        <is>
          <t>RON</t>
        </is>
      </c>
      <c r="I30" s="38" t="inlineStr">
        <is>
          <t>=IF($G298="HUF",$F298/$P$2,IF($G298="EUR",$F298,IF($G298="RON",$F298*$P$5,"")))</t>
        </is>
      </c>
      <c r="J30" s="27" t="inlineStr">
        <is>
          <t>4.07.2026</t>
        </is>
      </c>
      <c r="K30" s="27" t="inlineStr">
        <is>
          <t>PC</t>
        </is>
      </c>
      <c r="L30" s="27" t="inlineStr">
        <is>
          <t>Hendi</t>
        </is>
      </c>
      <c r="M30" s="27" t="inlineStr">
        <is>
          <t>Gabi</t>
        </is>
      </c>
      <c r="N30" s="27" t="n">
        <v>12.676</v>
      </c>
      <c r="O30" s="2" t="n"/>
      <c r="P30" s="2" t="n"/>
      <c r="Q30" s="2" t="n"/>
      <c r="R30" s="2" t="n"/>
      <c r="S30" s="2" t="n"/>
      <c r="T30" s="2" t="n"/>
      <c r="U30" s="2" t="n"/>
      <c r="V30" s="2" t="n"/>
      <c r="W30" s="2" t="n"/>
      <c r="X30" s="2" t="n"/>
      <c r="Y30" s="2" t="n"/>
      <c r="Z30" s="2" t="n"/>
      <c r="AA30" s="2" t="n"/>
      <c r="AB30" s="2" t="n"/>
      <c r="AC30" s="2" t="n"/>
    </row>
    <row r="31" ht="64" customHeight="1">
      <c r="A31" s="2" t="n"/>
      <c r="B31" s="24" t="inlineStr">
        <is>
          <t>Romania</t>
        </is>
      </c>
      <c r="C31" s="24" t="inlineStr">
        <is>
          <t>GN Container</t>
        </is>
      </c>
      <c r="D31" s="24" t="inlineStr">
        <is>
          <t>GN 1/2 150mm - Polycarbonate Black</t>
        </is>
      </c>
      <c r="E31" s="24" t="inlineStr">
        <is>
          <t>Hendi</t>
        </is>
      </c>
      <c r="F31" s="25" t="inlineStr">
        <is>
          <t>https://www.hendi.ro/tavi-gastronorm/containere-gn?filter=25819/l/478607|25820/l/478616|25821/l/478668;478669</t>
        </is>
      </c>
      <c r="G31" s="116" t="n">
        <v>54.9</v>
      </c>
      <c r="H31" s="24" t="inlineStr">
        <is>
          <t>RON</t>
        </is>
      </c>
      <c r="I31" s="36" t="inlineStr">
        <is>
          <t>=IF($G315="HUF",$F315/$P$2,IF($G315="EUR",$F315,IF($G315="RON",$F315*$P$5,"")))</t>
        </is>
      </c>
      <c r="J31" s="24" t="inlineStr">
        <is>
          <t>5.07.2026</t>
        </is>
      </c>
      <c r="K31" s="24" t="inlineStr">
        <is>
          <t>PC</t>
        </is>
      </c>
      <c r="L31" s="24" t="inlineStr">
        <is>
          <t>Hendi</t>
        </is>
      </c>
      <c r="M31" s="24" t="inlineStr">
        <is>
          <t>Gabi</t>
        </is>
      </c>
      <c r="N31" s="24" t="n">
        <v>10.98</v>
      </c>
      <c r="O31" s="2" t="n"/>
      <c r="P31" s="2" t="n"/>
      <c r="Q31" s="2" t="n"/>
      <c r="R31" s="2" t="n"/>
      <c r="S31" s="2" t="n"/>
      <c r="T31" s="2" t="n"/>
      <c r="U31" s="2" t="n"/>
      <c r="V31" s="2" t="n"/>
      <c r="W31" s="2" t="n"/>
      <c r="X31" s="2" t="n"/>
      <c r="Y31" s="2" t="n"/>
      <c r="Z31" s="2" t="n"/>
      <c r="AA31" s="2" t="n"/>
      <c r="AB31" s="2" t="n"/>
      <c r="AC31" s="2" t="n"/>
    </row>
    <row r="32" ht="64" customHeight="1">
      <c r="A32" s="2" t="n"/>
      <c r="B32" s="27" t="inlineStr">
        <is>
          <t>Romania</t>
        </is>
      </c>
      <c r="C32" s="27" t="inlineStr">
        <is>
          <t>GN Container</t>
        </is>
      </c>
      <c r="D32" s="27" t="inlineStr">
        <is>
          <t>GN 1/2 150mm - Polycarbonate Black</t>
        </is>
      </c>
      <c r="E32" s="27" t="inlineStr">
        <is>
          <t>Gastrozone</t>
        </is>
      </c>
      <c r="F32" s="28" t="inlineStr">
        <is>
          <t>https://www.gastrozone.ro/vase-gastro/marime=gn-1-2/inalta=150/material=policarbonat/</t>
        </is>
      </c>
      <c r="G32" s="117" t="n">
        <v>79.52</v>
      </c>
      <c r="H32" s="27" t="inlineStr">
        <is>
          <t>RON</t>
        </is>
      </c>
      <c r="I32" s="38" t="inlineStr">
        <is>
          <t>=IF($G316="HUF",$F316/$P$2,IF($G316="EUR",$F316,IF($G316="RON",$F316*$P$5,"")))</t>
        </is>
      </c>
      <c r="J32" s="27" t="inlineStr">
        <is>
          <t>5.07.2026</t>
        </is>
      </c>
      <c r="K32" s="27" t="inlineStr">
        <is>
          <t>PC</t>
        </is>
      </c>
      <c r="L32" s="27" t="inlineStr">
        <is>
          <t>APS</t>
        </is>
      </c>
      <c r="M32" s="27" t="inlineStr">
        <is>
          <t>Gabi</t>
        </is>
      </c>
      <c r="N32" s="27" t="n">
        <v>15.904</v>
      </c>
      <c r="O32" s="2" t="n"/>
      <c r="P32" s="2" t="n"/>
      <c r="Q32" s="2" t="n"/>
      <c r="R32" s="2" t="n"/>
      <c r="S32" s="2" t="n"/>
      <c r="T32" s="2" t="n"/>
      <c r="U32" s="2" t="n"/>
      <c r="V32" s="2" t="n"/>
      <c r="W32" s="2" t="n"/>
      <c r="X32" s="2" t="n"/>
      <c r="Y32" s="2" t="n"/>
      <c r="Z32" s="2" t="n"/>
      <c r="AA32" s="2" t="n"/>
      <c r="AB32" s="2" t="n"/>
      <c r="AC32" s="2" t="n"/>
    </row>
    <row r="33" ht="64" customHeight="1">
      <c r="A33" s="2" t="n"/>
      <c r="B33" s="24" t="inlineStr">
        <is>
          <t>Romania</t>
        </is>
      </c>
      <c r="C33" s="24" t="inlineStr">
        <is>
          <t>GN Container</t>
        </is>
      </c>
      <c r="D33" s="24" t="inlineStr">
        <is>
          <t>GN 1/2 150mm - Polycarbonate Black</t>
        </is>
      </c>
      <c r="E33" s="24" t="inlineStr">
        <is>
          <t>FiMax</t>
        </is>
      </c>
      <c r="F33" s="25" t="inlineStr">
        <is>
          <t>https://www.fimax.ro/categorie/echipamente-catering-autoservire-si-cuve-inox-gastronorm/cuve-gastronorm-gn/cuve-gn-policarbonat-negru/</t>
        </is>
      </c>
      <c r="G33" s="116" t="n">
        <v>58.52</v>
      </c>
      <c r="H33" s="24" t="inlineStr">
        <is>
          <t>RON</t>
        </is>
      </c>
      <c r="I33" s="36" t="inlineStr">
        <is>
          <t>=IF($G317="HUF",$F317/$P$2,IF($G317="EUR",$F317,IF($G317="RON",$F317*$P$5,"")))</t>
        </is>
      </c>
      <c r="J33" s="24" t="inlineStr">
        <is>
          <t>5.07.2026</t>
        </is>
      </c>
      <c r="K33" s="24" t="inlineStr">
        <is>
          <t>PC</t>
        </is>
      </c>
      <c r="L33" s="24" t="n"/>
      <c r="M33" s="24" t="inlineStr">
        <is>
          <t>Gabi</t>
        </is>
      </c>
      <c r="N33" s="24" t="n">
        <v>11.704</v>
      </c>
      <c r="O33" s="2" t="n"/>
      <c r="P33" s="2" t="n"/>
      <c r="Q33" s="2" t="n"/>
      <c r="R33" s="2" t="n"/>
      <c r="S33" s="2" t="n"/>
      <c r="T33" s="2" t="n"/>
      <c r="U33" s="2" t="n"/>
      <c r="V33" s="2" t="n"/>
      <c r="W33" s="2" t="n"/>
      <c r="X33" s="2" t="n"/>
      <c r="Y33" s="2" t="n"/>
      <c r="Z33" s="2" t="n"/>
      <c r="AA33" s="2" t="n"/>
      <c r="AB33" s="2" t="n"/>
      <c r="AC33" s="2" t="n"/>
    </row>
    <row r="34" ht="64" customHeight="1">
      <c r="A34" s="2" t="n"/>
      <c r="B34" s="27" t="inlineStr">
        <is>
          <t>Romania</t>
        </is>
      </c>
      <c r="C34" s="27" t="inlineStr">
        <is>
          <t>Cutting Board</t>
        </is>
      </c>
      <c r="D34" s="27" t="inlineStr">
        <is>
          <t>600 x 400 x 20 mm</t>
        </is>
      </c>
      <c r="E34" s="27" t="inlineStr">
        <is>
          <t>FiMax</t>
        </is>
      </c>
      <c r="F34" s="28" t="inlineStr">
        <is>
          <t>https://www.fimax.ro/categorie/cutite-si-tocatoare-produse-de-igiena-si-depozitare/cutite-si-tocatoare-profesionale/tocatoare-bucatarie-profesionale/page/2/</t>
        </is>
      </c>
      <c r="G34" s="117" t="n">
        <v>204.6</v>
      </c>
      <c r="H34" s="27" t="inlineStr">
        <is>
          <t>RON</t>
        </is>
      </c>
      <c r="I34" s="38" t="inlineStr">
        <is>
          <t>=IF($G362="HUF",$F362/$P$2,IF($G362="EUR",$F362,IF($G362="RON",$F362*$P$5,"")))</t>
        </is>
      </c>
      <c r="J34" s="118" t="n">
        <v>46212</v>
      </c>
      <c r="K34" s="27" t="inlineStr">
        <is>
          <t>PE</t>
        </is>
      </c>
      <c r="L34" s="27" t="inlineStr">
        <is>
          <t>Fimar</t>
        </is>
      </c>
      <c r="M34" s="27" t="inlineStr">
        <is>
          <t>Gabi</t>
        </is>
      </c>
      <c r="N34" s="27" t="n">
        <v>40.92</v>
      </c>
      <c r="O34" s="2" t="n"/>
      <c r="P34" s="2" t="n"/>
      <c r="Q34" s="2" t="n"/>
      <c r="R34" s="2" t="n"/>
      <c r="S34" s="2" t="n"/>
      <c r="T34" s="2" t="n"/>
      <c r="U34" s="2" t="n"/>
      <c r="V34" s="2" t="n"/>
      <c r="W34" s="2" t="n"/>
      <c r="X34" s="2" t="n"/>
      <c r="Y34" s="2" t="n"/>
      <c r="Z34" s="2" t="n"/>
      <c r="AA34" s="2" t="n"/>
      <c r="AB34" s="2" t="n"/>
      <c r="AC34" s="2" t="n"/>
    </row>
    <row r="35" ht="64" customHeight="1">
      <c r="A35" s="2" t="n"/>
      <c r="B35" s="24" t="inlineStr">
        <is>
          <t>Romania</t>
        </is>
      </c>
      <c r="C35" s="24" t="inlineStr">
        <is>
          <t>Cutting Board</t>
        </is>
      </c>
      <c r="D35" s="24" t="inlineStr">
        <is>
          <t>300 x 200 x 10 mm</t>
        </is>
      </c>
      <c r="E35" s="24" t="inlineStr">
        <is>
          <t>Direca</t>
        </is>
      </c>
      <c r="F35" s="25" t="inlineStr">
        <is>
          <t>https://direca.ro/shop/tocator-polietilena-negru-300x200x10-mm-cu-maner-pentru-taiere/?srsltid=AfmBOor5Vg-8ELcwb8UL1lYcw03O6M1ZpTThr3cpyBMi2G-Lw-x2tBXZ</t>
        </is>
      </c>
      <c r="G35" s="116" t="n">
        <v>35.14</v>
      </c>
      <c r="H35" s="24" t="inlineStr">
        <is>
          <t>RON</t>
        </is>
      </c>
      <c r="I35" s="36" t="inlineStr">
        <is>
          <t>=IF($G376="HUF",$F376/$P$2,IF($G376="EUR",$F376,IF($G376="RON",$F376*$P$5,"")))</t>
        </is>
      </c>
      <c r="J35" s="119" t="n">
        <v>46213</v>
      </c>
      <c r="K35" s="24" t="inlineStr">
        <is>
          <t>PE</t>
        </is>
      </c>
      <c r="L35" s="24" t="inlineStr">
        <is>
          <t>HD</t>
        </is>
      </c>
      <c r="M35" s="24" t="inlineStr">
        <is>
          <t>Gabi</t>
        </is>
      </c>
      <c r="N35" s="24" t="n">
        <v>7.028</v>
      </c>
      <c r="O35" s="2" t="n"/>
      <c r="P35" s="2" t="n"/>
      <c r="Q35" s="2" t="n"/>
      <c r="R35" s="2" t="n"/>
      <c r="S35" s="2" t="n"/>
      <c r="T35" s="2" t="n"/>
      <c r="U35" s="2" t="n"/>
      <c r="V35" s="2" t="n"/>
      <c r="W35" s="2" t="n"/>
      <c r="X35" s="2" t="n"/>
      <c r="Y35" s="2" t="n"/>
      <c r="Z35" s="2" t="n"/>
      <c r="AA35" s="2" t="n"/>
      <c r="AB35" s="2" t="n"/>
      <c r="AC35" s="2" t="n"/>
    </row>
    <row r="36" ht="64" customHeight="1">
      <c r="A36" s="2" t="n"/>
      <c r="B36" s="27" t="inlineStr">
        <is>
          <t>Romania</t>
        </is>
      </c>
      <c r="C36" s="27" t="inlineStr">
        <is>
          <t>Cutting Board</t>
        </is>
      </c>
      <c r="D36" s="27" t="inlineStr">
        <is>
          <t>300 x 200 x 10 mm</t>
        </is>
      </c>
      <c r="E36" s="27" t="inlineStr">
        <is>
          <t>Hendi</t>
        </is>
      </c>
      <c r="F36" s="28" t="inlineStr">
        <is>
          <t>https://www.hendi.ro/tocator-universal-hendi-alb-cu-maner-300x200x-h-10-mm-polietilena-hdpe-ambele-parti-potrivite-pentru-taiere</t>
        </is>
      </c>
      <c r="G36" s="117" t="n">
        <v>25.52</v>
      </c>
      <c r="H36" s="27" t="inlineStr">
        <is>
          <t>RON</t>
        </is>
      </c>
      <c r="I36" s="38" t="inlineStr">
        <is>
          <t>=IF($G377="HUF",$F377/$P$2,IF($G377="EUR",$F377,IF($G377="RON",$F377*$P$5,"")))</t>
        </is>
      </c>
      <c r="J36" s="118" t="n">
        <v>46213</v>
      </c>
      <c r="K36" s="27" t="inlineStr">
        <is>
          <t>PE</t>
        </is>
      </c>
      <c r="L36" s="27" t="inlineStr">
        <is>
          <t>Hendi</t>
        </is>
      </c>
      <c r="M36" s="27" t="inlineStr">
        <is>
          <t>Gabi</t>
        </is>
      </c>
      <c r="N36" s="27" t="n">
        <v>5.104</v>
      </c>
      <c r="O36" s="2" t="n"/>
      <c r="P36" s="2" t="n"/>
      <c r="Q36" s="2" t="n"/>
      <c r="R36" s="2" t="n"/>
      <c r="S36" s="2" t="n"/>
      <c r="T36" s="2" t="n"/>
      <c r="U36" s="2" t="n"/>
      <c r="V36" s="2" t="n"/>
      <c r="W36" s="2" t="n"/>
      <c r="X36" s="2" t="n"/>
      <c r="Y36" s="2" t="n"/>
      <c r="Z36" s="2" t="n"/>
      <c r="AA36" s="2" t="n"/>
      <c r="AB36" s="2" t="n"/>
      <c r="AC36" s="2" t="n"/>
    </row>
    <row r="37" ht="92" customHeight="1">
      <c r="A37" s="2" t="n"/>
      <c r="B37" s="24" t="inlineStr">
        <is>
          <t>Romania</t>
        </is>
      </c>
      <c r="C37" s="24" t="inlineStr">
        <is>
          <t>Cutting Board</t>
        </is>
      </c>
      <c r="D37" s="24" t="inlineStr">
        <is>
          <t>600 x 400 x 20 mm</t>
        </is>
      </c>
      <c r="E37" s="24" t="inlineStr">
        <is>
          <t>mmgastro</t>
        </is>
      </c>
      <c r="F37" s="25" t="inlineStr">
        <is>
          <t>https://mmgastro.ro/ro/menu/categorii/ustensile-de-bucatarie-si-aparate-mici/placi-de-taiere-11837?filter_text=&amp;filter_producer=&amp;filter_price=&amp;filter_traits[63]=&amp;filter_traits[80]=&amp;filter_traits[47260]=&amp;filter_traits[47300]=&amp;filter_traits[47034]=&amp;filter_traits[21]=&amp;filter_traits[65]=&amp;filter_traits[73752]=74615</t>
        </is>
      </c>
      <c r="G37" s="116" t="n">
        <v>89.62</v>
      </c>
      <c r="H37" s="24" t="inlineStr">
        <is>
          <t>RON</t>
        </is>
      </c>
      <c r="I37" s="36" t="inlineStr">
        <is>
          <t>=IF($G381="HUF",$F381/$P$2,IF($G381="EUR",$F381,IF($G381="RON",$F381*$P$5,"")))</t>
        </is>
      </c>
      <c r="J37" s="119" t="n">
        <v>46214</v>
      </c>
      <c r="K37" s="24" t="inlineStr">
        <is>
          <t>PE</t>
        </is>
      </c>
      <c r="L37" s="24" t="inlineStr">
        <is>
          <t>Yato-YG</t>
        </is>
      </c>
      <c r="M37" s="24" t="inlineStr">
        <is>
          <t>Gabi</t>
        </is>
      </c>
      <c r="N37" s="24" t="n">
        <v>17.924</v>
      </c>
      <c r="O37" s="2" t="n"/>
      <c r="P37" s="2" t="n"/>
      <c r="Q37" s="2" t="n"/>
      <c r="R37" s="2" t="n"/>
      <c r="S37" s="2" t="n"/>
      <c r="T37" s="2" t="n"/>
      <c r="U37" s="2" t="n"/>
      <c r="V37" s="2" t="n"/>
      <c r="W37" s="2" t="n"/>
      <c r="X37" s="2" t="n"/>
      <c r="Y37" s="2" t="n"/>
      <c r="Z37" s="2" t="n"/>
      <c r="AA37" s="2" t="n"/>
      <c r="AB37" s="2" t="n"/>
      <c r="AC37" s="2" t="n"/>
    </row>
    <row r="38" ht="92" customHeight="1">
      <c r="A38" s="2" t="n"/>
      <c r="B38" s="27" t="inlineStr">
        <is>
          <t>Romania</t>
        </is>
      </c>
      <c r="C38" s="27" t="inlineStr">
        <is>
          <t>Cutting Board</t>
        </is>
      </c>
      <c r="D38" s="27" t="inlineStr">
        <is>
          <t>300 x 200 x 10 mm</t>
        </is>
      </c>
      <c r="E38" s="27" t="inlineStr">
        <is>
          <t>mmgastro</t>
        </is>
      </c>
      <c r="F38" s="28" t="inlineStr">
        <is>
          <t>https://mmgastro.ro/ro/menu/categorii/ustensile-de-bucatarie-si-aparate-mici/placi-de-taiere-11837?filter_text=&amp;filter_producer=&amp;filter_price=&amp;filter_traits[63]=&amp;filter_traits[80]=&amp;filter_traits[47260]=&amp;filter_traits[47300]=&amp;filter_traits[47034]=&amp;filter_traits[21]=&amp;filter_traits[65]=&amp;filter_traits[73752]=74901</t>
        </is>
      </c>
      <c r="G38" s="117" t="n">
        <v>24.98</v>
      </c>
      <c r="H38" s="27" t="inlineStr">
        <is>
          <t>RON</t>
        </is>
      </c>
      <c r="I38" s="38" t="inlineStr">
        <is>
          <t>=IF($G384="HUF",$F384/$P$2,IF($G384="EUR",$F384,IF($G384="RON",$F384*$P$5,"")))</t>
        </is>
      </c>
      <c r="J38" s="118" t="n">
        <v>46214</v>
      </c>
      <c r="K38" s="27" t="inlineStr">
        <is>
          <t>PE</t>
        </is>
      </c>
      <c r="L38" s="27" t="inlineStr">
        <is>
          <t>Hendi</t>
        </is>
      </c>
      <c r="M38" s="27" t="inlineStr">
        <is>
          <t>Gabi</t>
        </is>
      </c>
      <c r="N38" s="27" t="n">
        <v>4.996</v>
      </c>
      <c r="O38" s="2" t="n"/>
      <c r="P38" s="2" t="n"/>
      <c r="Q38" s="2" t="n"/>
      <c r="R38" s="2" t="n"/>
      <c r="S38" s="2" t="n"/>
      <c r="T38" s="2" t="n"/>
      <c r="U38" s="2" t="n"/>
      <c r="V38" s="2" t="n"/>
      <c r="W38" s="2" t="n"/>
      <c r="X38" s="2" t="n"/>
      <c r="Y38" s="2" t="n"/>
      <c r="Z38" s="2" t="n"/>
      <c r="AA38" s="2" t="n"/>
      <c r="AB38" s="2" t="n"/>
      <c r="AC38" s="2" t="n"/>
    </row>
    <row r="39" ht="64" customHeight="1">
      <c r="A39" s="2" t="n"/>
      <c r="B39" s="24" t="inlineStr">
        <is>
          <t>Romania</t>
        </is>
      </c>
      <c r="C39" s="24" t="inlineStr">
        <is>
          <t>Cutting Board</t>
        </is>
      </c>
      <c r="D39" s="24" t="inlineStr">
        <is>
          <t>300 x 200 x 10 mm</t>
        </is>
      </c>
      <c r="E39" s="24" t="inlineStr">
        <is>
          <t>Magora</t>
        </is>
      </c>
      <c r="F39" s="25" t="inlineStr">
        <is>
          <t>https://www.magora.ro/tocatoare-bucatarie?srsltid=AfmBOoqBen1tJwZaOge4D1OEi_AYmELkZTfTEDjmRBzTsS683pdHwzVJ</t>
        </is>
      </c>
      <c r="G39" s="116" t="n">
        <v>34.8</v>
      </c>
      <c r="H39" s="24" t="inlineStr">
        <is>
          <t>RON</t>
        </is>
      </c>
      <c r="I39" s="36" t="inlineStr">
        <is>
          <t>=IF($G390="HUF",$F390/$P$2,IF($G390="EUR",$F390,IF($G390="RON",$F390*$P$5,"")))</t>
        </is>
      </c>
      <c r="J39" s="119" t="n">
        <v>46214</v>
      </c>
      <c r="K39" s="24" t="inlineStr">
        <is>
          <t>PE</t>
        </is>
      </c>
      <c r="L39" s="24" t="n"/>
      <c r="M39" s="24" t="inlineStr">
        <is>
          <t>Gabi</t>
        </is>
      </c>
      <c r="N39" s="24" t="n">
        <v>6.96</v>
      </c>
      <c r="O39" s="2" t="n"/>
      <c r="P39" s="2" t="n"/>
      <c r="Q39" s="2" t="n"/>
      <c r="R39" s="2" t="n"/>
      <c r="S39" s="2" t="n"/>
      <c r="T39" s="2" t="n"/>
      <c r="U39" s="2" t="n"/>
      <c r="V39" s="2" t="n"/>
      <c r="W39" s="2" t="n"/>
      <c r="X39" s="2" t="n"/>
      <c r="Y39" s="2" t="n"/>
      <c r="Z39" s="2" t="n"/>
      <c r="AA39" s="2" t="n"/>
      <c r="AB39" s="2" t="n"/>
      <c r="AC39" s="2" t="n"/>
    </row>
    <row r="40" ht="64" customHeight="1">
      <c r="A40" s="2" t="n"/>
      <c r="B40" s="27" t="inlineStr">
        <is>
          <t>Romania</t>
        </is>
      </c>
      <c r="C40" s="27" t="inlineStr">
        <is>
          <t>Cutting Board</t>
        </is>
      </c>
      <c r="D40" s="27" t="inlineStr">
        <is>
          <t>600 x 400 x 20 mm</t>
        </is>
      </c>
      <c r="E40" s="27" t="inlineStr">
        <is>
          <t>Magora</t>
        </is>
      </c>
      <c r="F40" s="28" t="inlineStr">
        <is>
          <t>https://www.magora.ro/tocatoare-bucatarie?p=1</t>
        </is>
      </c>
      <c r="G40" s="117" t="n">
        <v>174</v>
      </c>
      <c r="H40" s="27" t="inlineStr">
        <is>
          <t>RON</t>
        </is>
      </c>
      <c r="I40" s="38" t="inlineStr">
        <is>
          <t>=IF($G391="HUF",$F391/$P$2,IF($G391="EUR",$F391,IF($G391="RON",$F391*$P$5,"")))</t>
        </is>
      </c>
      <c r="J40" s="118" t="n">
        <v>46214</v>
      </c>
      <c r="K40" s="27" t="inlineStr">
        <is>
          <t>PE</t>
        </is>
      </c>
      <c r="L40" s="27" t="n"/>
      <c r="M40" s="27" t="inlineStr">
        <is>
          <t>Gabi</t>
        </is>
      </c>
      <c r="N40" s="27" t="n">
        <v>34.8</v>
      </c>
      <c r="O40" s="2" t="n"/>
      <c r="P40" s="2" t="n"/>
      <c r="Q40" s="2" t="n"/>
      <c r="R40" s="2" t="n"/>
      <c r="S40" s="2" t="n"/>
      <c r="T40" s="2" t="n"/>
      <c r="U40" s="2" t="n"/>
      <c r="V40" s="2" t="n"/>
      <c r="W40" s="2" t="n"/>
      <c r="X40" s="2" t="n"/>
      <c r="Y40" s="2" t="n"/>
      <c r="Z40" s="2" t="n"/>
      <c r="AA40" s="2" t="n"/>
      <c r="AB40" s="2" t="n"/>
      <c r="AC40" s="2" t="n"/>
    </row>
    <row r="41" ht="64" customHeight="1">
      <c r="A41" s="2" t="n"/>
      <c r="B41" s="24" t="inlineStr">
        <is>
          <t>Romania</t>
        </is>
      </c>
      <c r="C41" s="24" t="inlineStr">
        <is>
          <t>Cutting Board</t>
        </is>
      </c>
      <c r="D41" s="24" t="inlineStr">
        <is>
          <t>530 x 325 x 20 mm</t>
        </is>
      </c>
      <c r="E41" s="24" t="inlineStr">
        <is>
          <t>Stylehoreca</t>
        </is>
      </c>
      <c r="F41" s="25" t="inlineStr">
        <is>
          <t>https://www.stylehoreca.ro/catalog/tocatoare-105</t>
        </is>
      </c>
      <c r="G41" s="116" t="n">
        <v>130.58</v>
      </c>
      <c r="H41" s="24" t="inlineStr">
        <is>
          <t>RON</t>
        </is>
      </c>
      <c r="I41" s="36" t="inlineStr">
        <is>
          <t>=IF($G395="HUF",$F395/$P$2,IF($G395="EUR",$F395,IF($G395="RON",$F395*$P$5,"")))</t>
        </is>
      </c>
      <c r="J41" s="119" t="n">
        <v>46214</v>
      </c>
      <c r="K41" s="24" t="inlineStr">
        <is>
          <t>PE</t>
        </is>
      </c>
      <c r="L41" s="24" t="inlineStr">
        <is>
          <t>Pujadas</t>
        </is>
      </c>
      <c r="M41" s="24" t="inlineStr">
        <is>
          <t>Gabi</t>
        </is>
      </c>
      <c r="N41" s="24" t="n">
        <v>26.116</v>
      </c>
      <c r="O41" s="2" t="n"/>
      <c r="P41" s="2" t="n"/>
      <c r="Q41" s="2" t="n"/>
      <c r="R41" s="2" t="n"/>
      <c r="S41" s="2" t="n"/>
      <c r="T41" s="2" t="n"/>
      <c r="U41" s="2" t="n"/>
      <c r="V41" s="2" t="n"/>
      <c r="W41" s="2" t="n"/>
      <c r="X41" s="2" t="n"/>
      <c r="Y41" s="2" t="n"/>
      <c r="Z41" s="2" t="n"/>
      <c r="AA41" s="2" t="n"/>
      <c r="AB41" s="2" t="n"/>
      <c r="AC41" s="2" t="n"/>
    </row>
    <row r="42" ht="64" customHeight="1">
      <c r="A42" s="2" t="n"/>
      <c r="B42" s="27" t="inlineStr">
        <is>
          <t>Romania</t>
        </is>
      </c>
      <c r="C42" s="27" t="inlineStr">
        <is>
          <t>Cutting Board</t>
        </is>
      </c>
      <c r="D42" s="27" t="inlineStr">
        <is>
          <t>600 x 400 x 20 mm</t>
        </is>
      </c>
      <c r="E42" s="27" t="inlineStr">
        <is>
          <t>Direca</t>
        </is>
      </c>
      <c r="F42" s="28" t="inlineStr">
        <is>
          <t>https://direca.ro/shop/tocator-universal-alb-hdpe-600x400x20-mm-anti-alunecare/?srsltid=AfmBOorH-yBTBjTCh3lkwc1rW-ej1emQm06WvwMVOHLnPb7BUe_g6egT</t>
        </is>
      </c>
      <c r="G42" s="117" t="n">
        <v>170.09</v>
      </c>
      <c r="H42" s="27" t="inlineStr">
        <is>
          <t>RON</t>
        </is>
      </c>
      <c r="I42" s="38" t="inlineStr">
        <is>
          <t>=IF($G396="HUF",$F396/$P$2,IF($G396="EUR",$F396,IF($G396="RON",$F396*$P$5,"")))</t>
        </is>
      </c>
      <c r="J42" s="118" t="n">
        <v>46214</v>
      </c>
      <c r="K42" s="27" t="inlineStr">
        <is>
          <t>PE</t>
        </is>
      </c>
      <c r="L42" s="27" t="inlineStr">
        <is>
          <t>HD</t>
        </is>
      </c>
      <c r="M42" s="27" t="inlineStr">
        <is>
          <t>Gabi</t>
        </is>
      </c>
      <c r="N42" s="27" t="n">
        <v>34.018</v>
      </c>
      <c r="O42" s="2" t="n"/>
      <c r="P42" s="2" t="n"/>
      <c r="Q42" s="2" t="n"/>
      <c r="R42" s="2" t="n"/>
      <c r="S42" s="2" t="n"/>
      <c r="T42" s="2" t="n"/>
      <c r="U42" s="2" t="n"/>
      <c r="V42" s="2" t="n"/>
      <c r="W42" s="2" t="n"/>
      <c r="X42" s="2" t="n"/>
      <c r="Y42" s="2" t="n"/>
      <c r="Z42" s="2" t="n"/>
      <c r="AA42" s="2" t="n"/>
      <c r="AB42" s="2" t="n"/>
      <c r="AC42" s="2" t="n"/>
    </row>
    <row r="43" ht="64" customHeight="1">
      <c r="A43" s="2" t="n"/>
      <c r="B43" s="24" t="inlineStr">
        <is>
          <t>Romania</t>
        </is>
      </c>
      <c r="C43" s="24" t="inlineStr">
        <is>
          <t>Cutting Board</t>
        </is>
      </c>
      <c r="D43" s="24" t="inlineStr">
        <is>
          <t>300 x 200 x 10 mm</t>
        </is>
      </c>
      <c r="E43" s="24" t="inlineStr">
        <is>
          <t>Direca</t>
        </is>
      </c>
      <c r="F43" s="25" t="inlineStr">
        <is>
          <t>https://direca.ro/cutite-profesionale/tocator-bucatarie/</t>
        </is>
      </c>
      <c r="G43" s="116" t="n">
        <v>35.14</v>
      </c>
      <c r="H43" s="24" t="inlineStr">
        <is>
          <t>RON</t>
        </is>
      </c>
      <c r="I43" s="36" t="inlineStr">
        <is>
          <t>=IF($G397="HUF",$F397/$P$2,IF($G397="EUR",$F397,IF($G397="RON",$F397*$P$5,"")))</t>
        </is>
      </c>
      <c r="J43" s="119" t="n">
        <v>46214</v>
      </c>
      <c r="K43" s="24" t="inlineStr">
        <is>
          <t>PE</t>
        </is>
      </c>
      <c r="L43" s="24" t="inlineStr">
        <is>
          <t>HD</t>
        </is>
      </c>
      <c r="M43" s="24" t="inlineStr">
        <is>
          <t>Gabi</t>
        </is>
      </c>
      <c r="N43" s="24" t="n">
        <v>7.028</v>
      </c>
      <c r="O43" s="2" t="n"/>
      <c r="P43" s="2" t="n"/>
      <c r="Q43" s="2" t="n"/>
      <c r="R43" s="2" t="n"/>
      <c r="S43" s="2" t="n"/>
      <c r="T43" s="2" t="n"/>
      <c r="U43" s="2" t="n"/>
      <c r="V43" s="2" t="n"/>
      <c r="W43" s="2" t="n"/>
      <c r="X43" s="2" t="n"/>
      <c r="Y43" s="2" t="n"/>
      <c r="Z43" s="2" t="n"/>
      <c r="AA43" s="2" t="n"/>
      <c r="AB43" s="2" t="n"/>
      <c r="AC43" s="2" t="n"/>
    </row>
    <row r="44" ht="64" customHeight="1">
      <c r="A44" s="2" t="n"/>
      <c r="B44" s="27" t="inlineStr">
        <is>
          <t>Romania</t>
        </is>
      </c>
      <c r="C44" s="27" t="inlineStr">
        <is>
          <t>Pizza dough proofing box</t>
        </is>
      </c>
      <c r="D44" s="27" t="inlineStr">
        <is>
          <t>600 x 400 x 100 mm</t>
        </is>
      </c>
      <c r="E44" s="27" t="inlineStr">
        <is>
          <t>gastroprofesional</t>
        </is>
      </c>
      <c r="F44" s="28" t="inlineStr">
        <is>
          <t>https://gastroprofesional.ro/accesorii-horeca/accesorii-pizzerie/casete-plastic-pentru-aluat</t>
        </is>
      </c>
      <c r="G44" s="117" t="n">
        <v>60.6</v>
      </c>
      <c r="H44" s="27" t="inlineStr">
        <is>
          <t>RON</t>
        </is>
      </c>
      <c r="I44" s="38" t="inlineStr">
        <is>
          <t>=IF($G410="HUF",$F410/$P$2,IF($G410="EUR",$F410,IF($G410="RON",$F410*$P$5,"")))</t>
        </is>
      </c>
      <c r="J44" s="118" t="n">
        <v>46268</v>
      </c>
      <c r="K44" s="27" t="inlineStr">
        <is>
          <t>PP</t>
        </is>
      </c>
      <c r="L44" s="27" t="inlineStr">
        <is>
          <t>GiMetal</t>
        </is>
      </c>
      <c r="M44" s="27" t="inlineStr">
        <is>
          <t>Gabi</t>
        </is>
      </c>
      <c r="N44" s="27" t="n">
        <v>12.12</v>
      </c>
      <c r="O44" s="2" t="n"/>
      <c r="P44" s="2" t="n"/>
      <c r="Q44" s="2" t="n"/>
      <c r="R44" s="2" t="n"/>
      <c r="S44" s="2" t="n"/>
      <c r="T44" s="2" t="n"/>
      <c r="U44" s="2" t="n"/>
      <c r="V44" s="2" t="n"/>
      <c r="W44" s="2" t="n"/>
      <c r="X44" s="2" t="n"/>
      <c r="Y44" s="2" t="n"/>
      <c r="Z44" s="2" t="n"/>
      <c r="AA44" s="2" t="n"/>
      <c r="AB44" s="2" t="n"/>
      <c r="AC44" s="2" t="n"/>
    </row>
    <row r="45" ht="64" customHeight="1">
      <c r="A45" s="2" t="n"/>
      <c r="B45" s="24" t="inlineStr">
        <is>
          <t>Romania</t>
        </is>
      </c>
      <c r="C45" s="24" t="inlineStr">
        <is>
          <t>Pizza dough box lid</t>
        </is>
      </c>
      <c r="D45" s="24" t="inlineStr">
        <is>
          <t>600 x 400</t>
        </is>
      </c>
      <c r="E45" s="24" t="inlineStr">
        <is>
          <t>FiMax</t>
        </is>
      </c>
      <c r="F45" s="25" t="inlineStr">
        <is>
          <t>https://www.fimax.ro/categorie/echipamente-pizzerie/accesorii-preparare-pizza/page/2/</t>
        </is>
      </c>
      <c r="G45" s="116" t="n">
        <v>50.47</v>
      </c>
      <c r="H45" s="24" t="inlineStr">
        <is>
          <t>RON</t>
        </is>
      </c>
      <c r="I45" s="36" t="inlineStr">
        <is>
          <t>=IF($G424="HUF",$F424/$P$2,IF($G424="EUR",$F424,IF($G424="RON",$F424*$P$5,"")))</t>
        </is>
      </c>
      <c r="J45" s="119" t="n">
        <v>46268</v>
      </c>
      <c r="K45" s="24" t="n"/>
      <c r="L45" s="24" t="inlineStr">
        <is>
          <t>Fimar</t>
        </is>
      </c>
      <c r="M45" s="24" t="inlineStr">
        <is>
          <t>Gabi</t>
        </is>
      </c>
      <c r="N45" s="24" t="n">
        <v>10.094</v>
      </c>
      <c r="O45" s="2" t="n"/>
      <c r="P45" s="2" t="n"/>
      <c r="Q45" s="2" t="n"/>
      <c r="R45" s="2" t="n"/>
      <c r="S45" s="2" t="n"/>
      <c r="T45" s="2" t="n"/>
      <c r="U45" s="2" t="n"/>
      <c r="V45" s="2" t="n"/>
      <c r="W45" s="2" t="n"/>
      <c r="X45" s="2" t="n"/>
      <c r="Y45" s="2" t="n"/>
      <c r="Z45" s="2" t="n"/>
      <c r="AA45" s="2" t="n"/>
      <c r="AB45" s="2" t="n"/>
      <c r="AC45" s="2" t="n"/>
    </row>
    <row r="46" ht="64" customHeight="1">
      <c r="A46" s="2" t="n"/>
      <c r="B46" s="27" t="inlineStr">
        <is>
          <t>Romania</t>
        </is>
      </c>
      <c r="C46" s="27" t="inlineStr">
        <is>
          <t>Pizza dough box lid</t>
        </is>
      </c>
      <c r="D46" s="27" t="inlineStr">
        <is>
          <t xml:space="preserve">600 x 400 </t>
        </is>
      </c>
      <c r="E46" s="27" t="inlineStr">
        <is>
          <t>Direca</t>
        </is>
      </c>
      <c r="F46" s="28" t="inlineStr">
        <is>
          <t>https://direca.ro/shop/capac-caseta-aluat-pizza/</t>
        </is>
      </c>
      <c r="G46" s="117" t="n">
        <v>45.12</v>
      </c>
      <c r="H46" s="27" t="inlineStr">
        <is>
          <t>RON</t>
        </is>
      </c>
      <c r="I46" s="38" t="inlineStr">
        <is>
          <t>=IF($G425="HUF",$F425/$P$2,IF($G425="EUR",$F425,IF($G425="RON",$F425*$P$5,"")))</t>
        </is>
      </c>
      <c r="J46" s="118" t="n">
        <v>46268</v>
      </c>
      <c r="K46" s="27" t="n"/>
      <c r="L46" s="27" t="inlineStr">
        <is>
          <t>Forcar</t>
        </is>
      </c>
      <c r="M46" s="27" t="inlineStr">
        <is>
          <t>Gabi</t>
        </is>
      </c>
      <c r="N46" s="27" t="n">
        <v>9.023999999999999</v>
      </c>
      <c r="O46" s="2" t="n"/>
      <c r="P46" s="2" t="n"/>
      <c r="Q46" s="2" t="n"/>
      <c r="R46" s="2" t="n"/>
      <c r="S46" s="2" t="n"/>
      <c r="T46" s="2" t="n"/>
      <c r="U46" s="2" t="n"/>
      <c r="V46" s="2" t="n"/>
      <c r="W46" s="2" t="n"/>
      <c r="X46" s="2" t="n"/>
      <c r="Y46" s="2" t="n"/>
      <c r="Z46" s="2" t="n"/>
      <c r="AA46" s="2" t="n"/>
      <c r="AB46" s="2" t="n"/>
      <c r="AC46" s="2" t="n"/>
    </row>
    <row r="47" ht="64" customHeight="1">
      <c r="A47" s="2" t="n"/>
      <c r="B47" s="24" t="inlineStr">
        <is>
          <t>Romania</t>
        </is>
      </c>
      <c r="C47" s="24" t="inlineStr">
        <is>
          <t>Pizza dough box lid</t>
        </is>
      </c>
      <c r="D47" s="24" t="inlineStr">
        <is>
          <t>600 x 400</t>
        </is>
      </c>
      <c r="E47" s="24" t="inlineStr">
        <is>
          <t>mmgastro</t>
        </is>
      </c>
      <c r="F47" s="25" t="inlineStr">
        <is>
          <t>https://mmgastro.ro/ro/menu/categorii/vase-gastronomice/containere-pentru-aluat-de-pizza-11722</t>
        </is>
      </c>
      <c r="G47" s="116" t="n">
        <v>31.68</v>
      </c>
      <c r="H47" s="24" t="inlineStr">
        <is>
          <t>RON</t>
        </is>
      </c>
      <c r="I47" s="36" t="inlineStr">
        <is>
          <t>=IF($G426="HUF",$F426/$P$2,IF($G426="EUR",$F426,IF($G426="RON",$F426*$P$5,"")))</t>
        </is>
      </c>
      <c r="J47" s="119" t="n">
        <v>46268</v>
      </c>
      <c r="K47" s="24" t="inlineStr">
        <is>
          <t>PE</t>
        </is>
      </c>
      <c r="L47" s="24" t="inlineStr">
        <is>
          <t>Forgast</t>
        </is>
      </c>
      <c r="M47" s="24" t="inlineStr">
        <is>
          <t>Gabi</t>
        </is>
      </c>
      <c r="N47" s="24" t="n">
        <v>6.336</v>
      </c>
      <c r="O47" s="2" t="n"/>
      <c r="P47" s="2" t="n"/>
      <c r="Q47" s="2" t="n"/>
      <c r="R47" s="2" t="n"/>
      <c r="S47" s="2" t="n"/>
      <c r="T47" s="2" t="n"/>
      <c r="U47" s="2" t="n"/>
      <c r="V47" s="2" t="n"/>
      <c r="W47" s="2" t="n"/>
      <c r="X47" s="2" t="n"/>
      <c r="Y47" s="2" t="n"/>
      <c r="Z47" s="2" t="n"/>
      <c r="AA47" s="2" t="n"/>
      <c r="AB47" s="2" t="n"/>
      <c r="AC47" s="2" t="n"/>
    </row>
    <row r="48" ht="64" customHeight="1">
      <c r="A48" s="2" t="n"/>
      <c r="B48" s="27" t="inlineStr">
        <is>
          <t>Romania</t>
        </is>
      </c>
      <c r="C48" s="27" t="inlineStr">
        <is>
          <t>Pizza dough box lid</t>
        </is>
      </c>
      <c r="D48" s="27" t="inlineStr">
        <is>
          <t>600 x 400</t>
        </is>
      </c>
      <c r="E48" s="27" t="inlineStr">
        <is>
          <t>mmgastro</t>
        </is>
      </c>
      <c r="F48" s="28" t="inlineStr">
        <is>
          <t>https://mmgastro.ro/ro/products/capac-pentru-recipiente-de-aluat-de-pizza-amerbox-880968-138502</t>
        </is>
      </c>
      <c r="G48" s="117" t="n">
        <v>38.42</v>
      </c>
      <c r="H48" s="27" t="inlineStr">
        <is>
          <t>RON</t>
        </is>
      </c>
      <c r="I48" s="38" t="inlineStr">
        <is>
          <t>=IF($G427="HUF",$F427/$P$2,IF($G427="EUR",$F427,IF($G427="RON",$F427*$P$5,"")))</t>
        </is>
      </c>
      <c r="J48" s="118" t="n">
        <v>46268</v>
      </c>
      <c r="K48" s="27" t="inlineStr">
        <is>
          <t>PET</t>
        </is>
      </c>
      <c r="L48" s="27" t="inlineStr">
        <is>
          <t>AMERBOX</t>
        </is>
      </c>
      <c r="M48" s="27" t="inlineStr">
        <is>
          <t>Gabi</t>
        </is>
      </c>
      <c r="N48" s="27" t="n">
        <v>7.684000000000001</v>
      </c>
      <c r="O48" s="2" t="n"/>
      <c r="P48" s="2" t="n"/>
      <c r="Q48" s="2" t="n"/>
      <c r="R48" s="2" t="n"/>
      <c r="S48" s="2" t="n"/>
      <c r="T48" s="2" t="n"/>
      <c r="U48" s="2" t="n"/>
      <c r="V48" s="2" t="n"/>
      <c r="W48" s="2" t="n"/>
      <c r="X48" s="2" t="n"/>
      <c r="Y48" s="2" t="n"/>
      <c r="Z48" s="2" t="n"/>
      <c r="AA48" s="2" t="n"/>
      <c r="AB48" s="2" t="n"/>
      <c r="AC48" s="2" t="n"/>
    </row>
    <row r="49" ht="64" customHeight="1">
      <c r="A49" s="2" t="n"/>
      <c r="B49" s="24" t="inlineStr">
        <is>
          <t>Romania</t>
        </is>
      </c>
      <c r="C49" s="24" t="inlineStr">
        <is>
          <t>Pizza dough box lid</t>
        </is>
      </c>
      <c r="D49" s="24" t="inlineStr">
        <is>
          <t>600 x 400</t>
        </is>
      </c>
      <c r="E49" s="24" t="inlineStr">
        <is>
          <t>Gastrozone</t>
        </is>
      </c>
      <c r="F49" s="25" t="inlineStr">
        <is>
          <t>https://www.gastrozone.ro/araven-capac-pentru-cutie-de-pizza-pp-lungime-600-mm-latime-400-mm.html</t>
        </is>
      </c>
      <c r="G49" s="116" t="n">
        <v>62.24</v>
      </c>
      <c r="H49" s="24" t="inlineStr">
        <is>
          <t>RON</t>
        </is>
      </c>
      <c r="I49" s="36" t="inlineStr">
        <is>
          <t>=IF($G428="HUF",$F428/$P$2,IF($G428="EUR",$F428,IF($G428="RON",$F428*$P$5,"")))</t>
        </is>
      </c>
      <c r="J49" s="119" t="n">
        <v>46268</v>
      </c>
      <c r="K49" s="24" t="inlineStr">
        <is>
          <t>PP</t>
        </is>
      </c>
      <c r="L49" s="24" t="inlineStr">
        <is>
          <t>Araven</t>
        </is>
      </c>
      <c r="M49" s="24" t="inlineStr">
        <is>
          <t>Gabi</t>
        </is>
      </c>
      <c r="N49" s="24" t="n">
        <v>12.448</v>
      </c>
      <c r="O49" s="2" t="n"/>
      <c r="P49" s="2" t="n"/>
      <c r="Q49" s="2" t="n"/>
      <c r="R49" s="2" t="n"/>
      <c r="S49" s="2" t="n"/>
      <c r="T49" s="2" t="n"/>
      <c r="U49" s="2" t="n"/>
      <c r="V49" s="2" t="n"/>
      <c r="W49" s="2" t="n"/>
      <c r="X49" s="2" t="n"/>
      <c r="Y49" s="2" t="n"/>
      <c r="Z49" s="2" t="n"/>
      <c r="AA49" s="2" t="n"/>
      <c r="AB49" s="2" t="n"/>
      <c r="AC49" s="2" t="n"/>
    </row>
    <row r="50" ht="64" customHeight="1">
      <c r="A50" s="2" t="n"/>
      <c r="B50" s="27" t="inlineStr">
        <is>
          <t>Romania</t>
        </is>
      </c>
      <c r="C50" s="27" t="inlineStr">
        <is>
          <t>Pizza dough box lid</t>
        </is>
      </c>
      <c r="D50" s="27" t="inlineStr">
        <is>
          <t>600 x 400</t>
        </is>
      </c>
      <c r="E50" s="27" t="inlineStr">
        <is>
          <t>Horecamag</t>
        </is>
      </c>
      <c r="F50" s="28" t="inlineStr">
        <is>
          <t>https://www.horecamag.ro/produs/capac-pentru-caseta-aluat-paline-pizza/</t>
        </is>
      </c>
      <c r="G50" s="117" t="n">
        <v>39.21</v>
      </c>
      <c r="H50" s="27" t="inlineStr">
        <is>
          <t>RON</t>
        </is>
      </c>
      <c r="I50" s="38" t="inlineStr">
        <is>
          <t>=IF($G429="HUF",$F429/$P$2,IF($G429="EUR",$F429,IF($G429="RON",$F429*$P$5,"")))</t>
        </is>
      </c>
      <c r="J50" s="118" t="n">
        <v>46268</v>
      </c>
      <c r="K50" s="27" t="inlineStr">
        <is>
          <t>PE</t>
        </is>
      </c>
      <c r="L50" s="27" t="n"/>
      <c r="M50" s="27" t="inlineStr">
        <is>
          <t>Gabi</t>
        </is>
      </c>
      <c r="N50" s="27" t="n">
        <v>7.842000000000001</v>
      </c>
      <c r="O50" s="2" t="n"/>
      <c r="P50" s="2" t="n"/>
      <c r="Q50" s="2" t="n"/>
      <c r="R50" s="2" t="n"/>
      <c r="S50" s="2" t="n"/>
      <c r="T50" s="2" t="n"/>
      <c r="U50" s="2" t="n"/>
      <c r="V50" s="2" t="n"/>
      <c r="W50" s="2" t="n"/>
      <c r="X50" s="2" t="n"/>
      <c r="Y50" s="2" t="n"/>
      <c r="Z50" s="2" t="n"/>
      <c r="AA50" s="2" t="n"/>
      <c r="AB50" s="2" t="n"/>
      <c r="AC50" s="2" t="n"/>
    </row>
    <row r="51" ht="64" customHeight="1">
      <c r="A51" s="2" t="n"/>
      <c r="B51" s="24" t="inlineStr">
        <is>
          <t>Romania</t>
        </is>
      </c>
      <c r="C51" s="24" t="inlineStr">
        <is>
          <t>Pizza dough box lid</t>
        </is>
      </c>
      <c r="D51" s="24" t="inlineStr">
        <is>
          <t>600 x 400</t>
        </is>
      </c>
      <c r="E51" s="24" t="inlineStr">
        <is>
          <t>gastroprofesional</t>
        </is>
      </c>
      <c r="F51" s="25" t="inlineStr">
        <is>
          <t>https://gastroprofesional.ro/capac-caseta-aluat-600x400x20mm-stalgast.html</t>
        </is>
      </c>
      <c r="G51" s="116" t="n">
        <v>49.99</v>
      </c>
      <c r="H51" s="24" t="inlineStr">
        <is>
          <t>RON</t>
        </is>
      </c>
      <c r="I51" s="36" t="inlineStr">
        <is>
          <t>=IF($G430="HUF",$F430/$P$2,IF($G430="EUR",$F430,IF($G430="RON",$F430*$P$5,"")))</t>
        </is>
      </c>
      <c r="J51" s="119" t="n">
        <v>46268</v>
      </c>
      <c r="K51" s="24" t="n"/>
      <c r="L51" s="24" t="inlineStr">
        <is>
          <t>Stalgast</t>
        </is>
      </c>
      <c r="M51" s="24" t="inlineStr">
        <is>
          <t>Gabi</t>
        </is>
      </c>
      <c r="N51" s="24" t="n">
        <v>9.998000000000001</v>
      </c>
      <c r="O51" s="2" t="n"/>
      <c r="P51" s="2" t="n"/>
      <c r="Q51" s="2" t="n"/>
      <c r="R51" s="2" t="n"/>
      <c r="S51" s="2" t="n"/>
      <c r="T51" s="2" t="n"/>
      <c r="U51" s="2" t="n"/>
      <c r="V51" s="2" t="n"/>
      <c r="W51" s="2" t="n"/>
      <c r="X51" s="2" t="n"/>
      <c r="Y51" s="2" t="n"/>
      <c r="Z51" s="2" t="n"/>
      <c r="AA51" s="2" t="n"/>
      <c r="AB51" s="2" t="n"/>
      <c r="AC51" s="2" t="n"/>
    </row>
    <row r="52" ht="64" customHeight="1">
      <c r="A52" s="2" t="n"/>
      <c r="B52" s="27" t="inlineStr">
        <is>
          <t>Romania</t>
        </is>
      </c>
      <c r="C52" s="27" t="inlineStr">
        <is>
          <t>Pizza dough box lid</t>
        </is>
      </c>
      <c r="D52" s="27" t="inlineStr">
        <is>
          <t>600 x 400</t>
        </is>
      </c>
      <c r="E52" s="27" t="inlineStr">
        <is>
          <t>Patiser.ro</t>
        </is>
      </c>
      <c r="F52" s="28" t="inlineStr">
        <is>
          <t>https://www.patiser.ro/depozitare-transport/capac-cutie-casetă-aluat-pizza-paine-60-x-40.html?srsltid=AfmBOooCw4qgA7pJuSTQQp1fcsdZnXC7gcIpJQkh1e8z_KN2YhwLJOIS</t>
        </is>
      </c>
      <c r="G52" s="117" t="n">
        <v>30.52</v>
      </c>
      <c r="H52" s="27" t="inlineStr">
        <is>
          <t>RON</t>
        </is>
      </c>
      <c r="I52" s="38" t="inlineStr">
        <is>
          <t>=IF($G431="HUF",$F431/$P$2,IF($G431="EUR",$F431,IF($G431="RON",$F431*$P$5,"")))</t>
        </is>
      </c>
      <c r="J52" s="118" t="n">
        <v>46268</v>
      </c>
      <c r="K52" s="27" t="inlineStr">
        <is>
          <t>PP</t>
        </is>
      </c>
      <c r="L52" s="27" t="n"/>
      <c r="M52" s="27" t="inlineStr">
        <is>
          <t>Gabi</t>
        </is>
      </c>
      <c r="N52" s="27" t="n">
        <v>6.104</v>
      </c>
      <c r="O52" s="2" t="n"/>
      <c r="P52" s="2" t="n"/>
      <c r="Q52" s="2" t="n"/>
      <c r="R52" s="2" t="n"/>
      <c r="S52" s="2" t="n"/>
      <c r="T52" s="2" t="n"/>
      <c r="U52" s="2" t="n"/>
      <c r="V52" s="2" t="n"/>
      <c r="W52" s="2" t="n"/>
      <c r="X52" s="2" t="n"/>
      <c r="Y52" s="2" t="n"/>
      <c r="Z52" s="2" t="n"/>
      <c r="AA52" s="2" t="n"/>
      <c r="AB52" s="2" t="n"/>
      <c r="AC52" s="2" t="n"/>
    </row>
    <row r="53" ht="64" customHeight="1">
      <c r="A53" s="2" t="n"/>
      <c r="B53" s="24" t="inlineStr">
        <is>
          <t>Romania</t>
        </is>
      </c>
      <c r="C53" s="24" t="inlineStr">
        <is>
          <t>GN Container Lid</t>
        </is>
      </c>
      <c r="D53" s="24" t="inlineStr">
        <is>
          <t>GN 1/1 Polypropylene Lid</t>
        </is>
      </c>
      <c r="E53" s="24" t="inlineStr">
        <is>
          <t>Hendi</t>
        </is>
      </c>
      <c r="F53" s="25" t="inlineStr">
        <is>
          <t>https://www.hendi.ro/capac-gastronorm-gn-1-1-polipropilena-hendi</t>
        </is>
      </c>
      <c r="G53" s="116" t="n">
        <v>23.8</v>
      </c>
      <c r="H53" s="24" t="inlineStr">
        <is>
          <t>RON</t>
        </is>
      </c>
      <c r="I53" s="36" t="inlineStr">
        <is>
          <t>=IF($G435="HUF",$F435/$P$2,IF($G435="EUR",$F435,IF($G435="RON",$F435*$P$5,"")))</t>
        </is>
      </c>
      <c r="J53" s="119" t="n">
        <v>46268</v>
      </c>
      <c r="K53" s="24" t="inlineStr">
        <is>
          <t>PP</t>
        </is>
      </c>
      <c r="L53" s="24" t="inlineStr">
        <is>
          <t>Hendi</t>
        </is>
      </c>
      <c r="M53" s="24" t="inlineStr">
        <is>
          <t>Gabi</t>
        </is>
      </c>
      <c r="N53" s="24" t="n">
        <v>4.760000000000001</v>
      </c>
      <c r="O53" s="2" t="n"/>
      <c r="P53" s="2" t="n"/>
      <c r="Q53" s="2" t="n"/>
      <c r="R53" s="2" t="n"/>
      <c r="S53" s="2" t="n"/>
      <c r="T53" s="2" t="n"/>
      <c r="U53" s="2" t="n"/>
      <c r="V53" s="2" t="n"/>
      <c r="W53" s="2" t="n"/>
      <c r="X53" s="2" t="n"/>
      <c r="Y53" s="2" t="n"/>
      <c r="Z53" s="2" t="n"/>
      <c r="AA53" s="2" t="n"/>
      <c r="AB53" s="2" t="n"/>
      <c r="AC53" s="2" t="n"/>
    </row>
    <row r="54" ht="64" customHeight="1">
      <c r="A54" s="2" t="n"/>
      <c r="B54" s="27" t="inlineStr">
        <is>
          <t>Romania</t>
        </is>
      </c>
      <c r="C54" s="27" t="inlineStr">
        <is>
          <t>GN Container Lid</t>
        </is>
      </c>
      <c r="D54" s="27" t="inlineStr">
        <is>
          <t>GN 1/1 Polypropylene Lid</t>
        </is>
      </c>
      <c r="E54" s="27" t="inlineStr">
        <is>
          <t>mmgastro</t>
        </is>
      </c>
      <c r="F54" s="28" t="inlineStr">
        <is>
          <t>https://mmgastro.ro/ro/search?text=capac+gn+1%2F1</t>
        </is>
      </c>
      <c r="G54" s="117" t="n">
        <v>23.05</v>
      </c>
      <c r="H54" s="27" t="inlineStr">
        <is>
          <t>RON</t>
        </is>
      </c>
      <c r="I54" s="38" t="inlineStr">
        <is>
          <t>=IF($G439="HUF",$F439/$P$2,IF($G439="EUR",$F439,IF($G439="RON",$F439*$P$5,"")))</t>
        </is>
      </c>
      <c r="J54" s="118" t="n">
        <v>46272</v>
      </c>
      <c r="K54" s="27" t="inlineStr">
        <is>
          <t>PP</t>
        </is>
      </c>
      <c r="L54" s="27" t="inlineStr">
        <is>
          <t>Hendi</t>
        </is>
      </c>
      <c r="M54" s="27" t="inlineStr">
        <is>
          <t>Gabi</t>
        </is>
      </c>
      <c r="N54" s="27" t="n">
        <v>4.61</v>
      </c>
      <c r="O54" s="2" t="n"/>
      <c r="P54" s="2" t="n"/>
      <c r="Q54" s="2" t="n"/>
      <c r="R54" s="2" t="n"/>
      <c r="S54" s="2" t="n"/>
      <c r="T54" s="2" t="n"/>
      <c r="U54" s="2" t="n"/>
      <c r="V54" s="2" t="n"/>
      <c r="W54" s="2" t="n"/>
      <c r="X54" s="2" t="n"/>
      <c r="Y54" s="2" t="n"/>
      <c r="Z54" s="2" t="n"/>
      <c r="AA54" s="2" t="n"/>
      <c r="AB54" s="2" t="n"/>
      <c r="AC54" s="2" t="n"/>
    </row>
    <row r="55" ht="64" customHeight="1">
      <c r="A55" s="2" t="n"/>
      <c r="B55" s="24" t="inlineStr">
        <is>
          <t>Romania</t>
        </is>
      </c>
      <c r="C55" s="24" t="inlineStr">
        <is>
          <t>GN Container Lid</t>
        </is>
      </c>
      <c r="D55" s="24" t="inlineStr">
        <is>
          <t>GN 1/1 Polypropylene Lid</t>
        </is>
      </c>
      <c r="E55" s="24" t="inlineStr">
        <is>
          <t>Direca</t>
        </is>
      </c>
      <c r="F55" s="25" t="inlineStr">
        <is>
          <t>https://direca.ro/?s=capac+din+polipropilena+gn+1%2F1&amp;post_type=product&amp;type_aws=true</t>
        </is>
      </c>
      <c r="G55" s="116" t="n">
        <v>27.61</v>
      </c>
      <c r="H55" s="24" t="inlineStr">
        <is>
          <t>RON</t>
        </is>
      </c>
      <c r="I55" s="36" t="inlineStr">
        <is>
          <t>=IF($G441="HUF",$F441/$P$2,IF($G441="EUR",$F441,IF($G441="RON",$F441*$P$5,"")))</t>
        </is>
      </c>
      <c r="J55" s="119" t="n">
        <v>46272</v>
      </c>
      <c r="K55" s="24" t="inlineStr">
        <is>
          <t>PP</t>
        </is>
      </c>
      <c r="L55" s="24" t="inlineStr">
        <is>
          <t>Stalgast</t>
        </is>
      </c>
      <c r="M55" s="24" t="inlineStr">
        <is>
          <t>Gabi</t>
        </is>
      </c>
      <c r="N55" s="24" t="n">
        <v>5.522</v>
      </c>
      <c r="O55" s="2" t="n"/>
      <c r="P55" s="2" t="n"/>
      <c r="Q55" s="2" t="n"/>
      <c r="R55" s="2" t="n"/>
      <c r="S55" s="2" t="n"/>
      <c r="T55" s="2" t="n"/>
      <c r="U55" s="2" t="n"/>
      <c r="V55" s="2" t="n"/>
      <c r="W55" s="2" t="n"/>
      <c r="X55" s="2" t="n"/>
      <c r="Y55" s="2" t="n"/>
      <c r="Z55" s="2" t="n"/>
      <c r="AA55" s="2" t="n"/>
      <c r="AB55" s="2" t="n"/>
      <c r="AC55" s="2" t="n"/>
    </row>
    <row r="56" ht="64" customHeight="1">
      <c r="A56" s="2" t="n"/>
      <c r="B56" s="27" t="inlineStr">
        <is>
          <t>Romania</t>
        </is>
      </c>
      <c r="C56" s="27" t="inlineStr">
        <is>
          <t>GN Container</t>
        </is>
      </c>
      <c r="D56" s="27" t="inlineStr">
        <is>
          <t>GN 1/1 65mm - Polycarbonate</t>
        </is>
      </c>
      <c r="E56" s="27" t="inlineStr">
        <is>
          <t>Lancom</t>
        </is>
      </c>
      <c r="F56" s="28" t="inlineStr">
        <is>
          <t>https://www.lancom.ro/tava-gastronorm-gn-11-65-policarbonat-6936</t>
        </is>
      </c>
      <c r="G56" s="117" t="n">
        <v>42.05</v>
      </c>
      <c r="H56" s="27" t="inlineStr">
        <is>
          <t>RON</t>
        </is>
      </c>
      <c r="I56" s="38" t="inlineStr">
        <is>
          <t>=IF($G531="HUF",$F531/$P$2,IF($G531="EUR",$F531,IF($G531="RON",$F531*$P$5,"")))</t>
        </is>
      </c>
      <c r="J56" s="118" t="n">
        <v>46277</v>
      </c>
      <c r="K56" s="27" t="inlineStr">
        <is>
          <t>PC</t>
        </is>
      </c>
      <c r="L56" s="27" t="inlineStr">
        <is>
          <t>GastroPlast</t>
        </is>
      </c>
      <c r="M56" s="27" t="inlineStr">
        <is>
          <t>Gabi</t>
        </is>
      </c>
      <c r="N56" s="27" t="n">
        <v>8.41</v>
      </c>
      <c r="O56" s="2" t="n"/>
      <c r="P56" s="2" t="n"/>
      <c r="Q56" s="2" t="n"/>
      <c r="R56" s="2" t="n"/>
      <c r="S56" s="2" t="n"/>
      <c r="T56" s="2" t="n"/>
      <c r="U56" s="2" t="n"/>
      <c r="V56" s="2" t="n"/>
      <c r="W56" s="2" t="n"/>
      <c r="X56" s="2" t="n"/>
      <c r="Y56" s="2" t="n"/>
      <c r="Z56" s="2" t="n"/>
      <c r="AA56" s="2" t="n"/>
      <c r="AB56" s="2" t="n"/>
      <c r="AC56" s="2" t="n"/>
    </row>
    <row r="57" ht="64" customHeight="1">
      <c r="A57" s="2" t="n"/>
      <c r="B57" s="24" t="inlineStr">
        <is>
          <t>Romania</t>
        </is>
      </c>
      <c r="C57" s="24" t="inlineStr">
        <is>
          <t>GN Container</t>
        </is>
      </c>
      <c r="D57" s="24" t="inlineStr">
        <is>
          <t>GN 1/2 150mm - Polycarbonate</t>
        </is>
      </c>
      <c r="E57" s="24" t="inlineStr">
        <is>
          <t>Lancom</t>
        </is>
      </c>
      <c r="F57" s="25" t="inlineStr">
        <is>
          <t>https://www.lancom.ro/tava-gastronorm-gn-12-150-policarbonat-6940</t>
        </is>
      </c>
      <c r="G57" s="116" t="n">
        <v>26.28</v>
      </c>
      <c r="H57" s="24" t="inlineStr">
        <is>
          <t>RON</t>
        </is>
      </c>
      <c r="I57" s="36" t="inlineStr">
        <is>
          <t>=IF($G537="HUF",$F537/$P$2,IF($G537="EUR",$F537,IF($G537="RON",$F537*$P$5,"")))</t>
        </is>
      </c>
      <c r="J57" s="119" t="n">
        <v>46277</v>
      </c>
      <c r="K57" s="24" t="inlineStr">
        <is>
          <t>PC</t>
        </is>
      </c>
      <c r="L57" s="24" t="inlineStr">
        <is>
          <t>GastroPlast</t>
        </is>
      </c>
      <c r="M57" s="24" t="inlineStr">
        <is>
          <t>Gabi</t>
        </is>
      </c>
      <c r="N57" s="24" t="n">
        <v>5.256</v>
      </c>
      <c r="O57" s="2" t="n"/>
      <c r="P57" s="2" t="n"/>
      <c r="Q57" s="2" t="n"/>
      <c r="R57" s="2" t="n"/>
      <c r="S57" s="2" t="n"/>
      <c r="T57" s="2" t="n"/>
      <c r="U57" s="2" t="n"/>
      <c r="V57" s="2" t="n"/>
      <c r="W57" s="2" t="n"/>
      <c r="X57" s="2" t="n"/>
      <c r="Y57" s="2" t="n"/>
      <c r="Z57" s="2" t="n"/>
      <c r="AA57" s="2" t="n"/>
      <c r="AB57" s="2" t="n"/>
      <c r="AC57" s="2" t="n"/>
    </row>
    <row r="58" ht="64" customHeight="1">
      <c r="A58" s="2" t="n"/>
      <c r="B58" s="27" t="inlineStr">
        <is>
          <t>Romania</t>
        </is>
      </c>
      <c r="C58" s="27" t="inlineStr">
        <is>
          <t>GN Container</t>
        </is>
      </c>
      <c r="D58" s="27" t="inlineStr">
        <is>
          <t>GN 1/1 65mm - Polycarbonate Black</t>
        </is>
      </c>
      <c r="E58" s="27" t="inlineStr">
        <is>
          <t>Lancom</t>
        </is>
      </c>
      <c r="F58" s="28" t="inlineStr">
        <is>
          <t>https://www.lancom.ro/tava-policarbonat-gn-1-1-65-mm-neagra-6937</t>
        </is>
      </c>
      <c r="G58" s="117" t="n">
        <v>42.05</v>
      </c>
      <c r="H58" s="27" t="inlineStr">
        <is>
          <t>RON</t>
        </is>
      </c>
      <c r="I58" s="38" t="inlineStr">
        <is>
          <t>=IF($G551="HUF",$F551/$P$2,IF($G551="EUR",$F551,IF($G551="RON",$F551*$P$5,"")))</t>
        </is>
      </c>
      <c r="J58" s="118" t="n">
        <v>46277</v>
      </c>
      <c r="K58" s="27" t="inlineStr">
        <is>
          <t>PC</t>
        </is>
      </c>
      <c r="L58" s="27" t="inlineStr">
        <is>
          <t>GastroPlast</t>
        </is>
      </c>
      <c r="M58" s="27" t="inlineStr">
        <is>
          <t>Gabi</t>
        </is>
      </c>
      <c r="N58" s="27" t="n">
        <v>8.41</v>
      </c>
      <c r="O58" s="2" t="n"/>
      <c r="P58" s="2" t="n"/>
      <c r="Q58" s="2" t="n"/>
      <c r="R58" s="2" t="n"/>
      <c r="S58" s="2" t="n"/>
      <c r="T58" s="2" t="n"/>
      <c r="U58" s="2" t="n"/>
      <c r="V58" s="2" t="n"/>
      <c r="W58" s="2" t="n"/>
      <c r="X58" s="2" t="n"/>
      <c r="Y58" s="2" t="n"/>
      <c r="Z58" s="2" t="n"/>
      <c r="AA58" s="2" t="n"/>
      <c r="AB58" s="2" t="n"/>
      <c r="AC58" s="2" t="n"/>
    </row>
    <row r="59" ht="31" customHeight="1">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row>
    <row r="60" ht="31" customHeight="1">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row>
    <row r="61" ht="31" customHeight="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row>
    <row r="62" ht="22" customHeight="1">
      <c r="A62" s="2" t="n"/>
      <c r="B62" s="7" t="inlineStr">
        <is>
          <t>Price basis</t>
        </is>
      </c>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c r="AC62" s="2" t="n"/>
    </row>
    <row r="63" ht="22" customHeight="1">
      <c r="A63" s="2" t="n"/>
      <c r="B63" s="6" t="inlineStr">
        <is>
          <t>Net per piece, confirmed by you on 30 Sep 2026. Current Erste conversions are in Offers, Review and Compare.</t>
        </is>
      </c>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row>
    <row r="64" ht="22" customHeight="1">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row>
    <row r="65" ht="22" customHeight="1">
      <c r="A65" s="2" t="n"/>
      <c r="B65" s="6" t="inlineStr">
        <is>
          <t>Price: The price MUST always be in NET as shown on the website (in local currency). If only gross price given, calculate the NET price.</t>
        </is>
      </c>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c r="AC65" s="2" t="n"/>
    </row>
    <row r="66" ht="22" customHeight="1">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c r="AC66" s="2" t="n"/>
    </row>
    <row r="67" ht="22" customHeight="1">
      <c r="A67" s="2" t="n"/>
      <c r="B67" s="2" t="inlineStr">
        <is>
          <t>Historical source FX</t>
        </is>
      </c>
      <c r="C67" s="2" t="inlineStr">
        <is>
          <t>HUF per EUR</t>
        </is>
      </c>
      <c r="D67" s="2" t="n">
        <v>395</v>
      </c>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c r="AC67" s="2" t="n"/>
    </row>
    <row r="68" ht="22" customHeight="1">
      <c r="A68" s="2" t="n"/>
      <c r="B68" s="2" t="n"/>
      <c r="C68" s="2" t="inlineStr">
        <is>
          <t>HUF per RON</t>
        </is>
      </c>
      <c r="D68" s="2" t="n">
        <v>79</v>
      </c>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c r="AC68" s="2" t="n"/>
    </row>
    <row r="69" ht="22" customHeight="1">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c r="AC69" s="2" t="n"/>
    </row>
    <row r="70" ht="22" customHeight="1">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c r="AC70" s="2" t="n"/>
    </row>
    <row r="71" ht="22" customHeight="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c r="AC71" s="2" t="n"/>
    </row>
    <row r="72" ht="22" customHeight="1">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row>
    <row r="73" ht="22" customHeight="1">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row>
    <row r="74" ht="22" customHeight="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row>
    <row r="75" ht="22" customHeight="1">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c r="AC75" s="2" t="n"/>
    </row>
    <row r="76" ht="22" customHeight="1">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c r="AC76" s="2" t="n"/>
    </row>
    <row r="77" ht="22" customHeight="1">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c r="AC77" s="2" t="n"/>
    </row>
    <row r="78" ht="22" customHeight="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row>
    <row r="79" ht="22" customHeight="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row>
    <row r="80" ht="22" customHeight="1">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row>
    <row r="81" ht="22" customHeight="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row>
    <row r="82" ht="22" customHeight="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row>
    <row r="83" ht="22" customHeight="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row>
    <row r="84" ht="22" customHeight="1">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row>
    <row r="85" ht="22" customHeight="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row>
    <row r="86" ht="22" customHeight="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row>
    <row r="87" ht="22" customHeight="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row>
    <row r="88" ht="22" customHeight="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row>
    <row r="89" ht="22" customHeight="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row>
    <row r="90" ht="22" customHeight="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row>
    <row r="91" ht="22" customHeight="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row>
    <row r="92" ht="22" customHeight="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row>
    <row r="93" ht="22" customHeight="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row>
    <row r="94" ht="22" customHeight="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row>
    <row r="95" ht="22" customHeight="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row>
    <row r="96" ht="22" customHeight="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row>
    <row r="97" ht="22" customHeight="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row>
    <row r="98" ht="22" customHeight="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row>
    <row r="99" ht="22" customHeight="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row>
    <row r="100" ht="22" customHeight="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row>
    <row r="101" ht="22" customHeight="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row>
    <row r="102" ht="22" customHeight="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row>
    <row r="103" ht="22" customHeight="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row>
    <row r="104" ht="22" customHeight="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row>
    <row r="105" ht="22" customHeight="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row>
    <row r="106" ht="22" customHeight="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row>
    <row r="107" ht="22" customHeight="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row>
    <row r="108" ht="22" customHeight="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row>
    <row r="109" ht="22" customHeight="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row>
    <row r="110" ht="22" customHeight="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row>
    <row r="111" ht="22" customHeight="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row>
    <row r="112" ht="22" customHeight="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row>
    <row r="113" ht="22" customHeight="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row>
    <row r="114" ht="22" customHeight="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row>
    <row r="115" ht="22" customHeight="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row>
    <row r="116" ht="22" customHeight="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row>
    <row r="117" ht="22" customHeight="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row>
    <row r="118" ht="22"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row>
    <row r="119" ht="22" customHeight="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row>
    <row r="120" ht="22" customHeight="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row>
    <row r="121" ht="22" customHeight="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row>
    <row r="122" ht="22" customHeight="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row>
    <row r="123" ht="22" customHeight="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row>
    <row r="124" ht="22"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row>
    <row r="125" ht="22" customHeight="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row>
    <row r="126" ht="22" customHeight="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row>
    <row r="127" ht="22" customHeight="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row>
    <row r="128" ht="22" customHeight="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row>
    <row r="129" ht="22" customHeight="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row>
    <row r="130" ht="22"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row>
    <row r="131" ht="22" customHeight="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row>
    <row r="132" ht="22" customHeight="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row>
    <row r="133" ht="22" customHeight="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row>
    <row r="134" ht="22"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row>
    <row r="135" ht="22" customHeight="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row>
    <row r="136" ht="22"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row>
    <row r="137" ht="22" customHeight="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row>
    <row r="138" ht="22" customHeight="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row>
    <row r="139" ht="22"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row>
    <row r="140" ht="22"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row>
    <row r="141" ht="22" customHeight="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row>
    <row r="142" ht="22" customHeight="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row>
    <row r="143" ht="22" customHeight="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row>
    <row r="144" ht="22" customHeight="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row>
    <row r="145" ht="22" customHeight="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row>
    <row r="146" ht="22" customHeight="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row>
    <row r="147" ht="22" customHeight="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row>
    <row r="148" ht="22" customHeight="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row>
    <row r="149" ht="22" customHeight="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row>
    <row r="150" ht="22" customHeight="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row>
    <row r="151" ht="22" customHeight="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row>
    <row r="152" ht="22"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row>
    <row r="153" ht="22" customHeight="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row>
    <row r="154" ht="22"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row>
    <row r="155" ht="22" customHeight="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row>
    <row r="156" ht="22" customHeight="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row>
    <row r="157" ht="22" customHeight="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row>
    <row r="158" ht="22" customHeight="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row>
    <row r="159" ht="22" customHeight="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row>
    <row r="160" ht="22"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row>
    <row r="161" ht="22"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row>
    <row r="162" ht="22"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row>
    <row r="163" ht="22" customHeight="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row>
    <row r="164" ht="22"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row>
    <row r="165" ht="22"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row>
    <row r="166" ht="22"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row>
    <row r="167" ht="22" customHeight="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row>
    <row r="168" ht="22"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row>
    <row r="169" ht="22" customHeight="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row>
    <row r="170" ht="22"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row>
    <row r="171" ht="22" customHeight="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row>
    <row r="172" ht="22"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row>
    <row r="173" ht="22" customHeight="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row>
    <row r="174" ht="22"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row>
    <row r="175" ht="22" customHeight="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row>
    <row r="176" ht="22"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row>
    <row r="177" ht="22" customHeight="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row>
    <row r="178" ht="22"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row>
    <row r="179" ht="22" customHeight="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row>
    <row r="180" ht="22"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row>
    <row r="181" ht="22" customHeight="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row>
    <row r="182" ht="22"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row>
    <row r="183" ht="22" customHeight="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row>
    <row r="184" ht="22"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row>
    <row r="185" ht="22" customHeight="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row>
    <row r="186" ht="22"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row>
    <row r="187" ht="22" customHeight="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row>
    <row r="188" ht="22"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row>
    <row r="189" ht="22" customHeight="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row>
    <row r="190" ht="22"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row>
    <row r="191" ht="22" customHeight="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row>
    <row r="192" ht="22"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row>
    <row r="193" ht="22" customHeight="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row>
    <row r="194" ht="22"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row>
    <row r="195" ht="22" customHeight="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row>
    <row r="196" ht="22"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row>
    <row r="197" ht="22" customHeight="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row>
    <row r="198" ht="22"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row>
    <row r="199" ht="22" customHeight="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row>
    <row r="200" ht="22"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row>
    <row r="201" ht="22" customHeight="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row>
    <row r="202" ht="22"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row>
    <row r="203" ht="22" customHeight="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row>
    <row r="204" ht="22"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row>
    <row r="205" ht="22" customHeight="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row>
    <row r="206" ht="22"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row>
    <row r="207" ht="22" customHeight="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row>
    <row r="208" ht="22"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row>
    <row r="209" ht="22" customHeight="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row>
    <row r="210" ht="22"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row>
    <row r="211" ht="22"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row>
    <row r="212" ht="22"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row>
    <row r="213" ht="22"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row>
    <row r="214" ht="22"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row>
    <row r="215" ht="22" customHeight="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row>
    <row r="216" ht="22"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row>
    <row r="217" ht="22" customHeight="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row>
    <row r="218" ht="22"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row>
    <row r="219" ht="22" customHeight="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row>
    <row r="220" ht="22"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row>
    <row r="221" ht="22" customHeight="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row>
    <row r="222" ht="22" customHeight="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row>
    <row r="223" ht="22" customHeight="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row>
    <row r="224" ht="22" customHeight="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row>
    <row r="225" ht="22" customHeight="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row>
    <row r="226" ht="22" customHeight="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row>
    <row r="227" ht="22" customHeight="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row>
    <row r="228" ht="22" customHeight="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row>
    <row r="229" ht="22" customHeight="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row>
    <row r="230" ht="22" customHeight="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C500"/>
  <sheetViews>
    <sheetView showGridLines="0" workbookViewId="0">
      <pane xSplit="2" ySplit="8" topLeftCell="C9" activePane="bottomRight" state="frozen"/>
      <selection activeCell="A1" sqref="A1"/>
    </sheetView>
  </sheetViews>
  <sheetFormatPr baseColWidth="8" defaultRowHeight="15"/>
  <cols>
    <col width="3" customWidth="1" min="1" max="1"/>
    <col width="52" customWidth="1" min="2" max="2"/>
    <col width="27" customWidth="1" min="3" max="3"/>
    <col width="56" customWidth="1" min="4" max="4"/>
    <col width="24" customWidth="1" min="5" max="5"/>
    <col width="70" customWidth="1" min="6" max="6"/>
    <col width="24" customWidth="1" min="7" max="7"/>
    <col width="24" customWidth="1" min="8" max="8"/>
    <col width="24" customWidth="1" min="9" max="9"/>
    <col width="24" customWidth="1" min="10" max="10"/>
    <col width="24" customWidth="1" min="11" max="11"/>
    <col width="24" customWidth="1" min="12" max="12"/>
    <col width="80"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s>
  <sheetData>
    <row r="1" ht="22"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ht="28" customHeight="1">
      <c r="A2" s="2" t="n"/>
      <c r="B2" s="3" t="inlineStr">
        <is>
          <t>Austria source extract</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row>
    <row r="3" ht="22" customHeight="1">
      <c r="A3" s="2" t="n"/>
      <c r="B3" s="4" t="inlineStr">
        <is>
          <t>YES Gastro Austria Market Research.xlsx</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row>
    <row r="4" ht="22" customHeight="1">
      <c r="A4" s="2" t="n"/>
      <c r="B4" s="5" t="n"/>
      <c r="C4" s="5" t="n"/>
      <c r="D4" s="5" t="n"/>
      <c r="E4" s="5" t="n"/>
      <c r="F4" s="5" t="n"/>
      <c r="G4" s="5" t="n"/>
      <c r="H4" s="5" t="n"/>
      <c r="I4" s="5" t="n"/>
      <c r="J4" s="5" t="n"/>
      <c r="K4" s="5" t="n"/>
      <c r="L4" s="5" t="n"/>
      <c r="M4" s="5" t="n"/>
      <c r="N4" s="5" t="n"/>
      <c r="O4" s="2" t="n"/>
      <c r="P4" s="2" t="n"/>
      <c r="Q4" s="2" t="n"/>
      <c r="R4" s="2" t="n"/>
      <c r="S4" s="2" t="n"/>
      <c r="T4" s="2" t="n"/>
      <c r="U4" s="2" t="n"/>
      <c r="V4" s="2" t="n"/>
      <c r="W4" s="2" t="n"/>
      <c r="X4" s="2" t="n"/>
      <c r="Y4" s="2" t="n"/>
      <c r="Z4" s="2" t="n"/>
      <c r="AA4" s="2" t="n"/>
      <c r="AB4" s="2" t="n"/>
      <c r="AC4" s="2" t="n"/>
    </row>
    <row r="5" ht="22" customHeight="1">
      <c r="A5" s="2" t="n"/>
      <c r="B5" s="6" t="inlineStr">
        <is>
          <t>Original research values. Item numbers and observation counts removed; source formulas retain their original wording.</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row>
    <row r="6" ht="22" customHeight="1">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row>
    <row r="7" ht="22" customHeight="1">
      <c r="A7" s="2" t="n"/>
      <c r="B7" s="7" t="inlineStr">
        <is>
          <t>Prices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row>
    <row r="8" ht="38" customHeight="1">
      <c r="A8" s="2" t="n"/>
      <c r="B8" s="16" t="inlineStr">
        <is>
          <t>Basket item</t>
        </is>
      </c>
      <c r="C8" s="17" t="inlineStr">
        <is>
          <t>Competitor</t>
        </is>
      </c>
      <c r="D8" s="17" t="inlineStr">
        <is>
          <t>Product name</t>
        </is>
      </c>
      <c r="E8" s="17" t="inlineStr">
        <is>
          <t>Brand</t>
        </is>
      </c>
      <c r="F8" s="17" t="inlineStr">
        <is>
          <t>Product URL</t>
        </is>
      </c>
      <c r="G8" s="17" t="inlineStr">
        <is>
          <t>Listed price EUR</t>
        </is>
      </c>
      <c r="H8" s="17" t="inlineStr">
        <is>
          <t>Incl./excl. VAT</t>
        </is>
      </c>
      <c r="I8" s="17" t="inlineStr">
        <is>
          <t>Pack size (pcs)</t>
        </is>
      </c>
      <c r="J8" s="17" t="inlineStr">
        <is>
          <t>Pack description</t>
        </is>
      </c>
      <c r="K8" s="17" t="inlineStr">
        <is>
          <t>Net price per piece EUR</t>
        </is>
      </c>
      <c r="L8" s="17" t="inlineStr">
        <is>
          <t>Match quality</t>
        </is>
      </c>
      <c r="M8" s="17" t="inlineStr">
        <is>
          <t>Notes</t>
        </is>
      </c>
      <c r="N8" s="18" t="inlineStr">
        <is>
          <t>Date checked</t>
        </is>
      </c>
      <c r="O8" s="2" t="n"/>
      <c r="P8" s="2" t="n"/>
      <c r="Q8" s="2" t="n"/>
      <c r="R8" s="2" t="n"/>
      <c r="S8" s="2" t="n"/>
      <c r="T8" s="2" t="n"/>
      <c r="U8" s="2" t="n"/>
      <c r="V8" s="2" t="n"/>
      <c r="W8" s="2" t="n"/>
      <c r="X8" s="2" t="n"/>
      <c r="Y8" s="2" t="n"/>
      <c r="Z8" s="2" t="n"/>
      <c r="AA8" s="2" t="n"/>
      <c r="AB8" s="2" t="n"/>
      <c r="AC8" s="2" t="n"/>
    </row>
    <row r="9" ht="36" customHeight="1">
      <c r="A9" s="2" t="n"/>
      <c r="B9" s="24" t="inlineStr">
        <is>
          <t>GN 1/1 polycarbonate container, 65 mm deep</t>
        </is>
      </c>
      <c r="C9" s="24" t="inlineStr">
        <is>
          <t>GastroHero Österreich</t>
        </is>
      </c>
      <c r="D9" s="24" t="inlineStr">
        <is>
          <t>Schneider Polycarbonat GN 1/1 Behälter 65 mm, 8,5 l</t>
        </is>
      </c>
      <c r="E9" s="24" t="inlineStr">
        <is>
          <t>Schneider</t>
        </is>
      </c>
      <c r="F9" s="25" t="inlineStr">
        <is>
          <t>https://www.gastro-hero.at/products/schneider-polycarbonat-gn-11-behaelter-65-mm-85-l-530100</t>
        </is>
      </c>
      <c r="G9" s="120" t="n">
        <v>20.69</v>
      </c>
      <c r="H9" s="24" t="inlineStr">
        <is>
          <t>excl.</t>
        </is>
      </c>
      <c r="I9" s="116" t="n">
        <v>1</v>
      </c>
      <c r="J9" s="24" t="n"/>
      <c r="K9" s="120" t="n">
        <v>20.69</v>
      </c>
      <c r="L9" s="24" t="inlineStr">
        <is>
          <t>EXACT</t>
        </is>
      </c>
      <c r="M9" s="24" t="inlineStr">
        <is>
          <t>Sale price (normal 21.39); minimum order quantity 4 pcs</t>
        </is>
      </c>
      <c r="N9" s="24" t="inlineStr">
        <is>
          <t>2026-09-30</t>
        </is>
      </c>
      <c r="O9" s="2" t="n"/>
      <c r="P9" s="2" t="n"/>
      <c r="Q9" s="2" t="n"/>
      <c r="R9" s="2" t="n"/>
      <c r="S9" s="2" t="n"/>
      <c r="T9" s="2" t="n"/>
      <c r="U9" s="2" t="n"/>
      <c r="V9" s="2" t="n"/>
      <c r="W9" s="2" t="n"/>
      <c r="X9" s="2" t="n"/>
      <c r="Y9" s="2" t="n"/>
      <c r="Z9" s="2" t="n"/>
      <c r="AA9" s="2" t="n"/>
      <c r="AB9" s="2" t="n"/>
      <c r="AC9" s="2" t="n"/>
    </row>
    <row r="10" ht="36" customHeight="1">
      <c r="A10" s="2" t="n"/>
      <c r="B10" s="27" t="inlineStr">
        <is>
          <t>GN 1/1 polycarbonate container, 65 mm deep</t>
        </is>
      </c>
      <c r="C10" s="27" t="inlineStr">
        <is>
          <t>Gastrodax</t>
        </is>
      </c>
      <c r="D10" s="27" t="inlineStr">
        <is>
          <t>Hendi Gastronorm-Behälter 1/1, GN 1/1, 9L, Transparent, 530x325x(H)65mm – Polycarbonat</t>
        </is>
      </c>
      <c r="E10" s="27" t="inlineStr">
        <is>
          <t>Hendi</t>
        </is>
      </c>
      <c r="F10" s="28" t="inlineStr">
        <is>
          <t>https://www.gastrodax.de/hendi-gastronorm-behaelter-polykarbonat-transparent-gn-1-1-9-l-530-x-325-x-h-65-mm</t>
        </is>
      </c>
      <c r="G10" s="121" t="n">
        <v>22.43</v>
      </c>
      <c r="H10" s="27" t="inlineStr">
        <is>
          <t>excl.</t>
        </is>
      </c>
      <c r="I10" s="117" t="n">
        <v>1</v>
      </c>
      <c r="J10" s="27" t="n"/>
      <c r="K10" s="121" t="n">
        <v>22.43</v>
      </c>
      <c r="L10" s="27" t="inlineStr">
        <is>
          <t>EXACT</t>
        </is>
      </c>
      <c r="M10" s="27" t="n"/>
      <c r="N10" s="27" t="inlineStr">
        <is>
          <t>2026-09-30</t>
        </is>
      </c>
      <c r="O10" s="2" t="n"/>
      <c r="P10" s="2" t="n"/>
      <c r="Q10" s="2" t="n"/>
      <c r="R10" s="2" t="n"/>
      <c r="S10" s="2" t="n"/>
      <c r="T10" s="2" t="n"/>
      <c r="U10" s="2" t="n"/>
      <c r="V10" s="2" t="n"/>
      <c r="W10" s="2" t="n"/>
      <c r="X10" s="2" t="n"/>
      <c r="Y10" s="2" t="n"/>
      <c r="Z10" s="2" t="n"/>
      <c r="AA10" s="2" t="n"/>
      <c r="AB10" s="2" t="n"/>
      <c r="AC10" s="2" t="n"/>
    </row>
    <row r="11" ht="36" customHeight="1">
      <c r="A11" s="2" t="n"/>
      <c r="B11" s="24" t="inlineStr">
        <is>
          <t>GN 1/1 polycarbonate container, 65 mm deep</t>
        </is>
      </c>
      <c r="C11" s="24" t="inlineStr">
        <is>
          <t>Gastroladen.at (Harotec GmbH)</t>
        </is>
      </c>
      <c r="D11" s="24" t="inlineStr">
        <is>
          <t>Vogue Polycarbonat GN-Behälter GN1/1 65mm</t>
        </is>
      </c>
      <c r="E11" s="24" t="inlineStr">
        <is>
          <t>Vogue</t>
        </is>
      </c>
      <c r="F11" s="25" t="inlineStr">
        <is>
          <t>https://www.gastroladen.at/3020@GN-U224/Vogue-Polycarbonat-GN-Beh%C3%A4lter-GN1-1-65mm.htm</t>
        </is>
      </c>
      <c r="G11" s="120" t="n">
        <v>12.49</v>
      </c>
      <c r="H11" s="24" t="inlineStr">
        <is>
          <t>incl.</t>
        </is>
      </c>
      <c r="I11" s="116" t="n">
        <v>1</v>
      </c>
      <c r="J11" s="24" t="n"/>
      <c r="K11" s="120" t="n">
        <v>10.41</v>
      </c>
      <c r="L11" s="24" t="inlineStr">
        <is>
          <t>EXACT</t>
        </is>
      </c>
      <c r="M11" s="24" t="inlineStr">
        <is>
          <t>Currently 'zurzeit nicht am Lager' (out of stock)</t>
        </is>
      </c>
      <c r="N11" s="24" t="inlineStr">
        <is>
          <t>2026-09-30</t>
        </is>
      </c>
      <c r="O11" s="2" t="n"/>
      <c r="P11" s="2" t="n"/>
      <c r="Q11" s="2" t="n"/>
      <c r="R11" s="2" t="n"/>
      <c r="S11" s="2" t="n"/>
      <c r="T11" s="2" t="n"/>
      <c r="U11" s="2" t="n"/>
      <c r="V11" s="2" t="n"/>
      <c r="W11" s="2" t="n"/>
      <c r="X11" s="2" t="n"/>
      <c r="Y11" s="2" t="n"/>
      <c r="Z11" s="2" t="n"/>
      <c r="AA11" s="2" t="n"/>
      <c r="AB11" s="2" t="n"/>
      <c r="AC11" s="2" t="n"/>
    </row>
    <row r="12" ht="36" customHeight="1">
      <c r="A12" s="2" t="n"/>
      <c r="B12" s="27" t="inlineStr">
        <is>
          <t>GN 1/1 polycarbonate container, 65 mm deep</t>
        </is>
      </c>
      <c r="C12" s="27" t="inlineStr">
        <is>
          <t>Intergastro (AT shop)</t>
        </is>
      </c>
      <c r="D12" s="27" t="inlineStr">
        <is>
          <t>Gastronormbehälter GN 1/1 x 65 mm GN 94 Polycarbonat transparent</t>
        </is>
      </c>
      <c r="E12" s="27" t="inlineStr">
        <is>
          <t>WAS Germany</t>
        </is>
      </c>
      <c r="F12" s="28" t="inlineStr">
        <is>
          <t>https://www.intergastro.at/gastronormbehaelter-gn-1-1-x-65-mm-gn-94-polycarbonat-transparent-252042</t>
        </is>
      </c>
      <c r="G12" s="121" t="n">
        <v>14.07</v>
      </c>
      <c r="H12" s="27" t="inlineStr">
        <is>
          <t>excl.</t>
        </is>
      </c>
      <c r="I12" s="117" t="n">
        <v>1</v>
      </c>
      <c r="J12" s="27" t="n"/>
      <c r="K12" s="121" t="n">
        <v>14.07</v>
      </c>
      <c r="L12" s="27" t="inlineStr">
        <is>
          <t>EXACT</t>
        </is>
      </c>
      <c r="M12" s="27" t="inlineStr">
        <is>
          <t>Gross 16.88 incl. 20% VAT; tier prices from 3 pcs</t>
        </is>
      </c>
      <c r="N12" s="27" t="inlineStr">
        <is>
          <t>2026-09-30</t>
        </is>
      </c>
      <c r="O12" s="2" t="n"/>
      <c r="P12" s="2" t="n"/>
      <c r="Q12" s="2" t="n"/>
      <c r="R12" s="2" t="n"/>
      <c r="S12" s="2" t="n"/>
      <c r="T12" s="2" t="n"/>
      <c r="U12" s="2" t="n"/>
      <c r="V12" s="2" t="n"/>
      <c r="W12" s="2" t="n"/>
      <c r="X12" s="2" t="n"/>
      <c r="Y12" s="2" t="n"/>
      <c r="Z12" s="2" t="n"/>
      <c r="AA12" s="2" t="n"/>
      <c r="AB12" s="2" t="n"/>
      <c r="AC12" s="2" t="n"/>
    </row>
    <row r="13" ht="36" customHeight="1">
      <c r="A13" s="2" t="n"/>
      <c r="B13" s="24" t="inlineStr">
        <is>
          <t>GN 1/1 polycarbonate container, 65 mm deep</t>
        </is>
      </c>
      <c r="C13" s="24" t="inlineStr">
        <is>
          <t>shopbuero.com</t>
        </is>
      </c>
      <c r="D13" s="24" t="inlineStr">
        <is>
          <t>GN-Behälter - GN 1/1 (530 x 325 mm) - 65 mm - Inhalt 9,0 l - Polycarbonat</t>
        </is>
      </c>
      <c r="E13" s="24" t="inlineStr">
        <is>
          <t>Schneider</t>
        </is>
      </c>
      <c r="F13" s="25" t="inlineStr">
        <is>
          <t>https://shopbuero.com/gn-behaelter-gn-1-1-530-x-325-mm-65-mm-inhalt-9-0-l-polycarbonat/530100-C</t>
        </is>
      </c>
      <c r="G13" s="120" t="n">
        <v>13.9</v>
      </c>
      <c r="H13" s="24" t="inlineStr">
        <is>
          <t>excl.</t>
        </is>
      </c>
      <c r="I13" s="116" t="n">
        <v>1</v>
      </c>
      <c r="J13" s="24" t="n"/>
      <c r="K13" s="120" t="n">
        <v>13.9</v>
      </c>
      <c r="L13" s="24" t="inlineStr">
        <is>
          <t>EXACT</t>
        </is>
      </c>
      <c r="M13" s="24" t="inlineStr">
        <is>
          <t>Regular price 22.55</t>
        </is>
      </c>
      <c r="N13" s="24" t="inlineStr">
        <is>
          <t>2026-09-30</t>
        </is>
      </c>
      <c r="O13" s="2" t="n"/>
      <c r="P13" s="2" t="n"/>
      <c r="Q13" s="2" t="n"/>
      <c r="R13" s="2" t="n"/>
      <c r="S13" s="2" t="n"/>
      <c r="T13" s="2" t="n"/>
      <c r="U13" s="2" t="n"/>
      <c r="V13" s="2" t="n"/>
      <c r="W13" s="2" t="n"/>
      <c r="X13" s="2" t="n"/>
      <c r="Y13" s="2" t="n"/>
      <c r="Z13" s="2" t="n"/>
      <c r="AA13" s="2" t="n"/>
      <c r="AB13" s="2" t="n"/>
      <c r="AC13" s="2" t="n"/>
    </row>
    <row r="14" ht="36" customHeight="1">
      <c r="A14" s="2" t="n"/>
      <c r="B14" s="27" t="inlineStr">
        <is>
          <t>GN 1/2 polycarbonate container, 150 mm deep</t>
        </is>
      </c>
      <c r="C14" s="27" t="inlineStr">
        <is>
          <t>ALLPAX Österreich</t>
        </is>
      </c>
      <c r="D14" s="27" t="inlineStr">
        <is>
          <t>PC GN 1/2 Höhe 150 mm schwarz</t>
        </is>
      </c>
      <c r="E14" s="27" t="n"/>
      <c r="F14" s="28" t="inlineStr">
        <is>
          <t>https://www.allpax.at/product_info.php/info/PC-GN-1-2-Hoehe-150-mm-schwarz.html</t>
        </is>
      </c>
      <c r="G14" s="121" t="n">
        <v>7.29</v>
      </c>
      <c r="H14" s="27" t="inlineStr">
        <is>
          <t>excl.</t>
        </is>
      </c>
      <c r="I14" s="117" t="n">
        <v>1</v>
      </c>
      <c r="J14" s="27" t="n"/>
      <c r="K14" s="121" t="n">
        <v>7.29</v>
      </c>
      <c r="L14" s="27" t="inlineStr">
        <is>
          <t>EXACT</t>
        </is>
      </c>
      <c r="M14" s="27" t="inlineStr">
        <is>
          <t>'jetzt' price; regular 10.35</t>
        </is>
      </c>
      <c r="N14" s="27" t="inlineStr">
        <is>
          <t>2026-09-30</t>
        </is>
      </c>
      <c r="O14" s="2" t="n"/>
      <c r="P14" s="2" t="n"/>
      <c r="Q14" s="2" t="n"/>
      <c r="R14" s="2" t="n"/>
      <c r="S14" s="2" t="n"/>
      <c r="T14" s="2" t="n"/>
      <c r="U14" s="2" t="n"/>
      <c r="V14" s="2" t="n"/>
      <c r="W14" s="2" t="n"/>
      <c r="X14" s="2" t="n"/>
      <c r="Y14" s="2" t="n"/>
      <c r="Z14" s="2" t="n"/>
      <c r="AA14" s="2" t="n"/>
      <c r="AB14" s="2" t="n"/>
      <c r="AC14" s="2" t="n"/>
    </row>
    <row r="15" ht="36" customHeight="1">
      <c r="A15" s="2" t="n"/>
      <c r="B15" s="24" t="inlineStr">
        <is>
          <t>GN 1/2 polycarbonate container, 150 mm deep</t>
        </is>
      </c>
      <c r="C15" s="24" t="inlineStr">
        <is>
          <t>GastroHero Österreich</t>
        </is>
      </c>
      <c r="D15" s="24" t="inlineStr">
        <is>
          <t>Vogue GN-Behälter 1/2 Polycarbonat - Tiefe 150 mm</t>
        </is>
      </c>
      <c r="E15" s="24" t="inlineStr">
        <is>
          <t>Vogue</t>
        </is>
      </c>
      <c r="F15" s="25" t="inlineStr">
        <is>
          <t>https://www.gastro-hero.at/products/vogue-gn-behaelter-12-polycarbonat-tiefe-150-mm-u230</t>
        </is>
      </c>
      <c r="G15" s="120" t="n">
        <v>9.99</v>
      </c>
      <c r="H15" s="24" t="inlineStr">
        <is>
          <t>excl.</t>
        </is>
      </c>
      <c r="I15" s="116" t="n">
        <v>1</v>
      </c>
      <c r="J15" s="24" t="n"/>
      <c r="K15" s="120" t="n">
        <v>9.99</v>
      </c>
      <c r="L15" s="24" t="inlineStr">
        <is>
          <t>EXACT</t>
        </is>
      </c>
      <c r="M15" s="24" t="inlineStr">
        <is>
          <t>Sale price (normal 11.89); min. qty 4. Schneider equivalent 17.39</t>
        </is>
      </c>
      <c r="N15" s="24" t="inlineStr">
        <is>
          <t>2026-09-30</t>
        </is>
      </c>
      <c r="O15" s="2" t="n"/>
      <c r="P15" s="2" t="n"/>
      <c r="Q15" s="2" t="n"/>
      <c r="R15" s="2" t="n"/>
      <c r="S15" s="2" t="n"/>
      <c r="T15" s="2" t="n"/>
      <c r="U15" s="2" t="n"/>
      <c r="V15" s="2" t="n"/>
      <c r="W15" s="2" t="n"/>
      <c r="X15" s="2" t="n"/>
      <c r="Y15" s="2" t="n"/>
      <c r="Z15" s="2" t="n"/>
      <c r="AA15" s="2" t="n"/>
      <c r="AB15" s="2" t="n"/>
      <c r="AC15" s="2" t="n"/>
    </row>
    <row r="16" ht="36" customHeight="1">
      <c r="A16" s="2" t="n"/>
      <c r="B16" s="27" t="inlineStr">
        <is>
          <t>GN 1/2 polycarbonate container, 150 mm deep</t>
        </is>
      </c>
      <c r="C16" s="27" t="inlineStr">
        <is>
          <t>Gastrodax</t>
        </is>
      </c>
      <c r="D16" s="27" t="inlineStr">
        <is>
          <t>Hendi Gastronorm-Behälter 1/2, GN 1/2, 9,5L, Transparent, 325x265x(H)150mm – Polycarbonat</t>
        </is>
      </c>
      <c r="E16" s="27" t="inlineStr">
        <is>
          <t>Hendi</t>
        </is>
      </c>
      <c r="F16" s="28" t="inlineStr">
        <is>
          <t>https://www.gastrodax.de/hendi-gastronorm-behaelter-gn-1-2-9-5-l-polykarbonat-transparent-325-x-265-x-h-150-mm</t>
        </is>
      </c>
      <c r="G16" s="121" t="n">
        <v>18.75</v>
      </c>
      <c r="H16" s="27" t="inlineStr">
        <is>
          <t>excl.</t>
        </is>
      </c>
      <c r="I16" s="117" t="n">
        <v>1</v>
      </c>
      <c r="J16" s="27" t="n"/>
      <c r="K16" s="121" t="n">
        <v>18.75</v>
      </c>
      <c r="L16" s="27" t="inlineStr">
        <is>
          <t>EXACT</t>
        </is>
      </c>
      <c r="M16" s="27" t="n"/>
      <c r="N16" s="27" t="inlineStr">
        <is>
          <t>2026-09-30</t>
        </is>
      </c>
      <c r="O16" s="2" t="n"/>
      <c r="P16" s="2" t="n"/>
      <c r="Q16" s="2" t="n"/>
      <c r="R16" s="2" t="n"/>
      <c r="S16" s="2" t="n"/>
      <c r="T16" s="2" t="n"/>
      <c r="U16" s="2" t="n"/>
      <c r="V16" s="2" t="n"/>
      <c r="W16" s="2" t="n"/>
      <c r="X16" s="2" t="n"/>
      <c r="Y16" s="2" t="n"/>
      <c r="Z16" s="2" t="n"/>
      <c r="AA16" s="2" t="n"/>
      <c r="AB16" s="2" t="n"/>
      <c r="AC16" s="2" t="n"/>
    </row>
    <row r="17" ht="36" customHeight="1">
      <c r="A17" s="2" t="n"/>
      <c r="B17" s="24" t="inlineStr">
        <is>
          <t>GN 1/2 polycarbonate container, 150 mm deep</t>
        </is>
      </c>
      <c r="C17" s="24" t="inlineStr">
        <is>
          <t>Gastroladen.at (Harotec GmbH)</t>
        </is>
      </c>
      <c r="D17" s="24" t="inlineStr">
        <is>
          <t>Vogue Polycarbonat GN-Behälter GN1/2 150mm</t>
        </is>
      </c>
      <c r="E17" s="24" t="inlineStr">
        <is>
          <t>Vogue</t>
        </is>
      </c>
      <c r="F17" s="25" t="inlineStr">
        <is>
          <t>https://www.gastroladen.at/3020@GN-U230/Vogue-Polycarbonat-GN-Beh%C3%A4lter-GN1-2-150mm.htm</t>
        </is>
      </c>
      <c r="G17" s="120" t="n">
        <v>10.09</v>
      </c>
      <c r="H17" s="24" t="inlineStr">
        <is>
          <t>incl.</t>
        </is>
      </c>
      <c r="I17" s="116" t="n">
        <v>1</v>
      </c>
      <c r="J17" s="24" t="n"/>
      <c r="K17" s="120" t="n">
        <v>8.41</v>
      </c>
      <c r="L17" s="24" t="inlineStr">
        <is>
          <t>EXACT</t>
        </is>
      </c>
      <c r="M17" s="24" t="n"/>
      <c r="N17" s="24" t="inlineStr">
        <is>
          <t>2026-09-30</t>
        </is>
      </c>
      <c r="O17" s="2" t="n"/>
      <c r="P17" s="2" t="n"/>
      <c r="Q17" s="2" t="n"/>
      <c r="R17" s="2" t="n"/>
      <c r="S17" s="2" t="n"/>
      <c r="T17" s="2" t="n"/>
      <c r="U17" s="2" t="n"/>
      <c r="V17" s="2" t="n"/>
      <c r="W17" s="2" t="n"/>
      <c r="X17" s="2" t="n"/>
      <c r="Y17" s="2" t="n"/>
      <c r="Z17" s="2" t="n"/>
      <c r="AA17" s="2" t="n"/>
      <c r="AB17" s="2" t="n"/>
      <c r="AC17" s="2" t="n"/>
    </row>
    <row r="18" ht="36" customHeight="1">
      <c r="A18" s="2" t="n"/>
      <c r="B18" s="27" t="inlineStr">
        <is>
          <t>GN 1/2 polycarbonate container, 150 mm deep</t>
        </is>
      </c>
      <c r="C18" s="27" t="inlineStr">
        <is>
          <t>Intergastro (AT shop)</t>
        </is>
      </c>
      <c r="D18" s="27" t="inlineStr">
        <is>
          <t>Gastronorm Behälter GN 1/2 GN 96 BLACK Polycarbonat schwarz H 150 mm</t>
        </is>
      </c>
      <c r="E18" s="27" t="inlineStr">
        <is>
          <t>WAS Germany</t>
        </is>
      </c>
      <c r="F18" s="28" t="inlineStr">
        <is>
          <t>https://www.intergastro.at/gastronorm-behaelter-gn-1-2-gn-96-black-polycarbonat-schwarz-h-150-mm-1016774</t>
        </is>
      </c>
      <c r="G18" s="121" t="n">
        <v>10.17</v>
      </c>
      <c r="H18" s="27" t="inlineStr">
        <is>
          <t>excl.</t>
        </is>
      </c>
      <c r="I18" s="117" t="n">
        <v>1</v>
      </c>
      <c r="J18" s="27" t="n"/>
      <c r="K18" s="121" t="n">
        <v>10.17</v>
      </c>
      <c r="L18" s="27" t="inlineStr">
        <is>
          <t>EXACT</t>
        </is>
      </c>
      <c r="M18" s="27" t="inlineStr">
        <is>
          <t>Black PC; gross 12.20</t>
        </is>
      </c>
      <c r="N18" s="27" t="inlineStr">
        <is>
          <t>2026-09-30</t>
        </is>
      </c>
      <c r="O18" s="2" t="n"/>
      <c r="P18" s="2" t="n"/>
      <c r="Q18" s="2" t="n"/>
      <c r="R18" s="2" t="n"/>
      <c r="S18" s="2" t="n"/>
      <c r="T18" s="2" t="n"/>
      <c r="U18" s="2" t="n"/>
      <c r="V18" s="2" t="n"/>
      <c r="W18" s="2" t="n"/>
      <c r="X18" s="2" t="n"/>
      <c r="Y18" s="2" t="n"/>
      <c r="Z18" s="2" t="n"/>
      <c r="AA18" s="2" t="n"/>
      <c r="AB18" s="2" t="n"/>
      <c r="AC18" s="2" t="n"/>
    </row>
    <row r="19" ht="50" customHeight="1">
      <c r="A19" s="2" t="n"/>
      <c r="B19" s="24" t="inlineStr">
        <is>
          <t>GN 1/2 polycarbonate container, 150 mm deep</t>
        </is>
      </c>
      <c r="C19" s="24" t="inlineStr">
        <is>
          <t>Jungheinrich PROFISHOP Austria</t>
        </is>
      </c>
      <c r="D19" s="24" t="inlineStr">
        <is>
          <t>Stalgast ARAVEN Gastronormbehälter mit Deckel, Polypropylen, GN 1/2 (150 mm)</t>
        </is>
      </c>
      <c r="E19" s="24" t="inlineStr">
        <is>
          <t>Stalgast / Araven</t>
        </is>
      </c>
      <c r="F19" s="25" t="inlineStr">
        <is>
          <t>https://www.jh-profishop.at/p/stalgast-araven-gastronormbehaelter-mit-deckel-polypropylen-gn-1-2-150-mm-928334-347849/</t>
        </is>
      </c>
      <c r="G19" s="120" t="n">
        <v>37.9</v>
      </c>
      <c r="H19" s="24" t="inlineStr">
        <is>
          <t>excl.</t>
        </is>
      </c>
      <c r="I19" s="116" t="n">
        <v>1</v>
      </c>
      <c r="J19" s="24" t="n"/>
      <c r="K19" s="120" t="n">
        <v>37.9</v>
      </c>
      <c r="L19" s="24" t="inlineStr">
        <is>
          <t>APPROX</t>
        </is>
      </c>
      <c r="M19" s="24" t="inlineStr">
        <is>
          <t>Polypropylene (not polycarbonate) and includes lid; no PC GN 1/2 150 mm found</t>
        </is>
      </c>
      <c r="N19" s="24" t="inlineStr">
        <is>
          <t>2026-09-30</t>
        </is>
      </c>
      <c r="O19" s="2" t="n"/>
      <c r="P19" s="2" t="n"/>
      <c r="Q19" s="2" t="n"/>
      <c r="R19" s="2" t="n"/>
      <c r="S19" s="2" t="n"/>
      <c r="T19" s="2" t="n"/>
      <c r="U19" s="2" t="n"/>
      <c r="V19" s="2" t="n"/>
      <c r="W19" s="2" t="n"/>
      <c r="X19" s="2" t="n"/>
      <c r="Y19" s="2" t="n"/>
      <c r="Z19" s="2" t="n"/>
      <c r="AA19" s="2" t="n"/>
      <c r="AB19" s="2" t="n"/>
      <c r="AC19" s="2" t="n"/>
    </row>
    <row r="20" ht="36" customHeight="1">
      <c r="A20" s="2" t="n"/>
      <c r="B20" s="27" t="inlineStr">
        <is>
          <t>GN 1/2 polycarbonate container, 150 mm deep</t>
        </is>
      </c>
      <c r="C20" s="27" t="inlineStr">
        <is>
          <t>shopbuero.com</t>
        </is>
      </c>
      <c r="D20" s="27" t="inlineStr">
        <is>
          <t>GN-Behälter - GN 1/2 (325 x 265 mm) - 150 mm - Inhalt 9,0 l - Polycarbonat</t>
        </is>
      </c>
      <c r="E20" s="27" t="inlineStr">
        <is>
          <t>Schneider</t>
        </is>
      </c>
      <c r="F20" s="28" t="inlineStr">
        <is>
          <t>https://shopbuero.com/gn-behaelter-gn-1-2-325-x-265-mm-150-mm-inhalt-9-0-l-polycarbonat/530112-C</t>
        </is>
      </c>
      <c r="G20" s="121" t="n">
        <v>10.9</v>
      </c>
      <c r="H20" s="27" t="inlineStr">
        <is>
          <t>excl.</t>
        </is>
      </c>
      <c r="I20" s="117" t="n">
        <v>1</v>
      </c>
      <c r="J20" s="27" t="n"/>
      <c r="K20" s="121" t="n">
        <v>10.9</v>
      </c>
      <c r="L20" s="27" t="inlineStr">
        <is>
          <t>EXACT</t>
        </is>
      </c>
      <c r="M20" s="27" t="inlineStr">
        <is>
          <t>Regular price 17.20</t>
        </is>
      </c>
      <c r="N20" s="27" t="inlineStr">
        <is>
          <t>2026-09-30</t>
        </is>
      </c>
      <c r="O20" s="2" t="n"/>
      <c r="P20" s="2" t="n"/>
      <c r="Q20" s="2" t="n"/>
      <c r="R20" s="2" t="n"/>
      <c r="S20" s="2" t="n"/>
      <c r="T20" s="2" t="n"/>
      <c r="U20" s="2" t="n"/>
      <c r="V20" s="2" t="n"/>
      <c r="W20" s="2" t="n"/>
      <c r="X20" s="2" t="n"/>
      <c r="Y20" s="2" t="n"/>
      <c r="Z20" s="2" t="n"/>
      <c r="AA20" s="2" t="n"/>
      <c r="AB20" s="2" t="n"/>
      <c r="AC20" s="2" t="n"/>
    </row>
    <row r="21" ht="36" customHeight="1">
      <c r="A21" s="2" t="n"/>
      <c r="B21" s="24" t="inlineStr">
        <is>
          <t>GN 1/3 polypropylene container, 100 mm deep</t>
        </is>
      </c>
      <c r="C21" s="24" t="inlineStr">
        <is>
          <t>GastroHero Österreich</t>
        </is>
      </c>
      <c r="D21" s="24" t="inlineStr">
        <is>
          <t>Araven GN1/3 Lebensmittelbehälter blau 100 mm</t>
        </is>
      </c>
      <c r="E21" s="24" t="inlineStr">
        <is>
          <t>Araven</t>
        </is>
      </c>
      <c r="F21" s="25" t="inlineStr">
        <is>
          <t>https://www.gastro-hero.at/products/araven-gn13-lebensmittelbehaelter-blau-100-mm-gp579</t>
        </is>
      </c>
      <c r="G21" s="120" t="n">
        <v>18.09</v>
      </c>
      <c r="H21" s="24" t="inlineStr">
        <is>
          <t>excl.</t>
        </is>
      </c>
      <c r="I21" s="116" t="n">
        <v>1</v>
      </c>
      <c r="J21" s="24" t="n"/>
      <c r="K21" s="120" t="n">
        <v>18.09</v>
      </c>
      <c r="L21" s="24" t="inlineStr">
        <is>
          <t>EXACT</t>
        </is>
      </c>
      <c r="M21" s="24" t="inlineStr">
        <is>
          <t>Polypropylene, colour-coded blue; sale price (normal 18.59)</t>
        </is>
      </c>
      <c r="N21" s="24" t="inlineStr">
        <is>
          <t>2026-09-30</t>
        </is>
      </c>
      <c r="O21" s="2" t="n"/>
      <c r="P21" s="2" t="n"/>
      <c r="Q21" s="2" t="n"/>
      <c r="R21" s="2" t="n"/>
      <c r="S21" s="2" t="n"/>
      <c r="T21" s="2" t="n"/>
      <c r="U21" s="2" t="n"/>
      <c r="V21" s="2" t="n"/>
      <c r="W21" s="2" t="n"/>
      <c r="X21" s="2" t="n"/>
      <c r="Y21" s="2" t="n"/>
      <c r="Z21" s="2" t="n"/>
      <c r="AA21" s="2" t="n"/>
      <c r="AB21" s="2" t="n"/>
      <c r="AC21" s="2" t="n"/>
    </row>
    <row r="22" ht="36" customHeight="1">
      <c r="A22" s="2" t="n"/>
      <c r="B22" s="27" t="inlineStr">
        <is>
          <t>GN 1/3 polypropylene container, 100 mm deep</t>
        </is>
      </c>
      <c r="C22" s="27" t="inlineStr">
        <is>
          <t>Gastrodax</t>
        </is>
      </c>
      <c r="D22" s="27" t="inlineStr">
        <is>
          <t>Hendi Gastronorm-Behälter 1/3, GN 1/3, 4L, Transparent, 325x176x(H)100mm – Polypropylen</t>
        </is>
      </c>
      <c r="E22" s="27" t="inlineStr">
        <is>
          <t>Hendi</t>
        </is>
      </c>
      <c r="F22" s="28" t="inlineStr">
        <is>
          <t>https://www.gastrodax.de/hendi-haccp-aufbewahrungsbehaelter-gn-1-3-4-l-transparent-325-x-176-x-h-100-mm</t>
        </is>
      </c>
      <c r="G22" s="121" t="n">
        <v>18.6</v>
      </c>
      <c r="H22" s="27" t="inlineStr">
        <is>
          <t>excl.</t>
        </is>
      </c>
      <c r="I22" s="117" t="n">
        <v>1</v>
      </c>
      <c r="J22" s="27" t="n"/>
      <c r="K22" s="121" t="n">
        <v>18.6</v>
      </c>
      <c r="L22" s="27" t="inlineStr">
        <is>
          <t>EXACT</t>
        </is>
      </c>
      <c r="M22" s="27" t="n"/>
      <c r="N22" s="27" t="inlineStr">
        <is>
          <t>2026-09-30</t>
        </is>
      </c>
      <c r="O22" s="2" t="n"/>
      <c r="P22" s="2" t="n"/>
      <c r="Q22" s="2" t="n"/>
      <c r="R22" s="2" t="n"/>
      <c r="S22" s="2" t="n"/>
      <c r="T22" s="2" t="n"/>
      <c r="U22" s="2" t="n"/>
      <c r="V22" s="2" t="n"/>
      <c r="W22" s="2" t="n"/>
      <c r="X22" s="2" t="n"/>
      <c r="Y22" s="2" t="n"/>
      <c r="Z22" s="2" t="n"/>
      <c r="AA22" s="2" t="n"/>
      <c r="AB22" s="2" t="n"/>
      <c r="AC22" s="2" t="n"/>
    </row>
    <row r="23" ht="36" customHeight="1">
      <c r="A23" s="2" t="n"/>
      <c r="B23" s="24" t="inlineStr">
        <is>
          <t>GN 1/3 polypropylene container, 100 mm deep</t>
        </is>
      </c>
      <c r="C23" s="24" t="inlineStr">
        <is>
          <t>Gastroladen.at (Harotec GmbH)</t>
        </is>
      </c>
      <c r="D23" s="24" t="inlineStr">
        <is>
          <t>Cambro Polypropylen GN 1/3 Behälter 100mm</t>
        </is>
      </c>
      <c r="E23" s="24" t="inlineStr">
        <is>
          <t>Cambro</t>
        </is>
      </c>
      <c r="F23" s="25" t="inlineStr">
        <is>
          <t>https://www.gastroladen.at/3030@GN-DW504/Cambro-Polypropylen-GN-1-3-Beh%C3%A4lter-100mm.htm</t>
        </is>
      </c>
      <c r="G23" s="120" t="n">
        <v>6.98</v>
      </c>
      <c r="H23" s="24" t="inlineStr">
        <is>
          <t>incl.</t>
        </is>
      </c>
      <c r="I23" s="116" t="n">
        <v>1</v>
      </c>
      <c r="J23" s="24" t="n"/>
      <c r="K23" s="120" t="n">
        <v>5.82</v>
      </c>
      <c r="L23" s="24" t="inlineStr">
        <is>
          <t>EXACT</t>
        </is>
      </c>
      <c r="M23" s="24" t="inlineStr">
        <is>
          <t>3.6 l</t>
        </is>
      </c>
      <c r="N23" s="24" t="inlineStr">
        <is>
          <t>2026-09-30</t>
        </is>
      </c>
      <c r="O23" s="2" t="n"/>
      <c r="P23" s="2" t="n"/>
      <c r="Q23" s="2" t="n"/>
      <c r="R23" s="2" t="n"/>
      <c r="S23" s="2" t="n"/>
      <c r="T23" s="2" t="n"/>
      <c r="U23" s="2" t="n"/>
      <c r="V23" s="2" t="n"/>
      <c r="W23" s="2" t="n"/>
      <c r="X23" s="2" t="n"/>
      <c r="Y23" s="2" t="n"/>
      <c r="Z23" s="2" t="n"/>
      <c r="AA23" s="2" t="n"/>
      <c r="AB23" s="2" t="n"/>
      <c r="AC23" s="2" t="n"/>
    </row>
    <row r="24" ht="36" customHeight="1">
      <c r="A24" s="2" t="n"/>
      <c r="B24" s="27" t="inlineStr">
        <is>
          <t>GN 1/3 polypropylene container, 100 mm deep</t>
        </is>
      </c>
      <c r="C24" s="27" t="inlineStr">
        <is>
          <t>Intergastro (AT shop)</t>
        </is>
      </c>
      <c r="D24" s="27" t="inlineStr">
        <is>
          <t>GN-Behälter GN 1/3 x 100 mm Kunststoff transparent-weiß (Polypropylen)</t>
        </is>
      </c>
      <c r="E24" s="27" t="inlineStr">
        <is>
          <t>Contacto</t>
        </is>
      </c>
      <c r="F24" s="28" t="inlineStr">
        <is>
          <t>https://www.intergastro.at/gn-behaelter-gn-1-3-x-100-mm-kunststoff-transparent-weiss-251459</t>
        </is>
      </c>
      <c r="G24" s="121" t="n">
        <v>10</v>
      </c>
      <c r="H24" s="27" t="inlineStr">
        <is>
          <t>excl.</t>
        </is>
      </c>
      <c r="I24" s="117" t="n">
        <v>1</v>
      </c>
      <c r="J24" s="27" t="n"/>
      <c r="K24" s="121" t="n">
        <v>10</v>
      </c>
      <c r="L24" s="27" t="inlineStr">
        <is>
          <t>EXACT</t>
        </is>
      </c>
      <c r="M24" s="27" t="inlineStr">
        <is>
          <t>Gross 12.00</t>
        </is>
      </c>
      <c r="N24" s="27" t="inlineStr">
        <is>
          <t>2026-09-30</t>
        </is>
      </c>
      <c r="O24" s="2" t="n"/>
      <c r="P24" s="2" t="n"/>
      <c r="Q24" s="2" t="n"/>
      <c r="R24" s="2" t="n"/>
      <c r="S24" s="2" t="n"/>
      <c r="T24" s="2" t="n"/>
      <c r="U24" s="2" t="n"/>
      <c r="V24" s="2" t="n"/>
      <c r="W24" s="2" t="n"/>
      <c r="X24" s="2" t="n"/>
      <c r="Y24" s="2" t="n"/>
      <c r="Z24" s="2" t="n"/>
      <c r="AA24" s="2" t="n"/>
      <c r="AB24" s="2" t="n"/>
      <c r="AC24" s="2" t="n"/>
    </row>
    <row r="25" ht="36" customHeight="1">
      <c r="A25" s="2" t="n"/>
      <c r="B25" s="24" t="inlineStr">
        <is>
          <t>GN 1/3 polypropylene container, 100 mm deep</t>
        </is>
      </c>
      <c r="C25" s="24" t="inlineStr">
        <is>
          <t>Jungheinrich PROFISHOP Austria</t>
        </is>
      </c>
      <c r="D25" s="24" t="inlineStr">
        <is>
          <t>Stalgast Gastronormbehälter, Polypropylen, GN 1/3 (100 mm)</t>
        </is>
      </c>
      <c r="E25" s="24" t="inlineStr">
        <is>
          <t>Stalgast</t>
        </is>
      </c>
      <c r="F25" s="25" t="inlineStr">
        <is>
          <t>https://www.jh-profishop.at/p/stalgast-gastronormbehaelter-polypropylen-gn-1-3-100-mm-928342-347857/</t>
        </is>
      </c>
      <c r="G25" s="120" t="n">
        <v>14</v>
      </c>
      <c r="H25" s="24" t="inlineStr">
        <is>
          <t>excl.</t>
        </is>
      </c>
      <c r="I25" s="116" t="n">
        <v>1</v>
      </c>
      <c r="J25" s="24" t="n"/>
      <c r="K25" s="120" t="n">
        <v>14</v>
      </c>
      <c r="L25" s="24" t="inlineStr">
        <is>
          <t>EXACT</t>
        </is>
      </c>
      <c r="M25" s="24" t="n"/>
      <c r="N25" s="24" t="inlineStr">
        <is>
          <t>2026-09-30</t>
        </is>
      </c>
      <c r="O25" s="2" t="n"/>
      <c r="P25" s="2" t="n"/>
      <c r="Q25" s="2" t="n"/>
      <c r="R25" s="2" t="n"/>
      <c r="S25" s="2" t="n"/>
      <c r="T25" s="2" t="n"/>
      <c r="U25" s="2" t="n"/>
      <c r="V25" s="2" t="n"/>
      <c r="W25" s="2" t="n"/>
      <c r="X25" s="2" t="n"/>
      <c r="Y25" s="2" t="n"/>
      <c r="Z25" s="2" t="n"/>
      <c r="AA25" s="2" t="n"/>
      <c r="AB25" s="2" t="n"/>
      <c r="AC25" s="2" t="n"/>
    </row>
    <row r="26" ht="36" customHeight="1">
      <c r="A26" s="2" t="n"/>
      <c r="B26" s="27" t="inlineStr">
        <is>
          <t>GN 1/3 polypropylene container, 100 mm deep</t>
        </is>
      </c>
      <c r="C26" s="27" t="inlineStr">
        <is>
          <t>shopbuero.com</t>
        </is>
      </c>
      <c r="D26" s="27" t="inlineStr">
        <is>
          <t>GN-Behälter - Inhalt 3,8 l - GN 1/3 (325 x 176 mm) - 100 mm - Polypropylen</t>
        </is>
      </c>
      <c r="E26" s="27" t="inlineStr">
        <is>
          <t>Schneider</t>
        </is>
      </c>
      <c r="F26" s="28" t="inlineStr">
        <is>
          <t>https://shopbuero.com/gn-behaelter-inhalt-3-8-l-gn-1-3-325-x-176-mm-100-mm-polypropylen/530021-C</t>
        </is>
      </c>
      <c r="G26" s="121" t="n">
        <v>4.5</v>
      </c>
      <c r="H26" s="27" t="inlineStr">
        <is>
          <t>excl.</t>
        </is>
      </c>
      <c r="I26" s="117" t="n">
        <v>1</v>
      </c>
      <c r="J26" s="27" t="n"/>
      <c r="K26" s="121" t="n">
        <v>4.5</v>
      </c>
      <c r="L26" s="27" t="inlineStr">
        <is>
          <t>EXACT</t>
        </is>
      </c>
      <c r="M26" s="27" t="inlineStr">
        <is>
          <t>Regular price 6.90</t>
        </is>
      </c>
      <c r="N26" s="27" t="inlineStr">
        <is>
          <t>2026-09-30</t>
        </is>
      </c>
      <c r="O26" s="2" t="n"/>
      <c r="P26" s="2" t="n"/>
      <c r="Q26" s="2" t="n"/>
      <c r="R26" s="2" t="n"/>
      <c r="S26" s="2" t="n"/>
      <c r="T26" s="2" t="n"/>
      <c r="U26" s="2" t="n"/>
      <c r="V26" s="2" t="n"/>
      <c r="W26" s="2" t="n"/>
      <c r="X26" s="2" t="n"/>
      <c r="Y26" s="2" t="n"/>
      <c r="Z26" s="2" t="n"/>
      <c r="AA26" s="2" t="n"/>
      <c r="AB26" s="2" t="n"/>
      <c r="AC26" s="2" t="n"/>
    </row>
    <row r="27" ht="36" customHeight="1">
      <c r="A27" s="2" t="n"/>
      <c r="B27" s="24" t="inlineStr">
        <is>
          <t>GN 1/1 polypropylene lid</t>
        </is>
      </c>
      <c r="C27" s="24" t="inlineStr">
        <is>
          <t>GastroHero Österreich</t>
        </is>
      </c>
      <c r="D27" s="24" t="inlineStr">
        <is>
          <t>Schneider PP GN 1/1 Deckel, einrastend</t>
        </is>
      </c>
      <c r="E27" s="24" t="inlineStr">
        <is>
          <t>Schneider</t>
        </is>
      </c>
      <c r="F27" s="25" t="inlineStr">
        <is>
          <t>https://www.gastro-hero.at/products/schneider-pp-gn-11-deckel-einrastend-530005</t>
        </is>
      </c>
      <c r="G27" s="120" t="n">
        <v>11.69</v>
      </c>
      <c r="H27" s="24" t="inlineStr">
        <is>
          <t>excl.</t>
        </is>
      </c>
      <c r="I27" s="116" t="n">
        <v>1</v>
      </c>
      <c r="J27" s="24" t="n"/>
      <c r="K27" s="120" t="n">
        <v>11.69</v>
      </c>
      <c r="L27" s="24" t="inlineStr">
        <is>
          <t>EXACT</t>
        </is>
      </c>
      <c r="M27" s="24" t="inlineStr">
        <is>
          <t>Min. qty 4</t>
        </is>
      </c>
      <c r="N27" s="24" t="inlineStr">
        <is>
          <t>2026-09-30</t>
        </is>
      </c>
      <c r="O27" s="2" t="n"/>
      <c r="P27" s="2" t="n"/>
      <c r="Q27" s="2" t="n"/>
      <c r="R27" s="2" t="n"/>
      <c r="S27" s="2" t="n"/>
      <c r="T27" s="2" t="n"/>
      <c r="U27" s="2" t="n"/>
      <c r="V27" s="2" t="n"/>
      <c r="W27" s="2" t="n"/>
      <c r="X27" s="2" t="n"/>
      <c r="Y27" s="2" t="n"/>
      <c r="Z27" s="2" t="n"/>
      <c r="AA27" s="2" t="n"/>
      <c r="AB27" s="2" t="n"/>
      <c r="AC27" s="2" t="n"/>
    </row>
    <row r="28" ht="36" customHeight="1">
      <c r="A28" s="2" t="n"/>
      <c r="B28" s="27" t="inlineStr">
        <is>
          <t>GN 1/1 polypropylene lid</t>
        </is>
      </c>
      <c r="C28" s="27" t="inlineStr">
        <is>
          <t>Gastrodax</t>
        </is>
      </c>
      <c r="D28" s="27" t="inlineStr">
        <is>
          <t>Hendi Gastronorm-Deckel, GN 1/1, Transparent, 530x325mm</t>
        </is>
      </c>
      <c r="E28" s="27" t="inlineStr">
        <is>
          <t>Hendi</t>
        </is>
      </c>
      <c r="F28" s="28" t="inlineStr">
        <is>
          <t>https://www.gastrodax.de/hendi-gastronorm-deckel-gn-1-1-transparent-530-x-325-mm</t>
        </is>
      </c>
      <c r="G28" s="121" t="n">
        <v>16.66</v>
      </c>
      <c r="H28" s="27" t="inlineStr">
        <is>
          <t>excl.</t>
        </is>
      </c>
      <c r="I28" s="117" t="n">
        <v>1</v>
      </c>
      <c r="J28" s="27" t="n"/>
      <c r="K28" s="121" t="n">
        <v>16.66</v>
      </c>
      <c r="L28" s="27" t="inlineStr">
        <is>
          <t>CLOSE</t>
        </is>
      </c>
      <c r="M28" s="27" t="inlineStr">
        <is>
          <t>Lid for Hendi polypropylene GN containers; lid material not explicitly stated</t>
        </is>
      </c>
      <c r="N28" s="27" t="inlineStr">
        <is>
          <t>2026-09-30</t>
        </is>
      </c>
      <c r="O28" s="2" t="n"/>
      <c r="P28" s="2" t="n"/>
      <c r="Q28" s="2" t="n"/>
      <c r="R28" s="2" t="n"/>
      <c r="S28" s="2" t="n"/>
      <c r="T28" s="2" t="n"/>
      <c r="U28" s="2" t="n"/>
      <c r="V28" s="2" t="n"/>
      <c r="W28" s="2" t="n"/>
      <c r="X28" s="2" t="n"/>
      <c r="Y28" s="2" t="n"/>
      <c r="Z28" s="2" t="n"/>
      <c r="AA28" s="2" t="n"/>
      <c r="AB28" s="2" t="n"/>
      <c r="AC28" s="2" t="n"/>
    </row>
    <row r="29" ht="36" customHeight="1">
      <c r="A29" s="2" t="n"/>
      <c r="B29" s="24" t="inlineStr">
        <is>
          <t>GN 1/1 polypropylene lid</t>
        </is>
      </c>
      <c r="C29" s="24" t="inlineStr">
        <is>
          <t>Gastroladen.at (Harotec GmbH)</t>
        </is>
      </c>
      <c r="D29" s="24" t="inlineStr">
        <is>
          <t>Cambro biegsamer Polypropylen Deckel GN 1/1</t>
        </is>
      </c>
      <c r="E29" s="24" t="inlineStr">
        <is>
          <t>Cambro</t>
        </is>
      </c>
      <c r="F29" s="25" t="inlineStr">
        <is>
          <t>https://www.gastroladen.at/3030@GN-DM743/Cambro-biegsamer-Polypropylen-Deckel-GN-1-1.htm</t>
        </is>
      </c>
      <c r="G29" s="120" t="n">
        <v>11.09</v>
      </c>
      <c r="H29" s="24" t="inlineStr">
        <is>
          <t>incl.</t>
        </is>
      </c>
      <c r="I29" s="116" t="n">
        <v>1</v>
      </c>
      <c r="J29" s="24" t="n"/>
      <c r="K29" s="120" t="n">
        <v>9.24</v>
      </c>
      <c r="L29" s="24" t="inlineStr">
        <is>
          <t>EXACT</t>
        </is>
      </c>
      <c r="M29" s="24" t="inlineStr">
        <is>
          <t>Flexible PP lid with seal</t>
        </is>
      </c>
      <c r="N29" s="24" t="inlineStr">
        <is>
          <t>2026-09-30</t>
        </is>
      </c>
      <c r="O29" s="2" t="n"/>
      <c r="P29" s="2" t="n"/>
      <c r="Q29" s="2" t="n"/>
      <c r="R29" s="2" t="n"/>
      <c r="S29" s="2" t="n"/>
      <c r="T29" s="2" t="n"/>
      <c r="U29" s="2" t="n"/>
      <c r="V29" s="2" t="n"/>
      <c r="W29" s="2" t="n"/>
      <c r="X29" s="2" t="n"/>
      <c r="Y29" s="2" t="n"/>
      <c r="Z29" s="2" t="n"/>
      <c r="AA29" s="2" t="n"/>
      <c r="AB29" s="2" t="n"/>
      <c r="AC29" s="2" t="n"/>
    </row>
    <row r="30" ht="36" customHeight="1">
      <c r="A30" s="2" t="n"/>
      <c r="B30" s="27" t="inlineStr">
        <is>
          <t>GN 1/1 polypropylene lid</t>
        </is>
      </c>
      <c r="C30" s="27" t="inlineStr">
        <is>
          <t>Intergastro (AT shop)</t>
        </is>
      </c>
      <c r="D30" s="27" t="inlineStr">
        <is>
          <t>GN Deckel GN 89 GN 1/1 Polypropylen weiß</t>
        </is>
      </c>
      <c r="E30" s="27" t="inlineStr">
        <is>
          <t>WAS Germany</t>
        </is>
      </c>
      <c r="F30" s="28" t="inlineStr">
        <is>
          <t>https://www.intergastro.at/gn-deckel-gn-89-gn-1-1-polypropylen-weiss-252554</t>
        </is>
      </c>
      <c r="G30" s="121" t="n">
        <v>7.5</v>
      </c>
      <c r="H30" s="27" t="inlineStr">
        <is>
          <t>excl.</t>
        </is>
      </c>
      <c r="I30" s="117" t="n">
        <v>1</v>
      </c>
      <c r="J30" s="27" t="n"/>
      <c r="K30" s="121" t="n">
        <v>7.5</v>
      </c>
      <c r="L30" s="27" t="inlineStr">
        <is>
          <t>EXACT</t>
        </is>
      </c>
      <c r="M30" s="27" t="inlineStr">
        <is>
          <t>Gross 9.00</t>
        </is>
      </c>
      <c r="N30" s="27" t="inlineStr">
        <is>
          <t>2026-09-30</t>
        </is>
      </c>
      <c r="O30" s="2" t="n"/>
      <c r="P30" s="2" t="n"/>
      <c r="Q30" s="2" t="n"/>
      <c r="R30" s="2" t="n"/>
      <c r="S30" s="2" t="n"/>
      <c r="T30" s="2" t="n"/>
      <c r="U30" s="2" t="n"/>
      <c r="V30" s="2" t="n"/>
      <c r="W30" s="2" t="n"/>
      <c r="X30" s="2" t="n"/>
      <c r="Y30" s="2" t="n"/>
      <c r="Z30" s="2" t="n"/>
      <c r="AA30" s="2" t="n"/>
      <c r="AB30" s="2" t="n"/>
      <c r="AC30" s="2" t="n"/>
    </row>
    <row r="31" ht="36" customHeight="1">
      <c r="A31" s="2" t="n"/>
      <c r="B31" s="24" t="inlineStr">
        <is>
          <t>GN 1/1 polypropylene lid</t>
        </is>
      </c>
      <c r="C31" s="24" t="inlineStr">
        <is>
          <t>shopbuero.com</t>
        </is>
      </c>
      <c r="D31" s="24" t="inlineStr">
        <is>
          <t>GN-Deckel - einrastend - GN 1/1 (530 x 325 mm) - Polypropylen</t>
        </is>
      </c>
      <c r="E31" s="24" t="inlineStr">
        <is>
          <t>Schneider</t>
        </is>
      </c>
      <c r="F31" s="25" t="inlineStr">
        <is>
          <t>https://shopbuero.com/gn-deckel-einrastend-gn-1-1-530-x-325-mm-polypropylen/530005-C</t>
        </is>
      </c>
      <c r="G31" s="120" t="n">
        <v>5</v>
      </c>
      <c r="H31" s="24" t="inlineStr">
        <is>
          <t>excl.</t>
        </is>
      </c>
      <c r="I31" s="116" t="n">
        <v>1</v>
      </c>
      <c r="J31" s="24" t="n"/>
      <c r="K31" s="120" t="n">
        <v>5</v>
      </c>
      <c r="L31" s="24" t="inlineStr">
        <is>
          <t>EXACT</t>
        </is>
      </c>
      <c r="M31" s="24" t="inlineStr">
        <is>
          <t>Regular price 7.65. APS PP lid 82101-B: 4.20</t>
        </is>
      </c>
      <c r="N31" s="24" t="inlineStr">
        <is>
          <t>2026-09-30</t>
        </is>
      </c>
      <c r="O31" s="2" t="n"/>
      <c r="P31" s="2" t="n"/>
      <c r="Q31" s="2" t="n"/>
      <c r="R31" s="2" t="n"/>
      <c r="S31" s="2" t="n"/>
      <c r="T31" s="2" t="n"/>
      <c r="U31" s="2" t="n"/>
      <c r="V31" s="2" t="n"/>
      <c r="W31" s="2" t="n"/>
      <c r="X31" s="2" t="n"/>
      <c r="Y31" s="2" t="n"/>
      <c r="Z31" s="2" t="n"/>
      <c r="AA31" s="2" t="n"/>
      <c r="AB31" s="2" t="n"/>
      <c r="AC31" s="2" t="n"/>
    </row>
    <row r="32" ht="36" customHeight="1">
      <c r="A32" s="2" t="n"/>
      <c r="B32" s="27" t="inlineStr">
        <is>
          <t>Squeeze bottle 500 ml, PP, single tip</t>
        </is>
      </c>
      <c r="C32" s="27" t="inlineStr">
        <is>
          <t>ALLPAX Österreich</t>
        </is>
      </c>
      <c r="D32" s="27" t="inlineStr">
        <is>
          <t>Quetschflasche PE 0,45 l, mit Schraubdeckel, 6 Stück</t>
        </is>
      </c>
      <c r="E32" s="27" t="n"/>
      <c r="F32" s="28" t="inlineStr">
        <is>
          <t>https://www.allpax.at/product_info.php/info/Quetschflasche-PE-0-45-l-mit-Schraubdeckel-6-St-uuml-ck.html</t>
        </is>
      </c>
      <c r="G32" s="121" t="n">
        <v>8.5</v>
      </c>
      <c r="H32" s="27" t="inlineStr">
        <is>
          <t>excl.</t>
        </is>
      </c>
      <c r="I32" s="117" t="n">
        <v>6</v>
      </c>
      <c r="J32" s="27" t="inlineStr">
        <is>
          <t>set of 6</t>
        </is>
      </c>
      <c r="K32" s="121" t="n">
        <v>1.42</v>
      </c>
      <c r="L32" s="27" t="inlineStr">
        <is>
          <t>CLOSE</t>
        </is>
      </c>
      <c r="M32" s="27" t="inlineStr">
        <is>
          <t>450 ml, polyethylene (not PP); site shows 1 pc = 1.42</t>
        </is>
      </c>
      <c r="N32" s="27" t="inlineStr">
        <is>
          <t>2026-09-30</t>
        </is>
      </c>
      <c r="O32" s="2" t="n"/>
      <c r="P32" s="2" t="n"/>
      <c r="Q32" s="2" t="n"/>
      <c r="R32" s="2" t="n"/>
      <c r="S32" s="2" t="n"/>
      <c r="T32" s="2" t="n"/>
      <c r="U32" s="2" t="n"/>
      <c r="V32" s="2" t="n"/>
      <c r="W32" s="2" t="n"/>
      <c r="X32" s="2" t="n"/>
      <c r="Y32" s="2" t="n"/>
      <c r="Z32" s="2" t="n"/>
      <c r="AA32" s="2" t="n"/>
      <c r="AB32" s="2" t="n"/>
      <c r="AC32" s="2" t="n"/>
    </row>
    <row r="33" ht="36" customHeight="1">
      <c r="A33" s="2" t="n"/>
      <c r="B33" s="24" t="inlineStr">
        <is>
          <t>Squeeze bottle 500 ml, PP, single tip</t>
        </is>
      </c>
      <c r="C33" s="24" t="inlineStr">
        <is>
          <t>GastroHero Österreich</t>
        </is>
      </c>
      <c r="D33" s="24" t="inlineStr">
        <is>
          <t>Schneider PP Quetschflasche transparent 500 ml</t>
        </is>
      </c>
      <c r="E33" s="24" t="inlineStr">
        <is>
          <t>Schneider</t>
        </is>
      </c>
      <c r="F33" s="25" t="inlineStr">
        <is>
          <t>https://www.gastro-hero.at/products/schneider-pp-quetschflasche-transparent-500-ml-200491</t>
        </is>
      </c>
      <c r="G33" s="120" t="n">
        <v>3.89</v>
      </c>
      <c r="H33" s="24" t="inlineStr">
        <is>
          <t>excl.</t>
        </is>
      </c>
      <c r="I33" s="116" t="n">
        <v>1</v>
      </c>
      <c r="J33" s="24" t="n"/>
      <c r="K33" s="120" t="n">
        <v>3.89</v>
      </c>
      <c r="L33" s="24" t="inlineStr">
        <is>
          <t>EXACT</t>
        </is>
      </c>
      <c r="M33" s="24" t="inlineStr">
        <is>
          <t>Min. qty 12</t>
        </is>
      </c>
      <c r="N33" s="24" t="inlineStr">
        <is>
          <t>2026-09-30</t>
        </is>
      </c>
      <c r="O33" s="2" t="n"/>
      <c r="P33" s="2" t="n"/>
      <c r="Q33" s="2" t="n"/>
      <c r="R33" s="2" t="n"/>
      <c r="S33" s="2" t="n"/>
      <c r="T33" s="2" t="n"/>
      <c r="U33" s="2" t="n"/>
      <c r="V33" s="2" t="n"/>
      <c r="W33" s="2" t="n"/>
      <c r="X33" s="2" t="n"/>
      <c r="Y33" s="2" t="n"/>
      <c r="Z33" s="2" t="n"/>
      <c r="AA33" s="2" t="n"/>
      <c r="AB33" s="2" t="n"/>
      <c r="AC33" s="2" t="n"/>
    </row>
    <row r="34" ht="36" customHeight="1">
      <c r="A34" s="2" t="n"/>
      <c r="B34" s="27" t="inlineStr">
        <is>
          <t>Squeeze bottle 500 ml, PP, single tip</t>
        </is>
      </c>
      <c r="C34" s="27" t="inlineStr">
        <is>
          <t>Gastrodax</t>
        </is>
      </c>
      <c r="D34" s="27" t="inlineStr">
        <is>
          <t>Contacto Quetschflasche 0,5 l</t>
        </is>
      </c>
      <c r="E34" s="27" t="inlineStr">
        <is>
          <t>Contacto</t>
        </is>
      </c>
      <c r="F34" s="28" t="inlineStr">
        <is>
          <t>https://www.gastrodax.de/contacto-quetschflasche-0-5-l</t>
        </is>
      </c>
      <c r="G34" s="121" t="n">
        <v>2.32</v>
      </c>
      <c r="H34" s="27" t="inlineStr">
        <is>
          <t>excl.</t>
        </is>
      </c>
      <c r="I34" s="117" t="n">
        <v>1</v>
      </c>
      <c r="J34" s="27" t="n"/>
      <c r="K34" s="121" t="n">
        <v>2.32</v>
      </c>
      <c r="L34" s="27" t="inlineStr">
        <is>
          <t>CLOSE</t>
        </is>
      </c>
      <c r="M34" s="27" t="inlineStr">
        <is>
          <t>Polyethylene (not PP), bottom-fill FIFO type with silicone valve; sale price, normal 2.90</t>
        </is>
      </c>
      <c r="N34" s="27" t="inlineStr">
        <is>
          <t>2026-09-30</t>
        </is>
      </c>
      <c r="O34" s="2" t="n"/>
      <c r="P34" s="2" t="n"/>
      <c r="Q34" s="2" t="n"/>
      <c r="R34" s="2" t="n"/>
      <c r="S34" s="2" t="n"/>
      <c r="T34" s="2" t="n"/>
      <c r="U34" s="2" t="n"/>
      <c r="V34" s="2" t="n"/>
      <c r="W34" s="2" t="n"/>
      <c r="X34" s="2" t="n"/>
      <c r="Y34" s="2" t="n"/>
      <c r="Z34" s="2" t="n"/>
      <c r="AA34" s="2" t="n"/>
      <c r="AB34" s="2" t="n"/>
      <c r="AC34" s="2" t="n"/>
    </row>
    <row r="35" ht="36" customHeight="1">
      <c r="A35" s="2" t="n"/>
      <c r="B35" s="24" t="inlineStr">
        <is>
          <t>Squeeze bottle 500 ml, PP, single tip</t>
        </is>
      </c>
      <c r="C35" s="24" t="inlineStr">
        <is>
          <t>Gastroladen.at (Harotec GmbH)</t>
        </is>
      </c>
      <c r="D35" s="24" t="inlineStr">
        <is>
          <t>Vogue Quetschflasche extra breit klar 454ml</t>
        </is>
      </c>
      <c r="E35" s="24" t="inlineStr">
        <is>
          <t>Vogue</t>
        </is>
      </c>
      <c r="F35" s="25" t="inlineStr">
        <is>
          <t>https://www.gastroladen.at/G16771B@GN-E092/Vogue-Quetschflasche-extra-breit-klar-454ml.htm</t>
        </is>
      </c>
      <c r="G35" s="120" t="n">
        <v>4.59</v>
      </c>
      <c r="H35" s="24" t="inlineStr">
        <is>
          <t>incl.</t>
        </is>
      </c>
      <c r="I35" s="116" t="n">
        <v>1</v>
      </c>
      <c r="J35" s="24" t="n"/>
      <c r="K35" s="120" t="n">
        <v>3.83</v>
      </c>
      <c r="L35" s="24" t="inlineStr">
        <is>
          <t>CLOSE</t>
        </is>
      </c>
      <c r="M35" s="24" t="inlineStr">
        <is>
          <t>454 ml, polyethylene (not PP), wide neck, single nozzle; sold singly</t>
        </is>
      </c>
      <c r="N35" s="24" t="inlineStr">
        <is>
          <t>2026-09-30</t>
        </is>
      </c>
      <c r="O35" s="2" t="n"/>
      <c r="P35" s="2" t="n"/>
      <c r="Q35" s="2" t="n"/>
      <c r="R35" s="2" t="n"/>
      <c r="S35" s="2" t="n"/>
      <c r="T35" s="2" t="n"/>
      <c r="U35" s="2" t="n"/>
      <c r="V35" s="2" t="n"/>
      <c r="W35" s="2" t="n"/>
      <c r="X35" s="2" t="n"/>
      <c r="Y35" s="2" t="n"/>
      <c r="Z35" s="2" t="n"/>
      <c r="AA35" s="2" t="n"/>
      <c r="AB35" s="2" t="n"/>
      <c r="AC35" s="2" t="n"/>
    </row>
    <row r="36" ht="36" customHeight="1">
      <c r="A36" s="2" t="n"/>
      <c r="B36" s="27" t="inlineStr">
        <is>
          <t>Squeeze bottle 500 ml, PP, single tip</t>
        </is>
      </c>
      <c r="C36" s="27" t="inlineStr">
        <is>
          <t>Intergastro (AT shop)</t>
        </is>
      </c>
      <c r="D36" s="27" t="inlineStr">
        <is>
          <t>Quetschflasche 490 ml transparent Ø 70 mm H 200 mm (6er Set)</t>
        </is>
      </c>
      <c r="E36" s="27" t="inlineStr">
        <is>
          <t>APS</t>
        </is>
      </c>
      <c r="F36" s="28" t="inlineStr">
        <is>
          <t>https://www.intergastro.at/quetschflasche-490-ml-transparent-70-mm-h-200-mm-985062</t>
        </is>
      </c>
      <c r="G36" s="121" t="n">
        <v>8.73</v>
      </c>
      <c r="H36" s="27" t="inlineStr">
        <is>
          <t>excl.</t>
        </is>
      </c>
      <c r="I36" s="117" t="n">
        <v>6</v>
      </c>
      <c r="J36" s="27" t="inlineStr">
        <is>
          <t>set of 6</t>
        </is>
      </c>
      <c r="K36" s="121" t="n">
        <v>1.46</v>
      </c>
      <c r="L36" s="27" t="inlineStr">
        <is>
          <t>CLOSE</t>
        </is>
      </c>
      <c r="M36" s="27" t="inlineStr">
        <is>
          <t>490 ml; material polyethylene (not PP); price per set of 6, gross 10.48</t>
        </is>
      </c>
      <c r="N36" s="27" t="inlineStr">
        <is>
          <t>2026-09-30</t>
        </is>
      </c>
      <c r="O36" s="2" t="n"/>
      <c r="P36" s="2" t="n"/>
      <c r="Q36" s="2" t="n"/>
      <c r="R36" s="2" t="n"/>
      <c r="S36" s="2" t="n"/>
      <c r="T36" s="2" t="n"/>
      <c r="U36" s="2" t="n"/>
      <c r="V36" s="2" t="n"/>
      <c r="W36" s="2" t="n"/>
      <c r="X36" s="2" t="n"/>
      <c r="Y36" s="2" t="n"/>
      <c r="Z36" s="2" t="n"/>
      <c r="AA36" s="2" t="n"/>
      <c r="AB36" s="2" t="n"/>
      <c r="AC36" s="2" t="n"/>
    </row>
    <row r="37" ht="36" customHeight="1">
      <c r="A37" s="2" t="n"/>
      <c r="B37" s="24" t="inlineStr">
        <is>
          <t>Squeeze bottle 1000 ml, PP, single tip</t>
        </is>
      </c>
      <c r="C37" s="24" t="inlineStr">
        <is>
          <t>GastroHero Österreich</t>
        </is>
      </c>
      <c r="D37" s="24" t="inlineStr">
        <is>
          <t>APS Quetschflasche, transparent, 1,025 L</t>
        </is>
      </c>
      <c r="E37" s="24" t="inlineStr">
        <is>
          <t>APS</t>
        </is>
      </c>
      <c r="F37" s="25" t="inlineStr">
        <is>
          <t>https://www.gastro-hero.at/products/aps-quetschflasche-transparent-1025-l-aps93259</t>
        </is>
      </c>
      <c r="G37" s="120" t="n">
        <v>2.09</v>
      </c>
      <c r="H37" s="24" t="inlineStr">
        <is>
          <t>excl.</t>
        </is>
      </c>
      <c r="I37" s="116" t="n">
        <v>1</v>
      </c>
      <c r="J37" s="24" t="n"/>
      <c r="K37" s="120" t="n">
        <v>2.09</v>
      </c>
      <c r="L37" s="24" t="inlineStr">
        <is>
          <t>CLOSE</t>
        </is>
      </c>
      <c r="M37" s="24" t="inlineStr">
        <is>
          <t>1025 ml, polyethylene (not PP); min. qty 2</t>
        </is>
      </c>
      <c r="N37" s="24" t="inlineStr">
        <is>
          <t>2026-09-30</t>
        </is>
      </c>
      <c r="O37" s="2" t="n"/>
      <c r="P37" s="2" t="n"/>
      <c r="Q37" s="2" t="n"/>
      <c r="R37" s="2" t="n"/>
      <c r="S37" s="2" t="n"/>
      <c r="T37" s="2" t="n"/>
      <c r="U37" s="2" t="n"/>
      <c r="V37" s="2" t="n"/>
      <c r="W37" s="2" t="n"/>
      <c r="X37" s="2" t="n"/>
      <c r="Y37" s="2" t="n"/>
      <c r="Z37" s="2" t="n"/>
      <c r="AA37" s="2" t="n"/>
      <c r="AB37" s="2" t="n"/>
      <c r="AC37" s="2" t="n"/>
    </row>
    <row r="38" ht="31" customHeight="1">
      <c r="A38" s="2" t="n"/>
      <c r="B38" s="27" t="inlineStr">
        <is>
          <t>Squeeze bottle 1000 ml, PP, single tip</t>
        </is>
      </c>
      <c r="C38" s="27" t="inlineStr">
        <is>
          <t>Gastrodax</t>
        </is>
      </c>
      <c r="D38" s="27" t="inlineStr">
        <is>
          <t>Contacto Quetschflasche 0,95 l</t>
        </is>
      </c>
      <c r="E38" s="27" t="inlineStr">
        <is>
          <t>Contacto</t>
        </is>
      </c>
      <c r="F38" s="28" t="inlineStr">
        <is>
          <t>https://www.gastrodax.de/contacto-quetschflasche-0-95-l</t>
        </is>
      </c>
      <c r="G38" s="121" t="n">
        <v>2.76</v>
      </c>
      <c r="H38" s="27" t="inlineStr">
        <is>
          <t>excl.</t>
        </is>
      </c>
      <c r="I38" s="117" t="n">
        <v>1</v>
      </c>
      <c r="J38" s="27" t="n"/>
      <c r="K38" s="121" t="n">
        <v>2.76</v>
      </c>
      <c r="L38" s="27" t="inlineStr">
        <is>
          <t>CLOSE</t>
        </is>
      </c>
      <c r="M38" s="27" t="inlineStr">
        <is>
          <t>950 ml, polyethylene, FIFO bottom-fill; sale price, normal 3.45</t>
        </is>
      </c>
      <c r="N38" s="27" t="inlineStr">
        <is>
          <t>2026-09-30</t>
        </is>
      </c>
      <c r="O38" s="2" t="n"/>
      <c r="P38" s="2" t="n"/>
      <c r="Q38" s="2" t="n"/>
      <c r="R38" s="2" t="n"/>
      <c r="S38" s="2" t="n"/>
      <c r="T38" s="2" t="n"/>
      <c r="U38" s="2" t="n"/>
      <c r="V38" s="2" t="n"/>
      <c r="W38" s="2" t="n"/>
      <c r="X38" s="2" t="n"/>
      <c r="Y38" s="2" t="n"/>
      <c r="Z38" s="2" t="n"/>
      <c r="AA38" s="2" t="n"/>
      <c r="AB38" s="2" t="n"/>
      <c r="AC38" s="2" t="n"/>
    </row>
    <row r="39" ht="36" customHeight="1">
      <c r="A39" s="2" t="n"/>
      <c r="B39" s="24" t="inlineStr">
        <is>
          <t>Squeeze bottle 1000 ml, PP, single tip</t>
        </is>
      </c>
      <c r="C39" s="24" t="inlineStr">
        <is>
          <t>Gastroladen.at (Harotec GmbH)</t>
        </is>
      </c>
      <c r="D39" s="24" t="inlineStr">
        <is>
          <t>Vogue Quetschflasche klar 990ml</t>
        </is>
      </c>
      <c r="E39" s="24" t="inlineStr">
        <is>
          <t>Vogue</t>
        </is>
      </c>
      <c r="F39" s="25" t="inlineStr">
        <is>
          <t>https://www.gastroladen.at/G16771B@GN-W832/Vogue-Quetschflasche-klar-990ml.htm</t>
        </is>
      </c>
      <c r="G39" s="120" t="n">
        <v>3.79</v>
      </c>
      <c r="H39" s="24" t="inlineStr">
        <is>
          <t>incl.</t>
        </is>
      </c>
      <c r="I39" s="116" t="n">
        <v>1</v>
      </c>
      <c r="J39" s="24" t="n"/>
      <c r="K39" s="120" t="n">
        <v>3.16</v>
      </c>
      <c r="L39" s="24" t="inlineStr">
        <is>
          <t>CLOSE</t>
        </is>
      </c>
      <c r="M39" s="24" t="inlineStr">
        <is>
          <t>990 ml, polyethylene (not PP)</t>
        </is>
      </c>
      <c r="N39" s="24" t="inlineStr">
        <is>
          <t>2026-09-30</t>
        </is>
      </c>
      <c r="O39" s="2" t="n"/>
      <c r="P39" s="2" t="n"/>
      <c r="Q39" s="2" t="n"/>
      <c r="R39" s="2" t="n"/>
      <c r="S39" s="2" t="n"/>
      <c r="T39" s="2" t="n"/>
      <c r="U39" s="2" t="n"/>
      <c r="V39" s="2" t="n"/>
      <c r="W39" s="2" t="n"/>
      <c r="X39" s="2" t="n"/>
      <c r="Y39" s="2" t="n"/>
      <c r="Z39" s="2" t="n"/>
      <c r="AA39" s="2" t="n"/>
      <c r="AB39" s="2" t="n"/>
      <c r="AC39" s="2" t="n"/>
    </row>
    <row r="40" ht="36" customHeight="1">
      <c r="A40" s="2" t="n"/>
      <c r="B40" s="27" t="inlineStr">
        <is>
          <t>Squeeze bottle 1000 ml, PP, single tip</t>
        </is>
      </c>
      <c r="C40" s="27" t="inlineStr">
        <is>
          <t>Intergastro (AT shop)</t>
        </is>
      </c>
      <c r="D40" s="27" t="inlineStr">
        <is>
          <t>Quetschflasche 1025 ml transparent Ø 80 mm H 265 mm</t>
        </is>
      </c>
      <c r="E40" s="27" t="inlineStr">
        <is>
          <t>APS</t>
        </is>
      </c>
      <c r="F40" s="28" t="inlineStr">
        <is>
          <t>https://www.intergastro.at/quetschflasche-1025-ml-transparent-80-mm-h-265-mm-985068</t>
        </is>
      </c>
      <c r="G40" s="121" t="n">
        <v>1.95</v>
      </c>
      <c r="H40" s="27" t="inlineStr">
        <is>
          <t>excl.</t>
        </is>
      </c>
      <c r="I40" s="117" t="n">
        <v>1</v>
      </c>
      <c r="J40" s="27" t="n"/>
      <c r="K40" s="121" t="n">
        <v>1.95</v>
      </c>
      <c r="L40" s="27" t="inlineStr">
        <is>
          <t>CLOSE</t>
        </is>
      </c>
      <c r="M40" s="27" t="inlineStr">
        <is>
          <t>1025 ml; material polyethylene (not PP); gross 2.34</t>
        </is>
      </c>
      <c r="N40" s="27" t="inlineStr">
        <is>
          <t>2026-09-30</t>
        </is>
      </c>
      <c r="O40" s="2" t="n"/>
      <c r="P40" s="2" t="n"/>
      <c r="Q40" s="2" t="n"/>
      <c r="R40" s="2" t="n"/>
      <c r="S40" s="2" t="n"/>
      <c r="T40" s="2" t="n"/>
      <c r="U40" s="2" t="n"/>
      <c r="V40" s="2" t="n"/>
      <c r="W40" s="2" t="n"/>
      <c r="X40" s="2" t="n"/>
      <c r="Y40" s="2" t="n"/>
      <c r="Z40" s="2" t="n"/>
      <c r="AA40" s="2" t="n"/>
      <c r="AB40" s="2" t="n"/>
      <c r="AC40" s="2" t="n"/>
    </row>
    <row r="41" ht="36" customHeight="1">
      <c r="A41" s="2" t="n"/>
      <c r="B41" s="24" t="inlineStr">
        <is>
          <t>Squeeze bottle 500 ml, triple tip</t>
        </is>
      </c>
      <c r="C41" s="24" t="inlineStr">
        <is>
          <t>GastroHero Österreich</t>
        </is>
      </c>
      <c r="D41" s="24" t="inlineStr">
        <is>
          <t>Schneider Quetschflasche 950 ml, 3 Öffnungen</t>
        </is>
      </c>
      <c r="E41" s="24" t="inlineStr">
        <is>
          <t>Schneider</t>
        </is>
      </c>
      <c r="F41" s="25" t="inlineStr">
        <is>
          <t>https://www.gastro-hero.at/products/schneider-quetschflasche-950-ml-3-oeffnungen-150621</t>
        </is>
      </c>
      <c r="G41" s="120" t="n">
        <v>6.89</v>
      </c>
      <c r="H41" s="24" t="inlineStr">
        <is>
          <t>excl.</t>
        </is>
      </c>
      <c r="I41" s="116" t="n">
        <v>1</v>
      </c>
      <c r="J41" s="24" t="n"/>
      <c r="K41" s="120" t="n">
        <v>6.89</v>
      </c>
      <c r="L41" s="24" t="inlineStr">
        <is>
          <t>APPROX</t>
        </is>
      </c>
      <c r="M41" s="24" t="inlineStr">
        <is>
          <t>Triple tip PP but 950 ml instead of 500 ml; sale price (normal 7.09); min. qty 8</t>
        </is>
      </c>
      <c r="N41" s="24" t="inlineStr">
        <is>
          <t>2026-09-30</t>
        </is>
      </c>
      <c r="O41" s="2" t="n"/>
      <c r="P41" s="2" t="n"/>
      <c r="Q41" s="2" t="n"/>
      <c r="R41" s="2" t="n"/>
      <c r="S41" s="2" t="n"/>
      <c r="T41" s="2" t="n"/>
      <c r="U41" s="2" t="n"/>
      <c r="V41" s="2" t="n"/>
      <c r="W41" s="2" t="n"/>
      <c r="X41" s="2" t="n"/>
      <c r="Y41" s="2" t="n"/>
      <c r="Z41" s="2" t="n"/>
      <c r="AA41" s="2" t="n"/>
      <c r="AB41" s="2" t="n"/>
      <c r="AC41" s="2" t="n"/>
    </row>
    <row r="42" ht="36" customHeight="1">
      <c r="A42" s="2" t="n"/>
      <c r="B42" s="27" t="inlineStr">
        <is>
          <t>Squeeze bottle 500 ml, triple tip</t>
        </is>
      </c>
      <c r="C42" s="27" t="inlineStr">
        <is>
          <t>Gastroladen.at (Harotec GmbH)</t>
        </is>
      </c>
      <c r="D42" s="27" t="inlineStr">
        <is>
          <t>Vogue transparente Quetschflasche mit 3 Spritzdüsen 68cl</t>
        </is>
      </c>
      <c r="E42" s="27" t="inlineStr">
        <is>
          <t>Vogue</t>
        </is>
      </c>
      <c r="F42" s="28" t="inlineStr">
        <is>
          <t>https://www.gastroladen.at/G16771B@GN-CW725/Vogue-transparente-Quetschflasche-mit-3-Spritzd%C3%BCsen-68cl.htm</t>
        </is>
      </c>
      <c r="G42" s="121" t="n">
        <v>3.98</v>
      </c>
      <c r="H42" s="27" t="inlineStr">
        <is>
          <t>incl.</t>
        </is>
      </c>
      <c r="I42" s="117" t="n">
        <v>1</v>
      </c>
      <c r="J42" s="27" t="n"/>
      <c r="K42" s="121" t="n">
        <v>3.32</v>
      </c>
      <c r="L42" s="27" t="inlineStr">
        <is>
          <t>APPROX</t>
        </is>
      </c>
      <c r="M42" s="27" t="inlineStr">
        <is>
          <t>Triple tip but 680 ml instead of 500 ml; smallest triple-tip offered</t>
        </is>
      </c>
      <c r="N42" s="27" t="inlineStr">
        <is>
          <t>2026-09-30</t>
        </is>
      </c>
      <c r="O42" s="2" t="n"/>
      <c r="P42" s="2" t="n"/>
      <c r="Q42" s="2" t="n"/>
      <c r="R42" s="2" t="n"/>
      <c r="S42" s="2" t="n"/>
      <c r="T42" s="2" t="n"/>
      <c r="U42" s="2" t="n"/>
      <c r="V42" s="2" t="n"/>
      <c r="W42" s="2" t="n"/>
      <c r="X42" s="2" t="n"/>
      <c r="Y42" s="2" t="n"/>
      <c r="Z42" s="2" t="n"/>
      <c r="AA42" s="2" t="n"/>
      <c r="AB42" s="2" t="n"/>
      <c r="AC42" s="2" t="n"/>
    </row>
    <row r="43" ht="36" customHeight="1">
      <c r="A43" s="2" t="n"/>
      <c r="B43" s="24" t="inlineStr">
        <is>
          <t>Squeeze bottle 500 ml, triple tip</t>
        </is>
      </c>
      <c r="C43" s="24" t="inlineStr">
        <is>
          <t>Intergastro (AT shop)</t>
        </is>
      </c>
      <c r="D43" s="24" t="inlineStr">
        <is>
          <t>Quetschflasche Kunststoff 950 ml 3 Öffnungen transparent</t>
        </is>
      </c>
      <c r="E43" s="24" t="inlineStr">
        <is>
          <t>Schneider</t>
        </is>
      </c>
      <c r="F43" s="25" t="inlineStr">
        <is>
          <t>https://www.intergastro.at/quetschflasche-kunststoff-950-ml-3-oeffnungen-transparent-80-mm-h-291-mm-960754</t>
        </is>
      </c>
      <c r="G43" s="120" t="n">
        <v>4.44</v>
      </c>
      <c r="H43" s="24" t="inlineStr">
        <is>
          <t>excl.</t>
        </is>
      </c>
      <c r="I43" s="116" t="n">
        <v>1</v>
      </c>
      <c r="J43" s="24" t="n"/>
      <c r="K43" s="120" t="n">
        <v>4.44</v>
      </c>
      <c r="L43" s="24" t="inlineStr">
        <is>
          <t>APPROX</t>
        </is>
      </c>
      <c r="M43" s="24" t="inlineStr">
        <is>
          <t>Triple tip PP bottle but 950 ml instead of 500 ml; no 500 ml triple-tip found</t>
        </is>
      </c>
      <c r="N43" s="24" t="inlineStr">
        <is>
          <t>2026-09-30</t>
        </is>
      </c>
      <c r="O43" s="2" t="n"/>
      <c r="P43" s="2" t="n"/>
      <c r="Q43" s="2" t="n"/>
      <c r="R43" s="2" t="n"/>
      <c r="S43" s="2" t="n"/>
      <c r="T43" s="2" t="n"/>
      <c r="U43" s="2" t="n"/>
      <c r="V43" s="2" t="n"/>
      <c r="W43" s="2" t="n"/>
      <c r="X43" s="2" t="n"/>
      <c r="Y43" s="2" t="n"/>
      <c r="Z43" s="2" t="n"/>
      <c r="AA43" s="2" t="n"/>
      <c r="AB43" s="2" t="n"/>
      <c r="AC43" s="2" t="n"/>
    </row>
    <row r="44" ht="36" customHeight="1">
      <c r="A44" s="2" t="n"/>
      <c r="B44" s="27" t="inlineStr">
        <is>
          <t>Ketchup/sauce pump dispenser with stand</t>
        </is>
      </c>
      <c r="C44" s="27" t="inlineStr">
        <is>
          <t>ALLPAX Österreich</t>
        </is>
      </c>
      <c r="D44" s="27" t="inlineStr">
        <is>
          <t>Saucenspender (für Senf, Ketchup, Mayonnaise), 2 l</t>
        </is>
      </c>
      <c r="E44" s="27" t="n"/>
      <c r="F44" s="28" t="inlineStr">
        <is>
          <t>https://www.allpax.at/product_info.php/info/p12858_Saucenspender.html</t>
        </is>
      </c>
      <c r="G44" s="121" t="n">
        <v>36.1</v>
      </c>
      <c r="H44" s="27" t="inlineStr">
        <is>
          <t>excl.</t>
        </is>
      </c>
      <c r="I44" s="117" t="n">
        <v>1</v>
      </c>
      <c r="J44" s="27" t="n"/>
      <c r="K44" s="121" t="n">
        <v>36.1</v>
      </c>
      <c r="L44" s="27" t="inlineStr">
        <is>
          <t>CLOSE</t>
        </is>
      </c>
      <c r="M44" s="27" t="inlineStr">
        <is>
          <t>Sauce pump dispenser 2 l (17x14x15.5 cm); price shown for default 2 l size; stand not mentioned</t>
        </is>
      </c>
      <c r="N44" s="27" t="inlineStr">
        <is>
          <t>2026-09-30</t>
        </is>
      </c>
      <c r="O44" s="2" t="n"/>
      <c r="P44" s="2" t="n"/>
      <c r="Q44" s="2" t="n"/>
      <c r="R44" s="2" t="n"/>
      <c r="S44" s="2" t="n"/>
      <c r="T44" s="2" t="n"/>
      <c r="U44" s="2" t="n"/>
      <c r="V44" s="2" t="n"/>
      <c r="W44" s="2" t="n"/>
      <c r="X44" s="2" t="n"/>
      <c r="Y44" s="2" t="n"/>
      <c r="Z44" s="2" t="n"/>
      <c r="AA44" s="2" t="n"/>
      <c r="AB44" s="2" t="n"/>
      <c r="AC44" s="2" t="n"/>
    </row>
    <row r="45" ht="36" customHeight="1">
      <c r="A45" s="2" t="n"/>
      <c r="B45" s="24" t="inlineStr">
        <is>
          <t>Ketchup/sauce pump dispenser with stand</t>
        </is>
      </c>
      <c r="C45" s="24" t="inlineStr">
        <is>
          <t>GastroHero Österreich</t>
        </is>
      </c>
      <c r="D45" s="24" t="inlineStr">
        <is>
          <t>Hendi Pump-Saucenspender, 2,5L, Weiß</t>
        </is>
      </c>
      <c r="E45" s="24" t="inlineStr">
        <is>
          <t>Hendi</t>
        </is>
      </c>
      <c r="F45" s="25" t="inlineStr">
        <is>
          <t>https://www.gastro-hero.at/products/hendi-pump-saucenspender-2-5l-wei-c3-9f-230x210x-h-250mm</t>
        </is>
      </c>
      <c r="G45" s="120" t="n">
        <v>26.89</v>
      </c>
      <c r="H45" s="24" t="inlineStr">
        <is>
          <t>excl.</t>
        </is>
      </c>
      <c r="I45" s="116" t="n">
        <v>1</v>
      </c>
      <c r="J45" s="24" t="n"/>
      <c r="K45" s="120" t="n">
        <v>26.89</v>
      </c>
      <c r="L45" s="24" t="inlineStr">
        <is>
          <t>EXACT</t>
        </is>
      </c>
      <c r="M45" s="24" t="inlineStr">
        <is>
          <t>ABS housing/stand with pump</t>
        </is>
      </c>
      <c r="N45" s="24" t="inlineStr">
        <is>
          <t>2026-09-30</t>
        </is>
      </c>
      <c r="O45" s="2" t="n"/>
      <c r="P45" s="2" t="n"/>
      <c r="Q45" s="2" t="n"/>
      <c r="R45" s="2" t="n"/>
      <c r="S45" s="2" t="n"/>
      <c r="T45" s="2" t="n"/>
      <c r="U45" s="2" t="n"/>
      <c r="V45" s="2" t="n"/>
      <c r="W45" s="2" t="n"/>
      <c r="X45" s="2" t="n"/>
      <c r="Y45" s="2" t="n"/>
      <c r="Z45" s="2" t="n"/>
      <c r="AA45" s="2" t="n"/>
      <c r="AB45" s="2" t="n"/>
      <c r="AC45" s="2" t="n"/>
    </row>
    <row r="46" ht="36" customHeight="1">
      <c r="A46" s="2" t="n"/>
      <c r="B46" s="27" t="inlineStr">
        <is>
          <t>Ketchup/sauce pump dispenser with stand</t>
        </is>
      </c>
      <c r="C46" s="27" t="inlineStr">
        <is>
          <t>Gastrodax</t>
        </is>
      </c>
      <c r="D46" s="27" t="inlineStr">
        <is>
          <t>Hendi Pump-Saucenspender, 2,5L, Weiß, 230x210x(H)327mm</t>
        </is>
      </c>
      <c r="E46" s="27" t="inlineStr">
        <is>
          <t>Hendi</t>
        </is>
      </c>
      <c r="F46" s="28" t="inlineStr">
        <is>
          <t>https://www.gastrodax.de/hendi-pump-sossenspender-weiss</t>
        </is>
      </c>
      <c r="G46" s="121" t="n">
        <v>19.76</v>
      </c>
      <c r="H46" s="27" t="inlineStr">
        <is>
          <t>excl.</t>
        </is>
      </c>
      <c r="I46" s="117" t="n">
        <v>1</v>
      </c>
      <c r="J46" s="27" t="n"/>
      <c r="K46" s="121" t="n">
        <v>19.76</v>
      </c>
      <c r="L46" s="27" t="inlineStr">
        <is>
          <t>EXACT</t>
        </is>
      </c>
      <c r="M46" s="27" t="inlineStr">
        <is>
          <t>ABS housing/stand with PP sauce container, lid and pump</t>
        </is>
      </c>
      <c r="N46" s="27" t="inlineStr">
        <is>
          <t>2026-09-30</t>
        </is>
      </c>
      <c r="O46" s="2" t="n"/>
      <c r="P46" s="2" t="n"/>
      <c r="Q46" s="2" t="n"/>
      <c r="R46" s="2" t="n"/>
      <c r="S46" s="2" t="n"/>
      <c r="T46" s="2" t="n"/>
      <c r="U46" s="2" t="n"/>
      <c r="V46" s="2" t="n"/>
      <c r="W46" s="2" t="n"/>
      <c r="X46" s="2" t="n"/>
      <c r="Y46" s="2" t="n"/>
      <c r="Z46" s="2" t="n"/>
      <c r="AA46" s="2" t="n"/>
      <c r="AB46" s="2" t="n"/>
      <c r="AC46" s="2" t="n"/>
    </row>
    <row r="47" ht="36" customHeight="1">
      <c r="A47" s="2" t="n"/>
      <c r="B47" s="24" t="inlineStr">
        <is>
          <t>Ketchup/sauce pump dispenser with stand</t>
        </is>
      </c>
      <c r="C47" s="24" t="inlineStr">
        <is>
          <t>Gastroladen.at (Harotec GmbH)</t>
        </is>
      </c>
      <c r="D47" s="24" t="inlineStr">
        <is>
          <t>Araven Soßenspender GN 1/9 Transparent 1,5L</t>
        </is>
      </c>
      <c r="E47" s="24" t="inlineStr">
        <is>
          <t>Araven</t>
        </is>
      </c>
      <c r="F47" s="25" t="inlineStr">
        <is>
          <t>https://www.gastroladen.at/3300@GN-CR821/Araven-So%C3%9Fenspender-GN-1-9-Transparent-1-5L.htm</t>
        </is>
      </c>
      <c r="G47" s="120" t="n">
        <v>36.9</v>
      </c>
      <c r="H47" s="24" t="inlineStr">
        <is>
          <t>incl.</t>
        </is>
      </c>
      <c r="I47" s="116" t="n">
        <v>1</v>
      </c>
      <c r="J47" s="24" t="n"/>
      <c r="K47" s="120" t="n">
        <v>30.75</v>
      </c>
      <c r="L47" s="24" t="inlineStr">
        <is>
          <t>CLOSE</t>
        </is>
      </c>
      <c r="M47" s="24" t="inlineStr">
        <is>
          <t>PP pump dispenser 1.5 l; stand only included in 2-/3-piece sets (3-set with acrylic stand 157.90)</t>
        </is>
      </c>
      <c r="N47" s="24" t="inlineStr">
        <is>
          <t>2026-09-30</t>
        </is>
      </c>
      <c r="O47" s="2" t="n"/>
      <c r="P47" s="2" t="n"/>
      <c r="Q47" s="2" t="n"/>
      <c r="R47" s="2" t="n"/>
      <c r="S47" s="2" t="n"/>
      <c r="T47" s="2" t="n"/>
      <c r="U47" s="2" t="n"/>
      <c r="V47" s="2" t="n"/>
      <c r="W47" s="2" t="n"/>
      <c r="X47" s="2" t="n"/>
      <c r="Y47" s="2" t="n"/>
      <c r="Z47" s="2" t="n"/>
      <c r="AA47" s="2" t="n"/>
      <c r="AB47" s="2" t="n"/>
      <c r="AC47" s="2" t="n"/>
    </row>
    <row r="48" ht="36" customHeight="1">
      <c r="A48" s="2" t="n"/>
      <c r="B48" s="27" t="inlineStr">
        <is>
          <t>Ketchup/sauce pump dispenser with stand</t>
        </is>
      </c>
      <c r="C48" s="27" t="inlineStr">
        <is>
          <t>Intergastro (AT shop)</t>
        </is>
      </c>
      <c r="D48" s="27" t="inlineStr">
        <is>
          <t>Druckknopf-Dosierspender rot 2 ltr Ø 98 mm H 440 mm</t>
        </is>
      </c>
      <c r="E48" s="27" t="inlineStr">
        <is>
          <t>Schneider</t>
        </is>
      </c>
      <c r="F48" s="28" t="inlineStr">
        <is>
          <t>https://www.intergastro.at/druckknopf-dosierspender-rot-2-ltr-98-mm-h-440-mm-100247</t>
        </is>
      </c>
      <c r="G48" s="121" t="n">
        <v>93.66</v>
      </c>
      <c r="H48" s="27" t="inlineStr">
        <is>
          <t>excl.</t>
        </is>
      </c>
      <c r="I48" s="117" t="n">
        <v>1</v>
      </c>
      <c r="J48" s="27" t="n"/>
      <c r="K48" s="121" t="n">
        <v>93.66</v>
      </c>
      <c r="L48" s="27" t="inlineStr">
        <is>
          <t>CLOSE</t>
        </is>
      </c>
      <c r="M48" s="27" t="inlineStr">
        <is>
          <t>Free-standing glass/stainless push-button sauce pump dispenser, 2 l; gross 112.39</t>
        </is>
      </c>
      <c r="N48" s="27" t="inlineStr">
        <is>
          <t>2026-09-30</t>
        </is>
      </c>
      <c r="O48" s="2" t="n"/>
      <c r="P48" s="2" t="n"/>
      <c r="Q48" s="2" t="n"/>
      <c r="R48" s="2" t="n"/>
      <c r="S48" s="2" t="n"/>
      <c r="T48" s="2" t="n"/>
      <c r="U48" s="2" t="n"/>
      <c r="V48" s="2" t="n"/>
      <c r="W48" s="2" t="n"/>
      <c r="X48" s="2" t="n"/>
      <c r="Y48" s="2" t="n"/>
      <c r="Z48" s="2" t="n"/>
      <c r="AA48" s="2" t="n"/>
      <c r="AB48" s="2" t="n"/>
      <c r="AC48" s="2" t="n"/>
    </row>
    <row r="49" ht="36" customHeight="1">
      <c r="A49" s="2" t="n"/>
      <c r="B49" s="24" t="inlineStr">
        <is>
          <t>Ketchup/sauce pump dispenser with stand</t>
        </is>
      </c>
      <c r="C49" s="24" t="inlineStr">
        <is>
          <t>shopbuero.com</t>
        </is>
      </c>
      <c r="D49" s="24" t="inlineStr">
        <is>
          <t>Dosierspender - mit Druckknopf - 18,0 x 14,5 x 29,0 cm - Inhalt 2,0 l - Polyethylen</t>
        </is>
      </c>
      <c r="E49" s="24" t="inlineStr">
        <is>
          <t>Schneider</t>
        </is>
      </c>
      <c r="F49" s="25" t="inlineStr">
        <is>
          <t>https://shopbuero.com/dosierspender-mit-druckknopf-18-0-x-14-5-x-29-0-cm-inhalt-2-0-l-polyethylen/154710-C</t>
        </is>
      </c>
      <c r="G49" s="120" t="n">
        <v>30.5</v>
      </c>
      <c r="H49" s="24" t="inlineStr">
        <is>
          <t>excl.</t>
        </is>
      </c>
      <c r="I49" s="116" t="n">
        <v>1</v>
      </c>
      <c r="J49" s="24" t="n"/>
      <c r="K49" s="120" t="n">
        <v>30.5</v>
      </c>
      <c r="L49" s="24" t="inlineStr">
        <is>
          <t>CLOSE</t>
        </is>
      </c>
      <c r="M49" s="24" t="inlineStr">
        <is>
          <t>Push-button sauce pump dispenser 2 l, free-standing; regular price 49.20</t>
        </is>
      </c>
      <c r="N49" s="24" t="inlineStr">
        <is>
          <t>2026-09-30</t>
        </is>
      </c>
      <c r="O49" s="2" t="n"/>
      <c r="P49" s="2" t="n"/>
      <c r="Q49" s="2" t="n"/>
      <c r="R49" s="2" t="n"/>
      <c r="S49" s="2" t="n"/>
      <c r="T49" s="2" t="n"/>
      <c r="U49" s="2" t="n"/>
      <c r="V49" s="2" t="n"/>
      <c r="W49" s="2" t="n"/>
      <c r="X49" s="2" t="n"/>
      <c r="Y49" s="2" t="n"/>
      <c r="Z49" s="2" t="n"/>
      <c r="AA49" s="2" t="n"/>
      <c r="AB49" s="2" t="n"/>
      <c r="AC49" s="2" t="n"/>
    </row>
    <row r="50" ht="36" customHeight="1">
      <c r="A50" s="2" t="n"/>
      <c r="B50" s="27" t="inlineStr">
        <is>
          <t>HACCP cutting board PE 530x325x20 mm (GN 1/1)</t>
        </is>
      </c>
      <c r="C50" s="27" t="inlineStr">
        <is>
          <t>ALLPAX Österreich</t>
        </is>
      </c>
      <c r="D50" s="27" t="inlineStr">
        <is>
          <t>Schneidbrett PRO 53x32 W-R</t>
        </is>
      </c>
      <c r="E50" s="27" t="inlineStr">
        <is>
          <t>Bartscher</t>
        </is>
      </c>
      <c r="F50" s="28" t="inlineStr">
        <is>
          <t>https://www.allpax.at/product_info.php/info/Schneidbrett-PRO-53x32-W-R.html</t>
        </is>
      </c>
      <c r="G50" s="121" t="n">
        <v>26.95</v>
      </c>
      <c r="H50" s="27" t="inlineStr">
        <is>
          <t>excl.</t>
        </is>
      </c>
      <c r="I50" s="117" t="n">
        <v>1</v>
      </c>
      <c r="J50" s="27" t="n"/>
      <c r="K50" s="121" t="n">
        <v>26.95</v>
      </c>
      <c r="L50" s="27" t="inlineStr">
        <is>
          <t>EXACT</t>
        </is>
      </c>
      <c r="M50" s="27" t="inlineStr">
        <is>
          <t>HDPE white, 20 mm plate, juice groove, 530x325x24 mm incl. feet</t>
        </is>
      </c>
      <c r="N50" s="27" t="inlineStr">
        <is>
          <t>2026-09-30</t>
        </is>
      </c>
      <c r="O50" s="2" t="n"/>
      <c r="P50" s="2" t="n"/>
      <c r="Q50" s="2" t="n"/>
      <c r="R50" s="2" t="n"/>
      <c r="S50" s="2" t="n"/>
      <c r="T50" s="2" t="n"/>
      <c r="U50" s="2" t="n"/>
      <c r="V50" s="2" t="n"/>
      <c r="W50" s="2" t="n"/>
      <c r="X50" s="2" t="n"/>
      <c r="Y50" s="2" t="n"/>
      <c r="Z50" s="2" t="n"/>
      <c r="AA50" s="2" t="n"/>
      <c r="AB50" s="2" t="n"/>
      <c r="AC50" s="2" t="n"/>
    </row>
    <row r="51" ht="36" customHeight="1">
      <c r="A51" s="2" t="n"/>
      <c r="B51" s="24" t="inlineStr">
        <is>
          <t>HACCP cutting board PE 530x325x20 mm (GN 1/1)</t>
        </is>
      </c>
      <c r="C51" s="24" t="inlineStr">
        <is>
          <t>GastroHero Österreich</t>
        </is>
      </c>
      <c r="D51" s="24" t="inlineStr">
        <is>
          <t>Schneidbrett GN 1/1 - 53 x 32,5 x 1,5 cm - HDPE blau</t>
        </is>
      </c>
      <c r="E51" s="24" t="inlineStr">
        <is>
          <t>Hendi</t>
        </is>
      </c>
      <c r="F51" s="25" t="inlineStr">
        <is>
          <t>https://www.gastro-hero.at/products/schneidbrett-gn-1-1-53-x-32-5-x-1-5-cm-hdpe-blau</t>
        </is>
      </c>
      <c r="G51" s="120" t="n">
        <v>33.69</v>
      </c>
      <c r="H51" s="24" t="inlineStr">
        <is>
          <t>excl.</t>
        </is>
      </c>
      <c r="I51" s="116" t="n">
        <v>1</v>
      </c>
      <c r="J51" s="24" t="n"/>
      <c r="K51" s="120" t="n">
        <v>33.69</v>
      </c>
      <c r="L51" s="24" t="inlineStr">
        <is>
          <t>CLOSE</t>
        </is>
      </c>
      <c r="M51" s="24" t="inlineStr">
        <is>
          <t>15 mm instead of 20 mm; sale price (normal 39.29)</t>
        </is>
      </c>
      <c r="N51" s="24" t="inlineStr">
        <is>
          <t>2026-09-30</t>
        </is>
      </c>
      <c r="O51" s="2" t="n"/>
      <c r="P51" s="2" t="n"/>
      <c r="Q51" s="2" t="n"/>
      <c r="R51" s="2" t="n"/>
      <c r="S51" s="2" t="n"/>
      <c r="T51" s="2" t="n"/>
      <c r="U51" s="2" t="n"/>
      <c r="V51" s="2" t="n"/>
      <c r="W51" s="2" t="n"/>
      <c r="X51" s="2" t="n"/>
      <c r="Y51" s="2" t="n"/>
      <c r="Z51" s="2" t="n"/>
      <c r="AA51" s="2" t="n"/>
      <c r="AB51" s="2" t="n"/>
      <c r="AC51" s="2" t="n"/>
    </row>
    <row r="52" ht="36" customHeight="1">
      <c r="A52" s="2" t="n"/>
      <c r="B52" s="27" t="inlineStr">
        <is>
          <t>HACCP cutting board PE 530x325x20 mm (GN 1/1)</t>
        </is>
      </c>
      <c r="C52" s="27" t="inlineStr">
        <is>
          <t>Gastrodax</t>
        </is>
      </c>
      <c r="D52" s="27" t="inlineStr">
        <is>
          <t>Hendi Schneidbrett HACCP Gastronorm 1/1, Weiß, 530x325mm</t>
        </is>
      </c>
      <c r="E52" s="27" t="inlineStr">
        <is>
          <t>Hendi</t>
        </is>
      </c>
      <c r="F52" s="28" t="inlineStr">
        <is>
          <t>https://www.gastrodax.de/hendi-schneidbretter-haccp-gastronorm-1-1-gn-1-1-weiss-530-x-325-mm</t>
        </is>
      </c>
      <c r="G52" s="121" t="n">
        <v>20.95</v>
      </c>
      <c r="H52" s="27" t="inlineStr">
        <is>
          <t>excl.</t>
        </is>
      </c>
      <c r="I52" s="117" t="n">
        <v>1</v>
      </c>
      <c r="J52" s="27" t="n"/>
      <c r="K52" s="121" t="n">
        <v>20.95</v>
      </c>
      <c r="L52" s="27" t="inlineStr">
        <is>
          <t>CLOSE</t>
        </is>
      </c>
      <c r="M52" s="27" t="inlineStr">
        <is>
          <t>15 mm thick instead of 20 mm; all HACCP colours same price</t>
        </is>
      </c>
      <c r="N52" s="27" t="inlineStr">
        <is>
          <t>2026-09-30</t>
        </is>
      </c>
      <c r="O52" s="2" t="n"/>
      <c r="P52" s="2" t="n"/>
      <c r="Q52" s="2" t="n"/>
      <c r="R52" s="2" t="n"/>
      <c r="S52" s="2" t="n"/>
      <c r="T52" s="2" t="n"/>
      <c r="U52" s="2" t="n"/>
      <c r="V52" s="2" t="n"/>
      <c r="W52" s="2" t="n"/>
      <c r="X52" s="2" t="n"/>
      <c r="Y52" s="2" t="n"/>
      <c r="Z52" s="2" t="n"/>
      <c r="AA52" s="2" t="n"/>
      <c r="AB52" s="2" t="n"/>
      <c r="AC52" s="2" t="n"/>
    </row>
    <row r="53" ht="36" customHeight="1">
      <c r="A53" s="2" t="n"/>
      <c r="B53" s="24" t="inlineStr">
        <is>
          <t>HACCP cutting board PE 530x325x20 mm (GN 1/1)</t>
        </is>
      </c>
      <c r="C53" s="24" t="inlineStr">
        <is>
          <t>Gastroladen.at (Harotec GmbH)</t>
        </is>
      </c>
      <c r="D53" s="24" t="inlineStr">
        <is>
          <t>Bartscher Schneidbrett PRO 53x32 W-R</t>
        </is>
      </c>
      <c r="E53" s="24" t="inlineStr">
        <is>
          <t>Bartscher</t>
        </is>
      </c>
      <c r="F53" s="25" t="inlineStr">
        <is>
          <t>https://www.gastroladen.at/2310@A120511/Bartscher-Schneidbrett-PRO-53x32-W-R.htm</t>
        </is>
      </c>
      <c r="G53" s="120" t="n">
        <v>29.49</v>
      </c>
      <c r="H53" s="24" t="inlineStr">
        <is>
          <t>incl.</t>
        </is>
      </c>
      <c r="I53" s="116" t="n">
        <v>1</v>
      </c>
      <c r="J53" s="24" t="n"/>
      <c r="K53" s="120" t="n">
        <v>24.57</v>
      </c>
      <c r="L53" s="24" t="inlineStr">
        <is>
          <t>EXACT</t>
        </is>
      </c>
      <c r="M53" s="24" t="inlineStr">
        <is>
          <t>PE, 20 mm plate, HACCP white, rubber feet (530x24x325 overall)</t>
        </is>
      </c>
      <c r="N53" s="24" t="inlineStr">
        <is>
          <t>2026-09-30</t>
        </is>
      </c>
      <c r="O53" s="2" t="n"/>
      <c r="P53" s="2" t="n"/>
      <c r="Q53" s="2" t="n"/>
      <c r="R53" s="2" t="n"/>
      <c r="S53" s="2" t="n"/>
      <c r="T53" s="2" t="n"/>
      <c r="U53" s="2" t="n"/>
      <c r="V53" s="2" t="n"/>
      <c r="W53" s="2" t="n"/>
      <c r="X53" s="2" t="n"/>
      <c r="Y53" s="2" t="n"/>
      <c r="Z53" s="2" t="n"/>
      <c r="AA53" s="2" t="n"/>
      <c r="AB53" s="2" t="n"/>
      <c r="AC53" s="2" t="n"/>
    </row>
    <row r="54" ht="36" customHeight="1">
      <c r="A54" s="2" t="n"/>
      <c r="B54" s="27" t="inlineStr">
        <is>
          <t>HACCP cutting board PE 530x325x20 mm (GN 1/1)</t>
        </is>
      </c>
      <c r="C54" s="27" t="inlineStr">
        <is>
          <t>Intergastro (AT shop)</t>
        </is>
      </c>
      <c r="D54" s="27" t="inlineStr">
        <is>
          <t>HACCP Schneidbrett Polyethylen weiß 530 x 325 mm H 20 mm</t>
        </is>
      </c>
      <c r="E54" s="27" t="inlineStr">
        <is>
          <t>WAS Germany</t>
        </is>
      </c>
      <c r="F54" s="28" t="inlineStr">
        <is>
          <t>https://www.intergastro.at/haccp-schneidbrett-polyethylen-weiss-530-mm-x-325-mm-h-20-mm-159115</t>
        </is>
      </c>
      <c r="G54" s="121" t="n">
        <v>22.09</v>
      </c>
      <c r="H54" s="27" t="inlineStr">
        <is>
          <t>excl.</t>
        </is>
      </c>
      <c r="I54" s="117" t="n">
        <v>1</v>
      </c>
      <c r="J54" s="27" t="n"/>
      <c r="K54" s="121" t="n">
        <v>22.09</v>
      </c>
      <c r="L54" s="27" t="inlineStr">
        <is>
          <t>EXACT</t>
        </is>
      </c>
      <c r="M54" s="27" t="inlineStr">
        <is>
          <t>White; other HACCP colours listed separately; gross 26.51</t>
        </is>
      </c>
      <c r="N54" s="27" t="inlineStr">
        <is>
          <t>2026-09-30</t>
        </is>
      </c>
      <c r="O54" s="2" t="n"/>
      <c r="P54" s="2" t="n"/>
      <c r="Q54" s="2" t="n"/>
      <c r="R54" s="2" t="n"/>
      <c r="S54" s="2" t="n"/>
      <c r="T54" s="2" t="n"/>
      <c r="U54" s="2" t="n"/>
      <c r="V54" s="2" t="n"/>
      <c r="W54" s="2" t="n"/>
      <c r="X54" s="2" t="n"/>
      <c r="Y54" s="2" t="n"/>
      <c r="Z54" s="2" t="n"/>
      <c r="AA54" s="2" t="n"/>
      <c r="AB54" s="2" t="n"/>
      <c r="AC54" s="2" t="n"/>
    </row>
    <row r="55" ht="36" customHeight="1">
      <c r="A55" s="2" t="n"/>
      <c r="B55" s="24" t="inlineStr">
        <is>
          <t>HACCP cutting board PE 530x325x20 mm (GN 1/1)</t>
        </is>
      </c>
      <c r="C55" s="24" t="inlineStr">
        <is>
          <t>Jungheinrich PROFISHOP Austria</t>
        </is>
      </c>
      <c r="D55" s="24" t="inlineStr">
        <is>
          <t>Stalgast Schneidbrett, HACCP, Farbe weiß, GN1/1, Stärke 15 mm</t>
        </is>
      </c>
      <c r="E55" s="24" t="inlineStr">
        <is>
          <t>Stalgast</t>
        </is>
      </c>
      <c r="F55" s="25" t="inlineStr">
        <is>
          <t>https://www.jh-profishop.at/p/stalgast-schneidbrett-haccp-farbe-weiss-gn1-1-staerke-15-mm-927572-346785/</t>
        </is>
      </c>
      <c r="G55" s="120" t="n">
        <v>23.9</v>
      </c>
      <c r="H55" s="24" t="inlineStr">
        <is>
          <t>excl.</t>
        </is>
      </c>
      <c r="I55" s="116" t="n">
        <v>1</v>
      </c>
      <c r="J55" s="24" t="n"/>
      <c r="K55" s="120" t="n">
        <v>23.9</v>
      </c>
      <c r="L55" s="24" t="inlineStr">
        <is>
          <t>CLOSE</t>
        </is>
      </c>
      <c r="M55" s="24" t="inlineStr">
        <is>
          <t>15 mm instead of 20 mm; material polypropylene (not PE); all 6 HACCP colours same price</t>
        </is>
      </c>
      <c r="N55" s="24" t="inlineStr">
        <is>
          <t>2026-09-30</t>
        </is>
      </c>
      <c r="O55" s="2" t="n"/>
      <c r="P55" s="2" t="n"/>
      <c r="Q55" s="2" t="n"/>
      <c r="R55" s="2" t="n"/>
      <c r="S55" s="2" t="n"/>
      <c r="T55" s="2" t="n"/>
      <c r="U55" s="2" t="n"/>
      <c r="V55" s="2" t="n"/>
      <c r="W55" s="2" t="n"/>
      <c r="X55" s="2" t="n"/>
      <c r="Y55" s="2" t="n"/>
      <c r="Z55" s="2" t="n"/>
      <c r="AA55" s="2" t="n"/>
      <c r="AB55" s="2" t="n"/>
      <c r="AC55" s="2" t="n"/>
    </row>
    <row r="56" ht="36" customHeight="1">
      <c r="A56" s="2" t="n"/>
      <c r="B56" s="27" t="inlineStr">
        <is>
          <t>HACCP cutting board PE 530x325x20 mm (GN 1/1)</t>
        </is>
      </c>
      <c r="C56" s="27" t="inlineStr">
        <is>
          <t>shopbuero.com</t>
        </is>
      </c>
      <c r="D56" s="27" t="inlineStr">
        <is>
          <t>HACCP Schneidbrett - GN 1/1 - weiß - 2,0 cm - Polyethylen</t>
        </is>
      </c>
      <c r="E56" s="27" t="inlineStr">
        <is>
          <t>WAS Germany</t>
        </is>
      </c>
      <c r="F56" s="28" t="inlineStr">
        <is>
          <t>https://shopbuero.com/haccp-schneidbrett-gn-1-1-weiss-2-0-cm-polyethylen/1830530-A</t>
        </is>
      </c>
      <c r="G56" s="121" t="n">
        <v>18</v>
      </c>
      <c r="H56" s="27" t="inlineStr">
        <is>
          <t>excl.</t>
        </is>
      </c>
      <c r="I56" s="117" t="n">
        <v>1</v>
      </c>
      <c r="J56" s="27" t="n"/>
      <c r="K56" s="121" t="n">
        <v>18</v>
      </c>
      <c r="L56" s="27" t="inlineStr">
        <is>
          <t>EXACT</t>
        </is>
      </c>
      <c r="M56" s="27" t="inlineStr">
        <is>
          <t>Regular price 27.00</t>
        </is>
      </c>
      <c r="N56" s="27" t="inlineStr">
        <is>
          <t>2026-09-30</t>
        </is>
      </c>
      <c r="O56" s="2" t="n"/>
      <c r="P56" s="2" t="n"/>
      <c r="Q56" s="2" t="n"/>
      <c r="R56" s="2" t="n"/>
      <c r="S56" s="2" t="n"/>
      <c r="T56" s="2" t="n"/>
      <c r="U56" s="2" t="n"/>
      <c r="V56" s="2" t="n"/>
      <c r="W56" s="2" t="n"/>
      <c r="X56" s="2" t="n"/>
      <c r="Y56" s="2" t="n"/>
      <c r="Z56" s="2" t="n"/>
      <c r="AA56" s="2" t="n"/>
      <c r="AB56" s="2" t="n"/>
      <c r="AC56" s="2" t="n"/>
    </row>
    <row r="57" ht="36" customHeight="1">
      <c r="A57" s="2" t="n"/>
      <c r="B57" s="24" t="inlineStr">
        <is>
          <t>HACCP cutting board PE 600x400x20 mm</t>
        </is>
      </c>
      <c r="C57" s="24" t="inlineStr">
        <is>
          <t>ALLPAX Österreich</t>
        </is>
      </c>
      <c r="D57" s="24" t="inlineStr">
        <is>
          <t>Schneidbrett farbig 600 x 400 x 20 mm</t>
        </is>
      </c>
      <c r="E57" s="24" t="n"/>
      <c r="F57" s="25" t="inlineStr">
        <is>
          <t>https://www.allpax.at/product_info.php/info/p30393_Schneidbrett-farbig-600-x-400-x-20-mm.html</t>
        </is>
      </c>
      <c r="G57" s="120" t="n">
        <v>49.39</v>
      </c>
      <c r="H57" s="24" t="inlineStr">
        <is>
          <t>excl.</t>
        </is>
      </c>
      <c r="I57" s="116" t="n">
        <v>1</v>
      </c>
      <c r="J57" s="24" t="n"/>
      <c r="K57" s="120" t="n">
        <v>49.39</v>
      </c>
      <c r="L57" s="24" t="inlineStr">
        <is>
          <t>CLOSE</t>
        </is>
      </c>
      <c r="M57" s="24" t="inlineStr">
        <is>
          <t>600x400x20 mm, 5 colours, rubber feet; material not stated. Bartscher 60x40 white (16 mm) 34.61</t>
        </is>
      </c>
      <c r="N57" s="24" t="inlineStr">
        <is>
          <t>2026-09-30</t>
        </is>
      </c>
      <c r="O57" s="2" t="n"/>
      <c r="P57" s="2" t="n"/>
      <c r="Q57" s="2" t="n"/>
      <c r="R57" s="2" t="n"/>
      <c r="S57" s="2" t="n"/>
      <c r="T57" s="2" t="n"/>
      <c r="U57" s="2" t="n"/>
      <c r="V57" s="2" t="n"/>
      <c r="W57" s="2" t="n"/>
      <c r="X57" s="2" t="n"/>
      <c r="Y57" s="2" t="n"/>
      <c r="Z57" s="2" t="n"/>
      <c r="AA57" s="2" t="n"/>
      <c r="AB57" s="2" t="n"/>
      <c r="AC57" s="2" t="n"/>
    </row>
    <row r="58" ht="36" customHeight="1">
      <c r="A58" s="2" t="n"/>
      <c r="B58" s="27" t="inlineStr">
        <is>
          <t>HACCP cutting board PE 600x400x20 mm</t>
        </is>
      </c>
      <c r="C58" s="27" t="inlineStr">
        <is>
          <t>GastroHero Österreich</t>
        </is>
      </c>
      <c r="D58" s="27" t="inlineStr">
        <is>
          <t>Schneidebrett Gastro-M 600x400 weiß</t>
        </is>
      </c>
      <c r="E58" s="27" t="inlineStr">
        <is>
          <t>Gastro-M</t>
        </is>
      </c>
      <c r="F58" s="28" t="inlineStr">
        <is>
          <t>https://www.gastro-hero.at/products/schneidebrett-gastro-m-600x400-weiss-gn344</t>
        </is>
      </c>
      <c r="G58" s="121" t="n">
        <v>48.9</v>
      </c>
      <c r="H58" s="27" t="inlineStr">
        <is>
          <t>excl.</t>
        </is>
      </c>
      <c r="I58" s="117" t="n">
        <v>1</v>
      </c>
      <c r="J58" s="27" t="n"/>
      <c r="K58" s="121" t="n">
        <v>48.9</v>
      </c>
      <c r="L58" s="27" t="inlineStr">
        <is>
          <t>CLOSE</t>
        </is>
      </c>
      <c r="M58" s="27" t="inlineStr">
        <is>
          <t>600x400x20 mm; material not stated on page; sale price (normal 52.90)</t>
        </is>
      </c>
      <c r="N58" s="27" t="inlineStr">
        <is>
          <t>2026-09-30</t>
        </is>
      </c>
      <c r="O58" s="2" t="n"/>
      <c r="P58" s="2" t="n"/>
      <c r="Q58" s="2" t="n"/>
      <c r="R58" s="2" t="n"/>
      <c r="S58" s="2" t="n"/>
      <c r="T58" s="2" t="n"/>
      <c r="U58" s="2" t="n"/>
      <c r="V58" s="2" t="n"/>
      <c r="W58" s="2" t="n"/>
      <c r="X58" s="2" t="n"/>
      <c r="Y58" s="2" t="n"/>
      <c r="Z58" s="2" t="n"/>
      <c r="AA58" s="2" t="n"/>
      <c r="AB58" s="2" t="n"/>
      <c r="AC58" s="2" t="n"/>
    </row>
    <row r="59" ht="36" customHeight="1">
      <c r="A59" s="2" t="n"/>
      <c r="B59" s="24" t="inlineStr">
        <is>
          <t>HACCP cutting board PE 600x400x20 mm</t>
        </is>
      </c>
      <c r="C59" s="24" t="inlineStr">
        <is>
          <t>Gastrodax</t>
        </is>
      </c>
      <c r="D59" s="24" t="inlineStr">
        <is>
          <t>Hendi Schneidbretter HACCP 600x400, Weiß</t>
        </is>
      </c>
      <c r="E59" s="24" t="inlineStr">
        <is>
          <t>Hendi</t>
        </is>
      </c>
      <c r="F59" s="25" t="inlineStr">
        <is>
          <t>https://www.gastrodax.de/hendi-schneidbretter-haccp-600-x-400-mm-weiss</t>
        </is>
      </c>
      <c r="G59" s="120" t="n">
        <v>33.5</v>
      </c>
      <c r="H59" s="24" t="inlineStr">
        <is>
          <t>excl.</t>
        </is>
      </c>
      <c r="I59" s="116" t="n">
        <v>1</v>
      </c>
      <c r="J59" s="24" t="n"/>
      <c r="K59" s="120" t="n">
        <v>33.5</v>
      </c>
      <c r="L59" s="24" t="inlineStr">
        <is>
          <t>CLOSE</t>
        </is>
      </c>
      <c r="M59" s="24" t="inlineStr">
        <is>
          <t>18 mm thick instead of 20 mm</t>
        </is>
      </c>
      <c r="N59" s="24" t="inlineStr">
        <is>
          <t>2026-09-30</t>
        </is>
      </c>
      <c r="O59" s="2" t="n"/>
      <c r="P59" s="2" t="n"/>
      <c r="Q59" s="2" t="n"/>
      <c r="R59" s="2" t="n"/>
      <c r="S59" s="2" t="n"/>
      <c r="T59" s="2" t="n"/>
      <c r="U59" s="2" t="n"/>
      <c r="V59" s="2" t="n"/>
      <c r="W59" s="2" t="n"/>
      <c r="X59" s="2" t="n"/>
      <c r="Y59" s="2" t="n"/>
      <c r="Z59" s="2" t="n"/>
      <c r="AA59" s="2" t="n"/>
      <c r="AB59" s="2" t="n"/>
      <c r="AC59" s="2" t="n"/>
    </row>
    <row r="60" ht="36" customHeight="1">
      <c r="A60" s="2" t="n"/>
      <c r="B60" s="27" t="inlineStr">
        <is>
          <t>HACCP cutting board PE 600x400x20 mm</t>
        </is>
      </c>
      <c r="C60" s="27" t="inlineStr">
        <is>
          <t>Gastroladen.at (Harotec GmbH)</t>
        </is>
      </c>
      <c r="D60" s="27" t="inlineStr">
        <is>
          <t>Bartscher Schneidbrett 60x40 W</t>
        </is>
      </c>
      <c r="E60" s="27" t="inlineStr">
        <is>
          <t>Bartscher</t>
        </is>
      </c>
      <c r="F60" s="28" t="inlineStr">
        <is>
          <t>https://www.gastroladen.at/2310@A120592/Bartscher-Schneidbrett-60x40-W.htm</t>
        </is>
      </c>
      <c r="G60" s="121" t="n">
        <v>34.9</v>
      </c>
      <c r="H60" s="27" t="inlineStr">
        <is>
          <t>incl.</t>
        </is>
      </c>
      <c r="I60" s="117" t="n">
        <v>1</v>
      </c>
      <c r="J60" s="27" t="n"/>
      <c r="K60" s="121" t="n">
        <v>29.08</v>
      </c>
      <c r="L60" s="27" t="inlineStr">
        <is>
          <t>CLOSE</t>
        </is>
      </c>
      <c r="M60" s="27" t="inlineStr">
        <is>
          <t>PE, 16 mm plate (20 mm incl. feet), HACCP white</t>
        </is>
      </c>
      <c r="N60" s="27" t="inlineStr">
        <is>
          <t>2026-09-30</t>
        </is>
      </c>
      <c r="O60" s="2" t="n"/>
      <c r="P60" s="2" t="n"/>
      <c r="Q60" s="2" t="n"/>
      <c r="R60" s="2" t="n"/>
      <c r="S60" s="2" t="n"/>
      <c r="T60" s="2" t="n"/>
      <c r="U60" s="2" t="n"/>
      <c r="V60" s="2" t="n"/>
      <c r="W60" s="2" t="n"/>
      <c r="X60" s="2" t="n"/>
      <c r="Y60" s="2" t="n"/>
      <c r="Z60" s="2" t="n"/>
      <c r="AA60" s="2" t="n"/>
      <c r="AB60" s="2" t="n"/>
      <c r="AC60" s="2" t="n"/>
    </row>
    <row r="61" ht="36" customHeight="1">
      <c r="A61" s="2" t="n"/>
      <c r="B61" s="24" t="inlineStr">
        <is>
          <t>HACCP cutting board PE 600x400x20 mm</t>
        </is>
      </c>
      <c r="C61" s="24" t="inlineStr">
        <is>
          <t>Intergastro (AT shop)</t>
        </is>
      </c>
      <c r="D61" s="24" t="inlineStr">
        <is>
          <t>Schneidbrett Polyethylen weiß mit Saftrille 600 x 400 mm</t>
        </is>
      </c>
      <c r="E61" s="24" t="inlineStr">
        <is>
          <t>Contacto</t>
        </is>
      </c>
      <c r="F61" s="25" t="inlineStr">
        <is>
          <t>https://www.intergastro.at/schneidbrett-polyethylen-weiss-mit-saftrille-600-mm-x-400-mm-159019</t>
        </is>
      </c>
      <c r="G61" s="120" t="n">
        <v>35.05</v>
      </c>
      <c r="H61" s="24" t="inlineStr">
        <is>
          <t>excl.</t>
        </is>
      </c>
      <c r="I61" s="116" t="n">
        <v>1</v>
      </c>
      <c r="J61" s="24" t="n"/>
      <c r="K61" s="120" t="n">
        <v>35.05</v>
      </c>
      <c r="L61" s="24" t="inlineStr">
        <is>
          <t>EXACT</t>
        </is>
      </c>
      <c r="M61" s="24" t="inlineStr">
        <is>
          <t>20 mm thick, with juice groove; gross 42.06</t>
        </is>
      </c>
      <c r="N61" s="24" t="inlineStr">
        <is>
          <t>2026-09-30</t>
        </is>
      </c>
      <c r="O61" s="2" t="n"/>
      <c r="P61" s="2" t="n"/>
      <c r="Q61" s="2" t="n"/>
      <c r="R61" s="2" t="n"/>
      <c r="S61" s="2" t="n"/>
      <c r="T61" s="2" t="n"/>
      <c r="U61" s="2" t="n"/>
      <c r="V61" s="2" t="n"/>
      <c r="W61" s="2" t="n"/>
      <c r="X61" s="2" t="n"/>
      <c r="Y61" s="2" t="n"/>
      <c r="Z61" s="2" t="n"/>
      <c r="AA61" s="2" t="n"/>
      <c r="AB61" s="2" t="n"/>
      <c r="AC61" s="2" t="n"/>
    </row>
    <row r="62" ht="36" customHeight="1">
      <c r="A62" s="2" t="n"/>
      <c r="B62" s="27" t="inlineStr">
        <is>
          <t>HACCP cutting board PE 600x400x20 mm</t>
        </is>
      </c>
      <c r="C62" s="27" t="inlineStr">
        <is>
          <t>Jungheinrich PROFISHOP Austria</t>
        </is>
      </c>
      <c r="D62" s="27" t="inlineStr">
        <is>
          <t>Stalgast Schneidbrett, HACCP, Farbe weiß, 600 x 400 x 18 mm</t>
        </is>
      </c>
      <c r="E62" s="27" t="inlineStr">
        <is>
          <t>Stalgast</t>
        </is>
      </c>
      <c r="F62" s="28" t="inlineStr">
        <is>
          <t>https://www.jh-profishop.at/p/stalgast-schneidbrett-haccp-farbe-weiss-600-x-400-x-18-mm-bxtxh-928737-348334/</t>
        </is>
      </c>
      <c r="G62" s="121" t="n">
        <v>27.9</v>
      </c>
      <c r="H62" s="27" t="inlineStr">
        <is>
          <t>excl.</t>
        </is>
      </c>
      <c r="I62" s="117" t="n">
        <v>1</v>
      </c>
      <c r="J62" s="27" t="n"/>
      <c r="K62" s="121" t="n">
        <v>27.9</v>
      </c>
      <c r="L62" s="27" t="inlineStr">
        <is>
          <t>CLOSE</t>
        </is>
      </c>
      <c r="M62" s="27" t="inlineStr">
        <is>
          <t>18 mm instead of 20 mm; material PP (not PE); blue/yellow/green/brown 28.90</t>
        </is>
      </c>
      <c r="N62" s="27" t="inlineStr">
        <is>
          <t>2026-09-30</t>
        </is>
      </c>
      <c r="O62" s="2" t="n"/>
      <c r="P62" s="2" t="n"/>
      <c r="Q62" s="2" t="n"/>
      <c r="R62" s="2" t="n"/>
      <c r="S62" s="2" t="n"/>
      <c r="T62" s="2" t="n"/>
      <c r="U62" s="2" t="n"/>
      <c r="V62" s="2" t="n"/>
      <c r="W62" s="2" t="n"/>
      <c r="X62" s="2" t="n"/>
      <c r="Y62" s="2" t="n"/>
      <c r="Z62" s="2" t="n"/>
      <c r="AA62" s="2" t="n"/>
      <c r="AB62" s="2" t="n"/>
      <c r="AC62" s="2" t="n"/>
    </row>
    <row r="63" ht="36" customHeight="1">
      <c r="A63" s="2" t="n"/>
      <c r="B63" s="24" t="inlineStr">
        <is>
          <t>HACCP cutting board PE 300x200x10 mm</t>
        </is>
      </c>
      <c r="C63" s="24" t="inlineStr">
        <is>
          <t>GastroHero Österreich</t>
        </is>
      </c>
      <c r="D63" s="24" t="inlineStr">
        <is>
          <t>Schneidbrett GN 1/2 - 32,5 x 26,5 x 1,2 cm - HDPE weiß</t>
        </is>
      </c>
      <c r="E63" s="24" t="inlineStr">
        <is>
          <t>Hendi</t>
        </is>
      </c>
      <c r="F63" s="25" t="inlineStr">
        <is>
          <t>https://www.gastro-hero.at/products/schneidbrett-gn-1-2-32-5-x-26-5-x-1-2-cm-hdpe-weiss</t>
        </is>
      </c>
      <c r="G63" s="120" t="n">
        <v>24.99</v>
      </c>
      <c r="H63" s="24" t="inlineStr">
        <is>
          <t>excl.</t>
        </is>
      </c>
      <c r="I63" s="116" t="n">
        <v>1</v>
      </c>
      <c r="J63" s="24" t="n"/>
      <c r="K63" s="120" t="n">
        <v>24.99</v>
      </c>
      <c r="L63" s="24" t="inlineStr">
        <is>
          <t>APPROX</t>
        </is>
      </c>
      <c r="M63" s="24" t="inlineStr">
        <is>
          <t>325x265x12 mm (GN 1/2) vs 300x200x10; no 300x200 board found</t>
        </is>
      </c>
      <c r="N63" s="24" t="inlineStr">
        <is>
          <t>2026-09-30</t>
        </is>
      </c>
      <c r="O63" s="2" t="n"/>
      <c r="P63" s="2" t="n"/>
      <c r="Q63" s="2" t="n"/>
      <c r="R63" s="2" t="n"/>
      <c r="S63" s="2" t="n"/>
      <c r="T63" s="2" t="n"/>
      <c r="U63" s="2" t="n"/>
      <c r="V63" s="2" t="n"/>
      <c r="W63" s="2" t="n"/>
      <c r="X63" s="2" t="n"/>
      <c r="Y63" s="2" t="n"/>
      <c r="Z63" s="2" t="n"/>
      <c r="AA63" s="2" t="n"/>
      <c r="AB63" s="2" t="n"/>
      <c r="AC63" s="2" t="n"/>
    </row>
    <row r="64" ht="36" customHeight="1">
      <c r="A64" s="2" t="n"/>
      <c r="B64" s="27" t="inlineStr">
        <is>
          <t>HACCP cutting board PE 300x200x10 mm</t>
        </is>
      </c>
      <c r="C64" s="27" t="inlineStr">
        <is>
          <t>Gastrodax</t>
        </is>
      </c>
      <c r="D64" s="27" t="inlineStr">
        <is>
          <t>Hendi Schneidbrett mit Griff, Weiß, 300x200mm</t>
        </is>
      </c>
      <c r="E64" s="27" t="inlineStr">
        <is>
          <t>Hendi</t>
        </is>
      </c>
      <c r="F64" s="28" t="inlineStr">
        <is>
          <t>https://www.gastrodax.de/hendi-schneidbrett-mit-griff-weiss-300-x-200-mm</t>
        </is>
      </c>
      <c r="G64" s="121" t="n">
        <v>15.76</v>
      </c>
      <c r="H64" s="27" t="inlineStr">
        <is>
          <t>excl.</t>
        </is>
      </c>
      <c r="I64" s="117" t="n">
        <v>1</v>
      </c>
      <c r="J64" s="27" t="n"/>
      <c r="K64" s="121" t="n">
        <v>15.76</v>
      </c>
      <c r="L64" s="27" t="inlineStr">
        <is>
          <t>EXACT</t>
        </is>
      </c>
      <c r="M64" s="27" t="inlineStr">
        <is>
          <t>300x200x10 mm HDPE, with handle</t>
        </is>
      </c>
      <c r="N64" s="27" t="inlineStr">
        <is>
          <t>2026-09-30</t>
        </is>
      </c>
      <c r="O64" s="2" t="n"/>
      <c r="P64" s="2" t="n"/>
      <c r="Q64" s="2" t="n"/>
      <c r="R64" s="2" t="n"/>
      <c r="S64" s="2" t="n"/>
      <c r="T64" s="2" t="n"/>
      <c r="U64" s="2" t="n"/>
      <c r="V64" s="2" t="n"/>
      <c r="W64" s="2" t="n"/>
      <c r="X64" s="2" t="n"/>
      <c r="Y64" s="2" t="n"/>
      <c r="Z64" s="2" t="n"/>
      <c r="AA64" s="2" t="n"/>
      <c r="AB64" s="2" t="n"/>
      <c r="AC64" s="2" t="n"/>
    </row>
    <row r="65" ht="36" customHeight="1">
      <c r="A65" s="2" t="n"/>
      <c r="B65" s="24" t="inlineStr">
        <is>
          <t>HACCP cutting board PE 300x200x10 mm</t>
        </is>
      </c>
      <c r="C65" s="24" t="inlineStr">
        <is>
          <t>Gastroladen.at (Harotec GmbH)</t>
        </is>
      </c>
      <c r="D65" s="24" t="inlineStr">
        <is>
          <t>Hygiplas HDPE kleines Schneidebrett weiß 300x225x12mm</t>
        </is>
      </c>
      <c r="E65" s="24" t="inlineStr">
        <is>
          <t>Hygiplas</t>
        </is>
      </c>
      <c r="F65" s="25" t="inlineStr">
        <is>
          <t>https://www.gastroladen.at/2310@GN-HC867/Hygiplas-HDPE-kleines-Schneidebrett-wei%C3%9F-300x-225x12mm.htm</t>
        </is>
      </c>
      <c r="G65" s="120" t="n">
        <v>8.890000000000001</v>
      </c>
      <c r="H65" s="24" t="inlineStr">
        <is>
          <t>incl.</t>
        </is>
      </c>
      <c r="I65" s="116" t="n">
        <v>1</v>
      </c>
      <c r="J65" s="24" t="n"/>
      <c r="K65" s="120" t="n">
        <v>7.41</v>
      </c>
      <c r="L65" s="24" t="inlineStr">
        <is>
          <t>CLOSE</t>
        </is>
      </c>
      <c r="M65" s="24" t="inlineStr">
        <is>
          <t>300x225x12 mm vs 300x200x10</t>
        </is>
      </c>
      <c r="N65" s="24" t="inlineStr">
        <is>
          <t>2026-09-30</t>
        </is>
      </c>
      <c r="O65" s="2" t="n"/>
      <c r="P65" s="2" t="n"/>
      <c r="Q65" s="2" t="n"/>
      <c r="R65" s="2" t="n"/>
      <c r="S65" s="2" t="n"/>
      <c r="T65" s="2" t="n"/>
      <c r="U65" s="2" t="n"/>
      <c r="V65" s="2" t="n"/>
      <c r="W65" s="2" t="n"/>
      <c r="X65" s="2" t="n"/>
      <c r="Y65" s="2" t="n"/>
      <c r="Z65" s="2" t="n"/>
      <c r="AA65" s="2" t="n"/>
      <c r="AB65" s="2" t="n"/>
      <c r="AC65" s="2" t="n"/>
    </row>
    <row r="66" ht="36" customHeight="1">
      <c r="A66" s="2" t="n"/>
      <c r="B66" s="27" t="inlineStr">
        <is>
          <t>HACCP cutting board PE 300x200x10 mm</t>
        </is>
      </c>
      <c r="C66" s="27" t="inlineStr">
        <is>
          <t>Intergastro (AT shop)</t>
        </is>
      </c>
      <c r="D66" s="27" t="inlineStr">
        <is>
          <t>Schneidbrett Polyethylen weiß 300 x 200 mm H 15 mm</t>
        </is>
      </c>
      <c r="E66" s="27" t="inlineStr">
        <is>
          <t>WAS Germany</t>
        </is>
      </c>
      <c r="F66" s="28" t="inlineStr">
        <is>
          <t>https://www.intergastro.at/schneidbrett-polyethylen-weiss-300-mm-x-200-mm-h-15-mm-158986</t>
        </is>
      </c>
      <c r="G66" s="121" t="n">
        <v>8.74</v>
      </c>
      <c r="H66" s="27" t="inlineStr">
        <is>
          <t>excl.</t>
        </is>
      </c>
      <c r="I66" s="117" t="n">
        <v>1</v>
      </c>
      <c r="J66" s="27" t="n"/>
      <c r="K66" s="121" t="n">
        <v>8.74</v>
      </c>
      <c r="L66" s="27" t="inlineStr">
        <is>
          <t>CLOSE</t>
        </is>
      </c>
      <c r="M66" s="27" t="inlineStr">
        <is>
          <t>15 mm thick instead of 10 mm; gross 10.49</t>
        </is>
      </c>
      <c r="N66" s="27" t="inlineStr">
        <is>
          <t>2026-09-30</t>
        </is>
      </c>
      <c r="O66" s="2" t="n"/>
      <c r="P66" s="2" t="n"/>
      <c r="Q66" s="2" t="n"/>
      <c r="R66" s="2" t="n"/>
      <c r="S66" s="2" t="n"/>
      <c r="T66" s="2" t="n"/>
      <c r="U66" s="2" t="n"/>
      <c r="V66" s="2" t="n"/>
      <c r="W66" s="2" t="n"/>
      <c r="X66" s="2" t="n"/>
      <c r="Y66" s="2" t="n"/>
      <c r="Z66" s="2" t="n"/>
      <c r="AA66" s="2" t="n"/>
      <c r="AB66" s="2" t="n"/>
      <c r="AC66" s="2" t="n"/>
    </row>
    <row r="67" ht="36" customHeight="1">
      <c r="A67" s="2" t="n"/>
      <c r="B67" s="24" t="inlineStr">
        <is>
          <t>HACCP cutting board PE 300x200x10 mm</t>
        </is>
      </c>
      <c r="C67" s="24" t="inlineStr">
        <is>
          <t>Jungheinrich PROFISHOP Austria</t>
        </is>
      </c>
      <c r="D67" s="24" t="inlineStr">
        <is>
          <t>Stalgast Schneidbrett, rutschfest 270x190x9 mm, schwarz</t>
        </is>
      </c>
      <c r="E67" s="24" t="inlineStr">
        <is>
          <t>Stalgast</t>
        </is>
      </c>
      <c r="F67" s="25" t="inlineStr">
        <is>
          <t>https://www.jh-profishop.at/p/stalgast-schneidbrett-rutschfest-270x190x9-mm-schwarz-928715-348311/</t>
        </is>
      </c>
      <c r="G67" s="120" t="n">
        <v>16.3</v>
      </c>
      <c r="H67" s="24" t="inlineStr">
        <is>
          <t>excl.</t>
        </is>
      </c>
      <c r="I67" s="116" t="n">
        <v>1</v>
      </c>
      <c r="J67" s="24" t="n"/>
      <c r="K67" s="120" t="n">
        <v>16.3</v>
      </c>
      <c r="L67" s="24" t="inlineStr">
        <is>
          <t>APPROX</t>
        </is>
      </c>
      <c r="M67" s="24" t="inlineStr">
        <is>
          <t>270x190x9 mm, black non-slip board, not HACCP colour-coded</t>
        </is>
      </c>
      <c r="N67" s="24" t="inlineStr">
        <is>
          <t>2026-09-30</t>
        </is>
      </c>
      <c r="O67" s="2" t="n"/>
      <c r="P67" s="2" t="n"/>
      <c r="Q67" s="2" t="n"/>
      <c r="R67" s="2" t="n"/>
      <c r="S67" s="2" t="n"/>
      <c r="T67" s="2" t="n"/>
      <c r="U67" s="2" t="n"/>
      <c r="V67" s="2" t="n"/>
      <c r="W67" s="2" t="n"/>
      <c r="X67" s="2" t="n"/>
      <c r="Y67" s="2" t="n"/>
      <c r="Z67" s="2" t="n"/>
      <c r="AA67" s="2" t="n"/>
      <c r="AB67" s="2" t="n"/>
      <c r="AC67" s="2" t="n"/>
    </row>
    <row r="68" ht="36" customHeight="1">
      <c r="A68" s="2" t="n"/>
      <c r="B68" s="27" t="inlineStr">
        <is>
          <t>Pizza dough box 600x400x100 mm, PP</t>
        </is>
      </c>
      <c r="C68" s="27" t="inlineStr">
        <is>
          <t>ALLPAX Österreich</t>
        </is>
      </c>
      <c r="D68" s="27" t="inlineStr">
        <is>
          <t>AmerBox Pizzaballenbox 60 x 40 x 9,5 cm</t>
        </is>
      </c>
      <c r="E68" s="27" t="inlineStr">
        <is>
          <t>AmerBox</t>
        </is>
      </c>
      <c r="F68" s="28" t="inlineStr">
        <is>
          <t>https://www.allpax.at/product_info.php/info/AmerBox-Pizzaballenbox-60-x-40-x-9-5-cm.html</t>
        </is>
      </c>
      <c r="G68" s="121" t="n">
        <v>13.95</v>
      </c>
      <c r="H68" s="27" t="inlineStr">
        <is>
          <t>excl.</t>
        </is>
      </c>
      <c r="I68" s="117" t="n">
        <v>1</v>
      </c>
      <c r="J68" s="27" t="n"/>
      <c r="K68" s="121" t="n">
        <v>13.95</v>
      </c>
      <c r="L68" s="27" t="inlineStr">
        <is>
          <t>CLOSE</t>
        </is>
      </c>
      <c r="M68" s="27" t="inlineStr">
        <is>
          <t>95 mm high and polyethylene (vs 100 mm PP), 18 l</t>
        </is>
      </c>
      <c r="N68" s="27" t="inlineStr">
        <is>
          <t>2026-09-30</t>
        </is>
      </c>
      <c r="O68" s="2" t="n"/>
      <c r="P68" s="2" t="n"/>
      <c r="Q68" s="2" t="n"/>
      <c r="R68" s="2" t="n"/>
      <c r="S68" s="2" t="n"/>
      <c r="T68" s="2" t="n"/>
      <c r="U68" s="2" t="n"/>
      <c r="V68" s="2" t="n"/>
      <c r="W68" s="2" t="n"/>
      <c r="X68" s="2" t="n"/>
      <c r="Y68" s="2" t="n"/>
      <c r="Z68" s="2" t="n"/>
      <c r="AA68" s="2" t="n"/>
      <c r="AB68" s="2" t="n"/>
      <c r="AC68" s="2" t="n"/>
    </row>
    <row r="69" ht="36" customHeight="1">
      <c r="A69" s="2" t="n"/>
      <c r="B69" s="24" t="inlineStr">
        <is>
          <t>Pizza dough box 600x400x100 mm, PP</t>
        </is>
      </c>
      <c r="C69" s="24" t="inlineStr">
        <is>
          <t>GastroHero Österreich</t>
        </is>
      </c>
      <c r="D69" s="24" t="inlineStr">
        <is>
          <t>Pizzateigbox 18 l 600x400x95 mm</t>
        </is>
      </c>
      <c r="E69" s="24" t="inlineStr">
        <is>
          <t>Hendi</t>
        </is>
      </c>
      <c r="F69" s="25" t="inlineStr">
        <is>
          <t>https://www.gastro-hero.at/products/pizzateigbox-18-l-600x400x95-mm</t>
        </is>
      </c>
      <c r="G69" s="120" t="n">
        <v>28.49</v>
      </c>
      <c r="H69" s="24" t="inlineStr">
        <is>
          <t>excl.</t>
        </is>
      </c>
      <c r="I69" s="116" t="n">
        <v>1</v>
      </c>
      <c r="J69" s="24" t="n"/>
      <c r="K69" s="120" t="n">
        <v>28.49</v>
      </c>
      <c r="L69" s="24" t="inlineStr">
        <is>
          <t>CLOSE</t>
        </is>
      </c>
      <c r="M69" s="24" t="inlineStr">
        <is>
          <t>95 mm high; material PET (not PP)</t>
        </is>
      </c>
      <c r="N69" s="24" t="inlineStr">
        <is>
          <t>2026-09-30</t>
        </is>
      </c>
      <c r="O69" s="2" t="n"/>
      <c r="P69" s="2" t="n"/>
      <c r="Q69" s="2" t="n"/>
      <c r="R69" s="2" t="n"/>
      <c r="S69" s="2" t="n"/>
      <c r="T69" s="2" t="n"/>
      <c r="U69" s="2" t="n"/>
      <c r="V69" s="2" t="n"/>
      <c r="W69" s="2" t="n"/>
      <c r="X69" s="2" t="n"/>
      <c r="Y69" s="2" t="n"/>
      <c r="Z69" s="2" t="n"/>
      <c r="AA69" s="2" t="n"/>
      <c r="AB69" s="2" t="n"/>
      <c r="AC69" s="2" t="n"/>
    </row>
    <row r="70" ht="36" customHeight="1">
      <c r="A70" s="2" t="n"/>
      <c r="B70" s="27" t="inlineStr">
        <is>
          <t>Pizza dough box 600x400x100 mm, PP</t>
        </is>
      </c>
      <c r="C70" s="27" t="inlineStr">
        <is>
          <t>Gastrodax</t>
        </is>
      </c>
      <c r="D70" s="27" t="inlineStr">
        <is>
          <t>Hendi Pizzateigbox 600x400, AmerBox, Kitchen Line, 18L, 600x400x(H)95mm</t>
        </is>
      </c>
      <c r="E70" s="27" t="inlineStr">
        <is>
          <t>Hendi</t>
        </is>
      </c>
      <c r="F70" s="28" t="inlineStr">
        <is>
          <t>https://www.gastrodax.de/hendi-pizzateig-box-kitchen-line-18-l-600-x-400-x-h-95-mm</t>
        </is>
      </c>
      <c r="G70" s="121" t="n">
        <v>21.38</v>
      </c>
      <c r="H70" s="27" t="inlineStr">
        <is>
          <t>excl.</t>
        </is>
      </c>
      <c r="I70" s="117" t="n">
        <v>1</v>
      </c>
      <c r="J70" s="27" t="n"/>
      <c r="K70" s="121" t="n">
        <v>21.38</v>
      </c>
      <c r="L70" s="27" t="inlineStr">
        <is>
          <t>CLOSE</t>
        </is>
      </c>
      <c r="M70" s="27" t="inlineStr">
        <is>
          <t>95 mm instead of 100 mm; material not stated</t>
        </is>
      </c>
      <c r="N70" s="27" t="inlineStr">
        <is>
          <t>2026-09-30</t>
        </is>
      </c>
      <c r="O70" s="2" t="n"/>
      <c r="P70" s="2" t="n"/>
      <c r="Q70" s="2" t="n"/>
      <c r="R70" s="2" t="n"/>
      <c r="S70" s="2" t="n"/>
      <c r="T70" s="2" t="n"/>
      <c r="U70" s="2" t="n"/>
      <c r="V70" s="2" t="n"/>
      <c r="W70" s="2" t="n"/>
      <c r="X70" s="2" t="n"/>
      <c r="Y70" s="2" t="n"/>
      <c r="Z70" s="2" t="n"/>
      <c r="AA70" s="2" t="n"/>
      <c r="AB70" s="2" t="n"/>
      <c r="AC70" s="2" t="n"/>
    </row>
    <row r="71" ht="36" customHeight="1">
      <c r="A71" s="2" t="n"/>
      <c r="B71" s="24" t="inlineStr">
        <is>
          <t>Pizza dough box 600x400x100 mm, PP</t>
        </is>
      </c>
      <c r="C71" s="24" t="inlineStr">
        <is>
          <t>Gastroladen.at (Harotec GmbH)</t>
        </is>
      </c>
      <c r="D71" s="24" t="inlineStr">
        <is>
          <t>Gastronoble Stapelbarer Pizzateigbehälter 9,5cm (60x40)</t>
        </is>
      </c>
      <c r="E71" s="24" t="inlineStr">
        <is>
          <t>Gastronoble</t>
        </is>
      </c>
      <c r="F71" s="25" t="inlineStr">
        <is>
          <t>https://www.gastroladen.at/x1090@GN-GN537/Gastronoble-Stapelbarer-Pizzateigbeh%C3%A4lter-9-5cm.htm</t>
        </is>
      </c>
      <c r="G71" s="120" t="n">
        <v>31.9</v>
      </c>
      <c r="H71" s="24" t="inlineStr">
        <is>
          <t>incl.</t>
        </is>
      </c>
      <c r="I71" s="116" t="n">
        <v>1</v>
      </c>
      <c r="J71" s="24" t="n"/>
      <c r="K71" s="120" t="n">
        <v>26.58</v>
      </c>
      <c r="L71" s="24" t="inlineStr">
        <is>
          <t>CLOSE</t>
        </is>
      </c>
      <c r="M71" s="24" t="inlineStr">
        <is>
          <t>95 mm high and polyethylene (vs 100 mm PP)</t>
        </is>
      </c>
      <c r="N71" s="24" t="inlineStr">
        <is>
          <t>2026-09-30</t>
        </is>
      </c>
      <c r="O71" s="2" t="n"/>
      <c r="P71" s="2" t="n"/>
      <c r="Q71" s="2" t="n"/>
      <c r="R71" s="2" t="n"/>
      <c r="S71" s="2" t="n"/>
      <c r="T71" s="2" t="n"/>
      <c r="U71" s="2" t="n"/>
      <c r="V71" s="2" t="n"/>
      <c r="W71" s="2" t="n"/>
      <c r="X71" s="2" t="n"/>
      <c r="Y71" s="2" t="n"/>
      <c r="Z71" s="2" t="n"/>
      <c r="AA71" s="2" t="n"/>
      <c r="AB71" s="2" t="n"/>
      <c r="AC71" s="2" t="n"/>
    </row>
    <row r="72" ht="36" customHeight="1">
      <c r="A72" s="2" t="n"/>
      <c r="B72" s="27" t="inlineStr">
        <is>
          <t>Pizza dough box 600x400x100 mm, PP</t>
        </is>
      </c>
      <c r="C72" s="27" t="inlineStr">
        <is>
          <t>Intergastro (AT shop)</t>
        </is>
      </c>
      <c r="D72" s="27" t="inlineStr">
        <is>
          <t>Pizzaballenbehälter, Polyethylen 600x400x100 mm</t>
        </is>
      </c>
      <c r="E72" s="27" t="inlineStr">
        <is>
          <t>Stalgast</t>
        </is>
      </c>
      <c r="F72" s="28" t="inlineStr">
        <is>
          <t>https://www.intergastro.at/pizzaballenbehaelter-polyethylen-600x400x100-mm-bxtxh-1027185</t>
        </is>
      </c>
      <c r="G72" s="121" t="n">
        <v>21.18</v>
      </c>
      <c r="H72" s="27" t="inlineStr">
        <is>
          <t>excl.</t>
        </is>
      </c>
      <c r="I72" s="117" t="n">
        <v>1</v>
      </c>
      <c r="J72" s="27" t="n"/>
      <c r="K72" s="121" t="n">
        <v>21.18</v>
      </c>
      <c r="L72" s="27" t="inlineStr">
        <is>
          <t>CLOSE</t>
        </is>
      </c>
      <c r="M72" s="27" t="inlineStr">
        <is>
          <t>Polyethylene instead of PP; gross 25.42</t>
        </is>
      </c>
      <c r="N72" s="27" t="inlineStr">
        <is>
          <t>2026-09-30</t>
        </is>
      </c>
      <c r="O72" s="2" t="n"/>
      <c r="P72" s="2" t="n"/>
      <c r="Q72" s="2" t="n"/>
      <c r="R72" s="2" t="n"/>
      <c r="S72" s="2" t="n"/>
      <c r="T72" s="2" t="n"/>
      <c r="U72" s="2" t="n"/>
      <c r="V72" s="2" t="n"/>
      <c r="W72" s="2" t="n"/>
      <c r="X72" s="2" t="n"/>
      <c r="Y72" s="2" t="n"/>
      <c r="Z72" s="2" t="n"/>
      <c r="AA72" s="2" t="n"/>
      <c r="AB72" s="2" t="n"/>
      <c r="AC72" s="2" t="n"/>
    </row>
    <row r="73" ht="36" customHeight="1">
      <c r="A73" s="2" t="n"/>
      <c r="B73" s="24" t="inlineStr">
        <is>
          <t>Pizza dough box 600x400x100 mm, PP</t>
        </is>
      </c>
      <c r="C73" s="24" t="inlineStr">
        <is>
          <t>Jungheinrich PROFISHOP Austria</t>
        </is>
      </c>
      <c r="D73" s="24" t="inlineStr">
        <is>
          <t>Stalgast Pizzaballenbehälter aus Polypropylen 600x400x100 mm</t>
        </is>
      </c>
      <c r="E73" s="24" t="inlineStr">
        <is>
          <t>Stalgast</t>
        </is>
      </c>
      <c r="F73" s="25" t="inlineStr">
        <is>
          <t>https://www.jh-profishop.at/p/stalgast-pizzaballenbehaelter-aus-polypropylen-600x400x100-mm-bxtxh-929478-349074/</t>
        </is>
      </c>
      <c r="G73" s="120" t="n">
        <v>28.9</v>
      </c>
      <c r="H73" s="24" t="inlineStr">
        <is>
          <t>excl.</t>
        </is>
      </c>
      <c r="I73" s="116" t="n">
        <v>1</v>
      </c>
      <c r="J73" s="24" t="n"/>
      <c r="K73" s="120" t="n">
        <v>28.9</v>
      </c>
      <c r="L73" s="24" t="inlineStr">
        <is>
          <t>EXACT</t>
        </is>
      </c>
      <c r="M73" s="24" t="inlineStr">
        <is>
          <t>Title says polypropylene; spec table says 'Polyethylen (PE)' (conflicting)</t>
        </is>
      </c>
      <c r="N73" s="24" t="inlineStr">
        <is>
          <t>2026-09-30</t>
        </is>
      </c>
      <c r="O73" s="2" t="n"/>
      <c r="P73" s="2" t="n"/>
      <c r="Q73" s="2" t="n"/>
      <c r="R73" s="2" t="n"/>
      <c r="S73" s="2" t="n"/>
      <c r="T73" s="2" t="n"/>
      <c r="U73" s="2" t="n"/>
      <c r="V73" s="2" t="n"/>
      <c r="W73" s="2" t="n"/>
      <c r="X73" s="2" t="n"/>
      <c r="Y73" s="2" t="n"/>
      <c r="Z73" s="2" t="n"/>
      <c r="AA73" s="2" t="n"/>
      <c r="AB73" s="2" t="n"/>
      <c r="AC73" s="2" t="n"/>
    </row>
    <row r="74" ht="36" customHeight="1">
      <c r="A74" s="2" t="n"/>
      <c r="B74" s="27" t="inlineStr">
        <is>
          <t>Pizza dough box 600x400x100 mm, PP</t>
        </is>
      </c>
      <c r="C74" s="27" t="inlineStr">
        <is>
          <t>shopbuero.com</t>
        </is>
      </c>
      <c r="D74" s="27" t="inlineStr">
        <is>
          <t>Teigwanne - weiß - rechteckig - 60,0 x 40,0 x 9,5 cm - Inhalt 18 l - Polyethylen</t>
        </is>
      </c>
      <c r="E74" s="27" t="inlineStr">
        <is>
          <t>Schneider</t>
        </is>
      </c>
      <c r="F74" s="28" t="inlineStr">
        <is>
          <t>https://shopbuero.com/teigwanne-weiss-rechteckig-60-0-x-40-0-x-9-5-cm-inhalt-18-l-polyethylen/202172-C</t>
        </is>
      </c>
      <c r="G74" s="121" t="n">
        <v>11</v>
      </c>
      <c r="H74" s="27" t="inlineStr">
        <is>
          <t>excl.</t>
        </is>
      </c>
      <c r="I74" s="117" t="n">
        <v>1</v>
      </c>
      <c r="J74" s="27" t="n"/>
      <c r="K74" s="121" t="n">
        <v>11</v>
      </c>
      <c r="L74" s="27" t="inlineStr">
        <is>
          <t>CLOSE</t>
        </is>
      </c>
      <c r="M74" s="27" t="inlineStr">
        <is>
          <t>95 mm high and polyethylene (vs 100 mm PP); regular price 17.10</t>
        </is>
      </c>
      <c r="N74" s="27" t="inlineStr">
        <is>
          <t>2026-09-30</t>
        </is>
      </c>
      <c r="O74" s="2" t="n"/>
      <c r="P74" s="2" t="n"/>
      <c r="Q74" s="2" t="n"/>
      <c r="R74" s="2" t="n"/>
      <c r="S74" s="2" t="n"/>
      <c r="T74" s="2" t="n"/>
      <c r="U74" s="2" t="n"/>
      <c r="V74" s="2" t="n"/>
      <c r="W74" s="2" t="n"/>
      <c r="X74" s="2" t="n"/>
      <c r="Y74" s="2" t="n"/>
      <c r="Z74" s="2" t="n"/>
      <c r="AA74" s="2" t="n"/>
      <c r="AB74" s="2" t="n"/>
      <c r="AC74" s="2" t="n"/>
    </row>
    <row r="75" ht="36" customHeight="1">
      <c r="A75" s="2" t="n"/>
      <c r="B75" s="24" t="inlineStr">
        <is>
          <t>Lid for 600x400 dough box</t>
        </is>
      </c>
      <c r="C75" s="24" t="inlineStr">
        <is>
          <t>GastroHero Österreich</t>
        </is>
      </c>
      <c r="D75" s="24" t="inlineStr">
        <is>
          <t>APS Deckel zu Pizzaballenbehälter</t>
        </is>
      </c>
      <c r="E75" s="24" t="inlineStr">
        <is>
          <t>APS</t>
        </is>
      </c>
      <c r="F75" s="25" t="inlineStr">
        <is>
          <t>https://www.gastro-hero.at/products/aps-deckel-zu-pizzaballenbehaelter-aps82441</t>
        </is>
      </c>
      <c r="G75" s="120" t="n">
        <v>8.99</v>
      </c>
      <c r="H75" s="24" t="inlineStr">
        <is>
          <t>excl.</t>
        </is>
      </c>
      <c r="I75" s="116" t="n">
        <v>1</v>
      </c>
      <c r="J75" s="24" t="n"/>
      <c r="K75" s="120" t="n">
        <v>8.99</v>
      </c>
      <c r="L75" s="24" t="inlineStr">
        <is>
          <t>EXACT</t>
        </is>
      </c>
      <c r="M75" s="24" t="inlineStr">
        <is>
          <t>PE, 600x400x10 mm; min. qty 2</t>
        </is>
      </c>
      <c r="N75" s="24" t="inlineStr">
        <is>
          <t>2026-09-30</t>
        </is>
      </c>
      <c r="O75" s="2" t="n"/>
      <c r="P75" s="2" t="n"/>
      <c r="Q75" s="2" t="n"/>
      <c r="R75" s="2" t="n"/>
      <c r="S75" s="2" t="n"/>
      <c r="T75" s="2" t="n"/>
      <c r="U75" s="2" t="n"/>
      <c r="V75" s="2" t="n"/>
      <c r="W75" s="2" t="n"/>
      <c r="X75" s="2" t="n"/>
      <c r="Y75" s="2" t="n"/>
      <c r="Z75" s="2" t="n"/>
      <c r="AA75" s="2" t="n"/>
      <c r="AB75" s="2" t="n"/>
      <c r="AC75" s="2" t="n"/>
    </row>
    <row r="76" ht="36" customHeight="1">
      <c r="A76" s="2" t="n"/>
      <c r="B76" s="27" t="inlineStr">
        <is>
          <t>Lid for 600x400 dough box</t>
        </is>
      </c>
      <c r="C76" s="27" t="inlineStr">
        <is>
          <t>Gastrodax</t>
        </is>
      </c>
      <c r="D76" s="27" t="inlineStr">
        <is>
          <t>Contacto Deckel zu Pizzaballenbehälter 600 x 400 mm</t>
        </is>
      </c>
      <c r="E76" s="27" t="inlineStr">
        <is>
          <t>Contacto</t>
        </is>
      </c>
      <c r="F76" s="28" t="inlineStr">
        <is>
          <t>https://www.gastrodax.de/contacto-deckel-zu-pizzaballenbehaelter-fuer-2510</t>
        </is>
      </c>
      <c r="G76" s="121" t="n">
        <v>8</v>
      </c>
      <c r="H76" s="27" t="inlineStr">
        <is>
          <t>excl.</t>
        </is>
      </c>
      <c r="I76" s="117" t="n">
        <v>1</v>
      </c>
      <c r="J76" s="27" t="n"/>
      <c r="K76" s="121" t="n">
        <v>8</v>
      </c>
      <c r="L76" s="27" t="inlineStr">
        <is>
          <t>EXACT</t>
        </is>
      </c>
      <c r="M76" s="27" t="inlineStr">
        <is>
          <t>HD-polyethylene; sale price, normal 10.00</t>
        </is>
      </c>
      <c r="N76" s="27" t="inlineStr">
        <is>
          <t>2026-09-30</t>
        </is>
      </c>
      <c r="O76" s="2" t="n"/>
      <c r="P76" s="2" t="n"/>
      <c r="Q76" s="2" t="n"/>
      <c r="R76" s="2" t="n"/>
      <c r="S76" s="2" t="n"/>
      <c r="T76" s="2" t="n"/>
      <c r="U76" s="2" t="n"/>
      <c r="V76" s="2" t="n"/>
      <c r="W76" s="2" t="n"/>
      <c r="X76" s="2" t="n"/>
      <c r="Y76" s="2" t="n"/>
      <c r="Z76" s="2" t="n"/>
      <c r="AA76" s="2" t="n"/>
      <c r="AB76" s="2" t="n"/>
      <c r="AC76" s="2" t="n"/>
    </row>
    <row r="77" ht="36" customHeight="1">
      <c r="A77" s="2" t="n"/>
      <c r="B77" s="24" t="inlineStr">
        <is>
          <t>Lid for 600x400 dough box</t>
        </is>
      </c>
      <c r="C77" s="24" t="inlineStr">
        <is>
          <t>Gastroladen.at (Harotec GmbH)</t>
        </is>
      </c>
      <c r="D77" s="24" t="inlineStr">
        <is>
          <t>Gastronoble Deckel für stapelbare Pizzateigbehälter 60x40cm</t>
        </is>
      </c>
      <c r="E77" s="24" t="inlineStr">
        <is>
          <t>Gastronoble</t>
        </is>
      </c>
      <c r="F77" s="25" t="inlineStr">
        <is>
          <t>https://www.gastroladen.at/x1090@GN-GN539/Gastronoble-Deckel-f%C3%BCr-stapelbare-Pizzateigbeh%C3%A4lter-60x40cm.htm</t>
        </is>
      </c>
      <c r="G77" s="120" t="n">
        <v>27.39</v>
      </c>
      <c r="H77" s="24" t="inlineStr">
        <is>
          <t>incl.</t>
        </is>
      </c>
      <c r="I77" s="116" t="n">
        <v>1</v>
      </c>
      <c r="J77" s="24" t="n"/>
      <c r="K77" s="120" t="n">
        <v>22.83</v>
      </c>
      <c r="L77" s="24" t="inlineStr">
        <is>
          <t>EXACT</t>
        </is>
      </c>
      <c r="M77" s="24" t="inlineStr">
        <is>
          <t>PE lid</t>
        </is>
      </c>
      <c r="N77" s="24" t="inlineStr">
        <is>
          <t>2026-09-30</t>
        </is>
      </c>
      <c r="O77" s="2" t="n"/>
      <c r="P77" s="2" t="n"/>
      <c r="Q77" s="2" t="n"/>
      <c r="R77" s="2" t="n"/>
      <c r="S77" s="2" t="n"/>
      <c r="T77" s="2" t="n"/>
      <c r="U77" s="2" t="n"/>
      <c r="V77" s="2" t="n"/>
      <c r="W77" s="2" t="n"/>
      <c r="X77" s="2" t="n"/>
      <c r="Y77" s="2" t="n"/>
      <c r="Z77" s="2" t="n"/>
      <c r="AA77" s="2" t="n"/>
      <c r="AB77" s="2" t="n"/>
      <c r="AC77" s="2" t="n"/>
    </row>
    <row r="78" ht="36" customHeight="1">
      <c r="A78" s="2" t="n"/>
      <c r="B78" s="27" t="inlineStr">
        <is>
          <t>Lid for 600x400 dough box</t>
        </is>
      </c>
      <c r="C78" s="27" t="inlineStr">
        <is>
          <t>Intergastro (AT shop)</t>
        </is>
      </c>
      <c r="D78" s="27" t="inlineStr">
        <is>
          <t>Deckel für Pizzaballenbehälter, PP, 60 x 40 x 2 cm</t>
        </is>
      </c>
      <c r="E78" s="27" t="inlineStr">
        <is>
          <t>WAS Germany</t>
        </is>
      </c>
      <c r="F78" s="28" t="inlineStr">
        <is>
          <t>https://www.intergastro.at/deckel-fuer-pizzaballenbehaelter-art-967927-pp-60-x-40-x-2-cm-967928</t>
        </is>
      </c>
      <c r="G78" s="121" t="n">
        <v>7.95</v>
      </c>
      <c r="H78" s="27" t="inlineStr">
        <is>
          <t>excl.</t>
        </is>
      </c>
      <c r="I78" s="117" t="n">
        <v>1</v>
      </c>
      <c r="J78" s="27" t="n"/>
      <c r="K78" s="121" t="n">
        <v>7.95</v>
      </c>
      <c r="L78" s="27" t="inlineStr">
        <is>
          <t>EXACT</t>
        </is>
      </c>
      <c r="M78" s="27" t="inlineStr">
        <is>
          <t>Gross 9.54</t>
        </is>
      </c>
      <c r="N78" s="27" t="inlineStr">
        <is>
          <t>2026-09-30</t>
        </is>
      </c>
      <c r="O78" s="2" t="n"/>
      <c r="P78" s="2" t="n"/>
      <c r="Q78" s="2" t="n"/>
      <c r="R78" s="2" t="n"/>
      <c r="S78" s="2" t="n"/>
      <c r="T78" s="2" t="n"/>
      <c r="U78" s="2" t="n"/>
      <c r="V78" s="2" t="n"/>
      <c r="W78" s="2" t="n"/>
      <c r="X78" s="2" t="n"/>
      <c r="Y78" s="2" t="n"/>
      <c r="Z78" s="2" t="n"/>
      <c r="AA78" s="2" t="n"/>
      <c r="AB78" s="2" t="n"/>
      <c r="AC78" s="2" t="n"/>
    </row>
    <row r="79" ht="36" customHeight="1">
      <c r="A79" s="2" t="n"/>
      <c r="B79" s="24" t="inlineStr">
        <is>
          <t>Lid for 600x400 dough box</t>
        </is>
      </c>
      <c r="C79" s="24" t="inlineStr">
        <is>
          <t>shopbuero.com</t>
        </is>
      </c>
      <c r="D79" s="24" t="inlineStr">
        <is>
          <t>Deckel - für Teigwanne (202180) - weiß - 60,0 x 40,0 x 3,5 cm - Polypropylen</t>
        </is>
      </c>
      <c r="E79" s="24" t="inlineStr">
        <is>
          <t>Schneider</t>
        </is>
      </c>
      <c r="F79" s="25" t="inlineStr">
        <is>
          <t>https://shopbuero.com/deckel-fuer-teigwanne-202180-weiss-rechteckig-60-0-x-40-0-x-3-5-cm-polypropylen/202181-C</t>
        </is>
      </c>
      <c r="G79" s="120" t="n">
        <v>16</v>
      </c>
      <c r="H79" s="24" t="inlineStr">
        <is>
          <t>excl.</t>
        </is>
      </c>
      <c r="I79" s="116" t="n">
        <v>1</v>
      </c>
      <c r="J79" s="24" t="n"/>
      <c r="K79" s="120" t="n">
        <v>16</v>
      </c>
      <c r="L79" s="24" t="inlineStr">
        <is>
          <t>EXACT</t>
        </is>
      </c>
      <c r="M79" s="24" t="inlineStr">
        <is>
          <t>PP lid 600x400; regular price 25.10</t>
        </is>
      </c>
      <c r="N79" s="24" t="inlineStr">
        <is>
          <t>2026-09-30</t>
        </is>
      </c>
      <c r="O79" s="2" t="n"/>
      <c r="P79" s="2" t="n"/>
      <c r="Q79" s="2" t="n"/>
      <c r="R79" s="2" t="n"/>
      <c r="S79" s="2" t="n"/>
      <c r="T79" s="2" t="n"/>
      <c r="U79" s="2" t="n"/>
      <c r="V79" s="2" t="n"/>
      <c r="W79" s="2" t="n"/>
      <c r="X79" s="2" t="n"/>
      <c r="Y79" s="2" t="n"/>
      <c r="Z79" s="2" t="n"/>
      <c r="AA79" s="2" t="n"/>
      <c r="AB79" s="2" t="n"/>
      <c r="AC79" s="2" t="n"/>
    </row>
    <row r="80" ht="36" customHeight="1">
      <c r="A80" s="2" t="n"/>
      <c r="B80" s="27" t="inlineStr">
        <is>
          <t>Pizza dough box 600x400x75 mm, PE</t>
        </is>
      </c>
      <c r="C80" s="27" t="inlineStr">
        <is>
          <t>ALLPAX Österreich</t>
        </is>
      </c>
      <c r="D80" s="27" t="inlineStr">
        <is>
          <t>AmerBox Pizzaballenbox 60 x 40 x 7,5 cm</t>
        </is>
      </c>
      <c r="E80" s="27" t="inlineStr">
        <is>
          <t>AmerBox</t>
        </is>
      </c>
      <c r="F80" s="28" t="inlineStr">
        <is>
          <t>https://www.allpax.at/product_info.php/info/AmerBox-Pizzaballenbox-60-x-40-x-7-5-cm.html</t>
        </is>
      </c>
      <c r="G80" s="121" t="n">
        <v>12.8</v>
      </c>
      <c r="H80" s="27" t="inlineStr">
        <is>
          <t>excl.</t>
        </is>
      </c>
      <c r="I80" s="117" t="n">
        <v>1</v>
      </c>
      <c r="J80" s="27" t="n"/>
      <c r="K80" s="121" t="n">
        <v>12.8</v>
      </c>
      <c r="L80" s="27" t="inlineStr">
        <is>
          <t>EXACT</t>
        </is>
      </c>
      <c r="M80" s="27" t="inlineStr">
        <is>
          <t>Polyethylene, 14 l</t>
        </is>
      </c>
      <c r="N80" s="27" t="inlineStr">
        <is>
          <t>2026-09-30</t>
        </is>
      </c>
      <c r="O80" s="2" t="n"/>
      <c r="P80" s="2" t="n"/>
      <c r="Q80" s="2" t="n"/>
      <c r="R80" s="2" t="n"/>
      <c r="S80" s="2" t="n"/>
      <c r="T80" s="2" t="n"/>
      <c r="U80" s="2" t="n"/>
      <c r="V80" s="2" t="n"/>
      <c r="W80" s="2" t="n"/>
      <c r="X80" s="2" t="n"/>
      <c r="Y80" s="2" t="n"/>
      <c r="Z80" s="2" t="n"/>
      <c r="AA80" s="2" t="n"/>
      <c r="AB80" s="2" t="n"/>
      <c r="AC80" s="2" t="n"/>
    </row>
    <row r="81" ht="36" customHeight="1">
      <c r="A81" s="2" t="n"/>
      <c r="B81" s="24" t="inlineStr">
        <is>
          <t>Pizza dough box 600x400x75 mm, PE</t>
        </is>
      </c>
      <c r="C81" s="24" t="inlineStr">
        <is>
          <t>GastroHero Österreich</t>
        </is>
      </c>
      <c r="D81" s="24" t="inlineStr">
        <is>
          <t>Pizzaballenbehälter, weiß Polyethylen, 60x40x7,5cm</t>
        </is>
      </c>
      <c r="E81" s="24" t="inlineStr">
        <is>
          <t>Contacto</t>
        </is>
      </c>
      <c r="F81" s="25" t="inlineStr">
        <is>
          <t>https://www.gastro-hero.at/products/pizzaballenbehaelter-weiss-polyethylen-60x40x75cm-2510600</t>
        </is>
      </c>
      <c r="G81" s="120" t="n">
        <v>33.59</v>
      </c>
      <c r="H81" s="24" t="inlineStr">
        <is>
          <t>excl.</t>
        </is>
      </c>
      <c r="I81" s="116" t="n">
        <v>1</v>
      </c>
      <c r="J81" s="24" t="n"/>
      <c r="K81" s="120" t="n">
        <v>33.59</v>
      </c>
      <c r="L81" s="24" t="inlineStr">
        <is>
          <t>EXACT</t>
        </is>
      </c>
      <c r="M81" s="24" t="inlineStr">
        <is>
          <t>Sale price (normal 38.09). APS 600x400x75 box (material not stated) 10.79, min. qty 2</t>
        </is>
      </c>
      <c r="N81" s="24" t="inlineStr">
        <is>
          <t>2026-09-30</t>
        </is>
      </c>
      <c r="O81" s="2" t="n"/>
      <c r="P81" s="2" t="n"/>
      <c r="Q81" s="2" t="n"/>
      <c r="R81" s="2" t="n"/>
      <c r="S81" s="2" t="n"/>
      <c r="T81" s="2" t="n"/>
      <c r="U81" s="2" t="n"/>
      <c r="V81" s="2" t="n"/>
      <c r="W81" s="2" t="n"/>
      <c r="X81" s="2" t="n"/>
      <c r="Y81" s="2" t="n"/>
      <c r="Z81" s="2" t="n"/>
      <c r="AA81" s="2" t="n"/>
      <c r="AB81" s="2" t="n"/>
      <c r="AC81" s="2" t="n"/>
    </row>
    <row r="82" ht="36" customHeight="1">
      <c r="A82" s="2" t="n"/>
      <c r="B82" s="27" t="inlineStr">
        <is>
          <t>Pizza dough box 600x400x75 mm, PE</t>
        </is>
      </c>
      <c r="C82" s="27" t="inlineStr">
        <is>
          <t>Gastrodax</t>
        </is>
      </c>
      <c r="D82" s="27" t="inlineStr">
        <is>
          <t>Contacto Pizzaballenbehälter 60 cm / 40 cm (600x400x75 mm)</t>
        </is>
      </c>
      <c r="E82" s="27" t="inlineStr">
        <is>
          <t>Contacto</t>
        </is>
      </c>
      <c r="F82" s="28" t="inlineStr">
        <is>
          <t>https://www.gastrodax.de/contacto-pizzaballenbehaelter-60-cm-40-cm</t>
        </is>
      </c>
      <c r="G82" s="121" t="n">
        <v>9.880000000000001</v>
      </c>
      <c r="H82" s="27" t="inlineStr">
        <is>
          <t>excl.</t>
        </is>
      </c>
      <c r="I82" s="117" t="n">
        <v>1</v>
      </c>
      <c r="J82" s="27" t="n"/>
      <c r="K82" s="121" t="n">
        <v>9.880000000000001</v>
      </c>
      <c r="L82" s="27" t="inlineStr">
        <is>
          <t>CLOSE</t>
        </is>
      </c>
      <c r="M82" s="27" t="inlineStr">
        <is>
          <t>Polypropylene instead of PE; sale price, normal 12.35. Hendi 600x400x75 (material not stated) 19.43</t>
        </is>
      </c>
      <c r="N82" s="27" t="inlineStr">
        <is>
          <t>2026-09-30</t>
        </is>
      </c>
      <c r="O82" s="2" t="n"/>
      <c r="P82" s="2" t="n"/>
      <c r="Q82" s="2" t="n"/>
      <c r="R82" s="2" t="n"/>
      <c r="S82" s="2" t="n"/>
      <c r="T82" s="2" t="n"/>
      <c r="U82" s="2" t="n"/>
      <c r="V82" s="2" t="n"/>
      <c r="W82" s="2" t="n"/>
      <c r="X82" s="2" t="n"/>
      <c r="Y82" s="2" t="n"/>
      <c r="Z82" s="2" t="n"/>
      <c r="AA82" s="2" t="n"/>
      <c r="AB82" s="2" t="n"/>
      <c r="AC82" s="2" t="n"/>
    </row>
    <row r="83" ht="36" customHeight="1">
      <c r="A83" s="2" t="n"/>
      <c r="B83" s="24" t="inlineStr">
        <is>
          <t>Pizza dough box 600x400x75 mm, PE</t>
        </is>
      </c>
      <c r="C83" s="24" t="inlineStr">
        <is>
          <t>Gastroladen.at (Harotec GmbH)</t>
        </is>
      </c>
      <c r="D83" s="24" t="inlineStr">
        <is>
          <t>Gastronoble Stapelbarer Pizzateigbehälter 7,5cm (60x40)</t>
        </is>
      </c>
      <c r="E83" s="24" t="inlineStr">
        <is>
          <t>Gastronoble</t>
        </is>
      </c>
      <c r="F83" s="25" t="inlineStr">
        <is>
          <t>https://www.gastroladen.at/x1090@GN-GN536/Gastronoble-Stapelbarer-Pizzateigbeh%C3%A4lter-7-5cm.htm</t>
        </is>
      </c>
      <c r="G83" s="120" t="n">
        <v>31.9</v>
      </c>
      <c r="H83" s="24" t="inlineStr">
        <is>
          <t>incl.</t>
        </is>
      </c>
      <c r="I83" s="116" t="n">
        <v>1</v>
      </c>
      <c r="J83" s="24" t="n"/>
      <c r="K83" s="120" t="n">
        <v>26.58</v>
      </c>
      <c r="L83" s="24" t="inlineStr">
        <is>
          <t>EXACT</t>
        </is>
      </c>
      <c r="M83" s="24" t="inlineStr">
        <is>
          <t>PE</t>
        </is>
      </c>
      <c r="N83" s="24" t="inlineStr">
        <is>
          <t>2026-09-30</t>
        </is>
      </c>
      <c r="O83" s="2" t="n"/>
      <c r="P83" s="2" t="n"/>
      <c r="Q83" s="2" t="n"/>
      <c r="R83" s="2" t="n"/>
      <c r="S83" s="2" t="n"/>
      <c r="T83" s="2" t="n"/>
      <c r="U83" s="2" t="n"/>
      <c r="V83" s="2" t="n"/>
      <c r="W83" s="2" t="n"/>
      <c r="X83" s="2" t="n"/>
      <c r="Y83" s="2" t="n"/>
      <c r="Z83" s="2" t="n"/>
      <c r="AA83" s="2" t="n"/>
      <c r="AB83" s="2" t="n"/>
      <c r="AC83" s="2" t="n"/>
    </row>
    <row r="84" ht="36" customHeight="1">
      <c r="A84" s="2" t="n"/>
      <c r="B84" s="27" t="inlineStr">
        <is>
          <t>Pizza dough box 600x400x75 mm, PE</t>
        </is>
      </c>
      <c r="C84" s="27" t="inlineStr">
        <is>
          <t>Intergastro (AT shop)</t>
        </is>
      </c>
      <c r="D84" s="27" t="inlineStr">
        <is>
          <t>Teigbehälter / Pizzaballenbehälter 14 ltr 600 x 400 mm H 75 mm (Polyethylen)</t>
        </is>
      </c>
      <c r="E84" s="27" t="inlineStr">
        <is>
          <t>APS</t>
        </is>
      </c>
      <c r="F84" s="28" t="inlineStr">
        <is>
          <t>https://www.intergastro.at/teigbehaelter-pizzaballenbehaelter-14-ltr-600-mm-x-400-mm-h-75-mm-985534</t>
        </is>
      </c>
      <c r="G84" s="121" t="n">
        <v>9.970000000000001</v>
      </c>
      <c r="H84" s="27" t="inlineStr">
        <is>
          <t>excl.</t>
        </is>
      </c>
      <c r="I84" s="117" t="n">
        <v>1</v>
      </c>
      <c r="J84" s="27" t="n"/>
      <c r="K84" s="121" t="n">
        <v>9.970000000000001</v>
      </c>
      <c r="L84" s="27" t="inlineStr">
        <is>
          <t>EXACT</t>
        </is>
      </c>
      <c r="M84" s="27" t="inlineStr">
        <is>
          <t>Gross 11.96</t>
        </is>
      </c>
      <c r="N84" s="27" t="inlineStr">
        <is>
          <t>2026-09-30</t>
        </is>
      </c>
      <c r="O84" s="2" t="n"/>
      <c r="P84" s="2" t="n"/>
      <c r="Q84" s="2" t="n"/>
      <c r="R84" s="2" t="n"/>
      <c r="S84" s="2" t="n"/>
      <c r="T84" s="2" t="n"/>
      <c r="U84" s="2" t="n"/>
      <c r="V84" s="2" t="n"/>
      <c r="W84" s="2" t="n"/>
      <c r="X84" s="2" t="n"/>
      <c r="Y84" s="2" t="n"/>
      <c r="Z84" s="2" t="n"/>
      <c r="AA84" s="2" t="n"/>
      <c r="AB84" s="2" t="n"/>
      <c r="AC84" s="2" t="n"/>
    </row>
    <row r="85" ht="36" customHeight="1">
      <c r="A85" s="2" t="n"/>
      <c r="B85" s="24" t="inlineStr">
        <is>
          <t>Pizza dough box 600x400x75 mm, PE</t>
        </is>
      </c>
      <c r="C85" s="24" t="inlineStr">
        <is>
          <t>Jungheinrich PROFISHOP Austria</t>
        </is>
      </c>
      <c r="D85" s="24" t="inlineStr">
        <is>
          <t>Stalgast Pizzaballenbehälter aus Polypropylen 600 x 400 x 70 mm</t>
        </is>
      </c>
      <c r="E85" s="24" t="inlineStr">
        <is>
          <t>Stalgast</t>
        </is>
      </c>
      <c r="F85" s="25" t="inlineStr">
        <is>
          <t>https://www.jh-profishop.at/p/stalgast-pizzaballenbehaelter-aus-polypropylen-600-x-400-x-70-mm-bxtxh-929475-349073/</t>
        </is>
      </c>
      <c r="G85" s="120" t="n">
        <v>34.9</v>
      </c>
      <c r="H85" s="24" t="inlineStr">
        <is>
          <t>excl.</t>
        </is>
      </c>
      <c r="I85" s="116" t="n">
        <v>1</v>
      </c>
      <c r="J85" s="24" t="n"/>
      <c r="K85" s="120" t="n">
        <v>34.9</v>
      </c>
      <c r="L85" s="24" t="inlineStr">
        <is>
          <t>CLOSE</t>
        </is>
      </c>
      <c r="M85" s="24" t="inlineStr">
        <is>
          <t>70 mm instead of 75 mm; PP per title (spec asks PE)</t>
        </is>
      </c>
      <c r="N85" s="24" t="inlineStr">
        <is>
          <t>2026-09-30</t>
        </is>
      </c>
      <c r="O85" s="2" t="n"/>
      <c r="P85" s="2" t="n"/>
      <c r="Q85" s="2" t="n"/>
      <c r="R85" s="2" t="n"/>
      <c r="S85" s="2" t="n"/>
      <c r="T85" s="2" t="n"/>
      <c r="U85" s="2" t="n"/>
      <c r="V85" s="2" t="n"/>
      <c r="W85" s="2" t="n"/>
      <c r="X85" s="2" t="n"/>
      <c r="Y85" s="2" t="n"/>
      <c r="Z85" s="2" t="n"/>
      <c r="AA85" s="2" t="n"/>
      <c r="AB85" s="2" t="n"/>
      <c r="AC85" s="2" t="n"/>
    </row>
    <row r="86" ht="36" customHeight="1">
      <c r="A86" s="2" t="n"/>
      <c r="B86" s="27" t="inlineStr">
        <is>
          <t>Pizza dough box 600x400x75 mm, PE</t>
        </is>
      </c>
      <c r="C86" s="27" t="inlineStr">
        <is>
          <t>shopbuero.com</t>
        </is>
      </c>
      <c r="D86" s="27" t="inlineStr">
        <is>
          <t>Teig- und Pizzaballenbehälter - weiß - 60,0 x 40,0 x 7,5 cm - Inhalt 14 l - Polyethylen</t>
        </is>
      </c>
      <c r="E86" s="27" t="inlineStr">
        <is>
          <t>APS</t>
        </is>
      </c>
      <c r="F86" s="28" t="inlineStr">
        <is>
          <t>https://shopbuero.com/teig-und-pizzaballenbehaelter-weiss-60-0-x-40-0-x-7-5-cm-inhalt-14-l-polyethylen/82440-B</t>
        </is>
      </c>
      <c r="G86" s="121" t="n">
        <v>8.800000000000001</v>
      </c>
      <c r="H86" s="27" t="inlineStr">
        <is>
          <t>excl.</t>
        </is>
      </c>
      <c r="I86" s="117" t="n">
        <v>1</v>
      </c>
      <c r="J86" s="27" t="n"/>
      <c r="K86" s="121" t="n">
        <v>8.800000000000001</v>
      </c>
      <c r="L86" s="27" t="inlineStr">
        <is>
          <t>EXACT</t>
        </is>
      </c>
      <c r="M86" s="27" t="inlineStr">
        <is>
          <t>Regular price 12.00; Schneider 202170-C same spec 9.50</t>
        </is>
      </c>
      <c r="N86" s="27" t="inlineStr">
        <is>
          <t>2026-09-30</t>
        </is>
      </c>
      <c r="O86" s="2" t="n"/>
      <c r="P86" s="2" t="n"/>
      <c r="Q86" s="2" t="n"/>
      <c r="R86" s="2" t="n"/>
      <c r="S86" s="2" t="n"/>
      <c r="T86" s="2" t="n"/>
      <c r="U86" s="2" t="n"/>
      <c r="V86" s="2" t="n"/>
      <c r="W86" s="2" t="n"/>
      <c r="X86" s="2" t="n"/>
      <c r="Y86" s="2" t="n"/>
      <c r="Z86" s="2" t="n"/>
      <c r="AA86" s="2" t="n"/>
      <c r="AB86" s="2" t="n"/>
      <c r="AC86" s="2" t="n"/>
    </row>
    <row r="87" ht="36" customHeight="1">
      <c r="A87" s="2" t="n"/>
      <c r="B87" s="24" t="inlineStr">
        <is>
          <t>Front-loading insulated thermobox for GN 1/1 (~80-90 l)</t>
        </is>
      </c>
      <c r="C87" s="24" t="inlineStr">
        <is>
          <t>ALLPAX Österreich</t>
        </is>
      </c>
      <c r="D87" s="24" t="inlineStr">
        <is>
          <t>Hendi Thermobox für GN 1/1</t>
        </is>
      </c>
      <c r="E87" s="24" t="inlineStr">
        <is>
          <t>Hendi</t>
        </is>
      </c>
      <c r="F87" s="25" t="inlineStr">
        <is>
          <t>https://www.allpax.at/product_info.php/info/Hendi-Thermobox-fuer-GN-1-1.html</t>
        </is>
      </c>
      <c r="G87" s="120" t="n">
        <v>284</v>
      </c>
      <c r="H87" s="24" t="inlineStr">
        <is>
          <t>excl.</t>
        </is>
      </c>
      <c r="I87" s="116" t="n">
        <v>1</v>
      </c>
      <c r="J87" s="24" t="n"/>
      <c r="K87" s="120" t="n">
        <v>284</v>
      </c>
      <c r="L87" s="24" t="inlineStr">
        <is>
          <t>CLOSE</t>
        </is>
      </c>
      <c r="M87" s="24" t="inlineStr">
        <is>
          <t>Front-loading LDPE box with rails, 477x680x620 mm; inner 335x533x590 mm (~105 l, above 80-90 l)</t>
        </is>
      </c>
      <c r="N87" s="24" t="inlineStr">
        <is>
          <t>2026-09-30</t>
        </is>
      </c>
      <c r="O87" s="2" t="n"/>
      <c r="P87" s="2" t="n"/>
      <c r="Q87" s="2" t="n"/>
      <c r="R87" s="2" t="n"/>
      <c r="S87" s="2" t="n"/>
      <c r="T87" s="2" t="n"/>
      <c r="U87" s="2" t="n"/>
      <c r="V87" s="2" t="n"/>
      <c r="W87" s="2" t="n"/>
      <c r="X87" s="2" t="n"/>
      <c r="Y87" s="2" t="n"/>
      <c r="Z87" s="2" t="n"/>
      <c r="AA87" s="2" t="n"/>
      <c r="AB87" s="2" t="n"/>
      <c r="AC87" s="2" t="n"/>
    </row>
    <row r="88" ht="36" customHeight="1">
      <c r="A88" s="2" t="n"/>
      <c r="B88" s="27" t="inlineStr">
        <is>
          <t>Front-loading insulated thermobox for GN 1/1 (~80-90 l)</t>
        </is>
      </c>
      <c r="C88" s="27" t="inlineStr">
        <is>
          <t>GastroHero Österreich</t>
        </is>
      </c>
      <c r="D88" s="27" t="inlineStr">
        <is>
          <t>Thermobox ECO GN 1/1 - Frontlader (90 l)</t>
        </is>
      </c>
      <c r="E88" s="27" t="inlineStr">
        <is>
          <t>GastroHero</t>
        </is>
      </c>
      <c r="F88" s="28" t="inlineStr">
        <is>
          <t>https://www.gastro-hero.at/products/thermobox-eco-gn-1-1-frontlader-thbe90</t>
        </is>
      </c>
      <c r="G88" s="121" t="n">
        <v>169.9</v>
      </c>
      <c r="H88" s="27" t="inlineStr">
        <is>
          <t>excl.</t>
        </is>
      </c>
      <c r="I88" s="117" t="n">
        <v>1</v>
      </c>
      <c r="J88" s="27" t="n"/>
      <c r="K88" s="121" t="n">
        <v>169.9</v>
      </c>
      <c r="L88" s="27" t="inlineStr">
        <is>
          <t>EXACT</t>
        </is>
      </c>
      <c r="M88" s="27" t="inlineStr">
        <is>
          <t>90 l, 652x445x646 mm; sale price (normal 349.00)</t>
        </is>
      </c>
      <c r="N88" s="27" t="inlineStr">
        <is>
          <t>2026-09-30</t>
        </is>
      </c>
      <c r="O88" s="2" t="n"/>
      <c r="P88" s="2" t="n"/>
      <c r="Q88" s="2" t="n"/>
      <c r="R88" s="2" t="n"/>
      <c r="S88" s="2" t="n"/>
      <c r="T88" s="2" t="n"/>
      <c r="U88" s="2" t="n"/>
      <c r="V88" s="2" t="n"/>
      <c r="W88" s="2" t="n"/>
      <c r="X88" s="2" t="n"/>
      <c r="Y88" s="2" t="n"/>
      <c r="Z88" s="2" t="n"/>
      <c r="AA88" s="2" t="n"/>
      <c r="AB88" s="2" t="n"/>
      <c r="AC88" s="2" t="n"/>
    </row>
    <row r="89" ht="36" customHeight="1">
      <c r="A89" s="2" t="n"/>
      <c r="B89" s="24" t="inlineStr">
        <is>
          <t>Front-loading insulated thermobox for GN 1/1 (~80-90 l)</t>
        </is>
      </c>
      <c r="C89" s="24" t="inlineStr">
        <is>
          <t>Gastrodax</t>
        </is>
      </c>
      <c r="D89" s="24" t="inlineStr">
        <is>
          <t>Contacto Thermobox GN 1/1 Frontlader, 12 Auflageschienen</t>
        </is>
      </c>
      <c r="E89" s="24" t="inlineStr">
        <is>
          <t>Contacto</t>
        </is>
      </c>
      <c r="F89" s="25" t="inlineStr">
        <is>
          <t>https://www.gastrodax.de/contacto-thermobox-gn-1-1-1</t>
        </is>
      </c>
      <c r="G89" s="120" t="n">
        <v>229.14</v>
      </c>
      <c r="H89" s="24" t="inlineStr">
        <is>
          <t>excl.</t>
        </is>
      </c>
      <c r="I89" s="116" t="n">
        <v>1</v>
      </c>
      <c r="J89" s="24" t="n"/>
      <c r="K89" s="120" t="n">
        <v>229.14</v>
      </c>
      <c r="L89" s="24" t="inlineStr">
        <is>
          <t>CLOSE</t>
        </is>
      </c>
      <c r="M89" s="24" t="inlineStr">
        <is>
          <t>Front loader GN 1/1, 495x635x630 mm outside; volume not stated; sale price, normal 342.00</t>
        </is>
      </c>
      <c r="N89" s="24" t="inlineStr">
        <is>
          <t>2026-09-30</t>
        </is>
      </c>
      <c r="O89" s="2" t="n"/>
      <c r="P89" s="2" t="n"/>
      <c r="Q89" s="2" t="n"/>
      <c r="R89" s="2" t="n"/>
      <c r="S89" s="2" t="n"/>
      <c r="T89" s="2" t="n"/>
      <c r="U89" s="2" t="n"/>
      <c r="V89" s="2" t="n"/>
      <c r="W89" s="2" t="n"/>
      <c r="X89" s="2" t="n"/>
      <c r="Y89" s="2" t="n"/>
      <c r="Z89" s="2" t="n"/>
      <c r="AA89" s="2" t="n"/>
      <c r="AB89" s="2" t="n"/>
      <c r="AC89" s="2" t="n"/>
    </row>
    <row r="90" ht="36" customHeight="1">
      <c r="A90" s="2" t="n"/>
      <c r="B90" s="27" t="inlineStr">
        <is>
          <t>Front-loading insulated thermobox for GN 1/1 (~80-90 l)</t>
        </is>
      </c>
      <c r="C90" s="27" t="inlineStr">
        <is>
          <t>Gastroladen.at (Harotec GmbH)</t>
        </is>
      </c>
      <c r="D90" s="27" t="inlineStr">
        <is>
          <t>Cambro isolierter Frontlader Lebensmitteltransportbehälter 86L</t>
        </is>
      </c>
      <c r="E90" s="27" t="inlineStr">
        <is>
          <t>Cambro</t>
        </is>
      </c>
      <c r="F90" s="28" t="inlineStr">
        <is>
          <t>https://www.gastroladen.at/0860@GN-DW565/Cambro-isolierter-Frontlader-Lebensmitteltransportbeh%C3%A4lter-86L.htm</t>
        </is>
      </c>
      <c r="G90" s="121" t="n">
        <v>305.9</v>
      </c>
      <c r="H90" s="27" t="inlineStr">
        <is>
          <t>incl.</t>
        </is>
      </c>
      <c r="I90" s="117" t="n">
        <v>1</v>
      </c>
      <c r="J90" s="27" t="n"/>
      <c r="K90" s="121" t="n">
        <v>254.92</v>
      </c>
      <c r="L90" s="27" t="inlineStr">
        <is>
          <t>EXACT</t>
        </is>
      </c>
      <c r="M90" s="27" t="inlineStr">
        <is>
          <t>For 4 x GN 1/1 100 mm; freight 90 EUR; currently out of stock. Thermo Future 93 l front-loader 226.90</t>
        </is>
      </c>
      <c r="N90" s="27" t="inlineStr">
        <is>
          <t>2026-09-30</t>
        </is>
      </c>
      <c r="O90" s="2" t="n"/>
      <c r="P90" s="2" t="n"/>
      <c r="Q90" s="2" t="n"/>
      <c r="R90" s="2" t="n"/>
      <c r="S90" s="2" t="n"/>
      <c r="T90" s="2" t="n"/>
      <c r="U90" s="2" t="n"/>
      <c r="V90" s="2" t="n"/>
      <c r="W90" s="2" t="n"/>
      <c r="X90" s="2" t="n"/>
      <c r="Y90" s="2" t="n"/>
      <c r="Z90" s="2" t="n"/>
      <c r="AA90" s="2" t="n"/>
      <c r="AB90" s="2" t="n"/>
      <c r="AC90" s="2" t="n"/>
    </row>
    <row r="91" ht="36" customHeight="1">
      <c r="A91" s="2" t="n"/>
      <c r="B91" s="24" t="inlineStr">
        <is>
          <t>Front-loading insulated thermobox for GN 1/1 (~80-90 l)</t>
        </is>
      </c>
      <c r="C91" s="24" t="inlineStr">
        <is>
          <t>Intergastro (AT shop)</t>
        </is>
      </c>
      <c r="D91" s="24" t="inlineStr">
        <is>
          <t>Box COMBI schwarz, 12 Einschübe, 83 ltr, 630 x 500 x 580 mm</t>
        </is>
      </c>
      <c r="E91" s="24" t="inlineStr">
        <is>
          <t>Thermohauser</t>
        </is>
      </c>
      <c r="F91" s="25" t="inlineStr">
        <is>
          <t>https://www.intergastro.at/box-combi-schwarz-12-einschuebe-83-ltr-630-mm-x-500-mm-h-580-mm-305715</t>
        </is>
      </c>
      <c r="G91" s="120" t="n">
        <v>265.95</v>
      </c>
      <c r="H91" s="24" t="inlineStr">
        <is>
          <t>excl.</t>
        </is>
      </c>
      <c r="I91" s="116" t="n">
        <v>1</v>
      </c>
      <c r="J91" s="24" t="n"/>
      <c r="K91" s="120" t="n">
        <v>265.95</v>
      </c>
      <c r="L91" s="24" t="inlineStr">
        <is>
          <t>EXACT</t>
        </is>
      </c>
      <c r="M91" s="24" t="inlineStr">
        <is>
          <t>Front-loader category; also Schneider Front-Box GN 1/1 91 l at 218.07 net</t>
        </is>
      </c>
      <c r="N91" s="24" t="inlineStr">
        <is>
          <t>2026-09-30</t>
        </is>
      </c>
      <c r="O91" s="2" t="n"/>
      <c r="P91" s="2" t="n"/>
      <c r="Q91" s="2" t="n"/>
      <c r="R91" s="2" t="n"/>
      <c r="S91" s="2" t="n"/>
      <c r="T91" s="2" t="n"/>
      <c r="U91" s="2" t="n"/>
      <c r="V91" s="2" t="n"/>
      <c r="W91" s="2" t="n"/>
      <c r="X91" s="2" t="n"/>
      <c r="Y91" s="2" t="n"/>
      <c r="Z91" s="2" t="n"/>
      <c r="AA91" s="2" t="n"/>
      <c r="AB91" s="2" t="n"/>
      <c r="AC91" s="2" t="n"/>
    </row>
    <row r="92" ht="36" customHeight="1">
      <c r="A92" s="2" t="n"/>
      <c r="B92" s="27" t="inlineStr">
        <is>
          <t>Front-loading insulated thermobox for GN 1/1 (~80-90 l)</t>
        </is>
      </c>
      <c r="C92" s="27" t="inlineStr">
        <is>
          <t>shopbuero.com</t>
        </is>
      </c>
      <c r="D92" s="27" t="inlineStr">
        <is>
          <t>FRONT-BOX - 62,8 x 44,5 x 62,5 cm - Inhalt 91 l - GN 1/1 - EPP</t>
        </is>
      </c>
      <c r="E92" s="27" t="inlineStr">
        <is>
          <t>Schneider</t>
        </is>
      </c>
      <c r="F92" s="28" t="inlineStr">
        <is>
          <t>https://shopbuero.com/front-box-62-8-x-44-5-x-62-5-cm-inhalt-91-l-gn-1-1-epp/620660-C</t>
        </is>
      </c>
      <c r="G92" s="121" t="n">
        <v>196</v>
      </c>
      <c r="H92" s="27" t="inlineStr">
        <is>
          <t>excl.</t>
        </is>
      </c>
      <c r="I92" s="117" t="n">
        <v>1</v>
      </c>
      <c r="J92" s="27" t="n"/>
      <c r="K92" s="121" t="n">
        <v>196</v>
      </c>
      <c r="L92" s="27" t="inlineStr">
        <is>
          <t>CLOSE</t>
        </is>
      </c>
      <c r="M92" s="27" t="inlineStr">
        <is>
          <t>91 l (slightly above 80-90 l), EPP front loader; regular price 318.75</t>
        </is>
      </c>
      <c r="N92" s="27" t="inlineStr">
        <is>
          <t>2026-09-30</t>
        </is>
      </c>
      <c r="O92" s="2" t="n"/>
      <c r="P92" s="2" t="n"/>
      <c r="Q92" s="2" t="n"/>
      <c r="R92" s="2" t="n"/>
      <c r="S92" s="2" t="n"/>
      <c r="T92" s="2" t="n"/>
      <c r="U92" s="2" t="n"/>
      <c r="V92" s="2" t="n"/>
      <c r="W92" s="2" t="n"/>
      <c r="X92" s="2" t="n"/>
      <c r="Y92" s="2" t="n"/>
      <c r="Z92" s="2" t="n"/>
      <c r="AA92" s="2" t="n"/>
      <c r="AB92" s="2" t="n"/>
      <c r="AC92" s="2" t="n"/>
    </row>
    <row r="93" ht="36" customHeight="1">
      <c r="A93" s="2" t="n"/>
      <c r="B93" s="24" t="inlineStr">
        <is>
          <t>Service tray approx. 370x530 mm, ABS/PP</t>
        </is>
      </c>
      <c r="C93" s="24" t="inlineStr">
        <is>
          <t>ALLPAX Österreich</t>
        </is>
      </c>
      <c r="D93" s="24" t="inlineStr">
        <is>
          <t>EN Tablett, Serie Tray 97, 53x37 cm</t>
        </is>
      </c>
      <c r="E93" s="24" t="n"/>
      <c r="F93" s="25" t="inlineStr">
        <is>
          <t>https://www.allpax.at/product_info.php/info/EN-Tablett.html</t>
        </is>
      </c>
      <c r="G93" s="120" t="n">
        <v>19.22</v>
      </c>
      <c r="H93" s="24" t="inlineStr">
        <is>
          <t>excl.</t>
        </is>
      </c>
      <c r="I93" s="116" t="n">
        <v>1</v>
      </c>
      <c r="J93" s="24" t="n"/>
      <c r="K93" s="120" t="n">
        <v>19.22</v>
      </c>
      <c r="L93" s="24" t="inlineStr">
        <is>
          <t>APPROX</t>
        </is>
      </c>
      <c r="M93" s="24" t="inlineStr">
        <is>
          <t>Right size but fibreglass-reinforced polyester, not ABS/PP</t>
        </is>
      </c>
      <c r="N93" s="24" t="inlineStr">
        <is>
          <t>2026-09-30</t>
        </is>
      </c>
      <c r="O93" s="2" t="n"/>
      <c r="P93" s="2" t="n"/>
      <c r="Q93" s="2" t="n"/>
      <c r="R93" s="2" t="n"/>
      <c r="S93" s="2" t="n"/>
      <c r="T93" s="2" t="n"/>
      <c r="U93" s="2" t="n"/>
      <c r="V93" s="2" t="n"/>
      <c r="W93" s="2" t="n"/>
      <c r="X93" s="2" t="n"/>
      <c r="Y93" s="2" t="n"/>
      <c r="Z93" s="2" t="n"/>
      <c r="AA93" s="2" t="n"/>
      <c r="AB93" s="2" t="n"/>
      <c r="AC93" s="2" t="n"/>
    </row>
    <row r="94" ht="36" customHeight="1">
      <c r="A94" s="2" t="n"/>
      <c r="B94" s="27" t="inlineStr">
        <is>
          <t>Service tray approx. 370x530 mm, ABS/PP</t>
        </is>
      </c>
      <c r="C94" s="27" t="inlineStr">
        <is>
          <t>GastroHero Österreich</t>
        </is>
      </c>
      <c r="D94" s="27" t="inlineStr">
        <is>
          <t>WAS Germany Tablett PP - GN 1/1, lichtgrau</t>
        </is>
      </c>
      <c r="E94" s="27" t="inlineStr">
        <is>
          <t>WAS Germany</t>
        </is>
      </c>
      <c r="F94" s="28" t="inlineStr">
        <is>
          <t>https://www.gastro-hero.at/products/was-germany-tablett-pp-gn-11-lichtgrau-9283530</t>
        </is>
      </c>
      <c r="G94" s="121" t="n">
        <v>6.79</v>
      </c>
      <c r="H94" s="27" t="inlineStr">
        <is>
          <t>excl.</t>
        </is>
      </c>
      <c r="I94" s="117" t="n">
        <v>1</v>
      </c>
      <c r="J94" s="27" t="n"/>
      <c r="K94" s="121" t="n">
        <v>6.79</v>
      </c>
      <c r="L94" s="27" t="inlineStr">
        <is>
          <t>APPROX</t>
        </is>
      </c>
      <c r="M94" s="27" t="inlineStr">
        <is>
          <t>PP but GN 1/1 size 530x325 (not 370x530); sale price (normal 7.39). WAS polyester EN 53x37 tray 12.29</t>
        </is>
      </c>
      <c r="N94" s="27" t="inlineStr">
        <is>
          <t>2026-09-30</t>
        </is>
      </c>
      <c r="O94" s="2" t="n"/>
      <c r="P94" s="2" t="n"/>
      <c r="Q94" s="2" t="n"/>
      <c r="R94" s="2" t="n"/>
      <c r="S94" s="2" t="n"/>
      <c r="T94" s="2" t="n"/>
      <c r="U94" s="2" t="n"/>
      <c r="V94" s="2" t="n"/>
      <c r="W94" s="2" t="n"/>
      <c r="X94" s="2" t="n"/>
      <c r="Y94" s="2" t="n"/>
      <c r="Z94" s="2" t="n"/>
      <c r="AA94" s="2" t="n"/>
      <c r="AB94" s="2" t="n"/>
      <c r="AC94" s="2" t="n"/>
    </row>
    <row r="95" ht="36" customHeight="1">
      <c r="A95" s="2" t="n"/>
      <c r="B95" s="24" t="inlineStr">
        <is>
          <t>Service tray approx. 370x530 mm, ABS/PP</t>
        </is>
      </c>
      <c r="C95" s="24" t="inlineStr">
        <is>
          <t>Gastrodax</t>
        </is>
      </c>
      <c r="D95" s="24" t="inlineStr">
        <is>
          <t>Hendi Serviertablett, rechteckig, Euronorm, 370x530mm</t>
        </is>
      </c>
      <c r="E95" s="24" t="inlineStr">
        <is>
          <t>Hendi</t>
        </is>
      </c>
      <c r="F95" s="25" t="inlineStr">
        <is>
          <t>https://www.gastrodax.de/hendi-serviertablett-rechteckig-euronorm-370-x-530-mm</t>
        </is>
      </c>
      <c r="G95" s="120" t="n">
        <v>15.25</v>
      </c>
      <c r="H95" s="24" t="inlineStr">
        <is>
          <t>excl.</t>
        </is>
      </c>
      <c r="I95" s="116" t="n">
        <v>1</v>
      </c>
      <c r="J95" s="24" t="n"/>
      <c r="K95" s="120" t="n">
        <v>15.25</v>
      </c>
      <c r="L95" s="24" t="inlineStr">
        <is>
          <t>CLOSE</t>
        </is>
      </c>
      <c r="M95" s="24" t="inlineStr">
        <is>
          <t>Exact size; material not stated on page</t>
        </is>
      </c>
      <c r="N95" s="24" t="inlineStr">
        <is>
          <t>2026-09-30</t>
        </is>
      </c>
      <c r="O95" s="2" t="n"/>
      <c r="P95" s="2" t="n"/>
      <c r="Q95" s="2" t="n"/>
      <c r="R95" s="2" t="n"/>
      <c r="S95" s="2" t="n"/>
      <c r="T95" s="2" t="n"/>
      <c r="U95" s="2" t="n"/>
      <c r="V95" s="2" t="n"/>
      <c r="W95" s="2" t="n"/>
      <c r="X95" s="2" t="n"/>
      <c r="Y95" s="2" t="n"/>
      <c r="Z95" s="2" t="n"/>
      <c r="AA95" s="2" t="n"/>
      <c r="AB95" s="2" t="n"/>
      <c r="AC95" s="2" t="n"/>
    </row>
    <row r="96" ht="36" customHeight="1">
      <c r="A96" s="2" t="n"/>
      <c r="B96" s="27" t="inlineStr">
        <is>
          <t>Service tray approx. 370x530 mm, ABS/PP</t>
        </is>
      </c>
      <c r="C96" s="27" t="inlineStr">
        <is>
          <t>Gastroladen.at (Harotec GmbH)</t>
        </is>
      </c>
      <c r="D96" s="27" t="inlineStr">
        <is>
          <t>Kristallon Serviertablett antirutsch 51 x 38cm</t>
        </is>
      </c>
      <c r="E96" s="27" t="inlineStr">
        <is>
          <t>Kristallon</t>
        </is>
      </c>
      <c r="F96" s="28" t="inlineStr">
        <is>
          <t>https://www.gastroladen.at/G16801@GN-C560/Kristallon-Serviertablett-antirutsch-51-x-38cm.htm</t>
        </is>
      </c>
      <c r="G96" s="121" t="n">
        <v>8.98</v>
      </c>
      <c r="H96" s="27" t="inlineStr">
        <is>
          <t>incl.</t>
        </is>
      </c>
      <c r="I96" s="117" t="n">
        <v>1</v>
      </c>
      <c r="J96" s="27" t="n"/>
      <c r="K96" s="121" t="n">
        <v>7.48</v>
      </c>
      <c r="L96" s="27" t="inlineStr">
        <is>
          <t>CLOSE</t>
        </is>
      </c>
      <c r="M96" s="27" t="inlineStr">
        <is>
          <t>510x380 mm, plastic (type not specified), non-slip</t>
        </is>
      </c>
      <c r="N96" s="27" t="inlineStr">
        <is>
          <t>2026-09-30</t>
        </is>
      </c>
      <c r="O96" s="2" t="n"/>
      <c r="P96" s="2" t="n"/>
      <c r="Q96" s="2" t="n"/>
      <c r="R96" s="2" t="n"/>
      <c r="S96" s="2" t="n"/>
      <c r="T96" s="2" t="n"/>
      <c r="U96" s="2" t="n"/>
      <c r="V96" s="2" t="n"/>
      <c r="W96" s="2" t="n"/>
      <c r="X96" s="2" t="n"/>
      <c r="Y96" s="2" t="n"/>
      <c r="Z96" s="2" t="n"/>
      <c r="AA96" s="2" t="n"/>
      <c r="AB96" s="2" t="n"/>
      <c r="AC96" s="2" t="n"/>
    </row>
    <row r="97" ht="36" customHeight="1">
      <c r="A97" s="2" t="n"/>
      <c r="B97" s="24" t="inlineStr">
        <is>
          <t>Service tray approx. 370x530 mm, ABS/PP</t>
        </is>
      </c>
      <c r="C97" s="24" t="inlineStr">
        <is>
          <t>Intergastro (AT shop)</t>
        </is>
      </c>
      <c r="D97" s="24" t="inlineStr">
        <is>
          <t>Tablett Polyester titanfarben rechteckig 530 x 370 mm</t>
        </is>
      </c>
      <c r="E97" s="24" t="inlineStr">
        <is>
          <t>Cambro</t>
        </is>
      </c>
      <c r="F97" s="25" t="inlineStr">
        <is>
          <t>https://www.intergastro.at/tablett-polyester-titanfarben-rechteckig-530-mm-x-370-mm-396106</t>
        </is>
      </c>
      <c r="G97" s="120" t="n">
        <v>18.19</v>
      </c>
      <c r="H97" s="24" t="inlineStr">
        <is>
          <t>excl.</t>
        </is>
      </c>
      <c r="I97" s="116" t="n">
        <v>1</v>
      </c>
      <c r="J97" s="24" t="n"/>
      <c r="K97" s="120" t="n">
        <v>18.19</v>
      </c>
      <c r="L97" s="24" t="inlineStr">
        <is>
          <t>APPROX</t>
        </is>
      </c>
      <c r="M97" s="24" t="inlineStr">
        <is>
          <t>Right size but polyester/fibreglass, not ABS/PP; no ABS/PP tray of this size found</t>
        </is>
      </c>
      <c r="N97" s="24" t="inlineStr">
        <is>
          <t>2026-09-30</t>
        </is>
      </c>
      <c r="O97" s="2" t="n"/>
      <c r="P97" s="2" t="n"/>
      <c r="Q97" s="2" t="n"/>
      <c r="R97" s="2" t="n"/>
      <c r="S97" s="2" t="n"/>
      <c r="T97" s="2" t="n"/>
      <c r="U97" s="2" t="n"/>
      <c r="V97" s="2" t="n"/>
      <c r="W97" s="2" t="n"/>
      <c r="X97" s="2" t="n"/>
      <c r="Y97" s="2" t="n"/>
      <c r="Z97" s="2" t="n"/>
      <c r="AA97" s="2" t="n"/>
      <c r="AB97" s="2" t="n"/>
      <c r="AC97" s="2" t="n"/>
    </row>
    <row r="98" ht="36" customHeight="1">
      <c r="A98" s="2" t="n"/>
      <c r="B98" s="27" t="inlineStr">
        <is>
          <t>Service tray approx. 370x530 mm, ABS/PP</t>
        </is>
      </c>
      <c r="C98" s="27" t="inlineStr">
        <is>
          <t>shopbuero.com</t>
        </is>
      </c>
      <c r="D98" s="27" t="inlineStr">
        <is>
          <t>Euronorm-Tablett - Stapelnocken - Serie 9605 - lichtgrau - 53 x 37 cm - Polyester</t>
        </is>
      </c>
      <c r="E98" s="27" t="inlineStr">
        <is>
          <t>WAS Germany</t>
        </is>
      </c>
      <c r="F98" s="28" t="inlineStr">
        <is>
          <t>https://shopbuero.com/euronorm-tablett-stapelnocken-serie-9605-lichtgrau-53-x-37-cm-polyester/9605531-A</t>
        </is>
      </c>
      <c r="G98" s="121" t="n">
        <v>11.9</v>
      </c>
      <c r="H98" s="27" t="inlineStr">
        <is>
          <t>excl.</t>
        </is>
      </c>
      <c r="I98" s="117" t="n">
        <v>1</v>
      </c>
      <c r="J98" s="27" t="n"/>
      <c r="K98" s="121" t="n">
        <v>11.9</v>
      </c>
      <c r="L98" s="27" t="inlineStr">
        <is>
          <t>APPROX</t>
        </is>
      </c>
      <c r="M98" s="27" t="inlineStr">
        <is>
          <t>Right size but polyester (not ABS/PP); PP non-slip tray 46x36 cm 6.10; regular price 17.50</t>
        </is>
      </c>
      <c r="N98" s="27" t="inlineStr">
        <is>
          <t>2026-09-30</t>
        </is>
      </c>
      <c r="O98" s="2" t="n"/>
      <c r="P98" s="2" t="n"/>
      <c r="Q98" s="2" t="n"/>
      <c r="R98" s="2" t="n"/>
      <c r="S98" s="2" t="n"/>
      <c r="T98" s="2" t="n"/>
      <c r="U98" s="2" t="n"/>
      <c r="V98" s="2" t="n"/>
      <c r="W98" s="2" t="n"/>
      <c r="X98" s="2" t="n"/>
      <c r="Y98" s="2" t="n"/>
      <c r="Z98" s="2" t="n"/>
      <c r="AA98" s="2" t="n"/>
      <c r="AB98" s="2" t="n"/>
      <c r="AC98" s="2" t="n"/>
    </row>
    <row r="99" ht="36" customHeight="1">
      <c r="A99" s="2" t="n"/>
      <c r="B99" s="24" t="inlineStr">
        <is>
          <t>Insulated thermo tray with lid, 5-6 compartments</t>
        </is>
      </c>
      <c r="C99" s="24" t="inlineStr">
        <is>
          <t>ALLPAX Österreich</t>
        </is>
      </c>
      <c r="D99" s="24" t="inlineStr">
        <is>
          <t>Thermo-Tablett rechteckig 5-teilig 430x290x(H)150 mm</t>
        </is>
      </c>
      <c r="E99" s="24" t="inlineStr">
        <is>
          <t>Hendi</t>
        </is>
      </c>
      <c r="F99" s="25" t="inlineStr">
        <is>
          <t>https://www.allpax.at/product_info.php/info/Thermo-Tablett-rechteckig.html</t>
        </is>
      </c>
      <c r="G99" s="120" t="n">
        <v>36.09</v>
      </c>
      <c r="H99" s="24" t="inlineStr">
        <is>
          <t>excl.</t>
        </is>
      </c>
      <c r="I99" s="116" t="n">
        <v>1</v>
      </c>
      <c r="J99" s="24" t="n"/>
      <c r="K99" s="120" t="n">
        <v>36.09</v>
      </c>
      <c r="L99" s="24" t="inlineStr">
        <is>
          <t>CLOSE</t>
        </is>
      </c>
      <c r="M99" s="24" t="inlineStr">
        <is>
          <t>5-piece set (ABS base, stainless tray, transparent hood, 2 cooling packs); 5 parts rather than 5 compartments</t>
        </is>
      </c>
      <c r="N99" s="24" t="inlineStr">
        <is>
          <t>2026-09-30</t>
        </is>
      </c>
      <c r="O99" s="2" t="n"/>
      <c r="P99" s="2" t="n"/>
      <c r="Q99" s="2" t="n"/>
      <c r="R99" s="2" t="n"/>
      <c r="S99" s="2" t="n"/>
      <c r="T99" s="2" t="n"/>
      <c r="U99" s="2" t="n"/>
      <c r="V99" s="2" t="n"/>
      <c r="W99" s="2" t="n"/>
      <c r="X99" s="2" t="n"/>
      <c r="Y99" s="2" t="n"/>
      <c r="Z99" s="2" t="n"/>
      <c r="AA99" s="2" t="n"/>
      <c r="AB99" s="2" t="n"/>
      <c r="AC99" s="2" t="n"/>
    </row>
    <row r="100" ht="36" customHeight="1">
      <c r="A100" s="2" t="n"/>
      <c r="B100" s="27" t="inlineStr">
        <is>
          <t>Insulated thermo tray with lid, 5-6 compartments</t>
        </is>
      </c>
      <c r="C100" s="27" t="inlineStr">
        <is>
          <t>GastroHero Österreich</t>
        </is>
      </c>
      <c r="D100" s="27" t="inlineStr">
        <is>
          <t>APS Thermo-Set 5-tlg. ca. Ø 38 cm, Höhe 24 cm</t>
        </is>
      </c>
      <c r="E100" s="27" t="inlineStr">
        <is>
          <t>APS</t>
        </is>
      </c>
      <c r="F100" s="28" t="inlineStr">
        <is>
          <t>https://www.gastro-hero.at/products/aps-thermo-set-5-tlg-ca-38-cm-hoehe-24-cm-aps09082</t>
        </is>
      </c>
      <c r="G100" s="121" t="n">
        <v>46.9</v>
      </c>
      <c r="H100" s="27" t="inlineStr">
        <is>
          <t>excl.</t>
        </is>
      </c>
      <c r="I100" s="117" t="n">
        <v>1</v>
      </c>
      <c r="J100" s="27" t="n"/>
      <c r="K100" s="121" t="n">
        <v>46.9</v>
      </c>
      <c r="L100" s="27" t="inlineStr">
        <is>
          <t>APPROX</t>
        </is>
      </c>
      <c r="M100" s="27" t="inlineStr">
        <is>
          <t>Round 5-piece set (stainless bowl, tray, roll-top hood, 2 cooling packs); not a compartment tray; min. qty 2</t>
        </is>
      </c>
      <c r="N100" s="27" t="inlineStr">
        <is>
          <t>2026-09-30</t>
        </is>
      </c>
      <c r="O100" s="2" t="n"/>
      <c r="P100" s="2" t="n"/>
      <c r="Q100" s="2" t="n"/>
      <c r="R100" s="2" t="n"/>
      <c r="S100" s="2" t="n"/>
      <c r="T100" s="2" t="n"/>
      <c r="U100" s="2" t="n"/>
      <c r="V100" s="2" t="n"/>
      <c r="W100" s="2" t="n"/>
      <c r="X100" s="2" t="n"/>
      <c r="Y100" s="2" t="n"/>
      <c r="Z100" s="2" t="n"/>
      <c r="AA100" s="2" t="n"/>
      <c r="AB100" s="2" t="n"/>
      <c r="AC100" s="2" t="n"/>
    </row>
    <row r="101" ht="36" customHeight="1">
      <c r="A101" s="2" t="n"/>
      <c r="B101" s="24" t="inlineStr">
        <is>
          <t>Insulated thermo tray with lid, 5-6 compartments</t>
        </is>
      </c>
      <c r="C101" s="24" t="inlineStr">
        <is>
          <t>Gastrodax</t>
        </is>
      </c>
      <c r="D101" s="24" t="inlineStr">
        <is>
          <t>APS Thermo Tablett Set rechteckig (5-teilig)</t>
        </is>
      </c>
      <c r="E101" s="24" t="inlineStr">
        <is>
          <t>APS</t>
        </is>
      </c>
      <c r="F101" s="25" t="inlineStr">
        <is>
          <t>https://www.gastrodax.de/aps-thermo-tablett-set-rechteckig</t>
        </is>
      </c>
      <c r="G101" s="120" t="n">
        <v>26.19</v>
      </c>
      <c r="H101" s="24" t="inlineStr">
        <is>
          <t>excl.</t>
        </is>
      </c>
      <c r="I101" s="116" t="n">
        <v>1</v>
      </c>
      <c r="J101" s="24" t="n"/>
      <c r="K101" s="120" t="n">
        <v>26.19</v>
      </c>
      <c r="L101" s="24" t="inlineStr">
        <is>
          <t>CLOSE</t>
        </is>
      </c>
      <c r="M101" s="24" t="inlineStr">
        <is>
          <t>5-piece set: insulated plastic base, stainless tray, PS lid, 2 cooling packs; 430x290x140 mm; 5 parts rather than 5 compartments</t>
        </is>
      </c>
      <c r="N101" s="24" t="inlineStr">
        <is>
          <t>2026-09-30</t>
        </is>
      </c>
      <c r="O101" s="2" t="n"/>
      <c r="P101" s="2" t="n"/>
      <c r="Q101" s="2" t="n"/>
      <c r="R101" s="2" t="n"/>
      <c r="S101" s="2" t="n"/>
      <c r="T101" s="2" t="n"/>
      <c r="U101" s="2" t="n"/>
      <c r="V101" s="2" t="n"/>
      <c r="W101" s="2" t="n"/>
      <c r="X101" s="2" t="n"/>
      <c r="Y101" s="2" t="n"/>
      <c r="Z101" s="2" t="n"/>
      <c r="AA101" s="2" t="n"/>
      <c r="AB101" s="2" t="n"/>
      <c r="AC101" s="2" t="n"/>
    </row>
    <row r="102" ht="50" customHeight="1">
      <c r="A102" s="2" t="n"/>
      <c r="B102" s="27" t="inlineStr">
        <is>
          <t>Insulated thermo tray with lid, 5-6 compartments</t>
        </is>
      </c>
      <c r="C102" s="27" t="inlineStr">
        <is>
          <t>Gastroladen.at (Harotec GmbH)</t>
        </is>
      </c>
      <c r="D102" s="27" t="inlineStr">
        <is>
          <t>Cambro Tablotherm Isolierte Schale mit Porzellantellern 37 x 53 x 10,5 cm</t>
        </is>
      </c>
      <c r="E102" s="27" t="inlineStr">
        <is>
          <t>Cambro</t>
        </is>
      </c>
      <c r="F102" s="28" t="inlineStr">
        <is>
          <t>https://www.gastroladen.at/0860@GN-CJ645/Cambro-Tablotherm-Isolierte-Schale-mit-Porzellantellern-37-x-53-x-10-5-cm.htm</t>
        </is>
      </c>
      <c r="G102" s="121" t="n">
        <v>256.9</v>
      </c>
      <c r="H102" s="27" t="inlineStr">
        <is>
          <t>incl.</t>
        </is>
      </c>
      <c r="I102" s="117" t="n">
        <v>1</v>
      </c>
      <c r="J102" s="27" t="n"/>
      <c r="K102" s="121" t="n">
        <v>214.08</v>
      </c>
      <c r="L102" s="27" t="inlineStr">
        <is>
          <t>APPROX</t>
        </is>
      </c>
      <c r="M102" s="27" t="inlineStr">
        <is>
          <t>Insulated tray with porcelain 2-compartment plate + 3 bowls with lids; not a simple 5-6 compartment thermo tray</t>
        </is>
      </c>
      <c r="N102" s="27" t="inlineStr">
        <is>
          <t>2026-09-30</t>
        </is>
      </c>
      <c r="O102" s="2" t="n"/>
      <c r="P102" s="2" t="n"/>
      <c r="Q102" s="2" t="n"/>
      <c r="R102" s="2" t="n"/>
      <c r="S102" s="2" t="n"/>
      <c r="T102" s="2" t="n"/>
      <c r="U102" s="2" t="n"/>
      <c r="V102" s="2" t="n"/>
      <c r="W102" s="2" t="n"/>
      <c r="X102" s="2" t="n"/>
      <c r="Y102" s="2" t="n"/>
      <c r="Z102" s="2" t="n"/>
      <c r="AA102" s="2" t="n"/>
      <c r="AB102" s="2" t="n"/>
      <c r="AC102" s="2" t="n"/>
    </row>
    <row r="103" ht="36" customHeight="1">
      <c r="A103" s="2" t="n"/>
      <c r="B103" s="24" t="inlineStr">
        <is>
          <t>Insulated thermo tray with lid, 5-6 compartments</t>
        </is>
      </c>
      <c r="C103" s="24" t="inlineStr">
        <is>
          <t>Intergastro (AT shop)</t>
        </is>
      </c>
      <c r="D103" s="24" t="inlineStr">
        <is>
          <t>Tablett TABLOTHERM EURONORM isoliert mit Geschirr, Deckel, Pellet</t>
        </is>
      </c>
      <c r="E103" s="24" t="inlineStr">
        <is>
          <t>Cambro</t>
        </is>
      </c>
      <c r="F103" s="25" t="inlineStr">
        <is>
          <t>https://www.intergastro.at/tablett-tablotherm-euronorm-isoliert-mit-geschirr-deckel-pellet-325159</t>
        </is>
      </c>
      <c r="G103" s="120" t="n">
        <v>176.33</v>
      </c>
      <c r="H103" s="24" t="inlineStr">
        <is>
          <t>excl.</t>
        </is>
      </c>
      <c r="I103" s="116" t="n">
        <v>1</v>
      </c>
      <c r="J103" s="24" t="n"/>
      <c r="K103" s="120" t="n">
        <v>176.33</v>
      </c>
      <c r="L103" s="24" t="inlineStr">
        <is>
          <t>APPROX</t>
        </is>
      </c>
      <c r="M103" s="24" t="inlineStr">
        <is>
          <t>Insulated PP tray system incl. dishes, lid and heat pellet; not a simple 5-6 compartment thermo tray</t>
        </is>
      </c>
      <c r="N103" s="24" t="inlineStr">
        <is>
          <t>2026-09-30</t>
        </is>
      </c>
      <c r="O103" s="2" t="n"/>
      <c r="P103" s="2" t="n"/>
      <c r="Q103" s="2" t="n"/>
      <c r="R103" s="2" t="n"/>
      <c r="S103" s="2" t="n"/>
      <c r="T103" s="2" t="n"/>
      <c r="U103" s="2" t="n"/>
      <c r="V103" s="2" t="n"/>
      <c r="W103" s="2" t="n"/>
      <c r="X103" s="2" t="n"/>
      <c r="Y103" s="2" t="n"/>
      <c r="Z103" s="2" t="n"/>
      <c r="AA103" s="2" t="n"/>
      <c r="AB103" s="2" t="n"/>
      <c r="AC103" s="2" t="n"/>
    </row>
    <row r="104" ht="31" customHeight="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row>
    <row r="105" ht="31" customHeight="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row>
    <row r="106" ht="31" customHeight="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row>
    <row r="107" ht="31" customHeight="1">
      <c r="A107" s="2" t="n"/>
      <c r="B107" s="7" t="inlineStr">
        <is>
          <t>Competitors</t>
        </is>
      </c>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row>
    <row r="108" ht="31" customHeight="1">
      <c r="A108" s="2" t="n"/>
      <c r="B108" s="16" t="inlineStr">
        <is>
          <t>Name</t>
        </is>
      </c>
      <c r="C108" s="17" t="inlineStr">
        <is>
          <t>URL</t>
        </is>
      </c>
      <c r="D108" s="17" t="inlineStr">
        <is>
          <t>Type</t>
        </is>
      </c>
      <c r="E108" s="17" t="inlineStr">
        <is>
          <t>B2B / B2C focus</t>
        </is>
      </c>
      <c r="F108" s="17" t="inlineStr">
        <is>
          <t>Prices shown</t>
        </is>
      </c>
      <c r="G108" s="17" t="inlineStr">
        <is>
          <t>Shipping to AT</t>
        </is>
      </c>
      <c r="H108" s="17" t="inlineStr">
        <is>
          <t>Min. order</t>
        </is>
      </c>
      <c r="I108" s="18" t="inlineStr">
        <is>
          <t>Notes</t>
        </is>
      </c>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row>
    <row r="109" ht="106" customHeight="1">
      <c r="A109" s="2" t="n"/>
      <c r="B109" s="24" t="inlineStr">
        <is>
          <t>Intergastro (AT shop)</t>
        </is>
      </c>
      <c r="C109" s="25" t="inlineStr">
        <is>
          <t>https://www.intergastro.at</t>
        </is>
      </c>
      <c r="D109" s="24" t="inlineStr">
        <is>
          <t>pan-EU</t>
        </is>
      </c>
      <c r="E109" s="24" t="inlineStr">
        <is>
          <t>B2B</t>
        </is>
      </c>
      <c r="F109" s="24" t="inlineStr">
        <is>
          <t>excl. VAT (net shown first; gross incl. 20% AT VAT also shown)</t>
        </is>
      </c>
      <c r="G109" s="24" t="inlineStr">
        <is>
          <t>Parcels up to 31.5 kg flat 8.95 EUR net via DPD to AT; bulky items by freight, cost shown in cart (e.g. fridge approx. 35 EUR)</t>
        </is>
      </c>
      <c r="H109" s="24" t="inlineStr">
        <is>
          <t>not shown</t>
        </is>
      </c>
      <c r="I109" s="24" t="inlineStr">
        <is>
          <t>German gastro supplier (Dortmund) with Austrian storefront; sells only to businesses. Tiered quantity prices; single-unit price recorded.</t>
        </is>
      </c>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row>
    <row r="110" ht="176" customHeight="1">
      <c r="A110" s="2" t="n"/>
      <c r="B110" s="27" t="inlineStr">
        <is>
          <t>Gastroladen.at (Harotec GmbH)</t>
        </is>
      </c>
      <c r="C110" s="28" t="inlineStr">
        <is>
          <t>https://www.gastroladen.at</t>
        </is>
      </c>
      <c r="D110" s="27" t="inlineStr">
        <is>
          <t>pan-EU</t>
        </is>
      </c>
      <c r="E110" s="27" t="inlineStr">
        <is>
          <t>B2B + B2C</t>
        </is>
      </c>
      <c r="F110" s="27" t="inlineStr">
        <is>
          <t>incl. VAT ("alle Preise inkl. Mehrwertsteuer"); EU business customers with UID can buy VAT-free</t>
        </is>
      </c>
      <c r="G110" s="27" t="inlineStr">
        <is>
          <t>AT: parcel 13.15 EUR (most brands; 7.95 for ESGE/Thomas/Valera), freight 90.00 EUR; Bartscher by weight from 10.80 EUR (0-10 kg). Shipping shown incl. VAT</t>
        </is>
      </c>
      <c r="H110" s="27" t="inlineStr">
        <is>
          <t>not shown</t>
        </is>
      </c>
      <c r="I110" s="27" t="inlineStr">
        <is>
          <t>German-based seller (Harotec GmbH) with .at storefront, mostly Nisbets range (Vogue, Cambro, Hygiplas, Gastronoble) plus Bartscher. Product pages show 'Versand in D' by default; the VAT rate used for AT is not stated, so net assumes 20%.</t>
        </is>
      </c>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row>
    <row r="111" ht="190" customHeight="1">
      <c r="A111" s="2" t="n"/>
      <c r="B111" s="24" t="inlineStr">
        <is>
          <t>Jungheinrich PROFISHOP Austria</t>
        </is>
      </c>
      <c r="C111" s="25" t="inlineStr">
        <is>
          <t>https://www.jh-profishop.at</t>
        </is>
      </c>
      <c r="D111" s="24" t="inlineStr">
        <is>
          <t>local</t>
        </is>
      </c>
      <c r="E111" s="24" t="inlineStr">
        <is>
          <t>B2B</t>
        </is>
      </c>
      <c r="F111" s="24" t="inlineStr">
        <is>
          <t>excl. VAT (toggle 'ohne/mit MwSt.' in header; default excl.)</t>
        </is>
      </c>
      <c r="G111" s="24" t="inlineStr">
        <is>
          <t>15 EUR net within Austria; free from 250 EUR net goods value</t>
        </is>
      </c>
      <c r="H111" s="24" t="inlineStr">
        <is>
          <t>none stated (free shipping threshold 250 EUR net)</t>
        </is>
      </c>
      <c r="I111" s="24" t="inlineStr">
        <is>
          <t>Austrian subsidiary of Jungheinrich; general B2B industrial/operations webshop with a gastro range (mainly Stalgast). Business customers only. Limited plastic GN range (no GN 1/1 PC, no PP lid, no squeeze bottles, thermoboxes or trays found).</t>
        </is>
      </c>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row>
    <row r="112" ht="162" customHeight="1">
      <c r="A112" s="2" t="n"/>
      <c r="B112" s="27" t="inlineStr">
        <is>
          <t>Gastrodax</t>
        </is>
      </c>
      <c r="C112" s="28" t="inlineStr">
        <is>
          <t>https://www.gastrodax.de</t>
        </is>
      </c>
      <c r="D112" s="27" t="inlineStr">
        <is>
          <t>pan-EU</t>
        </is>
      </c>
      <c r="E112" s="27" t="inlineStr">
        <is>
          <t>B2B + B2C</t>
        </is>
      </c>
      <c r="F112" s="27" t="inlineStr">
        <is>
          <t>excl. VAT (list shows 'zzgl. 19% MwSt.' - German rate; EU businesses with VAT-ID get VAT refunded)</t>
        </is>
      </c>
      <c r="G112" s="27" t="inlineStr">
        <is>
          <t>Free to Germany and Austria from 99 EUR (incl. VAT) order value; below that 9.95 EUR (incl. VAT) flat for both countries; freight items by forwarder</t>
        </is>
      </c>
      <c r="H112" s="27" t="inlineStr">
        <is>
          <t>none stated</t>
        </is>
      </c>
      <c r="I112" s="27" t="inlineStr">
        <is>
          <t>German gastro webshop (40,000+ items: Hendi, Contacto, WAS, APS, Rieber) that explicitly delivers to DE &amp; AT. Many Contacto items currently on 20% 'Sonderangebot' - sale price recorded, normal price in notes.</t>
        </is>
      </c>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row>
    <row r="113" ht="204" customHeight="1">
      <c r="A113" s="2" t="n"/>
      <c r="B113" s="24" t="inlineStr">
        <is>
          <t>GastroHero Österreich</t>
        </is>
      </c>
      <c r="C113" s="25" t="inlineStr">
        <is>
          <t>https://www.gastro-hero.at</t>
        </is>
      </c>
      <c r="D113" s="24" t="inlineStr">
        <is>
          <t>pan-EU</t>
        </is>
      </c>
      <c r="E113" s="24" t="inlineStr">
        <is>
          <t>B2B</t>
        </is>
      </c>
      <c r="F113" s="24" t="inlineStr">
        <is>
          <t>excl. VAT (net price shown first; the 'inkl. MwSt.' line on product pages is net x 1.19, i.e. German VAT)</t>
        </is>
      </c>
      <c r="G113" s="24" t="inlineStr">
        <is>
          <t>Within Austria: free from 350 EUR net; below that 'Komfort-Lieferung' 9.90 EUR net (options with transport protection/tail-lift 19.90-39.90 EUR net)</t>
        </is>
      </c>
      <c r="H113" s="24" t="inlineStr">
        <is>
          <t>No order minimum stated, but many small items have a minimum quantity per item (e.g. 2, 4, 8 or 12 pcs)</t>
        </is>
      </c>
      <c r="I113" s="24" t="inlineStr">
        <is>
          <t>Pan-EU gastro webshop (GastroHero, Hamburg) with Austrian Shopify storefront. Category and search listings load via JavaScript; products located via the public sitemap and read from server-rendered product pages. Several items on sale ('Angebotspreis'); sale price recorded.</t>
        </is>
      </c>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row>
    <row r="114" ht="176" customHeight="1">
      <c r="A114" s="2" t="n"/>
      <c r="B114" s="27" t="inlineStr">
        <is>
          <t>shopbuero.com</t>
        </is>
      </c>
      <c r="C114" s="28" t="inlineStr">
        <is>
          <t>https://shopbuero.com</t>
        </is>
      </c>
      <c r="D114" s="27" t="inlineStr">
        <is>
          <t>pan-EU</t>
        </is>
      </c>
      <c r="E114" s="27" t="inlineStr">
        <is>
          <t>B2B</t>
        </is>
      </c>
      <c r="F114" s="27" t="inlineStr">
        <is>
          <t>excl. VAT ('Preise zzgl. MwSt.'; gross line shown at German 19%)</t>
        </is>
      </c>
      <c r="G114" s="27" t="inlineStr">
        <is>
          <t>Austria: from 19.90 EUR (exact cost calculated in cart by type/quantity)</t>
        </is>
      </c>
      <c r="H114" s="27" t="inlineStr">
        <is>
          <t>Minimum order value per shipping warehouse: 150 EUR net for EU countries outside Germany (70 EUR net in DE)</t>
        </is>
      </c>
      <c r="I114" s="27" t="inlineStr">
        <is>
          <t>German B2B webshop for business/gastro/hotel supplies (large WAS and Schneider GN range). Most items shown with a struck-through 'regulärer Preis' and a current Verkaufspreis; current price recorded. No squeeze bottles found.</t>
        </is>
      </c>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row>
    <row r="115" ht="218" customHeight="1">
      <c r="A115" s="2" t="n"/>
      <c r="B115" s="24" t="inlineStr">
        <is>
          <t>ALLPAX Österreich</t>
        </is>
      </c>
      <c r="C115" s="25" t="inlineStr">
        <is>
          <t>https://www.allpax.at</t>
        </is>
      </c>
      <c r="D115" s="24" t="inlineStr">
        <is>
          <t>pan-EU</t>
        </is>
      </c>
      <c r="E115" s="24" t="inlineStr">
        <is>
          <t>B2B + B2C</t>
        </is>
      </c>
      <c r="F115" s="24" t="inlineStr">
        <is>
          <t>excl. VAT ('Steuerhinweis: exkl. MwSt.')</t>
        </is>
      </c>
      <c r="G115" s="24" t="inlineStr">
        <is>
          <t>Per shipping table on allpax.at (/ShippingInfo): parcel rates of 3.70-9.51 EUR (DHL Ausland / DPD) depending on article; freight items 54-174 EUR; exact cost shown in cart</t>
        </is>
      </c>
      <c r="H115" s="24" t="inlineStr">
        <is>
          <t>not shown</t>
        </is>
      </c>
      <c r="I115" s="24" t="inlineStr">
        <is>
          <t>German packaging &amp; catering supplies retailer (ALLPAX GmbH &amp; Co. KG) with Austrian storefront; ranges from Hendi, Bartscher, APS and others. Product pages with variant selectors (e.g. PP GN containers, PP lids) show a default-variant price only, so those items were not recorded.</t>
        </is>
      </c>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row>
    <row r="116" ht="31" customHeight="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row>
    <row r="117" ht="31" customHeight="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row>
    <row r="118" ht="31"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row>
    <row r="119" ht="31" customHeight="1">
      <c r="A119" s="2" t="n"/>
      <c r="B119" s="7" t="inlineStr">
        <is>
          <t>Summary</t>
        </is>
      </c>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row>
    <row r="120" ht="31" customHeight="1">
      <c r="A120" s="2" t="n"/>
      <c r="B120" s="16" t="inlineStr">
        <is>
          <t>Basket item</t>
        </is>
      </c>
      <c r="C120" s="17" t="inlineStr">
        <is>
          <t>Min net/pc EUR</t>
        </is>
      </c>
      <c r="D120" s="17" t="inlineStr">
        <is>
          <t>Median net/pc EUR</t>
        </is>
      </c>
      <c r="E120" s="17" t="inlineStr">
        <is>
          <t>Max net/pc EUR</t>
        </is>
      </c>
      <c r="F120" s="18" t="inlineStr">
        <is>
          <t>Competitors with price</t>
        </is>
      </c>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row>
    <row r="121" ht="36" customHeight="1">
      <c r="A121" s="2" t="n"/>
      <c r="B121" s="24" t="inlineStr">
        <is>
          <t>GN 1/1 polycarbonate container, 65 mm deep</t>
        </is>
      </c>
      <c r="C121" s="120" t="n">
        <v>10.41</v>
      </c>
      <c r="D121" s="120" t="n">
        <v>14.07</v>
      </c>
      <c r="E121" s="120" t="n">
        <v>22.43</v>
      </c>
      <c r="F121" s="24" t="inlineStr">
        <is>
          <t>GastroHero Österreich, Gastrodax, Gastroladen.at (Harotec GmbH), Intergastro (AT shop), shopbuero.com</t>
        </is>
      </c>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row>
    <row r="122" ht="50" customHeight="1">
      <c r="A122" s="2" t="n"/>
      <c r="B122" s="27" t="inlineStr">
        <is>
          <t>GN 1/2 polycarbonate container, 150 mm deep</t>
        </is>
      </c>
      <c r="C122" s="121" t="n">
        <v>7.29</v>
      </c>
      <c r="D122" s="121" t="n">
        <v>10.08</v>
      </c>
      <c r="E122" s="121" t="n">
        <v>18.75</v>
      </c>
      <c r="F122" s="27" t="inlineStr">
        <is>
          <t>ALLPAX Österreich, GastroHero Österreich, Gastrodax, Gastroladen.at (Harotec GmbH), Intergastro (AT shop), shopbuero.com</t>
        </is>
      </c>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row>
    <row r="123" ht="50" customHeight="1">
      <c r="A123" s="2" t="n"/>
      <c r="B123" s="24" t="inlineStr">
        <is>
          <t>GN 1/3 polypropylene container, 100 mm deep</t>
        </is>
      </c>
      <c r="C123" s="120" t="n">
        <v>4.5</v>
      </c>
      <c r="D123" s="120" t="n">
        <v>12</v>
      </c>
      <c r="E123" s="120" t="n">
        <v>18.6</v>
      </c>
      <c r="F123" s="24" t="inlineStr">
        <is>
          <t>GastroHero Österreich, Gastrodax, Gastroladen.at (Harotec GmbH), Intergastro (AT shop), Jungheinrich PROFISHOP Austria, shopbuero.com</t>
        </is>
      </c>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row>
    <row r="124" ht="36" customHeight="1">
      <c r="A124" s="2" t="n"/>
      <c r="B124" s="27" t="inlineStr">
        <is>
          <t>GN 1/1 polypropylene lid</t>
        </is>
      </c>
      <c r="C124" s="121" t="n">
        <v>5</v>
      </c>
      <c r="D124" s="121" t="n">
        <v>9.24</v>
      </c>
      <c r="E124" s="121" t="n">
        <v>16.66</v>
      </c>
      <c r="F124" s="27" t="inlineStr">
        <is>
          <t>GastroHero Österreich, Gastrodax, Gastroladen.at (Harotec GmbH), Intergastro (AT shop), shopbuero.com</t>
        </is>
      </c>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row>
    <row r="125" ht="36" customHeight="1">
      <c r="A125" s="2" t="n"/>
      <c r="B125" s="24" t="inlineStr">
        <is>
          <t>Squeeze bottle 500 ml, PP, single tip</t>
        </is>
      </c>
      <c r="C125" s="120" t="n">
        <v>1.42</v>
      </c>
      <c r="D125" s="120" t="n">
        <v>2.32</v>
      </c>
      <c r="E125" s="120" t="n">
        <v>3.89</v>
      </c>
      <c r="F125" s="24" t="inlineStr">
        <is>
          <t>ALLPAX Österreich, GastroHero Österreich, Gastrodax, Gastroladen.at (Harotec GmbH), Intergastro (AT shop)</t>
        </is>
      </c>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row>
    <row r="126" ht="36" customHeight="1">
      <c r="A126" s="2" t="n"/>
      <c r="B126" s="27" t="inlineStr">
        <is>
          <t>Squeeze bottle 1000 ml, PP, single tip</t>
        </is>
      </c>
      <c r="C126" s="121" t="n">
        <v>1.95</v>
      </c>
      <c r="D126" s="121" t="n">
        <v>2.42</v>
      </c>
      <c r="E126" s="121" t="n">
        <v>3.16</v>
      </c>
      <c r="F126" s="27" t="inlineStr">
        <is>
          <t>GastroHero Österreich, Gastrodax, Gastroladen.at (Harotec GmbH), Intergastro (AT shop)</t>
        </is>
      </c>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row>
    <row r="127" ht="31" customHeight="1">
      <c r="A127" s="2" t="n"/>
      <c r="B127" s="24" t="inlineStr">
        <is>
          <t>Squeeze bottle 500 ml, triple tip</t>
        </is>
      </c>
      <c r="C127" s="24" t="n"/>
      <c r="D127" s="24" t="n"/>
      <c r="E127" s="24" t="n"/>
      <c r="F127" s="24"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row>
    <row r="128" ht="50" customHeight="1">
      <c r="A128" s="2" t="n"/>
      <c r="B128" s="27" t="inlineStr">
        <is>
          <t>Ketchup/sauce pump dispenser with stand</t>
        </is>
      </c>
      <c r="C128" s="121" t="n">
        <v>19.76</v>
      </c>
      <c r="D128" s="121" t="n">
        <v>30.62</v>
      </c>
      <c r="E128" s="121" t="n">
        <v>93.66</v>
      </c>
      <c r="F128" s="27" t="inlineStr">
        <is>
          <t>ALLPAX Österreich, GastroHero Österreich, Gastrodax, Gastroladen.at (Harotec GmbH), Intergastro (AT shop), shopbuero.com</t>
        </is>
      </c>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row>
    <row r="129" ht="50" customHeight="1">
      <c r="A129" s="2" t="n"/>
      <c r="B129" s="24" t="inlineStr">
        <is>
          <t>HACCP cutting board PE 530x325x20 mm (GN 1/1)</t>
        </is>
      </c>
      <c r="C129" s="120" t="n">
        <v>18</v>
      </c>
      <c r="D129" s="120" t="n">
        <v>23.9</v>
      </c>
      <c r="E129" s="120" t="n">
        <v>33.69</v>
      </c>
      <c r="F129" s="24" t="inlineStr">
        <is>
          <t>ALLPAX Österreich, GastroHero Österreich, Gastrodax, Gastroladen.at (Harotec GmbH), Intergastro (AT shop), Jungheinrich PROFISHOP Austria, shopbuero.com</t>
        </is>
      </c>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row>
    <row r="130" ht="50" customHeight="1">
      <c r="A130" s="2" t="n"/>
      <c r="B130" s="27" t="inlineStr">
        <is>
          <t>HACCP cutting board PE 600x400x20 mm</t>
        </is>
      </c>
      <c r="C130" s="121" t="n">
        <v>27.9</v>
      </c>
      <c r="D130" s="121" t="n">
        <v>34.27</v>
      </c>
      <c r="E130" s="121" t="n">
        <v>49.39</v>
      </c>
      <c r="F130" s="27" t="inlineStr">
        <is>
          <t>ALLPAX Österreich, GastroHero Österreich, Gastrodax, Gastroladen.at (Harotec GmbH), Intergastro (AT shop), Jungheinrich PROFISHOP Austria</t>
        </is>
      </c>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row>
    <row r="131" ht="36" customHeight="1">
      <c r="A131" s="2" t="n"/>
      <c r="B131" s="24" t="inlineStr">
        <is>
          <t>HACCP cutting board PE 300x200x10 mm</t>
        </is>
      </c>
      <c r="C131" s="120" t="n">
        <v>7.41</v>
      </c>
      <c r="D131" s="120" t="n">
        <v>8.74</v>
      </c>
      <c r="E131" s="120" t="n">
        <v>15.76</v>
      </c>
      <c r="F131" s="24" t="inlineStr">
        <is>
          <t>Gastrodax, Gastroladen.at (Harotec GmbH), Intergastro (AT shop)</t>
        </is>
      </c>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row>
    <row r="132" ht="50" customHeight="1">
      <c r="A132" s="2" t="n"/>
      <c r="B132" s="27" t="inlineStr">
        <is>
          <t>Pizza dough box 600x400x100 mm, PP</t>
        </is>
      </c>
      <c r="C132" s="121" t="n">
        <v>11</v>
      </c>
      <c r="D132" s="121" t="n">
        <v>21.38</v>
      </c>
      <c r="E132" s="121" t="n">
        <v>28.9</v>
      </c>
      <c r="F132" s="27" t="inlineStr">
        <is>
          <t>ALLPAX Österreich, GastroHero Österreich, Gastrodax, Gastroladen.at (Harotec GmbH), Intergastro (AT shop), Jungheinrich PROFISHOP Austria, shopbuero.com</t>
        </is>
      </c>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row>
    <row r="133" ht="36" customHeight="1">
      <c r="A133" s="2" t="n"/>
      <c r="B133" s="24" t="inlineStr">
        <is>
          <t>Lid for 600x400 dough box</t>
        </is>
      </c>
      <c r="C133" s="120" t="n">
        <v>7.95</v>
      </c>
      <c r="D133" s="120" t="n">
        <v>8.99</v>
      </c>
      <c r="E133" s="120" t="n">
        <v>22.83</v>
      </c>
      <c r="F133" s="24" t="inlineStr">
        <is>
          <t>GastroHero Österreich, Gastrodax, Gastroladen.at (Harotec GmbH), Intergastro (AT shop), shopbuero.com</t>
        </is>
      </c>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row>
    <row r="134" ht="50" customHeight="1">
      <c r="A134" s="2" t="n"/>
      <c r="B134" s="27" t="inlineStr">
        <is>
          <t>Pizza dough box 600x400x75 mm, PE</t>
        </is>
      </c>
      <c r="C134" s="121" t="n">
        <v>8.800000000000001</v>
      </c>
      <c r="D134" s="121" t="n">
        <v>12.8</v>
      </c>
      <c r="E134" s="121" t="n">
        <v>34.9</v>
      </c>
      <c r="F134" s="27" t="inlineStr">
        <is>
          <t>ALLPAX Österreich, GastroHero Österreich, Gastrodax, Gastroladen.at (Harotec GmbH), Intergastro (AT shop), Jungheinrich PROFISHOP Austria, shopbuero.com</t>
        </is>
      </c>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row>
    <row r="135" ht="50" customHeight="1">
      <c r="A135" s="2" t="n"/>
      <c r="B135" s="24" t="inlineStr">
        <is>
          <t>Front-loading insulated thermobox for GN 1/1 (~80-90 l)</t>
        </is>
      </c>
      <c r="C135" s="120" t="n">
        <v>169.9</v>
      </c>
      <c r="D135" s="120" t="n">
        <v>242.03</v>
      </c>
      <c r="E135" s="120" t="n">
        <v>284</v>
      </c>
      <c r="F135" s="24" t="inlineStr">
        <is>
          <t>ALLPAX Österreich, GastroHero Österreich, Gastrodax, Gastroladen.at (Harotec GmbH), Intergastro (AT shop), shopbuero.com</t>
        </is>
      </c>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row>
    <row r="136" ht="31" customHeight="1">
      <c r="A136" s="2" t="n"/>
      <c r="B136" s="27" t="inlineStr">
        <is>
          <t>Service tray approx. 370x530 mm, ABS/PP</t>
        </is>
      </c>
      <c r="C136" s="121" t="n">
        <v>7.48</v>
      </c>
      <c r="D136" s="121" t="n">
        <v>11.37</v>
      </c>
      <c r="E136" s="121" t="n">
        <v>15.25</v>
      </c>
      <c r="F136" s="27" t="inlineStr">
        <is>
          <t>Gastrodax, Gastroladen.at (Harotec GmbH)</t>
        </is>
      </c>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row>
    <row r="137" ht="36" customHeight="1">
      <c r="A137" s="2" t="n"/>
      <c r="B137" s="24" t="inlineStr">
        <is>
          <t>Insulated thermo tray with lid, 5-6 compartments</t>
        </is>
      </c>
      <c r="C137" s="120" t="n">
        <v>26.19</v>
      </c>
      <c r="D137" s="120" t="n">
        <v>31.14</v>
      </c>
      <c r="E137" s="120" t="n">
        <v>36.09</v>
      </c>
      <c r="F137" s="24" t="inlineStr">
        <is>
          <t>ALLPAX Österreich, Gastrodax</t>
        </is>
      </c>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row>
    <row r="138" ht="64" customHeight="1">
      <c r="A138" s="2" t="n"/>
      <c r="B138" s="27" t="inlineStr">
        <is>
          <t>Net price = listed gross / 1.20 (AT standard VAT 20%) when listed incl. VAT; divided by pack size. Only EXACT and CLOSE matches counted.</t>
        </is>
      </c>
      <c r="C138" s="27" t="n"/>
      <c r="D138" s="27" t="n"/>
      <c r="E138" s="27" t="n"/>
      <c r="F138" s="27"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row>
    <row r="139" ht="31"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row>
    <row r="140" ht="31"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row>
    <row r="141" ht="31" customHeight="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row>
    <row r="142" ht="31" customHeight="1">
      <c r="A142" s="2" t="n"/>
      <c r="B142" s="7" t="inlineStr">
        <is>
          <t>Not accessible</t>
        </is>
      </c>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row>
    <row r="143" ht="36" customHeight="1">
      <c r="A143" s="2" t="n"/>
      <c r="B143" s="16" t="inlineStr">
        <is>
          <t>Name</t>
        </is>
      </c>
      <c r="C143" s="17" t="inlineStr">
        <is>
          <t>URL</t>
        </is>
      </c>
      <c r="D143" s="17" t="inlineStr">
        <is>
          <t>Type</t>
        </is>
      </c>
      <c r="E143" s="17" t="inlineStr">
        <is>
          <t>Reason prices not counted</t>
        </is>
      </c>
      <c r="F143" s="18" t="inlineStr">
        <is>
          <t>Notes</t>
        </is>
      </c>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row>
    <row r="144" ht="120" customHeight="1">
      <c r="A144" s="2" t="n"/>
      <c r="B144" s="24" t="inlineStr">
        <is>
          <t>GGM Gastro (Austrian storefront)</t>
        </is>
      </c>
      <c r="C144" s="25" t="inlineStr">
        <is>
          <t>https://www.ggmgastro.com/de-at-eur</t>
        </is>
      </c>
      <c r="D144" s="24" t="inlineStr">
        <is>
          <t>pan-EU</t>
        </is>
      </c>
      <c r="E144" s="24" t="inlineStr">
        <is>
          <t>Price not readable: product prices are filled in by JavaScript (page HTML only contains a '{{price}}' template); could not be read with the tools available.</t>
        </is>
      </c>
      <c r="F144" s="24" t="inlineStr">
        <is>
          <t>B2B only; site states net prices incl. delivery. Search-engine snippets show pack prices (e.g. 6-pc GN sets), but these were not verified on the Austrian storefront, so none were recorded.</t>
        </is>
      </c>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row>
    <row r="145" ht="78" customHeight="1">
      <c r="A145" s="2" t="n"/>
      <c r="B145" s="27" t="inlineStr">
        <is>
          <t>LUSINI (Austrian storefront)</t>
        </is>
      </c>
      <c r="C145" s="28" t="inlineStr">
        <is>
          <t>https://www.lusini.com/de-at/</t>
        </is>
      </c>
      <c r="D145" s="27" t="inlineStr">
        <is>
          <t>pan-EU</t>
        </is>
      </c>
      <c r="E145" s="27" t="inlineStr">
        <is>
          <t>Site blocks automated access (HTTP 403), so no prices could be read or verified.</t>
        </is>
      </c>
      <c r="F145" s="27" t="inlineStr">
        <is>
          <t>Large pan-EU hotel &amp; gastro supplier; hotelwaesche.at redirects here.</t>
        </is>
      </c>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row>
    <row r="146" ht="50" customHeight="1">
      <c r="A146" s="2" t="n"/>
      <c r="B146" s="24" t="inlineStr">
        <is>
          <t>Kaufland.at Marktplatz</t>
        </is>
      </c>
      <c r="C146" s="25" t="inlineStr">
        <is>
          <t>https://www.kaufland.at</t>
        </is>
      </c>
      <c r="D146" s="24" t="inlineStr">
        <is>
          <t>marketplace</t>
        </is>
      </c>
      <c r="E146" s="24" t="inlineStr">
        <is>
          <t>Blocks automated access (HTTP 403); prices not verified.</t>
        </is>
      </c>
      <c r="F146" s="24" t="inlineStr">
        <is>
          <t>Gastro sellers such as GASTROVERTRIEBSKONTOR, getgastro and HENDI items are listed (per search-engine snippets).</t>
        </is>
      </c>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row>
    <row r="147" ht="64" customHeight="1">
      <c r="A147" s="2" t="n"/>
      <c r="B147" s="27" t="inlineStr">
        <is>
          <t>eBay.at / Amazon.de</t>
        </is>
      </c>
      <c r="C147" s="28" t="inlineStr">
        <is>
          <t>https://www.ebay.at</t>
        </is>
      </c>
      <c r="D147" s="27" t="inlineStr">
        <is>
          <t>marketplace</t>
        </is>
      </c>
      <c r="E147" s="27" t="inlineStr">
        <is>
          <t>Blocks automated access (403 / bot check); prices not verified.</t>
        </is>
      </c>
      <c r="F147" s="27" t="inlineStr">
        <is>
          <t>amazon.at redirects to amazon.de.</t>
        </is>
      </c>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row>
    <row r="148" ht="92" customHeight="1">
      <c r="A148" s="2" t="n"/>
      <c r="B148" s="24" t="inlineStr">
        <is>
          <t>METRO Österreich</t>
        </is>
      </c>
      <c r="C148" s="25" t="inlineStr">
        <is>
          <t>https://www.metro.at</t>
        </is>
      </c>
      <c r="D148" s="24" t="inlineStr">
        <is>
          <t>local</t>
        </is>
      </c>
      <c r="E148" s="24" t="inlineStr">
        <is>
          <t>Blocks automated access (HTTP 403). Cash &amp; carry wholesaler; online prices generally need a customer card/login.</t>
        </is>
      </c>
      <c r="F148" s="24"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row>
    <row r="149" ht="92" customHeight="1">
      <c r="A149" s="2" t="n"/>
      <c r="B149" s="27" t="inlineStr">
        <is>
          <t>Transgourmet Österreich (Webshop)</t>
        </is>
      </c>
      <c r="C149" s="28" t="inlineStr">
        <is>
          <t>https://shop.transgourmet.at</t>
        </is>
      </c>
      <c r="D149" s="27" t="inlineStr">
        <is>
          <t>local</t>
        </is>
      </c>
      <c r="E149" s="27" t="inlineStr">
        <is>
          <t>Price on request: product page shows 'auf Anfr.' instead of a price; full access needs a customer login.</t>
        </is>
      </c>
      <c r="F149" s="27" t="inlineStr">
        <is>
          <t>Example: Gastronorm-Behälter 1/3 H=100 mm PP (Art. 1623644).</t>
        </is>
      </c>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row>
    <row r="150" ht="64" customHeight="1">
      <c r="A150" s="2" t="n"/>
      <c r="B150" s="24" t="inlineStr">
        <is>
          <t>Kiennast / Eurogast</t>
        </is>
      </c>
      <c r="C150" s="25" t="inlineStr">
        <is>
          <t>https://www.kiennast.at/de/webshops/</t>
        </is>
      </c>
      <c r="D150" s="24" t="inlineStr">
        <is>
          <t>local</t>
        </is>
      </c>
      <c r="E150" s="24" t="inlineStr">
        <is>
          <t>Login only: customer-specific ('persönlicher') webshops; no public prices.</t>
        </is>
      </c>
      <c r="F150" s="24" t="inlineStr">
        <is>
          <t>Food &amp; non-food wholesaler for gastro in Vienna, Lower Austria and Burgenland.</t>
        </is>
      </c>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row>
    <row r="151" ht="78" customHeight="1">
      <c r="A151" s="2" t="n"/>
      <c r="B151" s="27" t="inlineStr">
        <is>
          <t>Hendi Österreich</t>
        </is>
      </c>
      <c r="C151" s="28" t="inlineStr">
        <is>
          <t>https://hendi.com/at</t>
        </is>
      </c>
      <c r="D151" s="27" t="inlineStr">
        <is>
          <t>pan-EU</t>
        </is>
      </c>
      <c r="E151" s="27" t="inlineStr">
        <is>
          <t>Manufacturer site that renders in JavaScript; no prices visible. Hendi sells through dealers.</t>
        </is>
      </c>
      <c r="F151" s="27" t="inlineStr">
        <is>
          <t>Hendi items are priced at Gastrodax, GastroHero and Allpax.</t>
        </is>
      </c>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row>
    <row r="152" ht="92" customHeight="1">
      <c r="A152" s="2" t="n"/>
      <c r="B152" s="24" t="inlineStr">
        <is>
          <t>Gradwohl (gastroartikel.at)</t>
        </is>
      </c>
      <c r="C152" s="25" t="inlineStr">
        <is>
          <t>https://gastroartikel.at</t>
        </is>
      </c>
      <c r="D152" s="24" t="inlineStr">
        <is>
          <t>local</t>
        </is>
      </c>
      <c r="E152" s="24" t="inlineStr">
        <is>
          <t>Catalogue only, no prices: an Austrian manufacturer (Melk) that sells through dealers ('Shops finden').</t>
        </is>
      </c>
      <c r="F152" s="24" t="inlineStr">
        <is>
          <t>Makes Polyhygien cutting boards and kitchen tools.</t>
        </is>
      </c>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row>
    <row r="153" ht="78" customHeight="1">
      <c r="A153" s="2" t="n"/>
      <c r="B153" s="27" t="inlineStr">
        <is>
          <t>Stalgast</t>
        </is>
      </c>
      <c r="C153" s="28" t="inlineStr">
        <is>
          <t>https://www.stalgast.de</t>
        </is>
      </c>
      <c r="D153" s="27" t="inlineStr">
        <is>
          <t>pan-EU</t>
        </is>
      </c>
      <c r="E153" s="27" t="inlineStr">
        <is>
          <t>Catalogue without prices on stalgast.de; stalgast.at redirects to the Swiss site (CHF).</t>
        </is>
      </c>
      <c r="F153" s="27" t="inlineStr">
        <is>
          <t>Stalgast items are priced at Jungheinrich PROFISHOP and Intergastro.</t>
        </is>
      </c>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row>
    <row r="154" ht="78" customHeight="1">
      <c r="A154" s="2" t="n"/>
      <c r="B154" s="24" t="inlineStr">
        <is>
          <t>Esmeyer</t>
        </is>
      </c>
      <c r="C154" s="25" t="inlineStr">
        <is>
          <t>https://www.esmeyer-shop.de</t>
        </is>
      </c>
      <c r="D154" s="24" t="inlineStr">
        <is>
          <t>pan-EU</t>
        </is>
      </c>
      <c r="E154" s="24" t="inlineStr">
        <is>
          <t>Blocks automated access (HTTP 403); the fetched page showed no price. Not verified.</t>
        </is>
      </c>
      <c r="F154" s="24" t="inlineStr">
        <is>
          <t>German gastro webshop.</t>
        </is>
      </c>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row>
    <row r="155" ht="50" customHeight="1">
      <c r="A155" s="2" t="n"/>
      <c r="B155" s="27" t="inlineStr">
        <is>
          <t>Gastrotiger</t>
        </is>
      </c>
      <c r="C155" s="28" t="inlineStr">
        <is>
          <t>https://gastrotiger.at</t>
        </is>
      </c>
      <c r="D155" s="27" t="inlineStr">
        <is>
          <t>local</t>
        </is>
      </c>
      <c r="E155" s="27" t="inlineStr">
        <is>
          <t>Blocks automated access (HTTP 403); not verified.</t>
        </is>
      </c>
      <c r="F155" s="27"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row>
    <row r="156" ht="148" customHeight="1">
      <c r="A156" s="2" t="n"/>
      <c r="B156" s="24" t="inlineStr">
        <is>
          <t>Gastro Zimml</t>
        </is>
      </c>
      <c r="C156" s="25" t="inlineStr">
        <is>
          <t>https://www.gastrozimml.at</t>
        </is>
      </c>
      <c r="D156" s="24" t="inlineStr">
        <is>
          <t>local</t>
        </is>
      </c>
      <c r="E156" s="24" t="inlineStr">
        <is>
          <t>Not counted: shows prices (excl. 20% VAT) but only a request basket ('Anfragekorb'), no checkout, and fewer than 6 basket items (only stainless sauce dispensers, no plastic GN, boards or bottles).</t>
        </is>
      </c>
      <c r="F156" s="24" t="inlineStr">
        <is>
          <t>Tyrol (Oberlienz); HOGAST partner.</t>
        </is>
      </c>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row>
    <row r="157" ht="92" customHeight="1">
      <c r="A157" s="2" t="n"/>
      <c r="B157" s="27" t="inlineStr">
        <is>
          <t>OM Gastrohandel</t>
        </is>
      </c>
      <c r="C157" s="28" t="inlineStr">
        <is>
          <t>https://om-gastrohandel.at</t>
        </is>
      </c>
      <c r="D157" s="27" t="inlineStr">
        <is>
          <t>local</t>
        </is>
      </c>
      <c r="E157" s="27" t="inlineStr">
        <is>
          <t>Not counted: shows prices (excl. VAT) but carries no basket items (focus on cleaning chemicals, paper and dishwashers).</t>
        </is>
      </c>
      <c r="F157" s="27" t="inlineStr">
        <is>
          <t>Altendorf, Lower Austria.</t>
        </is>
      </c>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row>
    <row r="158" ht="106" customHeight="1">
      <c r="A158" s="2" t="n"/>
      <c r="B158" s="24" t="inlineStr">
        <is>
          <t>Gastro Star</t>
        </is>
      </c>
      <c r="C158" s="25" t="inlineStr">
        <is>
          <t>https://www.gastro-star.at</t>
        </is>
      </c>
      <c r="D158" s="24" t="inlineStr">
        <is>
          <t>local</t>
        </is>
      </c>
      <c r="E158" s="24" t="inlineStr">
        <is>
          <t>Not counted: shows prices (excl. + incl. 20% VAT) but focuses on equipment; no plastic GN, boards, squeeze bottles or dough boxes found.</t>
        </is>
      </c>
      <c r="F158" s="24" t="inlineStr">
        <is>
          <t>Only stainless/Rieber GN lids found.</t>
        </is>
      </c>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row>
    <row r="159" ht="106" customHeight="1">
      <c r="A159" s="2" t="n"/>
      <c r="B159" s="27" t="inlineStr">
        <is>
          <t>ZORRO Gastro (AT storefront)</t>
        </is>
      </c>
      <c r="C159" s="28" t="inlineStr">
        <is>
          <t>https://www.zorro.de/at/</t>
        </is>
      </c>
      <c r="D159" s="27" t="inlineStr">
        <is>
          <t>pan-EU</t>
        </is>
      </c>
      <c r="E159" s="27" t="inlineStr">
        <is>
          <t>Not counted: shows prices, but focuses on equipment; GN range is stainless steel only and none of the plastic basket items were found.</t>
        </is>
      </c>
      <c r="F159" s="27"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row>
    <row r="160" ht="31"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row>
    <row r="161" ht="31"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row>
    <row r="162" ht="31"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row>
    <row r="163" ht="31" customHeight="1">
      <c r="A163" s="2" t="n"/>
      <c r="B163" s="45" t="inlineStr">
        <is>
          <t>Additional variants</t>
        </is>
      </c>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row>
    <row r="164" ht="36" customHeight="1">
      <c r="A164" s="2" t="n"/>
      <c r="B164" s="6" t="inlineStr">
        <is>
          <t>research_AT.xlsx · Original basket entries remain in the existing extract above.</t>
        </is>
      </c>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row>
    <row r="165" ht="31"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row>
    <row r="166" ht="31" customHeight="1">
      <c r="A166" s="2" t="n"/>
      <c r="B166" s="7" t="inlineStr">
        <is>
          <t>Additional variants · Prices</t>
        </is>
      </c>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row>
    <row r="167" ht="36" customHeight="1">
      <c r="A167" s="2" t="n"/>
      <c r="B167" s="16" t="inlineStr">
        <is>
          <t>Basket item</t>
        </is>
      </c>
      <c r="C167" s="17" t="inlineStr">
        <is>
          <t>Competitor</t>
        </is>
      </c>
      <c r="D167" s="17" t="inlineStr">
        <is>
          <t>Product name</t>
        </is>
      </c>
      <c r="E167" s="17" t="inlineStr">
        <is>
          <t>Brand</t>
        </is>
      </c>
      <c r="F167" s="17" t="inlineStr">
        <is>
          <t>Product URL</t>
        </is>
      </c>
      <c r="G167" s="17" t="inlineStr">
        <is>
          <t>Listed price EUR</t>
        </is>
      </c>
      <c r="H167" s="17" t="inlineStr">
        <is>
          <t>Incl./excl. VAT</t>
        </is>
      </c>
      <c r="I167" s="17" t="inlineStr">
        <is>
          <t>Pack size (pcs)</t>
        </is>
      </c>
      <c r="J167" s="17" t="inlineStr">
        <is>
          <t>Pack description</t>
        </is>
      </c>
      <c r="K167" s="17" t="inlineStr">
        <is>
          <t>Net price per piece EUR</t>
        </is>
      </c>
      <c r="L167" s="17" t="inlineStr">
        <is>
          <t>Match quality</t>
        </is>
      </c>
      <c r="M167" s="17" t="inlineStr">
        <is>
          <t>Notes</t>
        </is>
      </c>
      <c r="N167" s="18" t="inlineStr">
        <is>
          <t>Date checked</t>
        </is>
      </c>
      <c r="O167" s="2" t="n"/>
      <c r="P167" s="2" t="n"/>
      <c r="Q167" s="2" t="n"/>
      <c r="R167" s="2" t="n"/>
      <c r="S167" s="2" t="n"/>
      <c r="T167" s="2" t="n"/>
      <c r="U167" s="2" t="n"/>
      <c r="V167" s="2" t="n"/>
      <c r="W167" s="2" t="n"/>
      <c r="X167" s="2" t="n"/>
      <c r="Y167" s="2" t="n"/>
      <c r="Z167" s="2" t="n"/>
      <c r="AA167" s="2" t="n"/>
      <c r="AB167" s="2" t="n"/>
      <c r="AC167" s="2" t="n"/>
    </row>
    <row r="168" ht="36" customHeight="1">
      <c r="A168" s="2" t="n"/>
      <c r="B168" s="24" t="inlineStr">
        <is>
          <t>GN 1/1 container, PP, 65 mm</t>
        </is>
      </c>
      <c r="C168" s="24" t="inlineStr">
        <is>
          <t>ALLPAX Österreich</t>
        </is>
      </c>
      <c r="D168" s="24" t="inlineStr">
        <is>
          <t>Hendi HACCP Aufbewahrungsbehälter GN 1/1, 65 mm</t>
        </is>
      </c>
      <c r="E168" s="24" t="inlineStr">
        <is>
          <t>Hendi</t>
        </is>
      </c>
      <c r="F168" s="25" t="inlineStr">
        <is>
          <t>https://www.allpax.at/product_info.php/info/Hendi-HACCP-Aufbewahrungsbehaelter-GN-1-1-65-mm.html</t>
        </is>
      </c>
      <c r="G168" s="120" t="n">
        <v>12.23</v>
      </c>
      <c r="H168" s="24" t="inlineStr">
        <is>
          <t>excl.</t>
        </is>
      </c>
      <c r="I168" s="116" t="n">
        <v>1</v>
      </c>
      <c r="J168" s="24" t="n"/>
      <c r="K168" s="120" t="n">
        <v>12.23</v>
      </c>
      <c r="L168" s="24" t="inlineStr">
        <is>
          <t>EXACT</t>
        </is>
      </c>
      <c r="M168" s="24" t="inlineStr">
        <is>
          <t>PP, BPA-free, 9 l</t>
        </is>
      </c>
      <c r="N168" s="24" t="inlineStr">
        <is>
          <t>2026-09-30</t>
        </is>
      </c>
      <c r="O168" s="2" t="n"/>
      <c r="P168" s="2" t="n"/>
      <c r="Q168" s="2" t="n"/>
      <c r="R168" s="2" t="n"/>
      <c r="S168" s="2" t="n"/>
      <c r="T168" s="2" t="n"/>
      <c r="U168" s="2" t="n"/>
      <c r="V168" s="2" t="n"/>
      <c r="W168" s="2" t="n"/>
      <c r="X168" s="2" t="n"/>
      <c r="Y168" s="2" t="n"/>
      <c r="Z168" s="2" t="n"/>
      <c r="AA168" s="2" t="n"/>
      <c r="AB168" s="2" t="n"/>
      <c r="AC168" s="2" t="n"/>
    </row>
    <row r="169" ht="36" customHeight="1">
      <c r="A169" s="2" t="n"/>
      <c r="B169" s="27" t="inlineStr">
        <is>
          <t>GN 1/1 container, PP, 65 mm</t>
        </is>
      </c>
      <c r="C169" s="27" t="inlineStr">
        <is>
          <t>GGM Gastro (Austrian storefront)</t>
        </is>
      </c>
      <c r="D169" s="27" t="inlineStr">
        <is>
          <t>(6 Stück) Polypropylen-Behälter GN 1/1 - Milchig - Höhe: 65mm</t>
        </is>
      </c>
      <c r="E169" s="27" t="inlineStr">
        <is>
          <t>GGM</t>
        </is>
      </c>
      <c r="F169" s="28" t="inlineStr">
        <is>
          <t>https://www.ggmgastro.com/de-at-eur/6-stueck-polypropylen-behaelter-gn-1-1-milchig-hoehe-65mm-gpp1165-6</t>
        </is>
      </c>
      <c r="G169" s="121" t="n">
        <v>42.99</v>
      </c>
      <c r="H169" s="27" t="inlineStr">
        <is>
          <t>excl.</t>
        </is>
      </c>
      <c r="I169" s="117" t="n">
        <v>6</v>
      </c>
      <c r="J169" s="27" t="inlineStr">
        <is>
          <t>set of 6</t>
        </is>
      </c>
      <c r="K169" s="121" t="n">
        <v>7.17</v>
      </c>
      <c r="L169" s="27" t="inlineStr">
        <is>
          <t>EXACT</t>
        </is>
      </c>
      <c r="M169" s="27" t="inlineStr">
        <is>
          <t>RRP 83.99</t>
        </is>
      </c>
      <c r="N169" s="27" t="inlineStr">
        <is>
          <t>2026-09-30</t>
        </is>
      </c>
      <c r="O169" s="2" t="n"/>
      <c r="P169" s="2" t="n"/>
      <c r="Q169" s="2" t="n"/>
      <c r="R169" s="2" t="n"/>
      <c r="S169" s="2" t="n"/>
      <c r="T169" s="2" t="n"/>
      <c r="U169" s="2" t="n"/>
      <c r="V169" s="2" t="n"/>
      <c r="W169" s="2" t="n"/>
      <c r="X169" s="2" t="n"/>
      <c r="Y169" s="2" t="n"/>
      <c r="Z169" s="2" t="n"/>
      <c r="AA169" s="2" t="n"/>
      <c r="AB169" s="2" t="n"/>
      <c r="AC169" s="2" t="n"/>
    </row>
    <row r="170" ht="36" customHeight="1">
      <c r="A170" s="2" t="n"/>
      <c r="B170" s="24" t="inlineStr">
        <is>
          <t>GN 1/1 container, PP, 65 mm</t>
        </is>
      </c>
      <c r="C170" s="24" t="inlineStr">
        <is>
          <t>GastroHero Österreich</t>
        </is>
      </c>
      <c r="D170" s="24" t="inlineStr">
        <is>
          <t>Hendi GN-Behälter mit Deckel und HACCP-Clips, GN 1/1, 65 mm, 8 L, PP</t>
        </is>
      </c>
      <c r="E170" s="24" t="inlineStr">
        <is>
          <t>Hendi</t>
        </is>
      </c>
      <c r="F170" s="25" t="inlineStr">
        <is>
          <t>https://www.gastro-hero.at/products/hendi-gn-behaelter-mit-deckel-und-haccp-clips-gn-11-65-mm-8-l-pp-873335</t>
        </is>
      </c>
      <c r="G170" s="120" t="n">
        <v>19.99</v>
      </c>
      <c r="H170" s="24" t="inlineStr">
        <is>
          <t>excl.</t>
        </is>
      </c>
      <c r="I170" s="116" t="n">
        <v>1</v>
      </c>
      <c r="J170" s="24" t="n"/>
      <c r="K170" s="120" t="n">
        <v>19.99</v>
      </c>
      <c r="L170" s="24" t="inlineStr">
        <is>
          <t>CLOSE</t>
        </is>
      </c>
      <c r="M170" s="24" t="inlineStr">
        <is>
          <t>Includes lid and HACCP clips</t>
        </is>
      </c>
      <c r="N170" s="24" t="inlineStr">
        <is>
          <t>2026-09-30</t>
        </is>
      </c>
      <c r="O170" s="2" t="n"/>
      <c r="P170" s="2" t="n"/>
      <c r="Q170" s="2" t="n"/>
      <c r="R170" s="2" t="n"/>
      <c r="S170" s="2" t="n"/>
      <c r="T170" s="2" t="n"/>
      <c r="U170" s="2" t="n"/>
      <c r="V170" s="2" t="n"/>
      <c r="W170" s="2" t="n"/>
      <c r="X170" s="2" t="n"/>
      <c r="Y170" s="2" t="n"/>
      <c r="Z170" s="2" t="n"/>
      <c r="AA170" s="2" t="n"/>
      <c r="AB170" s="2" t="n"/>
      <c r="AC170" s="2" t="n"/>
    </row>
    <row r="171" ht="36" customHeight="1">
      <c r="A171" s="2" t="n"/>
      <c r="B171" s="27" t="inlineStr">
        <is>
          <t>GN 1/1 container, PP, 65 mm</t>
        </is>
      </c>
      <c r="C171" s="27" t="inlineStr">
        <is>
          <t>Gastrodax</t>
        </is>
      </c>
      <c r="D171" s="27" t="inlineStr">
        <is>
          <t>Hendi Gastronorm-Behälter 1/1, 9L, Transparent, 530x325x(H)65mm – Polypropylen</t>
        </is>
      </c>
      <c r="E171" s="27" t="inlineStr">
        <is>
          <t>Hendi</t>
        </is>
      </c>
      <c r="F171" s="28" t="inlineStr">
        <is>
          <t>https://www.gastrodax.de/hendi-gastronorm-behaelter-gn-1-1-9-l-transparent-530-x-325-x-h-65-mm</t>
        </is>
      </c>
      <c r="G171" s="121" t="n">
        <v>15.75</v>
      </c>
      <c r="H171" s="27" t="inlineStr">
        <is>
          <t>excl.</t>
        </is>
      </c>
      <c r="I171" s="117" t="n">
        <v>1</v>
      </c>
      <c r="J171" s="27" t="n"/>
      <c r="K171" s="121" t="n">
        <v>15.75</v>
      </c>
      <c r="L171" s="27" t="inlineStr">
        <is>
          <t>EXACT</t>
        </is>
      </c>
      <c r="M171" s="27" t="n"/>
      <c r="N171" s="27" t="inlineStr">
        <is>
          <t>2026-09-30</t>
        </is>
      </c>
      <c r="O171" s="2" t="n"/>
      <c r="P171" s="2" t="n"/>
      <c r="Q171" s="2" t="n"/>
      <c r="R171" s="2" t="n"/>
      <c r="S171" s="2" t="n"/>
      <c r="T171" s="2" t="n"/>
      <c r="U171" s="2" t="n"/>
      <c r="V171" s="2" t="n"/>
      <c r="W171" s="2" t="n"/>
      <c r="X171" s="2" t="n"/>
      <c r="Y171" s="2" t="n"/>
      <c r="Z171" s="2" t="n"/>
      <c r="AA171" s="2" t="n"/>
      <c r="AB171" s="2" t="n"/>
      <c r="AC171" s="2" t="n"/>
    </row>
    <row r="172" ht="36" customHeight="1">
      <c r="A172" s="2" t="n"/>
      <c r="B172" s="24" t="inlineStr">
        <is>
          <t>GN 1/1 container, PP, 65 mm</t>
        </is>
      </c>
      <c r="C172" s="24" t="inlineStr">
        <is>
          <t>Intergastro (AT shop)</t>
        </is>
      </c>
      <c r="D172" s="24" t="inlineStr">
        <is>
          <t>Gastronormbehälter GN 1/1 x 65 mm GN 84 Polypropylen transparent</t>
        </is>
      </c>
      <c r="E172" s="24" t="inlineStr">
        <is>
          <t>WAS Germany</t>
        </is>
      </c>
      <c r="F172" s="25" t="inlineStr">
        <is>
          <t>https://www.intergastro.at/gastronormbehaelter-gn-1-1-x-65-mm-gn-84-polypropylen-transparent-252104</t>
        </is>
      </c>
      <c r="G172" s="120" t="n">
        <v>8.130000000000001</v>
      </c>
      <c r="H172" s="24" t="inlineStr">
        <is>
          <t>excl.</t>
        </is>
      </c>
      <c r="I172" s="116" t="n">
        <v>1</v>
      </c>
      <c r="J172" s="24" t="n"/>
      <c r="K172" s="120" t="n">
        <v>8.130000000000001</v>
      </c>
      <c r="L172" s="24" t="inlineStr">
        <is>
          <t>EXACT</t>
        </is>
      </c>
      <c r="M172" s="24" t="inlineStr">
        <is>
          <t>Gross 9.76</t>
        </is>
      </c>
      <c r="N172" s="24" t="inlineStr">
        <is>
          <t>2026-09-30</t>
        </is>
      </c>
      <c r="O172" s="2" t="n"/>
      <c r="P172" s="2" t="n"/>
      <c r="Q172" s="2" t="n"/>
      <c r="R172" s="2" t="n"/>
      <c r="S172" s="2" t="n"/>
      <c r="T172" s="2" t="n"/>
      <c r="U172" s="2" t="n"/>
      <c r="V172" s="2" t="n"/>
      <c r="W172" s="2" t="n"/>
      <c r="X172" s="2" t="n"/>
      <c r="Y172" s="2" t="n"/>
      <c r="Z172" s="2" t="n"/>
      <c r="AA172" s="2" t="n"/>
      <c r="AB172" s="2" t="n"/>
      <c r="AC172" s="2" t="n"/>
    </row>
    <row r="173" ht="36" customHeight="1">
      <c r="A173" s="2" t="n"/>
      <c r="B173" s="27" t="inlineStr">
        <is>
          <t>GN 1/1 container, PP, 65 mm</t>
        </is>
      </c>
      <c r="C173" s="27" t="inlineStr">
        <is>
          <t>shopbuero.com</t>
        </is>
      </c>
      <c r="D173" s="27" t="inlineStr">
        <is>
          <t>GN-Behälter - Inhalt 9,0 l - GN 1/1 (530 x 325 mm) - 65 mm - Polypropylen</t>
        </is>
      </c>
      <c r="E173" s="27" t="inlineStr">
        <is>
          <t>Schneider</t>
        </is>
      </c>
      <c r="F173" s="28" t="inlineStr">
        <is>
          <t>https://shopbuero.com/gn-behaelter-inhalt-9-0-l-gn-1-1-530-x-325-mm-65-mm-polypropylen/530000-C</t>
        </is>
      </c>
      <c r="G173" s="121" t="n">
        <v>8.699999999999999</v>
      </c>
      <c r="H173" s="27" t="inlineStr">
        <is>
          <t>excl.</t>
        </is>
      </c>
      <c r="I173" s="117" t="n">
        <v>1</v>
      </c>
      <c r="J173" s="27" t="n"/>
      <c r="K173" s="121" t="n">
        <v>8.699999999999999</v>
      </c>
      <c r="L173" s="27" t="inlineStr">
        <is>
          <t>EXACT</t>
        </is>
      </c>
      <c r="M173" s="27" t="inlineStr">
        <is>
          <t>Regular price 13.55</t>
        </is>
      </c>
      <c r="N173" s="27" t="inlineStr">
        <is>
          <t>2026-09-30</t>
        </is>
      </c>
      <c r="O173" s="2" t="n"/>
      <c r="P173" s="2" t="n"/>
      <c r="Q173" s="2" t="n"/>
      <c r="R173" s="2" t="n"/>
      <c r="S173" s="2" t="n"/>
      <c r="T173" s="2" t="n"/>
      <c r="U173" s="2" t="n"/>
      <c r="V173" s="2" t="n"/>
      <c r="W173" s="2" t="n"/>
      <c r="X173" s="2" t="n"/>
      <c r="Y173" s="2" t="n"/>
      <c r="Z173" s="2" t="n"/>
      <c r="AA173" s="2" t="n"/>
      <c r="AB173" s="2" t="n"/>
      <c r="AC173" s="2" t="n"/>
    </row>
    <row r="174" ht="36" customHeight="1">
      <c r="A174" s="2" t="n"/>
      <c r="B174" s="24" t="inlineStr">
        <is>
          <t>GN 1/3 container, PC, 100 mm</t>
        </is>
      </c>
      <c r="C174" s="24" t="inlineStr">
        <is>
          <t>ALLPAX Österreich</t>
        </is>
      </c>
      <c r="D174" s="24" t="inlineStr">
        <is>
          <t>PC GN 1/3 Höhe 100 mm schwarz</t>
        </is>
      </c>
      <c r="E174" s="24" t="n"/>
      <c r="F174" s="25" t="inlineStr">
        <is>
          <t>https://www.allpax.at/product_info.php/info/PC-GN-1-3-Hoehe-100-mm-schwarz.html</t>
        </is>
      </c>
      <c r="G174" s="120" t="n">
        <v>4.02</v>
      </c>
      <c r="H174" s="24" t="inlineStr">
        <is>
          <t>excl.</t>
        </is>
      </c>
      <c r="I174" s="116" t="n">
        <v>1</v>
      </c>
      <c r="J174" s="24" t="n"/>
      <c r="K174" s="120" t="n">
        <v>4.02</v>
      </c>
      <c r="L174" s="24" t="inlineStr">
        <is>
          <t>EXACT</t>
        </is>
      </c>
      <c r="M174" s="24" t="inlineStr">
        <is>
          <t>'jetzt' price; regular 5.69</t>
        </is>
      </c>
      <c r="N174" s="24" t="inlineStr">
        <is>
          <t>2026-09-30</t>
        </is>
      </c>
      <c r="O174" s="2" t="n"/>
      <c r="P174" s="2" t="n"/>
      <c r="Q174" s="2" t="n"/>
      <c r="R174" s="2" t="n"/>
      <c r="S174" s="2" t="n"/>
      <c r="T174" s="2" t="n"/>
      <c r="U174" s="2" t="n"/>
      <c r="V174" s="2" t="n"/>
      <c r="W174" s="2" t="n"/>
      <c r="X174" s="2" t="n"/>
      <c r="Y174" s="2" t="n"/>
      <c r="Z174" s="2" t="n"/>
      <c r="AA174" s="2" t="n"/>
      <c r="AB174" s="2" t="n"/>
      <c r="AC174" s="2" t="n"/>
    </row>
    <row r="175" ht="36" customHeight="1">
      <c r="A175" s="2" t="n"/>
      <c r="B175" s="27" t="inlineStr">
        <is>
          <t>GN 1/3 container, PC, 100 mm</t>
        </is>
      </c>
      <c r="C175" s="27" t="inlineStr">
        <is>
          <t>GGM Gastro (Austrian storefront)</t>
        </is>
      </c>
      <c r="D175" s="27" t="inlineStr">
        <is>
          <t>(12 Stück) Polycarbonat-Behälter GN 1/3 - Schwarz - Höhe: 100mm</t>
        </is>
      </c>
      <c r="E175" s="27" t="inlineStr">
        <is>
          <t>GGM</t>
        </is>
      </c>
      <c r="F175" s="28" t="inlineStr">
        <is>
          <t>https://www.ggmgastro.com/de-at-eur/12-stueck-polycarbonat-behaelter-gn-1-3-schwarz-hoehe-100mm-gpcp13100s</t>
        </is>
      </c>
      <c r="G175" s="121" t="n">
        <v>65.98999999999999</v>
      </c>
      <c r="H175" s="27" t="inlineStr">
        <is>
          <t>excl.</t>
        </is>
      </c>
      <c r="I175" s="117" t="n">
        <v>12</v>
      </c>
      <c r="J175" s="27" t="inlineStr">
        <is>
          <t>set of 12</t>
        </is>
      </c>
      <c r="K175" s="121" t="n">
        <v>5.5</v>
      </c>
      <c r="L175" s="27" t="inlineStr">
        <is>
          <t>EXACT</t>
        </is>
      </c>
      <c r="M175" s="27" t="inlineStr">
        <is>
          <t>Black PC</t>
        </is>
      </c>
      <c r="N175" s="27" t="inlineStr">
        <is>
          <t>2026-09-30</t>
        </is>
      </c>
      <c r="O175" s="2" t="n"/>
      <c r="P175" s="2" t="n"/>
      <c r="Q175" s="2" t="n"/>
      <c r="R175" s="2" t="n"/>
      <c r="S175" s="2" t="n"/>
      <c r="T175" s="2" t="n"/>
      <c r="U175" s="2" t="n"/>
      <c r="V175" s="2" t="n"/>
      <c r="W175" s="2" t="n"/>
      <c r="X175" s="2" t="n"/>
      <c r="Y175" s="2" t="n"/>
      <c r="Z175" s="2" t="n"/>
      <c r="AA175" s="2" t="n"/>
      <c r="AB175" s="2" t="n"/>
      <c r="AC175" s="2" t="n"/>
    </row>
    <row r="176" ht="36" customHeight="1">
      <c r="A176" s="2" t="n"/>
      <c r="B176" s="24" t="inlineStr">
        <is>
          <t>GN 1/3 container, PC, 100 mm</t>
        </is>
      </c>
      <c r="C176" s="24" t="inlineStr">
        <is>
          <t>Gastro Star</t>
        </is>
      </c>
      <c r="D176" s="24" t="inlineStr">
        <is>
          <t>RIEBER GN 1/3 Polycarbonat-Behälter - Tiefe 100mm</t>
        </is>
      </c>
      <c r="E176" s="24" t="inlineStr">
        <is>
          <t>Rieber</t>
        </is>
      </c>
      <c r="F176" s="25" t="inlineStr">
        <is>
          <t>https://www.gastro-star.at/produkt/riebergn13polycarbonat-behaelter-tiefe100mm/</t>
        </is>
      </c>
      <c r="G176" s="120" t="n">
        <v>13</v>
      </c>
      <c r="H176" s="24" t="inlineStr">
        <is>
          <t>excl.</t>
        </is>
      </c>
      <c r="I176" s="116" t="n">
        <v>1</v>
      </c>
      <c r="J176" s="24" t="n"/>
      <c r="K176" s="120" t="n">
        <v>13</v>
      </c>
      <c r="L176" s="24" t="inlineStr">
        <is>
          <t>EXACT</t>
        </is>
      </c>
      <c r="M176" s="24" t="inlineStr">
        <is>
          <t>Gross 15.60</t>
        </is>
      </c>
      <c r="N176" s="24" t="inlineStr">
        <is>
          <t>2026-09-30</t>
        </is>
      </c>
      <c r="O176" s="2" t="n"/>
      <c r="P176" s="2" t="n"/>
      <c r="Q176" s="2" t="n"/>
      <c r="R176" s="2" t="n"/>
      <c r="S176" s="2" t="n"/>
      <c r="T176" s="2" t="n"/>
      <c r="U176" s="2" t="n"/>
      <c r="V176" s="2" t="n"/>
      <c r="W176" s="2" t="n"/>
      <c r="X176" s="2" t="n"/>
      <c r="Y176" s="2" t="n"/>
      <c r="Z176" s="2" t="n"/>
      <c r="AA176" s="2" t="n"/>
      <c r="AB176" s="2" t="n"/>
      <c r="AC176" s="2" t="n"/>
    </row>
    <row r="177" ht="36" customHeight="1">
      <c r="A177" s="2" t="n"/>
      <c r="B177" s="27" t="inlineStr">
        <is>
          <t>GN 1/3 container, PC, 100 mm</t>
        </is>
      </c>
      <c r="C177" s="27" t="inlineStr">
        <is>
          <t>GastroHero Österreich</t>
        </is>
      </c>
      <c r="D177" s="27" t="inlineStr">
        <is>
          <t>Vogue GN-Behälter 1/3 Polycarbonat - Tiefe 100 mm</t>
        </is>
      </c>
      <c r="E177" s="27" t="inlineStr">
        <is>
          <t>Vogue</t>
        </is>
      </c>
      <c r="F177" s="28" t="inlineStr">
        <is>
          <t>https://www.gastro-hero.at/products/vogue-gn-behaelter-13-polycarbonat-tiefe-100-mm-u233</t>
        </is>
      </c>
      <c r="G177" s="121" t="n">
        <v>5.79</v>
      </c>
      <c r="H177" s="27" t="inlineStr">
        <is>
          <t>excl.</t>
        </is>
      </c>
      <c r="I177" s="117" t="n">
        <v>1</v>
      </c>
      <c r="J177" s="27" t="n"/>
      <c r="K177" s="121" t="n">
        <v>5.79</v>
      </c>
      <c r="L177" s="27" t="inlineStr">
        <is>
          <t>EXACT</t>
        </is>
      </c>
      <c r="M177" s="27" t="inlineStr">
        <is>
          <t>Sale price (normal 6.59); min. qty 4</t>
        </is>
      </c>
      <c r="N177" s="27" t="inlineStr">
        <is>
          <t>2026-09-30</t>
        </is>
      </c>
      <c r="O177" s="2" t="n"/>
      <c r="P177" s="2" t="n"/>
      <c r="Q177" s="2" t="n"/>
      <c r="R177" s="2" t="n"/>
      <c r="S177" s="2" t="n"/>
      <c r="T177" s="2" t="n"/>
      <c r="U177" s="2" t="n"/>
      <c r="V177" s="2" t="n"/>
      <c r="W177" s="2" t="n"/>
      <c r="X177" s="2" t="n"/>
      <c r="Y177" s="2" t="n"/>
      <c r="Z177" s="2" t="n"/>
      <c r="AA177" s="2" t="n"/>
      <c r="AB177" s="2" t="n"/>
      <c r="AC177" s="2" t="n"/>
    </row>
    <row r="178" ht="36" customHeight="1">
      <c r="A178" s="2" t="n"/>
      <c r="B178" s="24" t="inlineStr">
        <is>
          <t>GN 1/3 container, PC, 100 mm</t>
        </is>
      </c>
      <c r="C178" s="24" t="inlineStr">
        <is>
          <t>Gastrodax</t>
        </is>
      </c>
      <c r="D178" s="24" t="inlineStr">
        <is>
          <t>B.PRO Gastronorm-Behälter 3,8 Liter Polycarbonat-GN 1/3 - 100 mm</t>
        </is>
      </c>
      <c r="E178" s="24" t="inlineStr">
        <is>
          <t>B.PRO</t>
        </is>
      </c>
      <c r="F178" s="25" t="inlineStr">
        <is>
          <t>https://www.gastrodax.de/b-pro-gastronorm-behaelter-3-8-liter-polycarbonat-gn-1-3-100-mm</t>
        </is>
      </c>
      <c r="G178" s="120" t="n">
        <v>10.77</v>
      </c>
      <c r="H178" s="24" t="inlineStr">
        <is>
          <t>excl.</t>
        </is>
      </c>
      <c r="I178" s="116" t="n">
        <v>1</v>
      </c>
      <c r="J178" s="24" t="n"/>
      <c r="K178" s="120" t="n">
        <v>10.77</v>
      </c>
      <c r="L178" s="24" t="inlineStr">
        <is>
          <t>EXACT</t>
        </is>
      </c>
      <c r="M178" s="24" t="inlineStr">
        <is>
          <t>Sale price (normal 17.10); Hendi PC GN 1/3 100 mm 20.93</t>
        </is>
      </c>
      <c r="N178" s="24" t="inlineStr">
        <is>
          <t>2026-09-30</t>
        </is>
      </c>
      <c r="O178" s="2" t="n"/>
      <c r="P178" s="2" t="n"/>
      <c r="Q178" s="2" t="n"/>
      <c r="R178" s="2" t="n"/>
      <c r="S178" s="2" t="n"/>
      <c r="T178" s="2" t="n"/>
      <c r="U178" s="2" t="n"/>
      <c r="V178" s="2" t="n"/>
      <c r="W178" s="2" t="n"/>
      <c r="X178" s="2" t="n"/>
      <c r="Y178" s="2" t="n"/>
      <c r="Z178" s="2" t="n"/>
      <c r="AA178" s="2" t="n"/>
      <c r="AB178" s="2" t="n"/>
      <c r="AC178" s="2" t="n"/>
    </row>
    <row r="179" ht="36" customHeight="1">
      <c r="A179" s="2" t="n"/>
      <c r="B179" s="27" t="inlineStr">
        <is>
          <t>GN 1/3 container, PC, 100 mm</t>
        </is>
      </c>
      <c r="C179" s="27" t="inlineStr">
        <is>
          <t>Gastroladen.at (Harotec GmbH)</t>
        </is>
      </c>
      <c r="D179" s="27" t="inlineStr">
        <is>
          <t>Cambro Camview BPA-freier GN 1/3 Behälter 100mm</t>
        </is>
      </c>
      <c r="E179" s="27" t="inlineStr">
        <is>
          <t>Cambro</t>
        </is>
      </c>
      <c r="F179" s="28" t="inlineStr">
        <is>
          <t>https://www.gastroladen.at/3020@GN-DW539/Cambro-Camview-BPA-freier-GN-1-3-Beh%C3%A4lter-100mm.htm</t>
        </is>
      </c>
      <c r="G179" s="121" t="n">
        <v>10.89</v>
      </c>
      <c r="H179" s="27" t="inlineStr">
        <is>
          <t>incl.</t>
        </is>
      </c>
      <c r="I179" s="117" t="n">
        <v>1</v>
      </c>
      <c r="J179" s="27" t="n"/>
      <c r="K179" s="121" t="n">
        <v>9.08</v>
      </c>
      <c r="L179" s="27" t="inlineStr">
        <is>
          <t>APPROX</t>
        </is>
      </c>
      <c r="M179" s="27" t="inlineStr">
        <is>
          <t>BPA-free Camview copolyester, not standard polycarbonate; Vogue PC GN 1/3 only offered in 65/150/200 mm</t>
        </is>
      </c>
      <c r="N179" s="27" t="inlineStr">
        <is>
          <t>2026-09-30</t>
        </is>
      </c>
      <c r="O179" s="2" t="n"/>
      <c r="P179" s="2" t="n"/>
      <c r="Q179" s="2" t="n"/>
      <c r="R179" s="2" t="n"/>
      <c r="S179" s="2" t="n"/>
      <c r="T179" s="2" t="n"/>
      <c r="U179" s="2" t="n"/>
      <c r="V179" s="2" t="n"/>
      <c r="W179" s="2" t="n"/>
      <c r="X179" s="2" t="n"/>
      <c r="Y179" s="2" t="n"/>
      <c r="Z179" s="2" t="n"/>
      <c r="AA179" s="2" t="n"/>
      <c r="AB179" s="2" t="n"/>
      <c r="AC179" s="2" t="n"/>
    </row>
    <row r="180" ht="36" customHeight="1">
      <c r="A180" s="2" t="n"/>
      <c r="B180" s="24" t="inlineStr">
        <is>
          <t>GN 1/3 container, PC, 100 mm</t>
        </is>
      </c>
      <c r="C180" s="24" t="inlineStr">
        <is>
          <t>Intergastro (AT shop)</t>
        </is>
      </c>
      <c r="D180" s="24" t="inlineStr">
        <is>
          <t>Gastronorm Behälter GN 1/3 GN 96 BLACK Polycarbonat schwarz H 100 mm</t>
        </is>
      </c>
      <c r="E180" s="24" t="inlineStr">
        <is>
          <t>WAS Germany</t>
        </is>
      </c>
      <c r="F180" s="25" t="inlineStr">
        <is>
          <t>https://www.intergastro.at/gastronorm-behaelter-gn-1-3-gn-96-black-polycarbonat-schwarz-h-100-mm-1016777</t>
        </is>
      </c>
      <c r="G180" s="120" t="n">
        <v>6.9</v>
      </c>
      <c r="H180" s="24" t="inlineStr">
        <is>
          <t>excl.</t>
        </is>
      </c>
      <c r="I180" s="116" t="n">
        <v>1</v>
      </c>
      <c r="J180" s="24" t="n"/>
      <c r="K180" s="120" t="n">
        <v>6.9</v>
      </c>
      <c r="L180" s="24" t="inlineStr">
        <is>
          <t>EXACT</t>
        </is>
      </c>
      <c r="M180" s="24" t="inlineStr">
        <is>
          <t>Black PC</t>
        </is>
      </c>
      <c r="N180" s="24" t="inlineStr">
        <is>
          <t>2026-09-30</t>
        </is>
      </c>
      <c r="O180" s="2" t="n"/>
      <c r="P180" s="2" t="n"/>
      <c r="Q180" s="2" t="n"/>
      <c r="R180" s="2" t="n"/>
      <c r="S180" s="2" t="n"/>
      <c r="T180" s="2" t="n"/>
      <c r="U180" s="2" t="n"/>
      <c r="V180" s="2" t="n"/>
      <c r="W180" s="2" t="n"/>
      <c r="X180" s="2" t="n"/>
      <c r="Y180" s="2" t="n"/>
      <c r="Z180" s="2" t="n"/>
      <c r="AA180" s="2" t="n"/>
      <c r="AB180" s="2" t="n"/>
      <c r="AC180" s="2" t="n"/>
    </row>
    <row r="181" ht="36" customHeight="1">
      <c r="A181" s="2" t="n"/>
      <c r="B181" s="27" t="inlineStr">
        <is>
          <t>GN 1/3 container, PC, 100 mm</t>
        </is>
      </c>
      <c r="C181" s="27" t="inlineStr">
        <is>
          <t>Jungheinrich PROFISHOP Austria</t>
        </is>
      </c>
      <c r="D181" s="27" t="inlineStr">
        <is>
          <t>Stalgast Gastronormbehälter, Polycarbonat, GN 1/3 (100 mm)</t>
        </is>
      </c>
      <c r="E181" s="27" t="inlineStr">
        <is>
          <t>Stalgast</t>
        </is>
      </c>
      <c r="F181" s="28" t="inlineStr">
        <is>
          <t>https://www.jh-profishop.at/p/stalgast-gastronormbehaelter-polycarbonat-gn-1-3-100-mm-928263-347758/</t>
        </is>
      </c>
      <c r="G181" s="121" t="n">
        <v>15.7</v>
      </c>
      <c r="H181" s="27" t="inlineStr">
        <is>
          <t>excl.</t>
        </is>
      </c>
      <c r="I181" s="117" t="n">
        <v>1</v>
      </c>
      <c r="J181" s="27" t="n"/>
      <c r="K181" s="121" t="n">
        <v>15.7</v>
      </c>
      <c r="L181" s="27" t="inlineStr">
        <is>
          <t>EXACT</t>
        </is>
      </c>
      <c r="M181" s="27" t="inlineStr">
        <is>
          <t>Black version 16.30</t>
        </is>
      </c>
      <c r="N181" s="27" t="inlineStr">
        <is>
          <t>2026-09-30</t>
        </is>
      </c>
      <c r="O181" s="2" t="n"/>
      <c r="P181" s="2" t="n"/>
      <c r="Q181" s="2" t="n"/>
      <c r="R181" s="2" t="n"/>
      <c r="S181" s="2" t="n"/>
      <c r="T181" s="2" t="n"/>
      <c r="U181" s="2" t="n"/>
      <c r="V181" s="2" t="n"/>
      <c r="W181" s="2" t="n"/>
      <c r="X181" s="2" t="n"/>
      <c r="Y181" s="2" t="n"/>
      <c r="Z181" s="2" t="n"/>
      <c r="AA181" s="2" t="n"/>
      <c r="AB181" s="2" t="n"/>
      <c r="AC181" s="2" t="n"/>
    </row>
    <row r="182" ht="36" customHeight="1">
      <c r="A182" s="2" t="n"/>
      <c r="B182" s="24" t="inlineStr">
        <is>
          <t>GN 1/3 container, PC, 100 mm</t>
        </is>
      </c>
      <c r="C182" s="24" t="inlineStr">
        <is>
          <t>shopbuero.com</t>
        </is>
      </c>
      <c r="D182" s="24" t="inlineStr">
        <is>
          <t>GN-Behälter - GN 1/3 (325 x 176 mm) - 100 mm - Inhalt 3,8 l - Polycarbonat</t>
        </is>
      </c>
      <c r="E182" s="24" t="inlineStr">
        <is>
          <t>Schneider</t>
        </is>
      </c>
      <c r="F182" s="25" t="inlineStr">
        <is>
          <t>https://shopbuero.com/gn-behaelter-gn-1-3-325-x-176-mm-100-mm-inhalt-3-8-l-polycarbonat/530121-C</t>
        </is>
      </c>
      <c r="G182" s="120" t="n">
        <v>6.4</v>
      </c>
      <c r="H182" s="24" t="inlineStr">
        <is>
          <t>excl.</t>
        </is>
      </c>
      <c r="I182" s="116" t="n">
        <v>1</v>
      </c>
      <c r="J182" s="24" t="n"/>
      <c r="K182" s="120" t="n">
        <v>6.4</v>
      </c>
      <c r="L182" s="24" t="inlineStr">
        <is>
          <t>EXACT</t>
        </is>
      </c>
      <c r="M182" s="24" t="inlineStr">
        <is>
          <t>Regular price 10.30</t>
        </is>
      </c>
      <c r="N182" s="24" t="inlineStr">
        <is>
          <t>2026-09-30</t>
        </is>
      </c>
      <c r="O182" s="2" t="n"/>
      <c r="P182" s="2" t="n"/>
      <c r="Q182" s="2" t="n"/>
      <c r="R182" s="2" t="n"/>
      <c r="S182" s="2" t="n"/>
      <c r="T182" s="2" t="n"/>
      <c r="U182" s="2" t="n"/>
      <c r="V182" s="2" t="n"/>
      <c r="W182" s="2" t="n"/>
      <c r="X182" s="2" t="n"/>
      <c r="Y182" s="2" t="n"/>
      <c r="Z182" s="2" t="n"/>
      <c r="AA182" s="2" t="n"/>
      <c r="AB182" s="2" t="n"/>
      <c r="AC182" s="2" t="n"/>
    </row>
    <row r="183" ht="36" customHeight="1">
      <c r="A183" s="2" t="n"/>
      <c r="B183" s="27" t="inlineStr">
        <is>
          <t>GN 1/2 container, PP, 150 mm</t>
        </is>
      </c>
      <c r="C183" s="27" t="inlineStr">
        <is>
          <t>ALLPAX Österreich</t>
        </is>
      </c>
      <c r="D183" s="27" t="inlineStr">
        <is>
          <t>GN Behälter 1/2, 150 mm aus Kunststoff</t>
        </is>
      </c>
      <c r="E183" s="27" t="n"/>
      <c r="F183" s="28" t="inlineStr">
        <is>
          <t>https://www.allpax.at/product_info.php/info/GN-Behaelter-1-2-150-mm-aus-Kunststoff.html</t>
        </is>
      </c>
      <c r="G183" s="121" t="n">
        <v>4.5</v>
      </c>
      <c r="H183" s="27" t="inlineStr">
        <is>
          <t>excl.</t>
        </is>
      </c>
      <c r="I183" s="117" t="n">
        <v>1</v>
      </c>
      <c r="J183" s="27" t="n"/>
      <c r="K183" s="121" t="n">
        <v>4.5</v>
      </c>
      <c r="L183" s="27" t="inlineStr">
        <is>
          <t>CLOSE</t>
        </is>
      </c>
      <c r="M183" s="27" t="inlineStr">
        <is>
          <t>Plastic type not stated; 'jetzt' price, regular 5.85</t>
        </is>
      </c>
      <c r="N183" s="27" t="inlineStr">
        <is>
          <t>2026-09-30</t>
        </is>
      </c>
      <c r="O183" s="2" t="n"/>
      <c r="P183" s="2" t="n"/>
      <c r="Q183" s="2" t="n"/>
      <c r="R183" s="2" t="n"/>
      <c r="S183" s="2" t="n"/>
      <c r="T183" s="2" t="n"/>
      <c r="U183" s="2" t="n"/>
      <c r="V183" s="2" t="n"/>
      <c r="W183" s="2" t="n"/>
      <c r="X183" s="2" t="n"/>
      <c r="Y183" s="2" t="n"/>
      <c r="Z183" s="2" t="n"/>
      <c r="AA183" s="2" t="n"/>
      <c r="AB183" s="2" t="n"/>
      <c r="AC183" s="2" t="n"/>
    </row>
    <row r="184" ht="36" customHeight="1">
      <c r="A184" s="2" t="n"/>
      <c r="B184" s="24" t="inlineStr">
        <is>
          <t>GN 1/2 container, PP, 150 mm</t>
        </is>
      </c>
      <c r="C184" s="24" t="inlineStr">
        <is>
          <t>GGM Gastro (Austrian storefront)</t>
        </is>
      </c>
      <c r="D184" s="24" t="inlineStr">
        <is>
          <t>(12 Stück) Polypropylen-Behälter GN 1/2 - Milchig - Höhe: 150mm</t>
        </is>
      </c>
      <c r="E184" s="24" t="inlineStr">
        <is>
          <t>GGM</t>
        </is>
      </c>
      <c r="F184" s="25" t="inlineStr">
        <is>
          <t>https://www.ggmgastro.com/de-at-eur/12-stueck-polypropylen-behaelter-gn-1-2-milchig-hoehe-150mm-gpp12150</t>
        </is>
      </c>
      <c r="G184" s="120" t="n">
        <v>50.99</v>
      </c>
      <c r="H184" s="24" t="inlineStr">
        <is>
          <t>excl.</t>
        </is>
      </c>
      <c r="I184" s="116" t="n">
        <v>12</v>
      </c>
      <c r="J184" s="24" t="inlineStr">
        <is>
          <t>set of 12</t>
        </is>
      </c>
      <c r="K184" s="120" t="n">
        <v>4.25</v>
      </c>
      <c r="L184" s="24" t="inlineStr">
        <is>
          <t>EXACT</t>
        </is>
      </c>
      <c r="M184" s="24" t="n"/>
      <c r="N184" s="24" t="inlineStr">
        <is>
          <t>2026-09-30</t>
        </is>
      </c>
      <c r="O184" s="2" t="n"/>
      <c r="P184" s="2" t="n"/>
      <c r="Q184" s="2" t="n"/>
      <c r="R184" s="2" t="n"/>
      <c r="S184" s="2" t="n"/>
      <c r="T184" s="2" t="n"/>
      <c r="U184" s="2" t="n"/>
      <c r="V184" s="2" t="n"/>
      <c r="W184" s="2" t="n"/>
      <c r="X184" s="2" t="n"/>
      <c r="Y184" s="2" t="n"/>
      <c r="Z184" s="2" t="n"/>
      <c r="AA184" s="2" t="n"/>
      <c r="AB184" s="2" t="n"/>
      <c r="AC184" s="2" t="n"/>
    </row>
    <row r="185" ht="36" customHeight="1">
      <c r="A185" s="2" t="n"/>
      <c r="B185" s="27" t="inlineStr">
        <is>
          <t>GN 1/2 container, PP, 150 mm</t>
        </is>
      </c>
      <c r="C185" s="27" t="inlineStr">
        <is>
          <t>Gastro Star</t>
        </is>
      </c>
      <c r="D185" s="27" t="inlineStr">
        <is>
          <t>Polypropylen Behälter GN 1/2 – 325x265x150mm</t>
        </is>
      </c>
      <c r="E185" s="27" t="inlineStr">
        <is>
          <t>Hendi</t>
        </is>
      </c>
      <c r="F185" s="28" t="inlineStr">
        <is>
          <t>https://www.gastro-star.at/produkt/polypropylenbehaeltergn12-325x265x150mm/</t>
        </is>
      </c>
      <c r="G185" s="121" t="n">
        <v>7.5</v>
      </c>
      <c r="H185" s="27" t="inlineStr">
        <is>
          <t>excl.</t>
        </is>
      </c>
      <c r="I185" s="117" t="n">
        <v>1</v>
      </c>
      <c r="J185" s="27" t="n"/>
      <c r="K185" s="121" t="n">
        <v>7.5</v>
      </c>
      <c r="L185" s="27" t="inlineStr">
        <is>
          <t>EXACT</t>
        </is>
      </c>
      <c r="M185" s="27" t="inlineStr">
        <is>
          <t>Gross 9.00</t>
        </is>
      </c>
      <c r="N185" s="27" t="inlineStr">
        <is>
          <t>2026-09-30</t>
        </is>
      </c>
      <c r="O185" s="2" t="n"/>
      <c r="P185" s="2" t="n"/>
      <c r="Q185" s="2" t="n"/>
      <c r="R185" s="2" t="n"/>
      <c r="S185" s="2" t="n"/>
      <c r="T185" s="2" t="n"/>
      <c r="U185" s="2" t="n"/>
      <c r="V185" s="2" t="n"/>
      <c r="W185" s="2" t="n"/>
      <c r="X185" s="2" t="n"/>
      <c r="Y185" s="2" t="n"/>
      <c r="Z185" s="2" t="n"/>
      <c r="AA185" s="2" t="n"/>
      <c r="AB185" s="2" t="n"/>
      <c r="AC185" s="2" t="n"/>
    </row>
    <row r="186" ht="36" customHeight="1">
      <c r="A186" s="2" t="n"/>
      <c r="B186" s="24" t="inlineStr">
        <is>
          <t>GN 1/2 container, PP, 150 mm</t>
        </is>
      </c>
      <c r="C186" s="24" t="inlineStr">
        <is>
          <t>GastroHero Österreich</t>
        </is>
      </c>
      <c r="D186" s="24" t="inlineStr">
        <is>
          <t>Schneider PP GN 1/2 Behälter 150 mm, 9 l</t>
        </is>
      </c>
      <c r="E186" s="24" t="inlineStr">
        <is>
          <t>Schneider</t>
        </is>
      </c>
      <c r="F186" s="25" t="inlineStr">
        <is>
          <t>https://www.gastro-hero.at/products/schneider-pp-gn-12-behaelter-150-mm-9-l-530012</t>
        </is>
      </c>
      <c r="G186" s="120" t="n">
        <v>10.89</v>
      </c>
      <c r="H186" s="24" t="inlineStr">
        <is>
          <t>excl.</t>
        </is>
      </c>
      <c r="I186" s="116" t="n">
        <v>1</v>
      </c>
      <c r="J186" s="24" t="n"/>
      <c r="K186" s="120" t="n">
        <v>10.89</v>
      </c>
      <c r="L186" s="24" t="inlineStr">
        <is>
          <t>EXACT</t>
        </is>
      </c>
      <c r="M186" s="24" t="inlineStr">
        <is>
          <t>Min. qty 8</t>
        </is>
      </c>
      <c r="N186" s="24" t="inlineStr">
        <is>
          <t>2026-09-30</t>
        </is>
      </c>
      <c r="O186" s="2" t="n"/>
      <c r="P186" s="2" t="n"/>
      <c r="Q186" s="2" t="n"/>
      <c r="R186" s="2" t="n"/>
      <c r="S186" s="2" t="n"/>
      <c r="T186" s="2" t="n"/>
      <c r="U186" s="2" t="n"/>
      <c r="V186" s="2" t="n"/>
      <c r="W186" s="2" t="n"/>
      <c r="X186" s="2" t="n"/>
      <c r="Y186" s="2" t="n"/>
      <c r="Z186" s="2" t="n"/>
      <c r="AA186" s="2" t="n"/>
      <c r="AB186" s="2" t="n"/>
      <c r="AC186" s="2" t="n"/>
    </row>
    <row r="187" ht="36" customHeight="1">
      <c r="A187" s="2" t="n"/>
      <c r="B187" s="27" t="inlineStr">
        <is>
          <t>GN 1/2 container, PP, 150 mm</t>
        </is>
      </c>
      <c r="C187" s="27" t="inlineStr">
        <is>
          <t>Gastrodax</t>
        </is>
      </c>
      <c r="D187" s="27" t="inlineStr">
        <is>
          <t>Hendi Gastronorm-Behälter 1/2, 9,5L, Transparent, 325x265x(H)150mm – Polypropylen</t>
        </is>
      </c>
      <c r="E187" s="27" t="inlineStr">
        <is>
          <t>Hendi</t>
        </is>
      </c>
      <c r="F187" s="28" t="inlineStr">
        <is>
          <t>https://www.gastrodax.de/hendi-haccp-aufbewahrungsbehaelter-gn-1-2-9-5-l-transparent-325-x-265-x-h-150-mm</t>
        </is>
      </c>
      <c r="G187" s="121" t="n">
        <v>12.53</v>
      </c>
      <c r="H187" s="27" t="inlineStr">
        <is>
          <t>excl.</t>
        </is>
      </c>
      <c r="I187" s="117" t="n">
        <v>1</v>
      </c>
      <c r="J187" s="27" t="n"/>
      <c r="K187" s="121" t="n">
        <v>12.53</v>
      </c>
      <c r="L187" s="27" t="inlineStr">
        <is>
          <t>EXACT</t>
        </is>
      </c>
      <c r="M187" s="27" t="n"/>
      <c r="N187" s="27" t="inlineStr">
        <is>
          <t>2026-09-30</t>
        </is>
      </c>
      <c r="O187" s="2" t="n"/>
      <c r="P187" s="2" t="n"/>
      <c r="Q187" s="2" t="n"/>
      <c r="R187" s="2" t="n"/>
      <c r="S187" s="2" t="n"/>
      <c r="T187" s="2" t="n"/>
      <c r="U187" s="2" t="n"/>
      <c r="V187" s="2" t="n"/>
      <c r="W187" s="2" t="n"/>
      <c r="X187" s="2" t="n"/>
      <c r="Y187" s="2" t="n"/>
      <c r="Z187" s="2" t="n"/>
      <c r="AA187" s="2" t="n"/>
      <c r="AB187" s="2" t="n"/>
      <c r="AC187" s="2" t="n"/>
    </row>
    <row r="188" ht="36" customHeight="1">
      <c r="A188" s="2" t="n"/>
      <c r="B188" s="24" t="inlineStr">
        <is>
          <t>GN 1/2 container, PP, 150 mm</t>
        </is>
      </c>
      <c r="C188" s="24" t="inlineStr">
        <is>
          <t>Gastroladen.at (Harotec GmbH)</t>
        </is>
      </c>
      <c r="D188" s="24" t="inlineStr">
        <is>
          <t>Cambro Polypropylen GN 1/2 Behälter 150mm</t>
        </is>
      </c>
      <c r="E188" s="24" t="inlineStr">
        <is>
          <t>Cambro</t>
        </is>
      </c>
      <c r="F188" s="25" t="inlineStr">
        <is>
          <t>https://www.gastroladen.at/3030@GN-DW503/Cambro-Polypropylen-GN-1-2-Beh%C3%A4lter-150mm.htm</t>
        </is>
      </c>
      <c r="G188" s="120" t="n">
        <v>18.39</v>
      </c>
      <c r="H188" s="24" t="inlineStr">
        <is>
          <t>incl.</t>
        </is>
      </c>
      <c r="I188" s="116" t="n">
        <v>1</v>
      </c>
      <c r="J188" s="24" t="n"/>
      <c r="K188" s="120" t="n">
        <v>15.33</v>
      </c>
      <c r="L188" s="24" t="inlineStr">
        <is>
          <t>EXACT</t>
        </is>
      </c>
      <c r="M188" s="24" t="inlineStr">
        <is>
          <t>8.9 l</t>
        </is>
      </c>
      <c r="N188" s="24" t="inlineStr">
        <is>
          <t>2026-09-30</t>
        </is>
      </c>
      <c r="O188" s="2" t="n"/>
      <c r="P188" s="2" t="n"/>
      <c r="Q188" s="2" t="n"/>
      <c r="R188" s="2" t="n"/>
      <c r="S188" s="2" t="n"/>
      <c r="T188" s="2" t="n"/>
      <c r="U188" s="2" t="n"/>
      <c r="V188" s="2" t="n"/>
      <c r="W188" s="2" t="n"/>
      <c r="X188" s="2" t="n"/>
      <c r="Y188" s="2" t="n"/>
      <c r="Z188" s="2" t="n"/>
      <c r="AA188" s="2" t="n"/>
      <c r="AB188" s="2" t="n"/>
      <c r="AC188" s="2" t="n"/>
    </row>
    <row r="189" ht="50" customHeight="1">
      <c r="A189" s="2" t="n"/>
      <c r="B189" s="27" t="inlineStr">
        <is>
          <t>GN 1/2 container, PP, 150 mm</t>
        </is>
      </c>
      <c r="C189" s="27" t="inlineStr">
        <is>
          <t>Intergastro (AT shop)</t>
        </is>
      </c>
      <c r="D189" s="27" t="inlineStr">
        <is>
          <t>GN Behälter GN 1/2 x 150 mm Kunststoff</t>
        </is>
      </c>
      <c r="E189" s="27" t="inlineStr">
        <is>
          <t>APS</t>
        </is>
      </c>
      <c r="F189" s="28" t="inlineStr">
        <is>
          <t>https://www.intergastro.at/gn-behaelter-gn-1-2-x-150-mm-kunststoff-253638</t>
        </is>
      </c>
      <c r="G189" s="121" t="n">
        <v>6.2</v>
      </c>
      <c r="H189" s="27" t="inlineStr">
        <is>
          <t>excl.</t>
        </is>
      </c>
      <c r="I189" s="117" t="n">
        <v>1</v>
      </c>
      <c r="J189" s="27" t="n"/>
      <c r="K189" s="121" t="n">
        <v>6.2</v>
      </c>
      <c r="L189" s="27" t="inlineStr">
        <is>
          <t>CLOSE</t>
        </is>
      </c>
      <c r="M189" s="27" t="inlineStr">
        <is>
          <t>Plastic type not stated on page (APS PP line); the WAS GN 84 PP 1/2 150 mm is only a variant option of the 65 mm page and not separately priced</t>
        </is>
      </c>
      <c r="N189" s="27" t="inlineStr">
        <is>
          <t>2026-09-30</t>
        </is>
      </c>
      <c r="O189" s="2" t="n"/>
      <c r="P189" s="2" t="n"/>
      <c r="Q189" s="2" t="n"/>
      <c r="R189" s="2" t="n"/>
      <c r="S189" s="2" t="n"/>
      <c r="T189" s="2" t="n"/>
      <c r="U189" s="2" t="n"/>
      <c r="V189" s="2" t="n"/>
      <c r="W189" s="2" t="n"/>
      <c r="X189" s="2" t="n"/>
      <c r="Y189" s="2" t="n"/>
      <c r="Z189" s="2" t="n"/>
      <c r="AA189" s="2" t="n"/>
      <c r="AB189" s="2" t="n"/>
      <c r="AC189" s="2" t="n"/>
    </row>
    <row r="190" ht="50" customHeight="1">
      <c r="A190" s="2" t="n"/>
      <c r="B190" s="24" t="inlineStr">
        <is>
          <t>GN 1/2 container, PP, 150 mm</t>
        </is>
      </c>
      <c r="C190" s="24" t="inlineStr">
        <is>
          <t>Jungheinrich PROFISHOP Austria</t>
        </is>
      </c>
      <c r="D190" s="24" t="inlineStr">
        <is>
          <t>Stalgast ARAVEN Gastronormbehälter mit Deckel, Polypropylen, GN 1/2 (150 mm)</t>
        </is>
      </c>
      <c r="E190" s="24" t="inlineStr">
        <is>
          <t>Stalgast / Araven</t>
        </is>
      </c>
      <c r="F190" s="25" t="inlineStr">
        <is>
          <t>https://www.jh-profishop.at/p/stalgast-araven-gastronormbehaelter-mit-deckel-polypropylen-gn-1-2-150-mm-928334-347849/</t>
        </is>
      </c>
      <c r="G190" s="120" t="n">
        <v>37.9</v>
      </c>
      <c r="H190" s="24" t="inlineStr">
        <is>
          <t>excl.</t>
        </is>
      </c>
      <c r="I190" s="116" t="n">
        <v>1</v>
      </c>
      <c r="J190" s="24" t="n"/>
      <c r="K190" s="120" t="n">
        <v>37.9</v>
      </c>
      <c r="L190" s="24" t="inlineStr">
        <is>
          <t>CLOSE</t>
        </is>
      </c>
      <c r="M190" s="24" t="inlineStr">
        <is>
          <t>Includes lid (container not sold separately)</t>
        </is>
      </c>
      <c r="N190" s="24" t="inlineStr">
        <is>
          <t>2026-09-30</t>
        </is>
      </c>
      <c r="O190" s="2" t="n"/>
      <c r="P190" s="2" t="n"/>
      <c r="Q190" s="2" t="n"/>
      <c r="R190" s="2" t="n"/>
      <c r="S190" s="2" t="n"/>
      <c r="T190" s="2" t="n"/>
      <c r="U190" s="2" t="n"/>
      <c r="V190" s="2" t="n"/>
      <c r="W190" s="2" t="n"/>
      <c r="X190" s="2" t="n"/>
      <c r="Y190" s="2" t="n"/>
      <c r="Z190" s="2" t="n"/>
      <c r="AA190" s="2" t="n"/>
      <c r="AB190" s="2" t="n"/>
      <c r="AC190" s="2" t="n"/>
    </row>
    <row r="191" ht="50" customHeight="1">
      <c r="A191" s="2" t="n"/>
      <c r="B191" s="27" t="inlineStr">
        <is>
          <t>GN 1/2 container, PP, 150 mm</t>
        </is>
      </c>
      <c r="C191" s="27" t="inlineStr">
        <is>
          <t>shopbuero.com</t>
        </is>
      </c>
      <c r="D191" s="27" t="inlineStr">
        <is>
          <t>GN-Behälter - BPA frei - Serie 84 - 9,0 l - GN 1/2 - 150 mm - Polypropylen</t>
        </is>
      </c>
      <c r="E191" s="27" t="inlineStr">
        <is>
          <t>WAS Germany</t>
        </is>
      </c>
      <c r="F191" s="28" t="inlineStr">
        <is>
          <t>https://shopbuero.com/gn-behaelter-bpa-frei-serie-84-inhalt-9-0-l-gn-1-2-325-x-265-mm-150-mm-polypropylen-premium-qualitaet/8412150-A</t>
        </is>
      </c>
      <c r="G191" s="121" t="n">
        <v>5.2</v>
      </c>
      <c r="H191" s="27" t="inlineStr">
        <is>
          <t>excl.</t>
        </is>
      </c>
      <c r="I191" s="117" t="n">
        <v>1</v>
      </c>
      <c r="J191" s="27" t="n"/>
      <c r="K191" s="121" t="n">
        <v>5.2</v>
      </c>
      <c r="L191" s="27" t="inlineStr">
        <is>
          <t>EXACT</t>
        </is>
      </c>
      <c r="M191" s="27" t="inlineStr">
        <is>
          <t>Regular price 7.40</t>
        </is>
      </c>
      <c r="N191" s="27" t="inlineStr">
        <is>
          <t>2026-09-30</t>
        </is>
      </c>
      <c r="O191" s="2" t="n"/>
      <c r="P191" s="2" t="n"/>
      <c r="Q191" s="2" t="n"/>
      <c r="R191" s="2" t="n"/>
      <c r="S191" s="2" t="n"/>
      <c r="T191" s="2" t="n"/>
      <c r="U191" s="2" t="n"/>
      <c r="V191" s="2" t="n"/>
      <c r="W191" s="2" t="n"/>
      <c r="X191" s="2" t="n"/>
      <c r="Y191" s="2" t="n"/>
      <c r="Z191" s="2" t="n"/>
      <c r="AA191" s="2" t="n"/>
      <c r="AB191" s="2" t="n"/>
      <c r="AC191" s="2" t="n"/>
    </row>
    <row r="192" ht="36" customHeight="1">
      <c r="A192" s="2" t="n"/>
      <c r="B192" s="24" t="inlineStr">
        <is>
          <t>GN 1/1 PC lid, standard</t>
        </is>
      </c>
      <c r="C192" s="24" t="inlineStr">
        <is>
          <t>ALLPAX Österreich</t>
        </is>
      </c>
      <c r="D192" s="24" t="inlineStr">
        <is>
          <t>PC GN Deckel 1/1 schwarz</t>
        </is>
      </c>
      <c r="E192" s="24" t="n"/>
      <c r="F192" s="25" t="inlineStr">
        <is>
          <t>https://www.allpax.at/product_info.php/info/PC-GN-Deckel-1-1-schwarz.html</t>
        </is>
      </c>
      <c r="G192" s="120" t="n">
        <v>6.54</v>
      </c>
      <c r="H192" s="24" t="inlineStr">
        <is>
          <t>excl.</t>
        </is>
      </c>
      <c r="I192" s="116" t="n">
        <v>1</v>
      </c>
      <c r="J192" s="24" t="n"/>
      <c r="K192" s="120" t="n">
        <v>6.54</v>
      </c>
      <c r="L192" s="24" t="inlineStr">
        <is>
          <t>EXACT</t>
        </is>
      </c>
      <c r="M192" s="24" t="inlineStr">
        <is>
          <t>Black PC; regular 9.29</t>
        </is>
      </c>
      <c r="N192" s="24" t="inlineStr">
        <is>
          <t>2026-09-30</t>
        </is>
      </c>
      <c r="O192" s="2" t="n"/>
      <c r="P192" s="2" t="n"/>
      <c r="Q192" s="2" t="n"/>
      <c r="R192" s="2" t="n"/>
      <c r="S192" s="2" t="n"/>
      <c r="T192" s="2" t="n"/>
      <c r="U192" s="2" t="n"/>
      <c r="V192" s="2" t="n"/>
      <c r="W192" s="2" t="n"/>
      <c r="X192" s="2" t="n"/>
      <c r="Y192" s="2" t="n"/>
      <c r="Z192" s="2" t="n"/>
      <c r="AA192" s="2" t="n"/>
      <c r="AB192" s="2" t="n"/>
      <c r="AC192" s="2" t="n"/>
    </row>
    <row r="193" ht="36" customHeight="1">
      <c r="A193" s="2" t="n"/>
      <c r="B193" s="27" t="inlineStr">
        <is>
          <t>GN 1/1 PC lid, standard</t>
        </is>
      </c>
      <c r="C193" s="27" t="inlineStr">
        <is>
          <t>GGM Gastro (Austrian storefront)</t>
        </is>
      </c>
      <c r="D193" s="27" t="inlineStr">
        <is>
          <t>(6 Stück) Polycarbonat-Deckel GN 1/1 - Höhe: 35mm</t>
        </is>
      </c>
      <c r="E193" s="27" t="inlineStr">
        <is>
          <t>GGM</t>
        </is>
      </c>
      <c r="F193" s="28" t="inlineStr">
        <is>
          <t>https://www.ggmgastro.com/de-at-eur/6-stueck-polycarbonat-deckel-gn-1-1-hoehe-35mm-82001-6</t>
        </is>
      </c>
      <c r="G193" s="121" t="n">
        <v>69.98999999999999</v>
      </c>
      <c r="H193" s="27" t="inlineStr">
        <is>
          <t>excl.</t>
        </is>
      </c>
      <c r="I193" s="117" t="n">
        <v>6</v>
      </c>
      <c r="J193" s="27" t="inlineStr">
        <is>
          <t>set of 6</t>
        </is>
      </c>
      <c r="K193" s="121" t="n">
        <v>11.66</v>
      </c>
      <c r="L193" s="27" t="inlineStr">
        <is>
          <t>CLOSE</t>
        </is>
      </c>
      <c r="M193" s="27" t="inlineStr">
        <is>
          <t>PC lid with 35 mm height (raised rather than flat standard lid)</t>
        </is>
      </c>
      <c r="N193" s="27" t="inlineStr">
        <is>
          <t>2026-09-30</t>
        </is>
      </c>
      <c r="O193" s="2" t="n"/>
      <c r="P193" s="2" t="n"/>
      <c r="Q193" s="2" t="n"/>
      <c r="R193" s="2" t="n"/>
      <c r="S193" s="2" t="n"/>
      <c r="T193" s="2" t="n"/>
      <c r="U193" s="2" t="n"/>
      <c r="V193" s="2" t="n"/>
      <c r="W193" s="2" t="n"/>
      <c r="X193" s="2" t="n"/>
      <c r="Y193" s="2" t="n"/>
      <c r="Z193" s="2" t="n"/>
      <c r="AA193" s="2" t="n"/>
      <c r="AB193" s="2" t="n"/>
      <c r="AC193" s="2" t="n"/>
    </row>
    <row r="194" ht="36" customHeight="1">
      <c r="A194" s="2" t="n"/>
      <c r="B194" s="24" t="inlineStr">
        <is>
          <t>GN 1/1 PC lid, standard</t>
        </is>
      </c>
      <c r="C194" s="24" t="inlineStr">
        <is>
          <t>Gastro Star</t>
        </is>
      </c>
      <c r="D194" s="24" t="inlineStr">
        <is>
          <t>RIEBER-Polycarbonat Flachdeckel für GN 1/1 Behälter</t>
        </is>
      </c>
      <c r="E194" s="24" t="inlineStr">
        <is>
          <t>Rieber</t>
        </is>
      </c>
      <c r="F194" s="25" t="inlineStr">
        <is>
          <t>https://www.gastro-star.at/produkt/rieber-polycarbonatflachdeckelfuergn11behaelter/</t>
        </is>
      </c>
      <c r="G194" s="120" t="n">
        <v>22</v>
      </c>
      <c r="H194" s="24" t="inlineStr">
        <is>
          <t>excl.</t>
        </is>
      </c>
      <c r="I194" s="116" t="n">
        <v>1</v>
      </c>
      <c r="J194" s="24" t="n"/>
      <c r="K194" s="120" t="n">
        <v>22</v>
      </c>
      <c r="L194" s="24" t="inlineStr">
        <is>
          <t>EXACT</t>
        </is>
      </c>
      <c r="M194" s="24" t="inlineStr">
        <is>
          <t>Flat PC lid</t>
        </is>
      </c>
      <c r="N194" s="24" t="inlineStr">
        <is>
          <t>2026-09-30</t>
        </is>
      </c>
      <c r="O194" s="2" t="n"/>
      <c r="P194" s="2" t="n"/>
      <c r="Q194" s="2" t="n"/>
      <c r="R194" s="2" t="n"/>
      <c r="S194" s="2" t="n"/>
      <c r="T194" s="2" t="n"/>
      <c r="U194" s="2" t="n"/>
      <c r="V194" s="2" t="n"/>
      <c r="W194" s="2" t="n"/>
      <c r="X194" s="2" t="n"/>
      <c r="Y194" s="2" t="n"/>
      <c r="Z194" s="2" t="n"/>
      <c r="AA194" s="2" t="n"/>
      <c r="AB194" s="2" t="n"/>
      <c r="AC194" s="2" t="n"/>
    </row>
    <row r="195" ht="36" customHeight="1">
      <c r="A195" s="2" t="n"/>
      <c r="B195" s="27" t="inlineStr">
        <is>
          <t>GN 1/1 PC lid, standard</t>
        </is>
      </c>
      <c r="C195" s="27" t="inlineStr">
        <is>
          <t>GastroHero Österreich</t>
        </is>
      </c>
      <c r="D195" s="27" t="inlineStr">
        <is>
          <t>Vogue GN-Deckel 1/1 Polycarbonat</t>
        </is>
      </c>
      <c r="E195" s="27" t="inlineStr">
        <is>
          <t>Vogue</t>
        </is>
      </c>
      <c r="F195" s="28" t="inlineStr">
        <is>
          <t>https://www.gastro-hero.at/products/vogue-gn-deckel-11-polycarbonat-u244</t>
        </is>
      </c>
      <c r="G195" s="121" t="n">
        <v>9.19</v>
      </c>
      <c r="H195" s="27" t="inlineStr">
        <is>
          <t>excl.</t>
        </is>
      </c>
      <c r="I195" s="117" t="n">
        <v>1</v>
      </c>
      <c r="J195" s="27" t="n"/>
      <c r="K195" s="121" t="n">
        <v>9.19</v>
      </c>
      <c r="L195" s="27" t="inlineStr">
        <is>
          <t>EXACT</t>
        </is>
      </c>
      <c r="M195" s="27" t="inlineStr">
        <is>
          <t>Sale price (normal 10.89); min. qty 4</t>
        </is>
      </c>
      <c r="N195" s="27" t="inlineStr">
        <is>
          <t>2026-09-30</t>
        </is>
      </c>
      <c r="O195" s="2" t="n"/>
      <c r="P195" s="2" t="n"/>
      <c r="Q195" s="2" t="n"/>
      <c r="R195" s="2" t="n"/>
      <c r="S195" s="2" t="n"/>
      <c r="T195" s="2" t="n"/>
      <c r="U195" s="2" t="n"/>
      <c r="V195" s="2" t="n"/>
      <c r="W195" s="2" t="n"/>
      <c r="X195" s="2" t="n"/>
      <c r="Y195" s="2" t="n"/>
      <c r="Z195" s="2" t="n"/>
      <c r="AA195" s="2" t="n"/>
      <c r="AB195" s="2" t="n"/>
      <c r="AC195" s="2" t="n"/>
    </row>
    <row r="196" ht="36" customHeight="1">
      <c r="A196" s="2" t="n"/>
      <c r="B196" s="24" t="inlineStr">
        <is>
          <t>GN 1/1 PC lid, standard</t>
        </is>
      </c>
      <c r="C196" s="24" t="inlineStr">
        <is>
          <t>Gastrodax</t>
        </is>
      </c>
      <c r="D196" s="24" t="inlineStr">
        <is>
          <t>Hendi Gastronorm-Deckel, GN 1/1, Polykarbonat transparent, 530 x 325 mm</t>
        </is>
      </c>
      <c r="E196" s="24" t="inlineStr">
        <is>
          <t>Hendi</t>
        </is>
      </c>
      <c r="F196" s="25" t="inlineStr">
        <is>
          <t>https://www.gastrodax.de/hendi-gastronorm-deckel-gn-1-1-polykarbonat-transparent-530-x-325-mm</t>
        </is>
      </c>
      <c r="G196" s="120" t="n">
        <v>17.93</v>
      </c>
      <c r="H196" s="24" t="inlineStr">
        <is>
          <t>excl.</t>
        </is>
      </c>
      <c r="I196" s="116" t="n">
        <v>1</v>
      </c>
      <c r="J196" s="24" t="n"/>
      <c r="K196" s="120" t="n">
        <v>17.93</v>
      </c>
      <c r="L196" s="24" t="inlineStr">
        <is>
          <t>EXACT</t>
        </is>
      </c>
      <c r="M196" s="24" t="n"/>
      <c r="N196" s="24" t="inlineStr">
        <is>
          <t>2026-09-30</t>
        </is>
      </c>
      <c r="O196" s="2" t="n"/>
      <c r="P196" s="2" t="n"/>
      <c r="Q196" s="2" t="n"/>
      <c r="R196" s="2" t="n"/>
      <c r="S196" s="2" t="n"/>
      <c r="T196" s="2" t="n"/>
      <c r="U196" s="2" t="n"/>
      <c r="V196" s="2" t="n"/>
      <c r="W196" s="2" t="n"/>
      <c r="X196" s="2" t="n"/>
      <c r="Y196" s="2" t="n"/>
      <c r="Z196" s="2" t="n"/>
      <c r="AA196" s="2" t="n"/>
      <c r="AB196" s="2" t="n"/>
      <c r="AC196" s="2" t="n"/>
    </row>
    <row r="197" ht="36" customHeight="1">
      <c r="A197" s="2" t="n"/>
      <c r="B197" s="27" t="inlineStr">
        <is>
          <t>GN 1/1 PC lid, standard</t>
        </is>
      </c>
      <c r="C197" s="27" t="inlineStr">
        <is>
          <t>Gastroladen.at (Harotec GmbH)</t>
        </is>
      </c>
      <c r="D197" s="27" t="inlineStr">
        <is>
          <t>Cambro Polycarbonat Deckel GN 1/1 mit Griff</t>
        </is>
      </c>
      <c r="E197" s="27" t="inlineStr">
        <is>
          <t>Cambro</t>
        </is>
      </c>
      <c r="F197" s="28" t="inlineStr">
        <is>
          <t>https://www.gastroladen.at/3020@GN-DM742/Cambro-Polycarbonat-Deckel-GN-1-1-mit-Griff.htm</t>
        </is>
      </c>
      <c r="G197" s="121" t="n">
        <v>14.69</v>
      </c>
      <c r="H197" s="27" t="inlineStr">
        <is>
          <t>incl.</t>
        </is>
      </c>
      <c r="I197" s="117" t="n">
        <v>1</v>
      </c>
      <c r="J197" s="27" t="n"/>
      <c r="K197" s="121" t="n">
        <v>12.24</v>
      </c>
      <c r="L197" s="27" t="inlineStr">
        <is>
          <t>EXACT</t>
        </is>
      </c>
      <c r="M197" s="27" t="inlineStr">
        <is>
          <t>Flat PC lid with handle</t>
        </is>
      </c>
      <c r="N197" s="27" t="inlineStr">
        <is>
          <t>2026-09-30</t>
        </is>
      </c>
      <c r="O197" s="2" t="n"/>
      <c r="P197" s="2" t="n"/>
      <c r="Q197" s="2" t="n"/>
      <c r="R197" s="2" t="n"/>
      <c r="S197" s="2" t="n"/>
      <c r="T197" s="2" t="n"/>
      <c r="U197" s="2" t="n"/>
      <c r="V197" s="2" t="n"/>
      <c r="W197" s="2" t="n"/>
      <c r="X197" s="2" t="n"/>
      <c r="Y197" s="2" t="n"/>
      <c r="Z197" s="2" t="n"/>
      <c r="AA197" s="2" t="n"/>
      <c r="AB197" s="2" t="n"/>
      <c r="AC197" s="2" t="n"/>
    </row>
    <row r="198" ht="36" customHeight="1">
      <c r="A198" s="2" t="n"/>
      <c r="B198" s="24" t="inlineStr">
        <is>
          <t>GN 1/1 PC lid, standard</t>
        </is>
      </c>
      <c r="C198" s="24" t="inlineStr">
        <is>
          <t>Intergastro (AT shop)</t>
        </is>
      </c>
      <c r="D198" s="24" t="inlineStr">
        <is>
          <t>GN Deckel GN 1/1 Polycarbonat transparent</t>
        </is>
      </c>
      <c r="E198" s="24" t="inlineStr">
        <is>
          <t>WAS Germany</t>
        </is>
      </c>
      <c r="F198" s="25" t="inlineStr">
        <is>
          <t>https://www.intergastro.at/gn-deckel-gn-1-1-polycarbonat-transparent-252033</t>
        </is>
      </c>
      <c r="G198" s="120" t="n">
        <v>9.23</v>
      </c>
      <c r="H198" s="24" t="inlineStr">
        <is>
          <t>excl.</t>
        </is>
      </c>
      <c r="I198" s="116" t="n">
        <v>1</v>
      </c>
      <c r="J198" s="24" t="n"/>
      <c r="K198" s="120" t="n">
        <v>9.23</v>
      </c>
      <c r="L198" s="24" t="inlineStr">
        <is>
          <t>EXACT</t>
        </is>
      </c>
      <c r="M198" s="24" t="n"/>
      <c r="N198" s="24" t="inlineStr">
        <is>
          <t>2026-09-30</t>
        </is>
      </c>
      <c r="O198" s="2" t="n"/>
      <c r="P198" s="2" t="n"/>
      <c r="Q198" s="2" t="n"/>
      <c r="R198" s="2" t="n"/>
      <c r="S198" s="2" t="n"/>
      <c r="T198" s="2" t="n"/>
      <c r="U198" s="2" t="n"/>
      <c r="V198" s="2" t="n"/>
      <c r="W198" s="2" t="n"/>
      <c r="X198" s="2" t="n"/>
      <c r="Y198" s="2" t="n"/>
      <c r="Z198" s="2" t="n"/>
      <c r="AA198" s="2" t="n"/>
      <c r="AB198" s="2" t="n"/>
      <c r="AC198" s="2" t="n"/>
    </row>
    <row r="199" ht="36" customHeight="1">
      <c r="A199" s="2" t="n"/>
      <c r="B199" s="27" t="inlineStr">
        <is>
          <t>GN 1/1 PC lid, standard</t>
        </is>
      </c>
      <c r="C199" s="27" t="inlineStr">
        <is>
          <t>shopbuero.com</t>
        </is>
      </c>
      <c r="D199" s="27" t="inlineStr">
        <is>
          <t>GN-Deckel - aufliegend - GN 1/1 (530 x 325 mm) - Polycarbonat</t>
        </is>
      </c>
      <c r="E199" s="27" t="inlineStr">
        <is>
          <t>Schneider</t>
        </is>
      </c>
      <c r="F199" s="28" t="inlineStr">
        <is>
          <t>https://shopbuero.com/gn-deckel-aufliegend-gn-1-1-530-x-325-mm-polycarbonat/530105-C</t>
        </is>
      </c>
      <c r="G199" s="121" t="n">
        <v>10</v>
      </c>
      <c r="H199" s="27" t="inlineStr">
        <is>
          <t>excl.</t>
        </is>
      </c>
      <c r="I199" s="117" t="n">
        <v>1</v>
      </c>
      <c r="J199" s="27" t="n"/>
      <c r="K199" s="121" t="n">
        <v>10</v>
      </c>
      <c r="L199" s="27" t="inlineStr">
        <is>
          <t>EXACT</t>
        </is>
      </c>
      <c r="M199" s="27" t="inlineStr">
        <is>
          <t>Regular price 16.55</t>
        </is>
      </c>
      <c r="N199" s="27" t="inlineStr">
        <is>
          <t>2026-09-30</t>
        </is>
      </c>
      <c r="O199" s="2" t="n"/>
      <c r="P199" s="2" t="n"/>
      <c r="Q199" s="2" t="n"/>
      <c r="R199" s="2" t="n"/>
      <c r="S199" s="2" t="n"/>
      <c r="T199" s="2" t="n"/>
      <c r="U199" s="2" t="n"/>
      <c r="V199" s="2" t="n"/>
      <c r="W199" s="2" t="n"/>
      <c r="X199" s="2" t="n"/>
      <c r="Y199" s="2" t="n"/>
      <c r="Z199" s="2" t="n"/>
      <c r="AA199" s="2" t="n"/>
      <c r="AB199" s="2" t="n"/>
      <c r="AC199" s="2" t="n"/>
    </row>
    <row r="200" ht="36" customHeight="1">
      <c r="A200" s="2" t="n"/>
      <c r="B200" s="24" t="inlineStr">
        <is>
          <t>GN 1/6 container, PP, 100 mm</t>
        </is>
      </c>
      <c r="C200" s="24" t="inlineStr">
        <is>
          <t>GGM Gastro (Austrian storefront)</t>
        </is>
      </c>
      <c r="D200" s="24" t="inlineStr">
        <is>
          <t>(12 Stück) Polypropylen-Behälter GN 1/6 - Milchig - Höhe: 100mm</t>
        </is>
      </c>
      <c r="E200" s="24" t="inlineStr">
        <is>
          <t>GGM</t>
        </is>
      </c>
      <c r="F200" s="25" t="inlineStr">
        <is>
          <t>https://www.ggmgastro.com/de-at-eur/12-stueck-polypropylen-behaelter-gn-1-6-milchig-hoehe-100mm-gpp16100-12</t>
        </is>
      </c>
      <c r="G200" s="120" t="n">
        <v>43.99</v>
      </c>
      <c r="H200" s="24" t="inlineStr">
        <is>
          <t>excl.</t>
        </is>
      </c>
      <c r="I200" s="116" t="n">
        <v>12</v>
      </c>
      <c r="J200" s="24" t="inlineStr">
        <is>
          <t>set of 12</t>
        </is>
      </c>
      <c r="K200" s="120" t="n">
        <v>3.67</v>
      </c>
      <c r="L200" s="24" t="inlineStr">
        <is>
          <t>EXACT</t>
        </is>
      </c>
      <c r="M200" s="24" t="n"/>
      <c r="N200" s="24" t="inlineStr">
        <is>
          <t>2026-09-30</t>
        </is>
      </c>
      <c r="O200" s="2" t="n"/>
      <c r="P200" s="2" t="n"/>
      <c r="Q200" s="2" t="n"/>
      <c r="R200" s="2" t="n"/>
      <c r="S200" s="2" t="n"/>
      <c r="T200" s="2" t="n"/>
      <c r="U200" s="2" t="n"/>
      <c r="V200" s="2" t="n"/>
      <c r="W200" s="2" t="n"/>
      <c r="X200" s="2" t="n"/>
      <c r="Y200" s="2" t="n"/>
      <c r="Z200" s="2" t="n"/>
      <c r="AA200" s="2" t="n"/>
      <c r="AB200" s="2" t="n"/>
      <c r="AC200" s="2" t="n"/>
    </row>
    <row r="201" ht="36" customHeight="1">
      <c r="A201" s="2" t="n"/>
      <c r="B201" s="27" t="inlineStr">
        <is>
          <t>GN 1/6 container, PP, 100 mm</t>
        </is>
      </c>
      <c r="C201" s="27" t="inlineStr">
        <is>
          <t>Gastro Star</t>
        </is>
      </c>
      <c r="D201" s="27" t="inlineStr">
        <is>
          <t>Polypropylen Behälter GN 1/6 – 176x162x100mm</t>
        </is>
      </c>
      <c r="E201" s="27" t="inlineStr">
        <is>
          <t>Hendi</t>
        </is>
      </c>
      <c r="F201" s="28" t="inlineStr">
        <is>
          <t>https://www.gastro-star.at/produkt/polypropylenbehaeltergn16-176x162x100mm/</t>
        </is>
      </c>
      <c r="G201" s="121" t="n">
        <v>2.95</v>
      </c>
      <c r="H201" s="27" t="inlineStr">
        <is>
          <t>excl.</t>
        </is>
      </c>
      <c r="I201" s="117" t="n">
        <v>1</v>
      </c>
      <c r="J201" s="27" t="n"/>
      <c r="K201" s="121" t="n">
        <v>2.95</v>
      </c>
      <c r="L201" s="27" t="inlineStr">
        <is>
          <t>EXACT</t>
        </is>
      </c>
      <c r="M201" s="27" t="n"/>
      <c r="N201" s="27" t="inlineStr">
        <is>
          <t>2026-09-30</t>
        </is>
      </c>
      <c r="O201" s="2" t="n"/>
      <c r="P201" s="2" t="n"/>
      <c r="Q201" s="2" t="n"/>
      <c r="R201" s="2" t="n"/>
      <c r="S201" s="2" t="n"/>
      <c r="T201" s="2" t="n"/>
      <c r="U201" s="2" t="n"/>
      <c r="V201" s="2" t="n"/>
      <c r="W201" s="2" t="n"/>
      <c r="X201" s="2" t="n"/>
      <c r="Y201" s="2" t="n"/>
      <c r="Z201" s="2" t="n"/>
      <c r="AA201" s="2" t="n"/>
      <c r="AB201" s="2" t="n"/>
      <c r="AC201" s="2" t="n"/>
    </row>
    <row r="202" ht="36" customHeight="1">
      <c r="A202" s="2" t="n"/>
      <c r="B202" s="24" t="inlineStr">
        <is>
          <t>GN 1/6 container, PP, 100 mm</t>
        </is>
      </c>
      <c r="C202" s="24" t="inlineStr">
        <is>
          <t>GastroHero Österreich</t>
        </is>
      </c>
      <c r="D202" s="24" t="inlineStr">
        <is>
          <t>Schneider PP GN 1/6 Behälter 100 mm, 1,6 l</t>
        </is>
      </c>
      <c r="E202" s="24" t="inlineStr">
        <is>
          <t>Schneider</t>
        </is>
      </c>
      <c r="F202" s="25" t="inlineStr">
        <is>
          <t>https://www.gastro-hero.at/products/schneider-pp-gn-16-behaelter-100-mm-16-l-530041</t>
        </is>
      </c>
      <c r="G202" s="120" t="n">
        <v>6.19</v>
      </c>
      <c r="H202" s="24" t="inlineStr">
        <is>
          <t>excl.</t>
        </is>
      </c>
      <c r="I202" s="116" t="n">
        <v>1</v>
      </c>
      <c r="J202" s="24" t="n"/>
      <c r="K202" s="120" t="n">
        <v>6.19</v>
      </c>
      <c r="L202" s="24" t="inlineStr">
        <is>
          <t>EXACT</t>
        </is>
      </c>
      <c r="M202" s="24" t="inlineStr">
        <is>
          <t>Min. qty 8</t>
        </is>
      </c>
      <c r="N202" s="24" t="inlineStr">
        <is>
          <t>2026-09-30</t>
        </is>
      </c>
      <c r="O202" s="2" t="n"/>
      <c r="P202" s="2" t="n"/>
      <c r="Q202" s="2" t="n"/>
      <c r="R202" s="2" t="n"/>
      <c r="S202" s="2" t="n"/>
      <c r="T202" s="2" t="n"/>
      <c r="U202" s="2" t="n"/>
      <c r="V202" s="2" t="n"/>
      <c r="W202" s="2" t="n"/>
      <c r="X202" s="2" t="n"/>
      <c r="Y202" s="2" t="n"/>
      <c r="Z202" s="2" t="n"/>
      <c r="AA202" s="2" t="n"/>
      <c r="AB202" s="2" t="n"/>
      <c r="AC202" s="2" t="n"/>
    </row>
    <row r="203" ht="50" customHeight="1">
      <c r="A203" s="2" t="n"/>
      <c r="B203" s="27" t="inlineStr">
        <is>
          <t>GN 1/6 container, PP, 100 mm</t>
        </is>
      </c>
      <c r="C203" s="27" t="inlineStr">
        <is>
          <t>Gastrodax</t>
        </is>
      </c>
      <c r="D203" s="27" t="inlineStr">
        <is>
          <t>Hendi Gastronorm-Behälter 1/6, 1,6L, Transparent, 176x162x(H)100mm (HACCP-Aufbewahrungsbehälter)</t>
        </is>
      </c>
      <c r="E203" s="27" t="inlineStr">
        <is>
          <t>Hendi</t>
        </is>
      </c>
      <c r="F203" s="28" t="inlineStr">
        <is>
          <t>https://www.gastrodax.de/hendi-haccp-aufbewahrungsbehaelter-gn-1-6-1-6-l-transparent-176-x-162-x-h-100-mm</t>
        </is>
      </c>
      <c r="G203" s="121" t="n">
        <v>12.16</v>
      </c>
      <c r="H203" s="27" t="inlineStr">
        <is>
          <t>excl.</t>
        </is>
      </c>
      <c r="I203" s="117" t="n">
        <v>1</v>
      </c>
      <c r="J203" s="27" t="n"/>
      <c r="K203" s="121" t="n">
        <v>12.16</v>
      </c>
      <c r="L203" s="27" t="inlineStr">
        <is>
          <t>EXACT</t>
        </is>
      </c>
      <c r="M203" s="27" t="inlineStr">
        <is>
          <t>Hendi HACCP storage line, which is PP (the GN 1/3 sibling is labelled Polypropylen); this page does not state the material</t>
        </is>
      </c>
      <c r="N203" s="27" t="inlineStr">
        <is>
          <t>2026-09-30</t>
        </is>
      </c>
      <c r="O203" s="2" t="n"/>
      <c r="P203" s="2" t="n"/>
      <c r="Q203" s="2" t="n"/>
      <c r="R203" s="2" t="n"/>
      <c r="S203" s="2" t="n"/>
      <c r="T203" s="2" t="n"/>
      <c r="U203" s="2" t="n"/>
      <c r="V203" s="2" t="n"/>
      <c r="W203" s="2" t="n"/>
      <c r="X203" s="2" t="n"/>
      <c r="Y203" s="2" t="n"/>
      <c r="Z203" s="2" t="n"/>
      <c r="AA203" s="2" t="n"/>
      <c r="AB203" s="2" t="n"/>
      <c r="AC203" s="2" t="n"/>
    </row>
    <row r="204" ht="36" customHeight="1">
      <c r="A204" s="2" t="n"/>
      <c r="B204" s="24" t="inlineStr">
        <is>
          <t>GN 1/6 container, PP, 100 mm</t>
        </is>
      </c>
      <c r="C204" s="24" t="inlineStr">
        <is>
          <t>Gastroladen.at (Harotec GmbH)</t>
        </is>
      </c>
      <c r="D204" s="24" t="inlineStr">
        <is>
          <t>Cambro Polypropylen GN 1/6 Behälter 100mm</t>
        </is>
      </c>
      <c r="E204" s="24" t="inlineStr">
        <is>
          <t>Cambro</t>
        </is>
      </c>
      <c r="F204" s="25" t="inlineStr">
        <is>
          <t>https://www.gastroladen.at/3030@GN-DW508/Cambro-Polypropylen-GN-1-6-Beh%C3%A4lter-100mm.htm</t>
        </is>
      </c>
      <c r="G204" s="120" t="n">
        <v>4.29</v>
      </c>
      <c r="H204" s="24" t="inlineStr">
        <is>
          <t>incl.</t>
        </is>
      </c>
      <c r="I204" s="116" t="n">
        <v>1</v>
      </c>
      <c r="J204" s="24" t="n"/>
      <c r="K204" s="120" t="n">
        <v>3.58</v>
      </c>
      <c r="L204" s="24" t="inlineStr">
        <is>
          <t>EXACT</t>
        </is>
      </c>
      <c r="M204" s="24" t="inlineStr">
        <is>
          <t>1.5 l</t>
        </is>
      </c>
      <c r="N204" s="24" t="inlineStr">
        <is>
          <t>2026-09-30</t>
        </is>
      </c>
      <c r="O204" s="2" t="n"/>
      <c r="P204" s="2" t="n"/>
      <c r="Q204" s="2" t="n"/>
      <c r="R204" s="2" t="n"/>
      <c r="S204" s="2" t="n"/>
      <c r="T204" s="2" t="n"/>
      <c r="U204" s="2" t="n"/>
      <c r="V204" s="2" t="n"/>
      <c r="W204" s="2" t="n"/>
      <c r="X204" s="2" t="n"/>
      <c r="Y204" s="2" t="n"/>
      <c r="Z204" s="2" t="n"/>
      <c r="AA204" s="2" t="n"/>
      <c r="AB204" s="2" t="n"/>
      <c r="AC204" s="2" t="n"/>
    </row>
    <row r="205" ht="36" customHeight="1">
      <c r="A205" s="2" t="n"/>
      <c r="B205" s="27" t="inlineStr">
        <is>
          <t>GN 1/6 container, PP, 100 mm</t>
        </is>
      </c>
      <c r="C205" s="27" t="inlineStr">
        <is>
          <t>Intergastro (AT shop)</t>
        </is>
      </c>
      <c r="D205" s="27" t="inlineStr">
        <is>
          <t>Gastronorm-Schale GN 1/6 x 100 mm Kunststoff transparent (Cambro PP)</t>
        </is>
      </c>
      <c r="E205" s="27" t="inlineStr">
        <is>
          <t>Cambro</t>
        </is>
      </c>
      <c r="F205" s="28" t="inlineStr">
        <is>
          <t>https://www.intergastro.at/gastronorm-schale-gn-1-6-x-100-mm-kunststoff-transparent-252808</t>
        </is>
      </c>
      <c r="G205" s="121" t="n">
        <v>3.13</v>
      </c>
      <c r="H205" s="27" t="inlineStr">
        <is>
          <t>excl.</t>
        </is>
      </c>
      <c r="I205" s="117" t="n">
        <v>1</v>
      </c>
      <c r="J205" s="27" t="n"/>
      <c r="K205" s="121" t="n">
        <v>3.13</v>
      </c>
      <c r="L205" s="27" t="inlineStr">
        <is>
          <t>EXACT</t>
        </is>
      </c>
      <c r="M205" s="27" t="inlineStr">
        <is>
          <t>Price per piece but sold in VPE of 6; APS GN 1/6 x 100 mm 'Kunststoff' 2.86</t>
        </is>
      </c>
      <c r="N205" s="27" t="inlineStr">
        <is>
          <t>2026-09-30</t>
        </is>
      </c>
      <c r="O205" s="2" t="n"/>
      <c r="P205" s="2" t="n"/>
      <c r="Q205" s="2" t="n"/>
      <c r="R205" s="2" t="n"/>
      <c r="S205" s="2" t="n"/>
      <c r="T205" s="2" t="n"/>
      <c r="U205" s="2" t="n"/>
      <c r="V205" s="2" t="n"/>
      <c r="W205" s="2" t="n"/>
      <c r="X205" s="2" t="n"/>
      <c r="Y205" s="2" t="n"/>
      <c r="Z205" s="2" t="n"/>
      <c r="AA205" s="2" t="n"/>
      <c r="AB205" s="2" t="n"/>
      <c r="AC205" s="2" t="n"/>
    </row>
    <row r="206" ht="36" customHeight="1">
      <c r="A206" s="2" t="n"/>
      <c r="B206" s="24" t="inlineStr">
        <is>
          <t>GN 1/6 container, PP, 100 mm</t>
        </is>
      </c>
      <c r="C206" s="24" t="inlineStr">
        <is>
          <t>Jungheinrich PROFISHOP Austria</t>
        </is>
      </c>
      <c r="D206" s="24" t="inlineStr">
        <is>
          <t>Stalgast Gastronormbehälter, Polypropylen, GN 1/6 (100 mm)</t>
        </is>
      </c>
      <c r="E206" s="24" t="inlineStr">
        <is>
          <t>Stalgast</t>
        </is>
      </c>
      <c r="F206" s="25" t="inlineStr">
        <is>
          <t>https://www.jh-profishop.at/p/stalgast-gastronormbehaelter-polypropylen-gn-1-6-100-mm-928365-347888/</t>
        </is>
      </c>
      <c r="G206" s="120" t="n">
        <v>13.2</v>
      </c>
      <c r="H206" s="24" t="inlineStr">
        <is>
          <t>excl.</t>
        </is>
      </c>
      <c r="I206" s="116" t="n">
        <v>1</v>
      </c>
      <c r="J206" s="24" t="n"/>
      <c r="K206" s="120" t="n">
        <v>13.2</v>
      </c>
      <c r="L206" s="24" t="inlineStr">
        <is>
          <t>EXACT</t>
        </is>
      </c>
      <c r="M206" s="24" t="n"/>
      <c r="N206" s="24" t="inlineStr">
        <is>
          <t>2026-09-30</t>
        </is>
      </c>
      <c r="O206" s="2" t="n"/>
      <c r="P206" s="2" t="n"/>
      <c r="Q206" s="2" t="n"/>
      <c r="R206" s="2" t="n"/>
      <c r="S206" s="2" t="n"/>
      <c r="T206" s="2" t="n"/>
      <c r="U206" s="2" t="n"/>
      <c r="V206" s="2" t="n"/>
      <c r="W206" s="2" t="n"/>
      <c r="X206" s="2" t="n"/>
      <c r="Y206" s="2" t="n"/>
      <c r="Z206" s="2" t="n"/>
      <c r="AA206" s="2" t="n"/>
      <c r="AB206" s="2" t="n"/>
      <c r="AC206" s="2" t="n"/>
    </row>
    <row r="207" ht="36" customHeight="1">
      <c r="A207" s="2" t="n"/>
      <c r="B207" s="27" t="inlineStr">
        <is>
          <t>GN 1/6 container, PP, 100 mm</t>
        </is>
      </c>
      <c r="C207" s="27" t="inlineStr">
        <is>
          <t>shopbuero.com</t>
        </is>
      </c>
      <c r="D207" s="27" t="inlineStr">
        <is>
          <t>GN-Behälter - Inhalt 1,6 l - GN 1/6 (176 x 162 mm) - 100 mm - Polypropylen</t>
        </is>
      </c>
      <c r="E207" s="27" t="inlineStr">
        <is>
          <t>Schneider</t>
        </is>
      </c>
      <c r="F207" s="28" t="inlineStr">
        <is>
          <t>https://shopbuero.com/gn-behaelter-inhalt-1-6-l-gn-1-6-176-x-162-mm-100-mm-polypropylen/530041-C</t>
        </is>
      </c>
      <c r="G207" s="121" t="n">
        <v>2.8</v>
      </c>
      <c r="H207" s="27" t="inlineStr">
        <is>
          <t>excl.</t>
        </is>
      </c>
      <c r="I207" s="117" t="n">
        <v>1</v>
      </c>
      <c r="J207" s="27" t="n"/>
      <c r="K207" s="121" t="n">
        <v>2.8</v>
      </c>
      <c r="L207" s="27" t="inlineStr">
        <is>
          <t>EXACT</t>
        </is>
      </c>
      <c r="M207" s="27" t="inlineStr">
        <is>
          <t>Regular price 4.25</t>
        </is>
      </c>
      <c r="N207" s="27" t="inlineStr">
        <is>
          <t>2026-09-30</t>
        </is>
      </c>
      <c r="O207" s="2" t="n"/>
      <c r="P207" s="2" t="n"/>
      <c r="Q207" s="2" t="n"/>
      <c r="R207" s="2" t="n"/>
      <c r="S207" s="2" t="n"/>
      <c r="T207" s="2" t="n"/>
      <c r="U207" s="2" t="n"/>
      <c r="V207" s="2" t="n"/>
      <c r="W207" s="2" t="n"/>
      <c r="X207" s="2" t="n"/>
      <c r="Y207" s="2" t="n"/>
      <c r="Z207" s="2" t="n"/>
      <c r="AA207" s="2" t="n"/>
      <c r="AB207" s="2" t="n"/>
      <c r="AC207" s="2" t="n"/>
    </row>
    <row r="208" ht="36" customHeight="1">
      <c r="A208" s="2" t="n"/>
      <c r="B208" s="24" t="inlineStr">
        <is>
          <t>GN 1/9 container, PP, 100 mm</t>
        </is>
      </c>
      <c r="C208" s="24" t="inlineStr">
        <is>
          <t>GGM Gastro (Austrian storefront)</t>
        </is>
      </c>
      <c r="D208" s="24" t="inlineStr">
        <is>
          <t>(12 Stück) Polypropylen-Behälter GN 1/9 - Milchig - Höhe: 100mm</t>
        </is>
      </c>
      <c r="E208" s="24" t="inlineStr">
        <is>
          <t>GGM</t>
        </is>
      </c>
      <c r="F208" s="25" t="inlineStr">
        <is>
          <t>https://www.ggmgastro.com/de-at-eur/12-stueck-polypropylen-behaelter-gn-1-9-milchig-hoehe-100mm-gpp19100-12</t>
        </is>
      </c>
      <c r="G208" s="120" t="n">
        <v>41.99</v>
      </c>
      <c r="H208" s="24" t="inlineStr">
        <is>
          <t>excl.</t>
        </is>
      </c>
      <c r="I208" s="116" t="n">
        <v>12</v>
      </c>
      <c r="J208" s="24" t="inlineStr">
        <is>
          <t>set of 12</t>
        </is>
      </c>
      <c r="K208" s="120" t="n">
        <v>3.5</v>
      </c>
      <c r="L208" s="24" t="inlineStr">
        <is>
          <t>EXACT</t>
        </is>
      </c>
      <c r="M208" s="24" t="n"/>
      <c r="N208" s="24" t="inlineStr">
        <is>
          <t>2026-09-30</t>
        </is>
      </c>
      <c r="O208" s="2" t="n"/>
      <c r="P208" s="2" t="n"/>
      <c r="Q208" s="2" t="n"/>
      <c r="R208" s="2" t="n"/>
      <c r="S208" s="2" t="n"/>
      <c r="T208" s="2" t="n"/>
      <c r="U208" s="2" t="n"/>
      <c r="V208" s="2" t="n"/>
      <c r="W208" s="2" t="n"/>
      <c r="X208" s="2" t="n"/>
      <c r="Y208" s="2" t="n"/>
      <c r="Z208" s="2" t="n"/>
      <c r="AA208" s="2" t="n"/>
      <c r="AB208" s="2" t="n"/>
      <c r="AC208" s="2" t="n"/>
    </row>
    <row r="209" ht="36" customHeight="1">
      <c r="A209" s="2" t="n"/>
      <c r="B209" s="27" t="inlineStr">
        <is>
          <t>GN 1/9 container, PP, 100 mm</t>
        </is>
      </c>
      <c r="C209" s="27" t="inlineStr">
        <is>
          <t>Gastro Star</t>
        </is>
      </c>
      <c r="D209" s="27" t="inlineStr">
        <is>
          <t>Polypropylen Behälter GN 1/9 – 176x108x100mm</t>
        </is>
      </c>
      <c r="E209" s="27" t="inlineStr">
        <is>
          <t>Hendi</t>
        </is>
      </c>
      <c r="F209" s="28" t="inlineStr">
        <is>
          <t>https://www.gastro-star.at/produkt/polypropylenbehaeltergn19-176x108x100mm/</t>
        </is>
      </c>
      <c r="G209" s="121" t="n">
        <v>2.3</v>
      </c>
      <c r="H209" s="27" t="inlineStr">
        <is>
          <t>excl.</t>
        </is>
      </c>
      <c r="I209" s="117" t="n">
        <v>1</v>
      </c>
      <c r="J209" s="27" t="n"/>
      <c r="K209" s="121" t="n">
        <v>2.3</v>
      </c>
      <c r="L209" s="27" t="inlineStr">
        <is>
          <t>EXACT</t>
        </is>
      </c>
      <c r="M209" s="27" t="n"/>
      <c r="N209" s="27" t="inlineStr">
        <is>
          <t>2026-09-30</t>
        </is>
      </c>
      <c r="O209" s="2" t="n"/>
      <c r="P209" s="2" t="n"/>
      <c r="Q209" s="2" t="n"/>
      <c r="R209" s="2" t="n"/>
      <c r="S209" s="2" t="n"/>
      <c r="T209" s="2" t="n"/>
      <c r="U209" s="2" t="n"/>
      <c r="V209" s="2" t="n"/>
      <c r="W209" s="2" t="n"/>
      <c r="X209" s="2" t="n"/>
      <c r="Y209" s="2" t="n"/>
      <c r="Z209" s="2" t="n"/>
      <c r="AA209" s="2" t="n"/>
      <c r="AB209" s="2" t="n"/>
      <c r="AC209" s="2" t="n"/>
    </row>
    <row r="210" ht="36" customHeight="1">
      <c r="A210" s="2" t="n"/>
      <c r="B210" s="24" t="inlineStr">
        <is>
          <t>GN 1/9 container, PP, 100 mm</t>
        </is>
      </c>
      <c r="C210" s="24" t="inlineStr">
        <is>
          <t>GastroHero Österreich</t>
        </is>
      </c>
      <c r="D210" s="24" t="inlineStr">
        <is>
          <t>Hendi GN-Behälter mit Deckel und HACCP-Clips, GN 1/9, 100 mm, 1 L, PP</t>
        </is>
      </c>
      <c r="E210" s="24" t="inlineStr">
        <is>
          <t>Hendi</t>
        </is>
      </c>
      <c r="F210" s="25" t="inlineStr">
        <is>
          <t>https://www.gastro-hero.at/products/hendi-gn-behaelter-mit-deckel-und-haccp-clips-gn-19-100-mm-1-l-pp-873137</t>
        </is>
      </c>
      <c r="G210" s="120" t="n">
        <v>5.59</v>
      </c>
      <c r="H210" s="24" t="inlineStr">
        <is>
          <t>excl.</t>
        </is>
      </c>
      <c r="I210" s="116" t="n">
        <v>1</v>
      </c>
      <c r="J210" s="24" t="n"/>
      <c r="K210" s="120" t="n">
        <v>5.59</v>
      </c>
      <c r="L210" s="24" t="inlineStr">
        <is>
          <t>CLOSE</t>
        </is>
      </c>
      <c r="M210" s="24" t="inlineStr">
        <is>
          <t>Includes lid and HACCP clips</t>
        </is>
      </c>
      <c r="N210" s="24" t="inlineStr">
        <is>
          <t>2026-09-30</t>
        </is>
      </c>
      <c r="O210" s="2" t="n"/>
      <c r="P210" s="2" t="n"/>
      <c r="Q210" s="2" t="n"/>
      <c r="R210" s="2" t="n"/>
      <c r="S210" s="2" t="n"/>
      <c r="T210" s="2" t="n"/>
      <c r="U210" s="2" t="n"/>
      <c r="V210" s="2" t="n"/>
      <c r="W210" s="2" t="n"/>
      <c r="X210" s="2" t="n"/>
      <c r="Y210" s="2" t="n"/>
      <c r="Z210" s="2" t="n"/>
      <c r="AA210" s="2" t="n"/>
      <c r="AB210" s="2" t="n"/>
      <c r="AC210" s="2" t="n"/>
    </row>
    <row r="211" ht="50" customHeight="1">
      <c r="A211" s="2" t="n"/>
      <c r="B211" s="27" t="inlineStr">
        <is>
          <t>GN 1/9 container, PP, 100 mm</t>
        </is>
      </c>
      <c r="C211" s="27" t="inlineStr">
        <is>
          <t>Gastrodax</t>
        </is>
      </c>
      <c r="D211" s="27" t="inlineStr">
        <is>
          <t>Hendi Gastronorm-Behälter 1/9, 0,9L, Transparent, 176x108x(H)100mm (HACCP-Aufbewahrungsbehälter)</t>
        </is>
      </c>
      <c r="E211" s="27" t="inlineStr">
        <is>
          <t>Hendi</t>
        </is>
      </c>
      <c r="F211" s="28" t="inlineStr">
        <is>
          <t>https://www.gastrodax.de/hendi-haccp-aufbewahrungsbehaelter-gn-1-9-1-l-transparent-176-x-108-x-h-100-mm</t>
        </is>
      </c>
      <c r="G211" s="121" t="n">
        <v>14.64</v>
      </c>
      <c r="H211" s="27" t="inlineStr">
        <is>
          <t>excl.</t>
        </is>
      </c>
      <c r="I211" s="117" t="n">
        <v>1</v>
      </c>
      <c r="J211" s="27" t="n"/>
      <c r="K211" s="121" t="n">
        <v>14.64</v>
      </c>
      <c r="L211" s="27" t="inlineStr">
        <is>
          <t>EXACT</t>
        </is>
      </c>
      <c r="M211" s="27" t="inlineStr">
        <is>
          <t>Hendi HACCP storage line (PP); material not stated on this page</t>
        </is>
      </c>
      <c r="N211" s="27" t="inlineStr">
        <is>
          <t>2026-09-30</t>
        </is>
      </c>
      <c r="O211" s="2" t="n"/>
      <c r="P211" s="2" t="n"/>
      <c r="Q211" s="2" t="n"/>
      <c r="R211" s="2" t="n"/>
      <c r="S211" s="2" t="n"/>
      <c r="T211" s="2" t="n"/>
      <c r="U211" s="2" t="n"/>
      <c r="V211" s="2" t="n"/>
      <c r="W211" s="2" t="n"/>
      <c r="X211" s="2" t="n"/>
      <c r="Y211" s="2" t="n"/>
      <c r="Z211" s="2" t="n"/>
      <c r="AA211" s="2" t="n"/>
      <c r="AB211" s="2" t="n"/>
      <c r="AC211" s="2" t="n"/>
    </row>
    <row r="212" ht="36" customHeight="1">
      <c r="A212" s="2" t="n"/>
      <c r="B212" s="24" t="inlineStr">
        <is>
          <t>GN 1/9 container, PP, 100 mm</t>
        </is>
      </c>
      <c r="C212" s="24" t="inlineStr">
        <is>
          <t>Intergastro (AT shop)</t>
        </is>
      </c>
      <c r="D212" s="24" t="inlineStr">
        <is>
          <t>Gastronorm-Schale GN 1/9 x 100 mm Kunststoff transparent (Cambro PP)</t>
        </is>
      </c>
      <c r="E212" s="24" t="inlineStr">
        <is>
          <t>Cambro</t>
        </is>
      </c>
      <c r="F212" s="25" t="inlineStr">
        <is>
          <t>https://www.intergastro.at/gastronorm-schale-gn-1-9-x-100-mm-kunststoff-transparent-252816</t>
        </is>
      </c>
      <c r="G212" s="120" t="n">
        <v>3.58</v>
      </c>
      <c r="H212" s="24" t="inlineStr">
        <is>
          <t>excl.</t>
        </is>
      </c>
      <c r="I212" s="116" t="n">
        <v>1</v>
      </c>
      <c r="J212" s="24" t="n"/>
      <c r="K212" s="120" t="n">
        <v>3.58</v>
      </c>
      <c r="L212" s="24" t="inlineStr">
        <is>
          <t>EXACT</t>
        </is>
      </c>
      <c r="M212" s="24" t="inlineStr">
        <is>
          <t>Price per piece, sold in VPE of 6</t>
        </is>
      </c>
      <c r="N212" s="24" t="inlineStr">
        <is>
          <t>2026-09-30</t>
        </is>
      </c>
      <c r="O212" s="2" t="n"/>
      <c r="P212" s="2" t="n"/>
      <c r="Q212" s="2" t="n"/>
      <c r="R212" s="2" t="n"/>
      <c r="S212" s="2" t="n"/>
      <c r="T212" s="2" t="n"/>
      <c r="U212" s="2" t="n"/>
      <c r="V212" s="2" t="n"/>
      <c r="W212" s="2" t="n"/>
      <c r="X212" s="2" t="n"/>
      <c r="Y212" s="2" t="n"/>
      <c r="Z212" s="2" t="n"/>
      <c r="AA212" s="2" t="n"/>
      <c r="AB212" s="2" t="n"/>
      <c r="AC212" s="2" t="n"/>
    </row>
    <row r="213" ht="50" customHeight="1">
      <c r="A213" s="2" t="n"/>
      <c r="B213" s="27" t="inlineStr">
        <is>
          <t>GN 1/9 container, PP, 100 mm</t>
        </is>
      </c>
      <c r="C213" s="27" t="inlineStr">
        <is>
          <t>Jungheinrich PROFISHOP Austria</t>
        </is>
      </c>
      <c r="D213" s="27" t="inlineStr">
        <is>
          <t>Stalgast ARAVEN Gastronormbehälter mit Deckel, Polypropylen, GN 1/9 (100 mm)</t>
        </is>
      </c>
      <c r="E213" s="27" t="inlineStr">
        <is>
          <t>Stalgast / Araven</t>
        </is>
      </c>
      <c r="F213" s="28" t="inlineStr">
        <is>
          <t>https://www.jh-profishop.at/p/stalgast-araven-gastronormbehaelter-mit-deckel-polypropylen-gn-1-9-100-mm-928375-347898/</t>
        </is>
      </c>
      <c r="G213" s="121" t="n">
        <v>17.5</v>
      </c>
      <c r="H213" s="27" t="inlineStr">
        <is>
          <t>excl.</t>
        </is>
      </c>
      <c r="I213" s="117" t="n">
        <v>1</v>
      </c>
      <c r="J213" s="27" t="n"/>
      <c r="K213" s="121" t="n">
        <v>17.5</v>
      </c>
      <c r="L213" s="27" t="inlineStr">
        <is>
          <t>CLOSE</t>
        </is>
      </c>
      <c r="M213" s="27" t="inlineStr">
        <is>
          <t>Includes lid</t>
        </is>
      </c>
      <c r="N213" s="27" t="inlineStr">
        <is>
          <t>2026-09-30</t>
        </is>
      </c>
      <c r="O213" s="2" t="n"/>
      <c r="P213" s="2" t="n"/>
      <c r="Q213" s="2" t="n"/>
      <c r="R213" s="2" t="n"/>
      <c r="S213" s="2" t="n"/>
      <c r="T213" s="2" t="n"/>
      <c r="U213" s="2" t="n"/>
      <c r="V213" s="2" t="n"/>
      <c r="W213" s="2" t="n"/>
      <c r="X213" s="2" t="n"/>
      <c r="Y213" s="2" t="n"/>
      <c r="Z213" s="2" t="n"/>
      <c r="AA213" s="2" t="n"/>
      <c r="AB213" s="2" t="n"/>
      <c r="AC213" s="2" t="n"/>
    </row>
    <row r="214" ht="36" customHeight="1">
      <c r="A214" s="2" t="n"/>
      <c r="B214" s="24" t="inlineStr">
        <is>
          <t>GN 1/9 container, PP, 100 mm</t>
        </is>
      </c>
      <c r="C214" s="24" t="inlineStr">
        <is>
          <t>shopbuero.com</t>
        </is>
      </c>
      <c r="D214" s="24" t="inlineStr">
        <is>
          <t>GN-Behälter - Inhalt 0,9 l - GN 1/9 (176 x 108 mm) - 100 mm - Polypropylen</t>
        </is>
      </c>
      <c r="E214" s="24" t="inlineStr">
        <is>
          <t>Schneider</t>
        </is>
      </c>
      <c r="F214" s="25" t="inlineStr">
        <is>
          <t>https://shopbuero.com/gn-behaelter-inhalt-0-9-l-gn-1-9-176-x-108-mm-100-mm-polypropylen/530051-C</t>
        </is>
      </c>
      <c r="G214" s="120" t="n">
        <v>2.1</v>
      </c>
      <c r="H214" s="24" t="inlineStr">
        <is>
          <t>excl.</t>
        </is>
      </c>
      <c r="I214" s="116" t="n">
        <v>1</v>
      </c>
      <c r="J214" s="24" t="n"/>
      <c r="K214" s="120" t="n">
        <v>2.1</v>
      </c>
      <c r="L214" s="24" t="inlineStr">
        <is>
          <t>EXACT</t>
        </is>
      </c>
      <c r="M214" s="24" t="inlineStr">
        <is>
          <t>Regular price 3.30</t>
        </is>
      </c>
      <c r="N214" s="24" t="inlineStr">
        <is>
          <t>2026-09-30</t>
        </is>
      </c>
      <c r="O214" s="2" t="n"/>
      <c r="P214" s="2" t="n"/>
      <c r="Q214" s="2" t="n"/>
      <c r="R214" s="2" t="n"/>
      <c r="S214" s="2" t="n"/>
      <c r="T214" s="2" t="n"/>
      <c r="U214" s="2" t="n"/>
      <c r="V214" s="2" t="n"/>
      <c r="W214" s="2" t="n"/>
      <c r="X214" s="2" t="n"/>
      <c r="Y214" s="2" t="n"/>
      <c r="Z214" s="2" t="n"/>
      <c r="AA214" s="2" t="n"/>
      <c r="AB214" s="2" t="n"/>
      <c r="AC214" s="2" t="n"/>
    </row>
    <row r="215" ht="36" customHeight="1">
      <c r="A215" s="2" t="n"/>
      <c r="B215" s="27" t="inlineStr">
        <is>
          <t>Squeeze bottle 250 ml, PP, single tip</t>
        </is>
      </c>
      <c r="C215" s="27" t="inlineStr">
        <is>
          <t>ALLPAX Österreich</t>
        </is>
      </c>
      <c r="D215" s="27" t="inlineStr">
        <is>
          <t>Hendi Quetschflasche in Transparent, 200 ml</t>
        </is>
      </c>
      <c r="E215" s="27" t="inlineStr">
        <is>
          <t>Hendi</t>
        </is>
      </c>
      <c r="F215" s="28" t="inlineStr">
        <is>
          <t>https://www.allpax.at/product_info.php/info/Hendi-Quetschflasche-in-Transparent-200-ml.html</t>
        </is>
      </c>
      <c r="G215" s="121" t="n">
        <v>1.27</v>
      </c>
      <c r="H215" s="27" t="inlineStr">
        <is>
          <t>excl.</t>
        </is>
      </c>
      <c r="I215" s="117" t="n">
        <v>1</v>
      </c>
      <c r="J215" s="27" t="n"/>
      <c r="K215" s="121" t="n">
        <v>1.27</v>
      </c>
      <c r="L215" s="27" t="inlineStr">
        <is>
          <t>CLOSE</t>
        </is>
      </c>
      <c r="M215" s="27" t="inlineStr">
        <is>
          <t>200 ml (vs 250); plastic type not stated; cap</t>
        </is>
      </c>
      <c r="N215" s="27" t="inlineStr">
        <is>
          <t>2026-09-30</t>
        </is>
      </c>
      <c r="O215" s="2" t="n"/>
      <c r="P215" s="2" t="n"/>
      <c r="Q215" s="2" t="n"/>
      <c r="R215" s="2" t="n"/>
      <c r="S215" s="2" t="n"/>
      <c r="T215" s="2" t="n"/>
      <c r="U215" s="2" t="n"/>
      <c r="V215" s="2" t="n"/>
      <c r="W215" s="2" t="n"/>
      <c r="X215" s="2" t="n"/>
      <c r="Y215" s="2" t="n"/>
      <c r="Z215" s="2" t="n"/>
      <c r="AA215" s="2" t="n"/>
      <c r="AB215" s="2" t="n"/>
      <c r="AC215" s="2" t="n"/>
    </row>
    <row r="216" ht="36" customHeight="1">
      <c r="A216" s="2" t="n"/>
      <c r="B216" s="24" t="inlineStr">
        <is>
          <t>Squeeze bottle 250 ml, PP, single tip</t>
        </is>
      </c>
      <c r="C216" s="24" t="inlineStr">
        <is>
          <t>GastroHero Österreich</t>
        </is>
      </c>
      <c r="D216" s="24" t="inlineStr">
        <is>
          <t>Dosierflasche, weiß, 250 ml, Schraubdeckel und Verschlusskappe</t>
        </is>
      </c>
      <c r="E216" s="24" t="inlineStr">
        <is>
          <t>Contacto</t>
        </is>
      </c>
      <c r="F216" s="25" t="inlineStr">
        <is>
          <t>https://www.gastro-hero.at/products/dosierflasche-weiss-250-ml-schraubdeckel-und-verschlusskappe-1460251</t>
        </is>
      </c>
      <c r="G216" s="120" t="n">
        <v>6.59</v>
      </c>
      <c r="H216" s="24" t="inlineStr">
        <is>
          <t>excl.</t>
        </is>
      </c>
      <c r="I216" s="116" t="n">
        <v>1</v>
      </c>
      <c r="J216" s="24" t="n"/>
      <c r="K216" s="120" t="n">
        <v>6.59</v>
      </c>
      <c r="L216" s="24" t="inlineStr">
        <is>
          <t>CLOSE</t>
        </is>
      </c>
      <c r="M216" s="24" t="inlineStr">
        <is>
          <t>Material not stated on page</t>
        </is>
      </c>
      <c r="N216" s="24" t="inlineStr">
        <is>
          <t>2026-09-30</t>
        </is>
      </c>
      <c r="O216" s="2" t="n"/>
      <c r="P216" s="2" t="n"/>
      <c r="Q216" s="2" t="n"/>
      <c r="R216" s="2" t="n"/>
      <c r="S216" s="2" t="n"/>
      <c r="T216" s="2" t="n"/>
      <c r="U216" s="2" t="n"/>
      <c r="V216" s="2" t="n"/>
      <c r="W216" s="2" t="n"/>
      <c r="X216" s="2" t="n"/>
      <c r="Y216" s="2" t="n"/>
      <c r="Z216" s="2" t="n"/>
      <c r="AA216" s="2" t="n"/>
      <c r="AB216" s="2" t="n"/>
      <c r="AC216" s="2" t="n"/>
    </row>
    <row r="217" ht="36" customHeight="1">
      <c r="A217" s="2" t="n"/>
      <c r="B217" s="27" t="inlineStr">
        <is>
          <t>Squeeze bottle 250 ml, PP, single tip</t>
        </is>
      </c>
      <c r="C217" s="27" t="inlineStr">
        <is>
          <t>Gastrodax</t>
        </is>
      </c>
      <c r="D217" s="27" t="inlineStr">
        <is>
          <t>Contacto Quetschflasche 0,25 l</t>
        </is>
      </c>
      <c r="E217" s="27" t="inlineStr">
        <is>
          <t>Contacto</t>
        </is>
      </c>
      <c r="F217" s="28" t="inlineStr">
        <is>
          <t>https://www.gastrodax.de/contacto-quetschflasche-0-25-l-1</t>
        </is>
      </c>
      <c r="G217" s="121" t="n">
        <v>0.84</v>
      </c>
      <c r="H217" s="27" t="inlineStr">
        <is>
          <t>excl.</t>
        </is>
      </c>
      <c r="I217" s="117" t="n">
        <v>1</v>
      </c>
      <c r="J217" s="27" t="n"/>
      <c r="K217" s="121" t="n">
        <v>0.84</v>
      </c>
      <c r="L217" s="27" t="inlineStr">
        <is>
          <t>CLOSE</t>
        </is>
      </c>
      <c r="M217" s="27" t="inlineStr">
        <is>
          <t>Polyethylene (not PP), screw cap with closure cap; sale price (normal 1.05)</t>
        </is>
      </c>
      <c r="N217" s="27" t="inlineStr">
        <is>
          <t>2026-09-30</t>
        </is>
      </c>
      <c r="O217" s="2" t="n"/>
      <c r="P217" s="2" t="n"/>
      <c r="Q217" s="2" t="n"/>
      <c r="R217" s="2" t="n"/>
      <c r="S217" s="2" t="n"/>
      <c r="T217" s="2" t="n"/>
      <c r="U217" s="2" t="n"/>
      <c r="V217" s="2" t="n"/>
      <c r="W217" s="2" t="n"/>
      <c r="X217" s="2" t="n"/>
      <c r="Y217" s="2" t="n"/>
      <c r="Z217" s="2" t="n"/>
      <c r="AA217" s="2" t="n"/>
      <c r="AB217" s="2" t="n"/>
      <c r="AC217" s="2" t="n"/>
    </row>
    <row r="218" ht="36" customHeight="1">
      <c r="A218" s="2" t="n"/>
      <c r="B218" s="24" t="inlineStr">
        <is>
          <t>Squeeze bottle 250 ml, PP, single tip</t>
        </is>
      </c>
      <c r="C218" s="24" t="inlineStr">
        <is>
          <t>Gastroladen.at (Harotec GmbH)</t>
        </is>
      </c>
      <c r="D218" s="24" t="inlineStr">
        <is>
          <t>Vogue Quetschflasche klar 237ml</t>
        </is>
      </c>
      <c r="E218" s="24" t="inlineStr">
        <is>
          <t>Vogue</t>
        </is>
      </c>
      <c r="F218" s="25" t="inlineStr">
        <is>
          <t>https://www.gastroladen.at/G16771B@GN-K062/Vogue-Quetschflasche-klar-237ml.htm</t>
        </is>
      </c>
      <c r="G218" s="120" t="n">
        <v>1.29</v>
      </c>
      <c r="H218" s="24" t="inlineStr">
        <is>
          <t>incl.</t>
        </is>
      </c>
      <c r="I218" s="116" t="n">
        <v>1</v>
      </c>
      <c r="J218" s="24" t="n"/>
      <c r="K218" s="120" t="n">
        <v>1.08</v>
      </c>
      <c r="L218" s="24" t="inlineStr">
        <is>
          <t>CLOSE</t>
        </is>
      </c>
      <c r="M218" s="24" t="inlineStr">
        <is>
          <t>237 ml, polyethylene (not PP)</t>
        </is>
      </c>
      <c r="N218" s="24" t="inlineStr">
        <is>
          <t>2026-09-30</t>
        </is>
      </c>
      <c r="O218" s="2" t="n"/>
      <c r="P218" s="2" t="n"/>
      <c r="Q218" s="2" t="n"/>
      <c r="R218" s="2" t="n"/>
      <c r="S218" s="2" t="n"/>
      <c r="T218" s="2" t="n"/>
      <c r="U218" s="2" t="n"/>
      <c r="V218" s="2" t="n"/>
      <c r="W218" s="2" t="n"/>
      <c r="X218" s="2" t="n"/>
      <c r="Y218" s="2" t="n"/>
      <c r="Z218" s="2" t="n"/>
      <c r="AA218" s="2" t="n"/>
      <c r="AB218" s="2" t="n"/>
      <c r="AC218" s="2" t="n"/>
    </row>
    <row r="219" ht="36" customHeight="1">
      <c r="A219" s="2" t="n"/>
      <c r="B219" s="27" t="inlineStr">
        <is>
          <t>Squeeze bottle 250 ml, PP, single tip</t>
        </is>
      </c>
      <c r="C219" s="27" t="inlineStr">
        <is>
          <t>Intergastro (AT shop)</t>
        </is>
      </c>
      <c r="D219" s="27" t="inlineStr">
        <is>
          <t>Quetschflasche Kunststoff 250 ml weiß transluzent Schraubdeckel</t>
        </is>
      </c>
      <c r="E219" s="27" t="inlineStr">
        <is>
          <t>Contacto</t>
        </is>
      </c>
      <c r="F219" s="28" t="inlineStr">
        <is>
          <t>https://www.intergastro.at/quetschflasche-kunststoff-250-ml-weiss-transluzent-schraubdeckel-50-mm-h-190-mm-247045</t>
        </is>
      </c>
      <c r="G219" s="121" t="n">
        <v>0.8100000000000001</v>
      </c>
      <c r="H219" s="27" t="inlineStr">
        <is>
          <t>excl.</t>
        </is>
      </c>
      <c r="I219" s="117" t="n">
        <v>1</v>
      </c>
      <c r="J219" s="27" t="n"/>
      <c r="K219" s="121" t="n">
        <v>0.8100000000000001</v>
      </c>
      <c r="L219" s="27" t="inlineStr">
        <is>
          <t>CLOSE</t>
        </is>
      </c>
      <c r="M219" s="27" t="inlineStr">
        <is>
          <t>Polyethylene (not PP)</t>
        </is>
      </c>
      <c r="N219" s="27" t="inlineStr">
        <is>
          <t>2026-09-30</t>
        </is>
      </c>
      <c r="O219" s="2" t="n"/>
      <c r="P219" s="2" t="n"/>
      <c r="Q219" s="2" t="n"/>
      <c r="R219" s="2" t="n"/>
      <c r="S219" s="2" t="n"/>
      <c r="T219" s="2" t="n"/>
      <c r="U219" s="2" t="n"/>
      <c r="V219" s="2" t="n"/>
      <c r="W219" s="2" t="n"/>
      <c r="X219" s="2" t="n"/>
      <c r="Y219" s="2" t="n"/>
      <c r="Z219" s="2" t="n"/>
      <c r="AA219" s="2" t="n"/>
      <c r="AB219" s="2" t="n"/>
      <c r="AC219" s="2" t="n"/>
    </row>
    <row r="220" ht="36" customHeight="1">
      <c r="A220" s="2" t="n"/>
      <c r="B220" s="24" t="inlineStr">
        <is>
          <t>Squeeze bottle 750 ml, PP, single tip</t>
        </is>
      </c>
      <c r="C220" s="24" t="inlineStr">
        <is>
          <t>ALLPAX Österreich</t>
        </is>
      </c>
      <c r="D220" s="24" t="inlineStr">
        <is>
          <t>Hendi Quetschflasche in Transparent, 700 ml</t>
        </is>
      </c>
      <c r="E220" s="24" t="inlineStr">
        <is>
          <t>Hendi</t>
        </is>
      </c>
      <c r="F220" s="25" t="inlineStr">
        <is>
          <t>https://www.allpax.at/product_info.php/info/Hendi-Quetschflasche-in-Transparent-700-ml.html</t>
        </is>
      </c>
      <c r="G220" s="120" t="n">
        <v>1.91</v>
      </c>
      <c r="H220" s="24" t="inlineStr">
        <is>
          <t>excl.</t>
        </is>
      </c>
      <c r="I220" s="116" t="n">
        <v>1</v>
      </c>
      <c r="J220" s="24" t="n"/>
      <c r="K220" s="120" t="n">
        <v>1.91</v>
      </c>
      <c r="L220" s="24" t="inlineStr">
        <is>
          <t>CLOSE</t>
        </is>
      </c>
      <c r="M220" s="24" t="inlineStr">
        <is>
          <t>700 ml; plastic type not stated; cap</t>
        </is>
      </c>
      <c r="N220" s="24" t="inlineStr">
        <is>
          <t>2026-09-30</t>
        </is>
      </c>
      <c r="O220" s="2" t="n"/>
      <c r="P220" s="2" t="n"/>
      <c r="Q220" s="2" t="n"/>
      <c r="R220" s="2" t="n"/>
      <c r="S220" s="2" t="n"/>
      <c r="T220" s="2" t="n"/>
      <c r="U220" s="2" t="n"/>
      <c r="V220" s="2" t="n"/>
      <c r="W220" s="2" t="n"/>
      <c r="X220" s="2" t="n"/>
      <c r="Y220" s="2" t="n"/>
      <c r="Z220" s="2" t="n"/>
      <c r="AA220" s="2" t="n"/>
      <c r="AB220" s="2" t="n"/>
      <c r="AC220" s="2" t="n"/>
    </row>
    <row r="221" ht="36" customHeight="1">
      <c r="A221" s="2" t="n"/>
      <c r="B221" s="27" t="inlineStr">
        <is>
          <t>Squeeze bottle 750 ml, PP, single tip</t>
        </is>
      </c>
      <c r="C221" s="27" t="inlineStr">
        <is>
          <t>GGM Gastro (Austrian storefront)</t>
        </is>
      </c>
      <c r="D221" s="27" t="inlineStr">
        <is>
          <t>(6 Stück) Quetschflasche mit mittlerer Membran - 710ml</t>
        </is>
      </c>
      <c r="E221" s="27" t="inlineStr">
        <is>
          <t>GGM</t>
        </is>
      </c>
      <c r="F221" s="28" t="inlineStr">
        <is>
          <t>https://www.ggmgastro.com/de-at-eur/6-stueck-quetschflasche-mit-mittlerer-membran-710ml-ffo-004</t>
        </is>
      </c>
      <c r="G221" s="121" t="n">
        <v>34.99</v>
      </c>
      <c r="H221" s="27" t="inlineStr">
        <is>
          <t>excl.</t>
        </is>
      </c>
      <c r="I221" s="117" t="n">
        <v>6</v>
      </c>
      <c r="J221" s="27" t="inlineStr">
        <is>
          <t>set of 6</t>
        </is>
      </c>
      <c r="K221" s="121" t="n">
        <v>5.83</v>
      </c>
      <c r="L221" s="27" t="inlineStr">
        <is>
          <t>CLOSE</t>
        </is>
      </c>
      <c r="M221" s="27" t="inlineStr">
        <is>
          <t>710 ml, FIFO type with valve; material not stated</t>
        </is>
      </c>
      <c r="N221" s="27" t="inlineStr">
        <is>
          <t>2026-09-30</t>
        </is>
      </c>
      <c r="O221" s="2" t="n"/>
      <c r="P221" s="2" t="n"/>
      <c r="Q221" s="2" t="n"/>
      <c r="R221" s="2" t="n"/>
      <c r="S221" s="2" t="n"/>
      <c r="T221" s="2" t="n"/>
      <c r="U221" s="2" t="n"/>
      <c r="V221" s="2" t="n"/>
      <c r="W221" s="2" t="n"/>
      <c r="X221" s="2" t="n"/>
      <c r="Y221" s="2" t="n"/>
      <c r="Z221" s="2" t="n"/>
      <c r="AA221" s="2" t="n"/>
      <c r="AB221" s="2" t="n"/>
      <c r="AC221" s="2" t="n"/>
    </row>
    <row r="222" ht="36" customHeight="1">
      <c r="A222" s="2" t="n"/>
      <c r="B222" s="24" t="inlineStr">
        <is>
          <t>Squeeze bottle 750 ml, PP, single tip</t>
        </is>
      </c>
      <c r="C222" s="24" t="inlineStr">
        <is>
          <t>GastroHero Österreich</t>
        </is>
      </c>
      <c r="D222" s="24" t="inlineStr">
        <is>
          <t>Vogue Quetschflasche gelb 681ml</t>
        </is>
      </c>
      <c r="E222" s="24" t="inlineStr">
        <is>
          <t>Vogue</t>
        </is>
      </c>
      <c r="F222" s="25" t="inlineStr">
        <is>
          <t>https://www.gastro-hero.at/products/vogue-quetschflasche-gelb-681ml-k158</t>
        </is>
      </c>
      <c r="G222" s="120" t="n">
        <v>1.59</v>
      </c>
      <c r="H222" s="24" t="inlineStr">
        <is>
          <t>excl.</t>
        </is>
      </c>
      <c r="I222" s="116" t="n">
        <v>1</v>
      </c>
      <c r="J222" s="24" t="n"/>
      <c r="K222" s="120" t="n">
        <v>1.59</v>
      </c>
      <c r="L222" s="24" t="inlineStr">
        <is>
          <t>CLOSE</t>
        </is>
      </c>
      <c r="M222" s="24" t="inlineStr">
        <is>
          <t>681 ml; material not stated on page; sale price (normal 1.69); min. qty 4</t>
        </is>
      </c>
      <c r="N222" s="24" t="inlineStr">
        <is>
          <t>2026-09-30</t>
        </is>
      </c>
      <c r="O222" s="2" t="n"/>
      <c r="P222" s="2" t="n"/>
      <c r="Q222" s="2" t="n"/>
      <c r="R222" s="2" t="n"/>
      <c r="S222" s="2" t="n"/>
      <c r="T222" s="2" t="n"/>
      <c r="U222" s="2" t="n"/>
      <c r="V222" s="2" t="n"/>
      <c r="W222" s="2" t="n"/>
      <c r="X222" s="2" t="n"/>
      <c r="Y222" s="2" t="n"/>
      <c r="Z222" s="2" t="n"/>
      <c r="AA222" s="2" t="n"/>
      <c r="AB222" s="2" t="n"/>
      <c r="AC222" s="2" t="n"/>
    </row>
    <row r="223" ht="36" customHeight="1">
      <c r="A223" s="2" t="n"/>
      <c r="B223" s="27" t="inlineStr">
        <is>
          <t>Squeeze bottle 750 ml, PP, single tip</t>
        </is>
      </c>
      <c r="C223" s="27" t="inlineStr">
        <is>
          <t>Gastrodax</t>
        </is>
      </c>
      <c r="D223" s="27" t="inlineStr">
        <is>
          <t>Contacto Quetschflasche 0,7 l</t>
        </is>
      </c>
      <c r="E223" s="27" t="inlineStr">
        <is>
          <t>Contacto</t>
        </is>
      </c>
      <c r="F223" s="28" t="inlineStr">
        <is>
          <t>https://www.gastrodax.de/contacto-quetschflasche-0-7-l-2</t>
        </is>
      </c>
      <c r="G223" s="121" t="n">
        <v>1.08</v>
      </c>
      <c r="H223" s="27" t="inlineStr">
        <is>
          <t>excl.</t>
        </is>
      </c>
      <c r="I223" s="117" t="n">
        <v>1</v>
      </c>
      <c r="J223" s="27" t="n"/>
      <c r="K223" s="121" t="n">
        <v>1.08</v>
      </c>
      <c r="L223" s="27" t="inlineStr">
        <is>
          <t>CLOSE</t>
        </is>
      </c>
      <c r="M223" s="27" t="inlineStr">
        <is>
          <t>700 ml; polyethylene; sale price (normal 1.35). Same URL also lists a 2.56 variant</t>
        </is>
      </c>
      <c r="N223" s="27" t="inlineStr">
        <is>
          <t>2026-09-30</t>
        </is>
      </c>
      <c r="O223" s="2" t="n"/>
      <c r="P223" s="2" t="n"/>
      <c r="Q223" s="2" t="n"/>
      <c r="R223" s="2" t="n"/>
      <c r="S223" s="2" t="n"/>
      <c r="T223" s="2" t="n"/>
      <c r="U223" s="2" t="n"/>
      <c r="V223" s="2" t="n"/>
      <c r="W223" s="2" t="n"/>
      <c r="X223" s="2" t="n"/>
      <c r="Y223" s="2" t="n"/>
      <c r="Z223" s="2" t="n"/>
      <c r="AA223" s="2" t="n"/>
      <c r="AB223" s="2" t="n"/>
      <c r="AC223" s="2" t="n"/>
    </row>
    <row r="224" ht="36" customHeight="1">
      <c r="A224" s="2" t="n"/>
      <c r="B224" s="24" t="inlineStr">
        <is>
          <t>Squeeze bottle 750 ml, PP, single tip</t>
        </is>
      </c>
      <c r="C224" s="24" t="inlineStr">
        <is>
          <t>Gastroladen.at (Harotec GmbH)</t>
        </is>
      </c>
      <c r="D224" s="24" t="inlineStr">
        <is>
          <t>Vogue Quetschflasche klar 681ml</t>
        </is>
      </c>
      <c r="E224" s="24" t="inlineStr">
        <is>
          <t>Vogue</t>
        </is>
      </c>
      <c r="F224" s="25" t="inlineStr">
        <is>
          <t>https://www.gastroladen.at/G16771B@GN-K163/Vogue-Quetschflasche-klar-681ml.htm</t>
        </is>
      </c>
      <c r="G224" s="120" t="n">
        <v>2.69</v>
      </c>
      <c r="H224" s="24" t="inlineStr">
        <is>
          <t>incl.</t>
        </is>
      </c>
      <c r="I224" s="116" t="n">
        <v>1</v>
      </c>
      <c r="J224" s="24" t="n"/>
      <c r="K224" s="120" t="n">
        <v>2.24</v>
      </c>
      <c r="L224" s="24" t="inlineStr">
        <is>
          <t>CLOSE</t>
        </is>
      </c>
      <c r="M224" s="24" t="inlineStr">
        <is>
          <t>681 ml, polyethylene (not PP)</t>
        </is>
      </c>
      <c r="N224" s="24" t="inlineStr">
        <is>
          <t>2026-09-30</t>
        </is>
      </c>
      <c r="O224" s="2" t="n"/>
      <c r="P224" s="2" t="n"/>
      <c r="Q224" s="2" t="n"/>
      <c r="R224" s="2" t="n"/>
      <c r="S224" s="2" t="n"/>
      <c r="T224" s="2" t="n"/>
      <c r="U224" s="2" t="n"/>
      <c r="V224" s="2" t="n"/>
      <c r="W224" s="2" t="n"/>
      <c r="X224" s="2" t="n"/>
      <c r="Y224" s="2" t="n"/>
      <c r="Z224" s="2" t="n"/>
      <c r="AA224" s="2" t="n"/>
      <c r="AB224" s="2" t="n"/>
      <c r="AC224" s="2" t="n"/>
    </row>
    <row r="225" ht="36" customHeight="1">
      <c r="A225" s="2" t="n"/>
      <c r="B225" s="27" t="inlineStr">
        <is>
          <t>Squeeze bottle 750 ml, PP, single tip</t>
        </is>
      </c>
      <c r="C225" s="27" t="inlineStr">
        <is>
          <t>Intergastro (AT shop)</t>
        </is>
      </c>
      <c r="D225" s="27" t="inlineStr">
        <is>
          <t>Quetschflasche 700 ml Kunststoff weiß transluzent Schraubdeckel</t>
        </is>
      </c>
      <c r="E225" s="27" t="inlineStr">
        <is>
          <t>Contacto</t>
        </is>
      </c>
      <c r="F225" s="28" t="inlineStr">
        <is>
          <t>https://www.intergastro.at/quetschflasche-700-ml-kunststoff-weiss-transluzent-schraubdeckel-65-mm-h-240-mm-247043</t>
        </is>
      </c>
      <c r="G225" s="121" t="n">
        <v>1.06</v>
      </c>
      <c r="H225" s="27" t="inlineStr">
        <is>
          <t>excl.</t>
        </is>
      </c>
      <c r="I225" s="117" t="n">
        <v>1</v>
      </c>
      <c r="J225" s="27" t="n"/>
      <c r="K225" s="121" t="n">
        <v>1.06</v>
      </c>
      <c r="L225" s="27" t="inlineStr">
        <is>
          <t>CLOSE</t>
        </is>
      </c>
      <c r="M225" s="27" t="inlineStr">
        <is>
          <t>700 ml, polyethylene (not PP)</t>
        </is>
      </c>
      <c r="N225" s="27" t="inlineStr">
        <is>
          <t>2026-09-30</t>
        </is>
      </c>
      <c r="O225" s="2" t="n"/>
      <c r="P225" s="2" t="n"/>
      <c r="Q225" s="2" t="n"/>
      <c r="R225" s="2" t="n"/>
      <c r="S225" s="2" t="n"/>
      <c r="T225" s="2" t="n"/>
      <c r="U225" s="2" t="n"/>
      <c r="V225" s="2" t="n"/>
      <c r="W225" s="2" t="n"/>
      <c r="X225" s="2" t="n"/>
      <c r="Y225" s="2" t="n"/>
      <c r="Z225" s="2" t="n"/>
      <c r="AA225" s="2" t="n"/>
      <c r="AB225" s="2" t="n"/>
      <c r="AC225" s="2" t="n"/>
    </row>
    <row r="226" ht="36" customHeight="1">
      <c r="A226" s="2" t="n"/>
      <c r="B226" s="24" t="inlineStr">
        <is>
          <t>Cutting board 400x300x20 mm, red PE</t>
        </is>
      </c>
      <c r="C226" s="24" t="inlineStr">
        <is>
          <t>ALLPAX Österreich</t>
        </is>
      </c>
      <c r="D226" s="24" t="inlineStr">
        <is>
          <t>Hendi Schneidebrett 45 x 30 cm in Rot</t>
        </is>
      </c>
      <c r="E226" s="24" t="inlineStr">
        <is>
          <t>Hendi</t>
        </is>
      </c>
      <c r="F226" s="25" t="inlineStr">
        <is>
          <t>https://www.allpax.at/product_info.php/info/Hendi-Schneidebrett-45-x-30-cm-in-Rot.html</t>
        </is>
      </c>
      <c r="G226" s="120" t="n">
        <v>11.59</v>
      </c>
      <c r="H226" s="24" t="inlineStr">
        <is>
          <t>excl.</t>
        </is>
      </c>
      <c r="I226" s="116" t="n">
        <v>1</v>
      </c>
      <c r="J226" s="24" t="n"/>
      <c r="K226" s="120" t="n">
        <v>11.59</v>
      </c>
      <c r="L226" s="24" t="inlineStr">
        <is>
          <t>APPROX</t>
        </is>
      </c>
      <c r="M226" s="24" t="inlineStr">
        <is>
          <t>Red, 450x300x13 mm (vs 400x300x20)</t>
        </is>
      </c>
      <c r="N226" s="24" t="inlineStr">
        <is>
          <t>2026-09-30</t>
        </is>
      </c>
      <c r="O226" s="2" t="n"/>
      <c r="P226" s="2" t="n"/>
      <c r="Q226" s="2" t="n"/>
      <c r="R226" s="2" t="n"/>
      <c r="S226" s="2" t="n"/>
      <c r="T226" s="2" t="n"/>
      <c r="U226" s="2" t="n"/>
      <c r="V226" s="2" t="n"/>
      <c r="W226" s="2" t="n"/>
      <c r="X226" s="2" t="n"/>
      <c r="Y226" s="2" t="n"/>
      <c r="Z226" s="2" t="n"/>
      <c r="AA226" s="2" t="n"/>
      <c r="AB226" s="2" t="n"/>
      <c r="AC226" s="2" t="n"/>
    </row>
    <row r="227" ht="36" customHeight="1">
      <c r="A227" s="2" t="n"/>
      <c r="B227" s="27" t="inlineStr">
        <is>
          <t>Cutting board 400x300x20 mm, red PE</t>
        </is>
      </c>
      <c r="C227" s="27" t="inlineStr">
        <is>
          <t>GGM Gastro (Austrian storefront)</t>
        </is>
      </c>
      <c r="D227" s="27" t="inlineStr">
        <is>
          <t>Schneidebrett - 250x400mm - HACCP-Konform - Rot</t>
        </is>
      </c>
      <c r="E227" s="27" t="inlineStr">
        <is>
          <t>GGM</t>
        </is>
      </c>
      <c r="F227" s="28" t="inlineStr">
        <is>
          <t>https://www.ggmgastro.com/de-at-eur/schneidebrett-250x400mm-haccp-konform-rot-sbp25r</t>
        </is>
      </c>
      <c r="G227" s="121" t="n">
        <v>16.99</v>
      </c>
      <c r="H227" s="27" t="inlineStr">
        <is>
          <t>excl.</t>
        </is>
      </c>
      <c r="I227" s="117" t="n">
        <v>1</v>
      </c>
      <c r="J227" s="27" t="n"/>
      <c r="K227" s="121" t="n">
        <v>16.99</v>
      </c>
      <c r="L227" s="27" t="inlineStr">
        <is>
          <t>APPROX</t>
        </is>
      </c>
      <c r="M227" s="27" t="inlineStr">
        <is>
          <t>Red HACCP board but 250x400 mm (vs 400x300)</t>
        </is>
      </c>
      <c r="N227" s="27" t="inlineStr">
        <is>
          <t>2026-09-30</t>
        </is>
      </c>
      <c r="O227" s="2" t="n"/>
      <c r="P227" s="2" t="n"/>
      <c r="Q227" s="2" t="n"/>
      <c r="R227" s="2" t="n"/>
      <c r="S227" s="2" t="n"/>
      <c r="T227" s="2" t="n"/>
      <c r="U227" s="2" t="n"/>
      <c r="V227" s="2" t="n"/>
      <c r="W227" s="2" t="n"/>
      <c r="X227" s="2" t="n"/>
      <c r="Y227" s="2" t="n"/>
      <c r="Z227" s="2" t="n"/>
      <c r="AA227" s="2" t="n"/>
      <c r="AB227" s="2" t="n"/>
      <c r="AC227" s="2" t="n"/>
    </row>
    <row r="228" ht="36" customHeight="1">
      <c r="A228" s="2" t="n"/>
      <c r="B228" s="24" t="inlineStr">
        <is>
          <t>Cutting board 400x300x20 mm, red PE</t>
        </is>
      </c>
      <c r="C228" s="24" t="inlineStr">
        <is>
          <t>GastroHero Österreich</t>
        </is>
      </c>
      <c r="D228" s="24" t="inlineStr">
        <is>
          <t>Schneidbrett 45 x 30 x 1,3 cm - HDPE rot</t>
        </is>
      </c>
      <c r="E228" s="24" t="inlineStr">
        <is>
          <t>Hendi</t>
        </is>
      </c>
      <c r="F228" s="25" t="inlineStr">
        <is>
          <t>https://www.gastro-hero.at/products/schneidbrett-45-x-30-x-1-3-cm-hdpe-rot</t>
        </is>
      </c>
      <c r="G228" s="120" t="n">
        <v>26.29</v>
      </c>
      <c r="H228" s="24" t="inlineStr">
        <is>
          <t>excl.</t>
        </is>
      </c>
      <c r="I228" s="116" t="n">
        <v>1</v>
      </c>
      <c r="J228" s="24" t="n"/>
      <c r="K228" s="120" t="n">
        <v>26.29</v>
      </c>
      <c r="L228" s="24" t="inlineStr">
        <is>
          <t>APPROX</t>
        </is>
      </c>
      <c r="M228" s="24" t="inlineStr">
        <is>
          <t>Red HDPE but 450x300x13 mm (vs 400x300x20)</t>
        </is>
      </c>
      <c r="N228" s="24" t="inlineStr">
        <is>
          <t>2026-09-30</t>
        </is>
      </c>
      <c r="O228" s="2" t="n"/>
      <c r="P228" s="2" t="n"/>
      <c r="Q228" s="2" t="n"/>
      <c r="R228" s="2" t="n"/>
      <c r="S228" s="2" t="n"/>
      <c r="T228" s="2" t="n"/>
      <c r="U228" s="2" t="n"/>
      <c r="V228" s="2" t="n"/>
      <c r="W228" s="2" t="n"/>
      <c r="X228" s="2" t="n"/>
      <c r="Y228" s="2" t="n"/>
      <c r="Z228" s="2" t="n"/>
      <c r="AA228" s="2" t="n"/>
      <c r="AB228" s="2" t="n"/>
      <c r="AC228" s="2" t="n"/>
    </row>
    <row r="229" ht="36" customHeight="1">
      <c r="A229" s="2" t="n"/>
      <c r="B229" s="27" t="inlineStr">
        <is>
          <t>Cutting board 400x300x20 mm, red PE</t>
        </is>
      </c>
      <c r="C229" s="27" t="inlineStr">
        <is>
          <t>Gastrodax</t>
        </is>
      </c>
      <c r="D229" s="27" t="inlineStr">
        <is>
          <t>Hendi Schneidbretter HACCP 450x300, Rot</t>
        </is>
      </c>
      <c r="E229" s="27" t="inlineStr">
        <is>
          <t>Hendi</t>
        </is>
      </c>
      <c r="F229" s="28" t="inlineStr">
        <is>
          <t>https://www.gastrodax.de/hendi-schneidbretter-haccp-450-x-300-mm-rot</t>
        </is>
      </c>
      <c r="G229" s="121" t="n">
        <v>16.88</v>
      </c>
      <c r="H229" s="27" t="inlineStr">
        <is>
          <t>excl.</t>
        </is>
      </c>
      <c r="I229" s="117" t="n">
        <v>1</v>
      </c>
      <c r="J229" s="27" t="n"/>
      <c r="K229" s="121" t="n">
        <v>16.88</v>
      </c>
      <c r="L229" s="27" t="inlineStr">
        <is>
          <t>APPROX</t>
        </is>
      </c>
      <c r="M229" s="27" t="inlineStr">
        <is>
          <t>Red, 450x300 mm (vs 400x300); thickness not checked</t>
        </is>
      </c>
      <c r="N229" s="27" t="inlineStr">
        <is>
          <t>2026-09-30</t>
        </is>
      </c>
      <c r="O229" s="2" t="n"/>
      <c r="P229" s="2" t="n"/>
      <c r="Q229" s="2" t="n"/>
      <c r="R229" s="2" t="n"/>
      <c r="S229" s="2" t="n"/>
      <c r="T229" s="2" t="n"/>
      <c r="U229" s="2" t="n"/>
      <c r="V229" s="2" t="n"/>
      <c r="W229" s="2" t="n"/>
      <c r="X229" s="2" t="n"/>
      <c r="Y229" s="2" t="n"/>
      <c r="Z229" s="2" t="n"/>
      <c r="AA229" s="2" t="n"/>
      <c r="AB229" s="2" t="n"/>
      <c r="AC229" s="2" t="n"/>
    </row>
    <row r="230" ht="36" customHeight="1">
      <c r="A230" s="2" t="n"/>
      <c r="B230" s="24" t="inlineStr">
        <is>
          <t>Cutting board 400x300x20 mm, red PE</t>
        </is>
      </c>
      <c r="C230" s="24" t="inlineStr">
        <is>
          <t>Gastroladen.at (Harotec GmbH)</t>
        </is>
      </c>
      <c r="D230" s="24" t="inlineStr">
        <is>
          <t>Hygiplas standard Schneidebrett mit hoher Dichte rot 450x300x12mm</t>
        </is>
      </c>
      <c r="E230" s="24" t="inlineStr">
        <is>
          <t>Hygiplas</t>
        </is>
      </c>
      <c r="F230" s="25" t="inlineStr">
        <is>
          <t>https://www.gastroladen.at/2310@GN-J010/Hygiplas-standard-Schneidebrett-mit-hoher-Dichte-rot.htm</t>
        </is>
      </c>
      <c r="G230" s="120" t="n">
        <v>15.89</v>
      </c>
      <c r="H230" s="24" t="inlineStr">
        <is>
          <t>incl.</t>
        </is>
      </c>
      <c r="I230" s="116" t="n">
        <v>1</v>
      </c>
      <c r="J230" s="24" t="n"/>
      <c r="K230" s="120" t="n">
        <v>13.24</v>
      </c>
      <c r="L230" s="24" t="inlineStr">
        <is>
          <t>APPROX</t>
        </is>
      </c>
      <c r="M230" s="24" t="inlineStr">
        <is>
          <t>Red HDPE but 450x300x12 mm (vs 400x300x20)</t>
        </is>
      </c>
      <c r="N230" s="24" t="inlineStr">
        <is>
          <t>2026-09-30</t>
        </is>
      </c>
      <c r="O230" s="2" t="n"/>
      <c r="P230" s="2" t="n"/>
      <c r="Q230" s="2" t="n"/>
      <c r="R230" s="2" t="n"/>
      <c r="S230" s="2" t="n"/>
      <c r="T230" s="2" t="n"/>
      <c r="U230" s="2" t="n"/>
      <c r="V230" s="2" t="n"/>
      <c r="W230" s="2" t="n"/>
      <c r="X230" s="2" t="n"/>
      <c r="Y230" s="2" t="n"/>
      <c r="Z230" s="2" t="n"/>
      <c r="AA230" s="2" t="n"/>
      <c r="AB230" s="2" t="n"/>
      <c r="AC230" s="2" t="n"/>
    </row>
    <row r="231" ht="36" customHeight="1">
      <c r="A231" s="2" t="n"/>
      <c r="B231" s="27" t="inlineStr">
        <is>
          <t>Cutting board 400x300x20 mm, red PE</t>
        </is>
      </c>
      <c r="C231" s="27" t="inlineStr">
        <is>
          <t>Intergastro (AT shop)</t>
        </is>
      </c>
      <c r="D231" s="27" t="inlineStr">
        <is>
          <t>Schneidebrett rot HDPE 500, 400 mm x 300 mm</t>
        </is>
      </c>
      <c r="E231" s="27" t="inlineStr">
        <is>
          <t>Comas</t>
        </is>
      </c>
      <c r="F231" s="28" t="inlineStr">
        <is>
          <t>https://www.intergastro.at/schneidebrett-rot-hdpe-500-400-mm-x-300-mm-997227</t>
        </is>
      </c>
      <c r="G231" s="121" t="n">
        <v>20.96</v>
      </c>
      <c r="H231" s="27" t="inlineStr">
        <is>
          <t>excl.</t>
        </is>
      </c>
      <c r="I231" s="117" t="n">
        <v>1</v>
      </c>
      <c r="J231" s="27" t="n"/>
      <c r="K231" s="121" t="n">
        <v>20.96</v>
      </c>
      <c r="L231" s="27" t="inlineStr">
        <is>
          <t>EXACT</t>
        </is>
      </c>
      <c r="M231" s="27" t="inlineStr">
        <is>
          <t>Red HDPE; 20 mm per the series size list (400 x 300 x H 20 mm)</t>
        </is>
      </c>
      <c r="N231" s="27" t="inlineStr">
        <is>
          <t>2026-09-30</t>
        </is>
      </c>
      <c r="O231" s="2" t="n"/>
      <c r="P231" s="2" t="n"/>
      <c r="Q231" s="2" t="n"/>
      <c r="R231" s="2" t="n"/>
      <c r="S231" s="2" t="n"/>
      <c r="T231" s="2" t="n"/>
      <c r="U231" s="2" t="n"/>
      <c r="V231" s="2" t="n"/>
      <c r="W231" s="2" t="n"/>
      <c r="X231" s="2" t="n"/>
      <c r="Y231" s="2" t="n"/>
      <c r="Z231" s="2" t="n"/>
      <c r="AA231" s="2" t="n"/>
      <c r="AB231" s="2" t="n"/>
      <c r="AC231" s="2" t="n"/>
    </row>
    <row r="232" ht="36" customHeight="1">
      <c r="A232" s="2" t="n"/>
      <c r="B232" s="24" t="inlineStr">
        <is>
          <t>Cutting board 400x300x20 mm, red PE</t>
        </is>
      </c>
      <c r="C232" s="24" t="inlineStr">
        <is>
          <t>Jungheinrich PROFISHOP Austria</t>
        </is>
      </c>
      <c r="D232" s="24" t="inlineStr">
        <is>
          <t>Stalgast Schneidbrett, HACCP, Farbe rot, 450 x 300 x 13 mm</t>
        </is>
      </c>
      <c r="E232" s="24" t="inlineStr">
        <is>
          <t>Stalgast</t>
        </is>
      </c>
      <c r="F232" s="25" t="inlineStr">
        <is>
          <t>https://www.jh-profishop.at/p/stalgast-schneidbrett-haccp-farbe-rot-450-x-300-x-13-mm-bxtxh-928724-348321/</t>
        </is>
      </c>
      <c r="G232" s="120" t="n">
        <v>18.1</v>
      </c>
      <c r="H232" s="24" t="inlineStr">
        <is>
          <t>excl.</t>
        </is>
      </c>
      <c r="I232" s="116" t="n">
        <v>1</v>
      </c>
      <c r="J232" s="24" t="n"/>
      <c r="K232" s="120" t="n">
        <v>18.1</v>
      </c>
      <c r="L232" s="24" t="inlineStr">
        <is>
          <t>APPROX</t>
        </is>
      </c>
      <c r="M232" s="24" t="inlineStr">
        <is>
          <t>Red but 450x300x13 mm (vs 400x300x20)</t>
        </is>
      </c>
      <c r="N232" s="24" t="inlineStr">
        <is>
          <t>2026-09-30</t>
        </is>
      </c>
      <c r="O232" s="2" t="n"/>
      <c r="P232" s="2" t="n"/>
      <c r="Q232" s="2" t="n"/>
      <c r="R232" s="2" t="n"/>
      <c r="S232" s="2" t="n"/>
      <c r="T232" s="2" t="n"/>
      <c r="U232" s="2" t="n"/>
      <c r="V232" s="2" t="n"/>
      <c r="W232" s="2" t="n"/>
      <c r="X232" s="2" t="n"/>
      <c r="Y232" s="2" t="n"/>
      <c r="Z232" s="2" t="n"/>
      <c r="AA232" s="2" t="n"/>
      <c r="AB232" s="2" t="n"/>
      <c r="AC232" s="2" t="n"/>
    </row>
    <row r="233" ht="50" customHeight="1">
      <c r="A233" s="2" t="n"/>
      <c r="B233" s="27" t="inlineStr">
        <is>
          <t>Dough box 600x400x75 mm, PP, without lid</t>
        </is>
      </c>
      <c r="C233" s="27" t="inlineStr">
        <is>
          <t>GGM Gastro (Austrian storefront)</t>
        </is>
      </c>
      <c r="D233" s="27" t="inlineStr">
        <is>
          <t>9-tlg Teigbehälter-Set - 8 Behälter &amp; 1 Deckel - EN 600x400 - Höhe: 75mm - Polypropylen</t>
        </is>
      </c>
      <c r="E233" s="27" t="inlineStr">
        <is>
          <t>GGM</t>
        </is>
      </c>
      <c r="F233" s="28" t="inlineStr">
        <is>
          <t>https://www.ggmgastro.com/de-at-eur/9-tlg-teigbehaelter-set-8-behaelter-und-1-deckel-en-600x400-hoehe-75mm-polypropylen-weiss-tbpp647</t>
        </is>
      </c>
      <c r="G233" s="121" t="n">
        <v>72.98999999999999</v>
      </c>
      <c r="H233" s="27" t="inlineStr">
        <is>
          <t>excl.</t>
        </is>
      </c>
      <c r="I233" s="117" t="n">
        <v>8</v>
      </c>
      <c r="J233" s="27" t="inlineStr">
        <is>
          <t>8 boxes + 1 lid</t>
        </is>
      </c>
      <c r="K233" s="121" t="n">
        <v>9.119999999999999</v>
      </c>
      <c r="L233" s="27" t="inlineStr">
        <is>
          <t>CLOSE</t>
        </is>
      </c>
      <c r="M233" s="27" t="inlineStr">
        <is>
          <t>Only sold as set of 8 PP boxes plus 1 lid; net per box includes a share of the lid</t>
        </is>
      </c>
      <c r="N233" s="27" t="inlineStr">
        <is>
          <t>2026-09-30</t>
        </is>
      </c>
      <c r="O233" s="2" t="n"/>
      <c r="P233" s="2" t="n"/>
      <c r="Q233" s="2" t="n"/>
      <c r="R233" s="2" t="n"/>
      <c r="S233" s="2" t="n"/>
      <c r="T233" s="2" t="n"/>
      <c r="U233" s="2" t="n"/>
      <c r="V233" s="2" t="n"/>
      <c r="W233" s="2" t="n"/>
      <c r="X233" s="2" t="n"/>
      <c r="Y233" s="2" t="n"/>
      <c r="Z233" s="2" t="n"/>
      <c r="AA233" s="2" t="n"/>
      <c r="AB233" s="2" t="n"/>
      <c r="AC233" s="2" t="n"/>
    </row>
    <row r="234" ht="36" customHeight="1">
      <c r="A234" s="2" t="n"/>
      <c r="B234" s="24" t="inlineStr">
        <is>
          <t>Dough box 600x400x75 mm, PP, without lid</t>
        </is>
      </c>
      <c r="C234" s="24" t="inlineStr">
        <is>
          <t>Gastrodax</t>
        </is>
      </c>
      <c r="D234" s="24" t="inlineStr">
        <is>
          <t>WAS Pizzaballenbehälter 60 x 40 x 8 cm Polypropylen</t>
        </is>
      </c>
      <c r="E234" s="24" t="inlineStr">
        <is>
          <t>WAS Germany</t>
        </is>
      </c>
      <c r="F234" s="25" t="inlineStr">
        <is>
          <t>https://www.gastrodax.de/was-pizzaballenbehaelter-60-x-40-x-8-cm-polypropylen</t>
        </is>
      </c>
      <c r="G234" s="120" t="n">
        <v>38</v>
      </c>
      <c r="H234" s="24" t="inlineStr">
        <is>
          <t>excl.</t>
        </is>
      </c>
      <c r="I234" s="116" t="n">
        <v>1</v>
      </c>
      <c r="J234" s="24" t="n"/>
      <c r="K234" s="120" t="n">
        <v>38</v>
      </c>
      <c r="L234" s="24" t="inlineStr">
        <is>
          <t>CLOSE</t>
        </is>
      </c>
      <c r="M234" s="24" t="inlineStr">
        <is>
          <t>80 mm instead of 75 mm; PP; no lid</t>
        </is>
      </c>
      <c r="N234" s="24" t="inlineStr">
        <is>
          <t>2026-09-30</t>
        </is>
      </c>
      <c r="O234" s="2" t="n"/>
      <c r="P234" s="2" t="n"/>
      <c r="Q234" s="2" t="n"/>
      <c r="R234" s="2" t="n"/>
      <c r="S234" s="2" t="n"/>
      <c r="T234" s="2" t="n"/>
      <c r="U234" s="2" t="n"/>
      <c r="V234" s="2" t="n"/>
      <c r="W234" s="2" t="n"/>
      <c r="X234" s="2" t="n"/>
      <c r="Y234" s="2" t="n"/>
      <c r="Z234" s="2" t="n"/>
      <c r="AA234" s="2" t="n"/>
      <c r="AB234" s="2" t="n"/>
      <c r="AC234" s="2" t="n"/>
    </row>
    <row r="235" ht="36" customHeight="1">
      <c r="A235" s="2" t="n"/>
      <c r="B235" s="27" t="inlineStr">
        <is>
          <t>Dough box 600x400x75 mm, PP, without lid</t>
        </is>
      </c>
      <c r="C235" s="27" t="inlineStr">
        <is>
          <t>Gastroladen.at (Harotec GmbH)</t>
        </is>
      </c>
      <c r="D235" s="27" t="inlineStr">
        <is>
          <t>Cambro Pizzateigkiste aus Polyethylen 60x40x7cm</t>
        </is>
      </c>
      <c r="E235" s="27" t="inlineStr">
        <is>
          <t>Cambro</t>
        </is>
      </c>
      <c r="F235" s="28" t="inlineStr">
        <is>
          <t>https://www.gastroladen.at/G16888@GN-FS330/Cambro-Pizzateigkiste-aus-Polyethylen-60x40x7cm.htm</t>
        </is>
      </c>
      <c r="G235" s="121" t="n">
        <v>29.9</v>
      </c>
      <c r="H235" s="27" t="inlineStr">
        <is>
          <t>incl.</t>
        </is>
      </c>
      <c r="I235" s="117" t="n">
        <v>1</v>
      </c>
      <c r="J235" s="27" t="n"/>
      <c r="K235" s="121" t="n">
        <v>24.92</v>
      </c>
      <c r="L235" s="27" t="inlineStr">
        <is>
          <t>CLOSE</t>
        </is>
      </c>
      <c r="M235" s="27" t="inlineStr">
        <is>
          <t>Polyethylene (not PP), 70 mm high; no lid</t>
        </is>
      </c>
      <c r="N235" s="27" t="inlineStr">
        <is>
          <t>2026-09-30</t>
        </is>
      </c>
      <c r="O235" s="2" t="n"/>
      <c r="P235" s="2" t="n"/>
      <c r="Q235" s="2" t="n"/>
      <c r="R235" s="2" t="n"/>
      <c r="S235" s="2" t="n"/>
      <c r="T235" s="2" t="n"/>
      <c r="U235" s="2" t="n"/>
      <c r="V235" s="2" t="n"/>
      <c r="W235" s="2" t="n"/>
      <c r="X235" s="2" t="n"/>
      <c r="Y235" s="2" t="n"/>
      <c r="Z235" s="2" t="n"/>
      <c r="AA235" s="2" t="n"/>
      <c r="AB235" s="2" t="n"/>
      <c r="AC235" s="2" t="n"/>
    </row>
    <row r="236" ht="36" customHeight="1">
      <c r="A236" s="2" t="n"/>
      <c r="B236" s="24" t="inlineStr">
        <is>
          <t>Dough box 600x400x75 mm, PP, without lid</t>
        </is>
      </c>
      <c r="C236" s="24" t="inlineStr">
        <is>
          <t>Intergastro (AT shop)</t>
        </is>
      </c>
      <c r="D236" s="24" t="inlineStr">
        <is>
          <t>Pizzaballenbehälter weiß 600 x 400 x 80 mm, PP</t>
        </is>
      </c>
      <c r="E236" s="24" t="inlineStr">
        <is>
          <t>WAS Germany</t>
        </is>
      </c>
      <c r="F236" s="25" t="inlineStr">
        <is>
          <t>https://www.intergastro.at/pizzaballenbehaelter-weiss-600-mm-x-400-mm-h-80-mm-967927</t>
        </is>
      </c>
      <c r="G236" s="120" t="n">
        <v>10.01</v>
      </c>
      <c r="H236" s="24" t="inlineStr">
        <is>
          <t>excl.</t>
        </is>
      </c>
      <c r="I236" s="116" t="n">
        <v>1</v>
      </c>
      <c r="J236" s="24" t="n"/>
      <c r="K236" s="120" t="n">
        <v>10.01</v>
      </c>
      <c r="L236" s="24" t="inlineStr">
        <is>
          <t>CLOSE</t>
        </is>
      </c>
      <c r="M236" s="24" t="inlineStr">
        <is>
          <t>80 mm instead of 75 mm; PP; no lid. Contacto 600x400x75 (material not stated) 10.02</t>
        </is>
      </c>
      <c r="N236" s="24" t="inlineStr">
        <is>
          <t>2026-09-30</t>
        </is>
      </c>
      <c r="O236" s="2" t="n"/>
      <c r="P236" s="2" t="n"/>
      <c r="Q236" s="2" t="n"/>
      <c r="R236" s="2" t="n"/>
      <c r="S236" s="2" t="n"/>
      <c r="T236" s="2" t="n"/>
      <c r="U236" s="2" t="n"/>
      <c r="V236" s="2" t="n"/>
      <c r="W236" s="2" t="n"/>
      <c r="X236" s="2" t="n"/>
      <c r="Y236" s="2" t="n"/>
      <c r="Z236" s="2" t="n"/>
      <c r="AA236" s="2" t="n"/>
      <c r="AB236" s="2" t="n"/>
      <c r="AC236" s="2" t="n"/>
    </row>
    <row r="237" ht="36" customHeight="1">
      <c r="A237" s="2" t="n"/>
      <c r="B237" s="27" t="inlineStr">
        <is>
          <t>Dough box 600x400x75 mm, PP, without lid</t>
        </is>
      </c>
      <c r="C237" s="27" t="inlineStr">
        <is>
          <t>Jungheinrich PROFISHOP Austria</t>
        </is>
      </c>
      <c r="D237" s="27" t="inlineStr">
        <is>
          <t>Stalgast Pizzaballenbehälter aus Polypropylen 600 x 400 x 70 mm</t>
        </is>
      </c>
      <c r="E237" s="27" t="inlineStr">
        <is>
          <t>Stalgast</t>
        </is>
      </c>
      <c r="F237" s="28" t="inlineStr">
        <is>
          <t>https://www.jh-profishop.at/p/stalgast-pizzaballenbehaelter-aus-polypropylen-600-x-400-x-70-mm-bxtxh-929475-349073/</t>
        </is>
      </c>
      <c r="G237" s="121" t="n">
        <v>34.9</v>
      </c>
      <c r="H237" s="27" t="inlineStr">
        <is>
          <t>excl.</t>
        </is>
      </c>
      <c r="I237" s="117" t="n">
        <v>1</v>
      </c>
      <c r="J237" s="27" t="n"/>
      <c r="K237" s="121" t="n">
        <v>34.9</v>
      </c>
      <c r="L237" s="27" t="inlineStr">
        <is>
          <t>CLOSE</t>
        </is>
      </c>
      <c r="M237" s="27" t="inlineStr">
        <is>
          <t>70 mm instead of 75 mm; PP per title</t>
        </is>
      </c>
      <c r="N237" s="27" t="inlineStr">
        <is>
          <t>2026-09-30</t>
        </is>
      </c>
      <c r="O237" s="2" t="n"/>
      <c r="P237" s="2" t="n"/>
      <c r="Q237" s="2" t="n"/>
      <c r="R237" s="2" t="n"/>
      <c r="S237" s="2" t="n"/>
      <c r="T237" s="2" t="n"/>
      <c r="U237" s="2" t="n"/>
      <c r="V237" s="2" t="n"/>
      <c r="W237" s="2" t="n"/>
      <c r="X237" s="2" t="n"/>
      <c r="Y237" s="2" t="n"/>
      <c r="Z237" s="2" t="n"/>
      <c r="AA237" s="2" t="n"/>
      <c r="AB237" s="2" t="n"/>
      <c r="AC237" s="2" t="n"/>
    </row>
    <row r="238" ht="36" customHeight="1">
      <c r="A238" s="2" t="n"/>
      <c r="B238" s="24" t="inlineStr">
        <is>
          <t>Dough box 600x400x75 mm, PP, without lid</t>
        </is>
      </c>
      <c r="C238" s="24" t="inlineStr">
        <is>
          <t>shopbuero.com</t>
        </is>
      </c>
      <c r="D238" s="24" t="inlineStr">
        <is>
          <t>Teigwanne - ohne Deckel - 60,0 x 40,0 x 8,2 cm - 13 l - Polypropylen</t>
        </is>
      </c>
      <c r="E238" s="24" t="inlineStr">
        <is>
          <t>Schneider</t>
        </is>
      </c>
      <c r="F238" s="25" t="inlineStr">
        <is>
          <t>https://shopbuero.com/teigwanne-ohne-deckel-weiss-rechteckig-60-0-x-40-0-x-8-2-cm-inhalt-13-l-polypropylen/202180-C</t>
        </is>
      </c>
      <c r="G238" s="120" t="n">
        <v>18</v>
      </c>
      <c r="H238" s="24" t="inlineStr">
        <is>
          <t>excl.</t>
        </is>
      </c>
      <c r="I238" s="116" t="n">
        <v>1</v>
      </c>
      <c r="J238" s="24" t="n"/>
      <c r="K238" s="120" t="n">
        <v>18</v>
      </c>
      <c r="L238" s="24" t="inlineStr">
        <is>
          <t>CLOSE</t>
        </is>
      </c>
      <c r="M238" s="24" t="inlineStr">
        <is>
          <t>82 mm instead of 75 mm; PP, no lid; regular price 28.20. APS PE 600x400x75: 8.80</t>
        </is>
      </c>
      <c r="N238" s="24" t="inlineStr">
        <is>
          <t>2026-09-30</t>
        </is>
      </c>
      <c r="O238" s="2" t="n"/>
      <c r="P238" s="2" t="n"/>
      <c r="Q238" s="2" t="n"/>
      <c r="R238" s="2" t="n"/>
      <c r="S238" s="2" t="n"/>
      <c r="T238" s="2" t="n"/>
      <c r="U238" s="2" t="n"/>
      <c r="V238" s="2" t="n"/>
      <c r="W238" s="2" t="n"/>
      <c r="X238" s="2" t="n"/>
      <c r="Y238" s="2" t="n"/>
      <c r="Z238" s="2" t="n"/>
      <c r="AA238" s="2" t="n"/>
      <c r="AB238" s="2" t="n"/>
      <c r="AC238" s="2" t="n"/>
    </row>
    <row r="239" ht="36" customHeight="1">
      <c r="A239" s="2" t="n"/>
      <c r="B239" s="27" t="inlineStr">
        <is>
          <t>GN 1/1 container, PC, 100 mm</t>
        </is>
      </c>
      <c r="C239" s="27" t="inlineStr">
        <is>
          <t>ALLPAX Österreich</t>
        </is>
      </c>
      <c r="D239" s="27" t="inlineStr">
        <is>
          <t>PC GN 1/1 Höhe 100 mm schwarz</t>
        </is>
      </c>
      <c r="E239" s="27" t="n"/>
      <c r="F239" s="28" t="inlineStr">
        <is>
          <t>https://www.allpax.at/product_info.php/info/PC-GN-1-1-Hoehe-100-mm-schwarz.html</t>
        </is>
      </c>
      <c r="G239" s="121" t="n">
        <v>6.4</v>
      </c>
      <c r="H239" s="27" t="inlineStr">
        <is>
          <t>excl.</t>
        </is>
      </c>
      <c r="I239" s="117" t="n">
        <v>1</v>
      </c>
      <c r="J239" s="27" t="n"/>
      <c r="K239" s="121" t="n">
        <v>6.4</v>
      </c>
      <c r="L239" s="27" t="inlineStr">
        <is>
          <t>EXACT</t>
        </is>
      </c>
      <c r="M239" s="27" t="inlineStr">
        <is>
          <t>'jetzt' price; regular 9.09; available from week 49/2026</t>
        </is>
      </c>
      <c r="N239" s="27" t="inlineStr">
        <is>
          <t>2026-09-30</t>
        </is>
      </c>
      <c r="O239" s="2" t="n"/>
      <c r="P239" s="2" t="n"/>
      <c r="Q239" s="2" t="n"/>
      <c r="R239" s="2" t="n"/>
      <c r="S239" s="2" t="n"/>
      <c r="T239" s="2" t="n"/>
      <c r="U239" s="2" t="n"/>
      <c r="V239" s="2" t="n"/>
      <c r="W239" s="2" t="n"/>
      <c r="X239" s="2" t="n"/>
      <c r="Y239" s="2" t="n"/>
      <c r="Z239" s="2" t="n"/>
      <c r="AA239" s="2" t="n"/>
      <c r="AB239" s="2" t="n"/>
      <c r="AC239" s="2" t="n"/>
    </row>
    <row r="240" ht="36" customHeight="1">
      <c r="A240" s="2" t="n"/>
      <c r="B240" s="24" t="inlineStr">
        <is>
          <t>GN 1/1 container, PC, 100 mm</t>
        </is>
      </c>
      <c r="C240" s="24" t="inlineStr">
        <is>
          <t>GGM Gastro (Austrian storefront)</t>
        </is>
      </c>
      <c r="D240" s="24" t="inlineStr">
        <is>
          <t>(6 Stück) Polycarbonat-Behälter GN 1/1 - Schwarz - Höhe: 100mm</t>
        </is>
      </c>
      <c r="E240" s="24" t="inlineStr">
        <is>
          <t>GGM</t>
        </is>
      </c>
      <c r="F240" s="25" t="inlineStr">
        <is>
          <t>https://www.ggmgastro.com/de-at-eur/6-stueck-polycarbonat-behaelter-gn-1-1-schwarz-hoehe-100mm-gpcp11100s</t>
        </is>
      </c>
      <c r="G240" s="120" t="n">
        <v>54.99</v>
      </c>
      <c r="H240" s="24" t="inlineStr">
        <is>
          <t>excl.</t>
        </is>
      </c>
      <c r="I240" s="116" t="n">
        <v>6</v>
      </c>
      <c r="J240" s="24" t="inlineStr">
        <is>
          <t>set of 6</t>
        </is>
      </c>
      <c r="K240" s="120" t="n">
        <v>9.17</v>
      </c>
      <c r="L240" s="24" t="inlineStr">
        <is>
          <t>EXACT</t>
        </is>
      </c>
      <c r="M240" s="24" t="inlineStr">
        <is>
          <t>Black PC</t>
        </is>
      </c>
      <c r="N240" s="24" t="inlineStr">
        <is>
          <t>2026-09-30</t>
        </is>
      </c>
      <c r="O240" s="2" t="n"/>
      <c r="P240" s="2" t="n"/>
      <c r="Q240" s="2" t="n"/>
      <c r="R240" s="2" t="n"/>
      <c r="S240" s="2" t="n"/>
      <c r="T240" s="2" t="n"/>
      <c r="U240" s="2" t="n"/>
      <c r="V240" s="2" t="n"/>
      <c r="W240" s="2" t="n"/>
      <c r="X240" s="2" t="n"/>
      <c r="Y240" s="2" t="n"/>
      <c r="Z240" s="2" t="n"/>
      <c r="AA240" s="2" t="n"/>
      <c r="AB240" s="2" t="n"/>
      <c r="AC240" s="2" t="n"/>
    </row>
    <row r="241" ht="36" customHeight="1">
      <c r="A241" s="2" t="n"/>
      <c r="B241" s="27" t="inlineStr">
        <is>
          <t>GN 1/1 container, PC, 100 mm</t>
        </is>
      </c>
      <c r="C241" s="27" t="inlineStr">
        <is>
          <t>Gastro Star</t>
        </is>
      </c>
      <c r="D241" s="27" t="inlineStr">
        <is>
          <t>RIEBER GN 1/1 Polycarbonat-Behälter - Tiefe 100mm</t>
        </is>
      </c>
      <c r="E241" s="27" t="inlineStr">
        <is>
          <t>Rieber</t>
        </is>
      </c>
      <c r="F241" s="28" t="inlineStr">
        <is>
          <t>https://www.gastro-star.at/produkt/riebergn11polycarbonat-behaelter-tiefe100mm/</t>
        </is>
      </c>
      <c r="G241" s="121" t="n">
        <v>28</v>
      </c>
      <c r="H241" s="27" t="inlineStr">
        <is>
          <t>excl.</t>
        </is>
      </c>
      <c r="I241" s="117" t="n">
        <v>1</v>
      </c>
      <c r="J241" s="27" t="n"/>
      <c r="K241" s="121" t="n">
        <v>28</v>
      </c>
      <c r="L241" s="27" t="inlineStr">
        <is>
          <t>EXACT</t>
        </is>
      </c>
      <c r="M241" s="27" t="n"/>
      <c r="N241" s="27" t="inlineStr">
        <is>
          <t>2026-09-30</t>
        </is>
      </c>
      <c r="O241" s="2" t="n"/>
      <c r="P241" s="2" t="n"/>
      <c r="Q241" s="2" t="n"/>
      <c r="R241" s="2" t="n"/>
      <c r="S241" s="2" t="n"/>
      <c r="T241" s="2" t="n"/>
      <c r="U241" s="2" t="n"/>
      <c r="V241" s="2" t="n"/>
      <c r="W241" s="2" t="n"/>
      <c r="X241" s="2" t="n"/>
      <c r="Y241" s="2" t="n"/>
      <c r="Z241" s="2" t="n"/>
      <c r="AA241" s="2" t="n"/>
      <c r="AB241" s="2" t="n"/>
      <c r="AC241" s="2" t="n"/>
    </row>
    <row r="242" ht="36" customHeight="1">
      <c r="A242" s="2" t="n"/>
      <c r="B242" s="24" t="inlineStr">
        <is>
          <t>GN 1/1 container, PC, 100 mm</t>
        </is>
      </c>
      <c r="C242" s="24" t="inlineStr">
        <is>
          <t>GastroHero Österreich</t>
        </is>
      </c>
      <c r="D242" s="24" t="inlineStr">
        <is>
          <t>Vogue GN-Behälter 1/1 Polycarbonat - Tiefe 100 mm</t>
        </is>
      </c>
      <c r="E242" s="24" t="inlineStr">
        <is>
          <t>Vogue</t>
        </is>
      </c>
      <c r="F242" s="25" t="inlineStr">
        <is>
          <t>https://www.gastro-hero.at/products/vogue-gn-behaelter-11-polycarbonat-tiefe-100-mm-u225</t>
        </is>
      </c>
      <c r="G242" s="120" t="n">
        <v>18.09</v>
      </c>
      <c r="H242" s="24" t="inlineStr">
        <is>
          <t>excl.</t>
        </is>
      </c>
      <c r="I242" s="116" t="n">
        <v>1</v>
      </c>
      <c r="J242" s="24" t="n"/>
      <c r="K242" s="120" t="n">
        <v>18.09</v>
      </c>
      <c r="L242" s="24" t="inlineStr">
        <is>
          <t>EXACT</t>
        </is>
      </c>
      <c r="M242" s="24" t="inlineStr">
        <is>
          <t>Sale price (normal 19.79); min. qty 4</t>
        </is>
      </c>
      <c r="N242" s="24" t="inlineStr">
        <is>
          <t>2026-09-30</t>
        </is>
      </c>
      <c r="O242" s="2" t="n"/>
      <c r="P242" s="2" t="n"/>
      <c r="Q242" s="2" t="n"/>
      <c r="R242" s="2" t="n"/>
      <c r="S242" s="2" t="n"/>
      <c r="T242" s="2" t="n"/>
      <c r="U242" s="2" t="n"/>
      <c r="V242" s="2" t="n"/>
      <c r="W242" s="2" t="n"/>
      <c r="X242" s="2" t="n"/>
      <c r="Y242" s="2" t="n"/>
      <c r="Z242" s="2" t="n"/>
      <c r="AA242" s="2" t="n"/>
      <c r="AB242" s="2" t="n"/>
      <c r="AC242" s="2" t="n"/>
    </row>
    <row r="243" ht="36" customHeight="1">
      <c r="A243" s="2" t="n"/>
      <c r="B243" s="27" t="inlineStr">
        <is>
          <t>GN 1/1 container, PC, 100 mm</t>
        </is>
      </c>
      <c r="C243" s="27" t="inlineStr">
        <is>
          <t>Gastrodax</t>
        </is>
      </c>
      <c r="D243" s="27" t="inlineStr">
        <is>
          <t>Hendi Gastronorm-Behälter 1/1, 14L, Transparent, 530x325x(H)100mm (Polycarbonat)</t>
        </is>
      </c>
      <c r="E243" s="27" t="inlineStr">
        <is>
          <t>Hendi</t>
        </is>
      </c>
      <c r="F243" s="28" t="inlineStr">
        <is>
          <t>https://www.gastrodax.de/hendi-gastronorm-behaelter-gn-1-1-14-l-polykarbonat-transparent-530-x-325-x-h-100-mm</t>
        </is>
      </c>
      <c r="G243" s="121" t="n">
        <v>29.25</v>
      </c>
      <c r="H243" s="27" t="inlineStr">
        <is>
          <t>excl.</t>
        </is>
      </c>
      <c r="I243" s="117" t="n">
        <v>1</v>
      </c>
      <c r="J243" s="27" t="n"/>
      <c r="K243" s="121" t="n">
        <v>29.25</v>
      </c>
      <c r="L243" s="27" t="inlineStr">
        <is>
          <t>EXACT</t>
        </is>
      </c>
      <c r="M243" s="27" t="inlineStr">
        <is>
          <t>Contacto PC GN 1/1 100 mm 16.72 (sale, normal 20.90)</t>
        </is>
      </c>
      <c r="N243" s="27" t="inlineStr">
        <is>
          <t>2026-09-30</t>
        </is>
      </c>
      <c r="O243" s="2" t="n"/>
      <c r="P243" s="2" t="n"/>
      <c r="Q243" s="2" t="n"/>
      <c r="R243" s="2" t="n"/>
      <c r="S243" s="2" t="n"/>
      <c r="T243" s="2" t="n"/>
      <c r="U243" s="2" t="n"/>
      <c r="V243" s="2" t="n"/>
      <c r="W243" s="2" t="n"/>
      <c r="X243" s="2" t="n"/>
      <c r="Y243" s="2" t="n"/>
      <c r="Z243" s="2" t="n"/>
      <c r="AA243" s="2" t="n"/>
      <c r="AB243" s="2" t="n"/>
      <c r="AC243" s="2" t="n"/>
    </row>
    <row r="244" ht="36" customHeight="1">
      <c r="A244" s="2" t="n"/>
      <c r="B244" s="24" t="inlineStr">
        <is>
          <t>GN 1/1 container, PC, 100 mm</t>
        </is>
      </c>
      <c r="C244" s="24" t="inlineStr">
        <is>
          <t>Gastroladen.at (Harotec GmbH)</t>
        </is>
      </c>
      <c r="D244" s="24" t="inlineStr">
        <is>
          <t>Vogue Polycarbonat GN-Behälter GN1/1 100mm</t>
        </is>
      </c>
      <c r="E244" s="24" t="inlineStr">
        <is>
          <t>Vogue</t>
        </is>
      </c>
      <c r="F244" s="25" t="inlineStr">
        <is>
          <t>https://www.gastroladen.at/3020@GN-U225/Vogue-Polycarbonat-GN-Beh%C3%A4lter-GN1-1-100mm.htm</t>
        </is>
      </c>
      <c r="G244" s="120" t="n">
        <v>15.39</v>
      </c>
      <c r="H244" s="24" t="inlineStr">
        <is>
          <t>incl.</t>
        </is>
      </c>
      <c r="I244" s="116" t="n">
        <v>1</v>
      </c>
      <c r="J244" s="24" t="n"/>
      <c r="K244" s="120" t="n">
        <v>12.83</v>
      </c>
      <c r="L244" s="24" t="inlineStr">
        <is>
          <t>EXACT</t>
        </is>
      </c>
      <c r="M244" s="24" t="inlineStr">
        <is>
          <t>Cambro PC GN 1/1 100 mm (DM729) 22.39</t>
        </is>
      </c>
      <c r="N244" s="24" t="inlineStr">
        <is>
          <t>2026-09-30</t>
        </is>
      </c>
      <c r="O244" s="2" t="n"/>
      <c r="P244" s="2" t="n"/>
      <c r="Q244" s="2" t="n"/>
      <c r="R244" s="2" t="n"/>
      <c r="S244" s="2" t="n"/>
      <c r="T244" s="2" t="n"/>
      <c r="U244" s="2" t="n"/>
      <c r="V244" s="2" t="n"/>
      <c r="W244" s="2" t="n"/>
      <c r="X244" s="2" t="n"/>
      <c r="Y244" s="2" t="n"/>
      <c r="Z244" s="2" t="n"/>
      <c r="AA244" s="2" t="n"/>
      <c r="AB244" s="2" t="n"/>
      <c r="AC244" s="2" t="n"/>
    </row>
    <row r="245" ht="36" customHeight="1">
      <c r="A245" s="2" t="n"/>
      <c r="B245" s="27" t="inlineStr">
        <is>
          <t>GN 1/1 container, PC, 100 mm</t>
        </is>
      </c>
      <c r="C245" s="27" t="inlineStr">
        <is>
          <t>Intergastro (AT shop)</t>
        </is>
      </c>
      <c r="D245" s="27" t="inlineStr">
        <is>
          <t>Gastronorm Behälter GN 1/1 GN 96 BLACK Polycarbonat schwarz H 100 mm</t>
        </is>
      </c>
      <c r="E245" s="27" t="inlineStr">
        <is>
          <t>WAS Germany</t>
        </is>
      </c>
      <c r="F245" s="28" t="inlineStr">
        <is>
          <t>https://www.intergastro.at/gastronorm-behaelter-gn-1-1-gn-96-black-polycarbonat-schwarz-h-100-mm-1016769</t>
        </is>
      </c>
      <c r="G245" s="121" t="n">
        <v>20.65</v>
      </c>
      <c r="H245" s="27" t="inlineStr">
        <is>
          <t>excl.</t>
        </is>
      </c>
      <c r="I245" s="117" t="n">
        <v>1</v>
      </c>
      <c r="J245" s="27" t="n"/>
      <c r="K245" s="121" t="n">
        <v>20.65</v>
      </c>
      <c r="L245" s="27" t="inlineStr">
        <is>
          <t>EXACT</t>
        </is>
      </c>
      <c r="M245" s="27" t="inlineStr">
        <is>
          <t>Black PC</t>
        </is>
      </c>
      <c r="N245" s="27" t="inlineStr">
        <is>
          <t>2026-09-30</t>
        </is>
      </c>
      <c r="O245" s="2" t="n"/>
      <c r="P245" s="2" t="n"/>
      <c r="Q245" s="2" t="n"/>
      <c r="R245" s="2" t="n"/>
      <c r="S245" s="2" t="n"/>
      <c r="T245" s="2" t="n"/>
      <c r="U245" s="2" t="n"/>
      <c r="V245" s="2" t="n"/>
      <c r="W245" s="2" t="n"/>
      <c r="X245" s="2" t="n"/>
      <c r="Y245" s="2" t="n"/>
      <c r="Z245" s="2" t="n"/>
      <c r="AA245" s="2" t="n"/>
      <c r="AB245" s="2" t="n"/>
      <c r="AC245" s="2" t="n"/>
    </row>
    <row r="246" ht="36" customHeight="1">
      <c r="A246" s="2" t="n"/>
      <c r="B246" s="24" t="inlineStr">
        <is>
          <t>GN 1/1 container, PC, 100 mm</t>
        </is>
      </c>
      <c r="C246" s="24" t="inlineStr">
        <is>
          <t>shopbuero.com</t>
        </is>
      </c>
      <c r="D246" s="24" t="inlineStr">
        <is>
          <t>GN-Behälter - GN 1/1 (530 x 325 mm) - 100 mm - Inhalt 13,3 l - Polycarbonat</t>
        </is>
      </c>
      <c r="E246" s="24" t="inlineStr">
        <is>
          <t>Schneider</t>
        </is>
      </c>
      <c r="F246" s="25" t="inlineStr">
        <is>
          <t>https://shopbuero.com/gn-behaelter-gn-1-1-530-x-325-mm-100-mm-inhalt-13-3-l-polycarbonat/530101-C</t>
        </is>
      </c>
      <c r="G246" s="120" t="n">
        <v>17</v>
      </c>
      <c r="H246" s="24" t="inlineStr">
        <is>
          <t>excl.</t>
        </is>
      </c>
      <c r="I246" s="116" t="n">
        <v>1</v>
      </c>
      <c r="J246" s="24" t="n"/>
      <c r="K246" s="120" t="n">
        <v>17</v>
      </c>
      <c r="L246" s="24" t="inlineStr">
        <is>
          <t>EXACT</t>
        </is>
      </c>
      <c r="M246" s="24" t="inlineStr">
        <is>
          <t>Regular price 27.75</t>
        </is>
      </c>
      <c r="N246" s="24" t="inlineStr">
        <is>
          <t>2026-09-30</t>
        </is>
      </c>
      <c r="O246" s="2" t="n"/>
      <c r="P246" s="2" t="n"/>
      <c r="Q246" s="2" t="n"/>
      <c r="R246" s="2" t="n"/>
      <c r="S246" s="2" t="n"/>
      <c r="T246" s="2" t="n"/>
      <c r="U246" s="2" t="n"/>
      <c r="V246" s="2" t="n"/>
      <c r="W246" s="2" t="n"/>
      <c r="X246" s="2" t="n"/>
      <c r="Y246" s="2" t="n"/>
      <c r="Z246" s="2" t="n"/>
      <c r="AA246" s="2" t="n"/>
      <c r="AB246" s="2" t="n"/>
      <c r="AC246" s="2" t="n"/>
    </row>
    <row r="247" ht="36" customHeight="1">
      <c r="A247" s="2" t="n"/>
      <c r="B247" s="27" t="inlineStr">
        <is>
          <t>GN 1/6 container, PC, 100 mm</t>
        </is>
      </c>
      <c r="C247" s="27" t="inlineStr">
        <is>
          <t>ALLPAX Österreich</t>
        </is>
      </c>
      <c r="D247" s="27" t="inlineStr">
        <is>
          <t>PC GN 1/6 Höhe 100 mm schwarz</t>
        </is>
      </c>
      <c r="E247" s="27" t="n"/>
      <c r="F247" s="28" t="inlineStr">
        <is>
          <t>https://www.allpax.at/product_info.php/info/PC-GN-1-6-Hoehe-100-mm-schwarz.html</t>
        </is>
      </c>
      <c r="G247" s="121" t="n">
        <v>3.23</v>
      </c>
      <c r="H247" s="27" t="inlineStr">
        <is>
          <t>excl.</t>
        </is>
      </c>
      <c r="I247" s="117" t="n">
        <v>1</v>
      </c>
      <c r="J247" s="27" t="n"/>
      <c r="K247" s="121" t="n">
        <v>3.23</v>
      </c>
      <c r="L247" s="27" t="inlineStr">
        <is>
          <t>EXACT</t>
        </is>
      </c>
      <c r="M247" s="27" t="inlineStr">
        <is>
          <t>Regular 4.59</t>
        </is>
      </c>
      <c r="N247" s="27" t="inlineStr">
        <is>
          <t>2026-09-30</t>
        </is>
      </c>
      <c r="O247" s="2" t="n"/>
      <c r="P247" s="2" t="n"/>
      <c r="Q247" s="2" t="n"/>
      <c r="R247" s="2" t="n"/>
      <c r="S247" s="2" t="n"/>
      <c r="T247" s="2" t="n"/>
      <c r="U247" s="2" t="n"/>
      <c r="V247" s="2" t="n"/>
      <c r="W247" s="2" t="n"/>
      <c r="X247" s="2" t="n"/>
      <c r="Y247" s="2" t="n"/>
      <c r="Z247" s="2" t="n"/>
      <c r="AA247" s="2" t="n"/>
      <c r="AB247" s="2" t="n"/>
      <c r="AC247" s="2" t="n"/>
    </row>
    <row r="248" ht="36" customHeight="1">
      <c r="A248" s="2" t="n"/>
      <c r="B248" s="24" t="inlineStr">
        <is>
          <t>GN 1/6 container, PC, 100 mm</t>
        </is>
      </c>
      <c r="C248" s="24" t="inlineStr">
        <is>
          <t>GGM Gastro (Austrian storefront)</t>
        </is>
      </c>
      <c r="D248" s="24" t="inlineStr">
        <is>
          <t>(12 Stück) Polycarbonat-Behälter GN 1/6 - Transparent - Höhe: 100mm</t>
        </is>
      </c>
      <c r="E248" s="24" t="inlineStr">
        <is>
          <t>GGM</t>
        </is>
      </c>
      <c r="F248" s="25" t="inlineStr">
        <is>
          <t>https://www.ggmgastro.com/de-at-eur/12-stueck-polycarbonat-behaelter-gn-1-6-transparent-hoehe-100mm-gpcp16100</t>
        </is>
      </c>
      <c r="G248" s="120" t="n">
        <v>46.99</v>
      </c>
      <c r="H248" s="24" t="inlineStr">
        <is>
          <t>excl.</t>
        </is>
      </c>
      <c r="I248" s="116" t="n">
        <v>12</v>
      </c>
      <c r="J248" s="24" t="inlineStr">
        <is>
          <t>set of 12</t>
        </is>
      </c>
      <c r="K248" s="120" t="n">
        <v>3.92</v>
      </c>
      <c r="L248" s="24" t="inlineStr">
        <is>
          <t>EXACT</t>
        </is>
      </c>
      <c r="M248" s="24" t="n"/>
      <c r="N248" s="24" t="inlineStr">
        <is>
          <t>2026-09-30</t>
        </is>
      </c>
      <c r="O248" s="2" t="n"/>
      <c r="P248" s="2" t="n"/>
      <c r="Q248" s="2" t="n"/>
      <c r="R248" s="2" t="n"/>
      <c r="S248" s="2" t="n"/>
      <c r="T248" s="2" t="n"/>
      <c r="U248" s="2" t="n"/>
      <c r="V248" s="2" t="n"/>
      <c r="W248" s="2" t="n"/>
      <c r="X248" s="2" t="n"/>
      <c r="Y248" s="2" t="n"/>
      <c r="Z248" s="2" t="n"/>
      <c r="AA248" s="2" t="n"/>
      <c r="AB248" s="2" t="n"/>
      <c r="AC248" s="2" t="n"/>
    </row>
    <row r="249" ht="36" customHeight="1">
      <c r="A249" s="2" t="n"/>
      <c r="B249" s="27" t="inlineStr">
        <is>
          <t>GN 1/6 container, PC, 100 mm</t>
        </is>
      </c>
      <c r="C249" s="27" t="inlineStr">
        <is>
          <t>Gastro Star</t>
        </is>
      </c>
      <c r="D249" s="27" t="inlineStr">
        <is>
          <t>RIEBER GN 1/6 Polycarbonat-Behälter - Tiefe 100mm</t>
        </is>
      </c>
      <c r="E249" s="27" t="inlineStr">
        <is>
          <t>Rieber</t>
        </is>
      </c>
      <c r="F249" s="28" t="inlineStr">
        <is>
          <t>https://www.gastro-star.at/produkt/riebergn16polycarbonat-behaelter-tiefe100mm/</t>
        </is>
      </c>
      <c r="G249" s="121" t="n">
        <v>8</v>
      </c>
      <c r="H249" s="27" t="inlineStr">
        <is>
          <t>excl.</t>
        </is>
      </c>
      <c r="I249" s="117" t="n">
        <v>1</v>
      </c>
      <c r="J249" s="27" t="n"/>
      <c r="K249" s="121" t="n">
        <v>8</v>
      </c>
      <c r="L249" s="27" t="inlineStr">
        <is>
          <t>EXACT</t>
        </is>
      </c>
      <c r="M249" s="27" t="n"/>
      <c r="N249" s="27" t="inlineStr">
        <is>
          <t>2026-09-30</t>
        </is>
      </c>
      <c r="O249" s="2" t="n"/>
      <c r="P249" s="2" t="n"/>
      <c r="Q249" s="2" t="n"/>
      <c r="R249" s="2" t="n"/>
      <c r="S249" s="2" t="n"/>
      <c r="T249" s="2" t="n"/>
      <c r="U249" s="2" t="n"/>
      <c r="V249" s="2" t="n"/>
      <c r="W249" s="2" t="n"/>
      <c r="X249" s="2" t="n"/>
      <c r="Y249" s="2" t="n"/>
      <c r="Z249" s="2" t="n"/>
      <c r="AA249" s="2" t="n"/>
      <c r="AB249" s="2" t="n"/>
      <c r="AC249" s="2" t="n"/>
    </row>
    <row r="250" ht="36" customHeight="1">
      <c r="A250" s="2" t="n"/>
      <c r="B250" s="24" t="inlineStr">
        <is>
          <t>GN 1/6 container, PC, 100 mm</t>
        </is>
      </c>
      <c r="C250" s="24" t="inlineStr">
        <is>
          <t>GastroHero Österreich</t>
        </is>
      </c>
      <c r="D250" s="24" t="inlineStr">
        <is>
          <t>Vogue GN-Behälter 1/6 Polycarbonat - Tiefe 100 mm</t>
        </is>
      </c>
      <c r="E250" s="24" t="inlineStr">
        <is>
          <t>Vogue</t>
        </is>
      </c>
      <c r="F250" s="25" t="inlineStr">
        <is>
          <t>https://www.gastro-hero.at/products/vogue-gn-behaelter-16-polycarbonat-tiefe-100-mm-u240</t>
        </is>
      </c>
      <c r="G250" s="120" t="n">
        <v>3.79</v>
      </c>
      <c r="H250" s="24" t="inlineStr">
        <is>
          <t>excl.</t>
        </is>
      </c>
      <c r="I250" s="116" t="n">
        <v>1</v>
      </c>
      <c r="J250" s="24" t="n"/>
      <c r="K250" s="120" t="n">
        <v>3.79</v>
      </c>
      <c r="L250" s="24" t="inlineStr">
        <is>
          <t>EXACT</t>
        </is>
      </c>
      <c r="M250" s="24" t="inlineStr">
        <is>
          <t>Sale price (normal 4.39); min. qty 4</t>
        </is>
      </c>
      <c r="N250" s="24" t="inlineStr">
        <is>
          <t>2026-09-30</t>
        </is>
      </c>
      <c r="O250" s="2" t="n"/>
      <c r="P250" s="2" t="n"/>
      <c r="Q250" s="2" t="n"/>
      <c r="R250" s="2" t="n"/>
      <c r="S250" s="2" t="n"/>
      <c r="T250" s="2" t="n"/>
      <c r="U250" s="2" t="n"/>
      <c r="V250" s="2" t="n"/>
      <c r="W250" s="2" t="n"/>
      <c r="X250" s="2" t="n"/>
      <c r="Y250" s="2" t="n"/>
      <c r="Z250" s="2" t="n"/>
      <c r="AA250" s="2" t="n"/>
      <c r="AB250" s="2" t="n"/>
      <c r="AC250" s="2" t="n"/>
    </row>
    <row r="251" ht="36" customHeight="1">
      <c r="A251" s="2" t="n"/>
      <c r="B251" s="27" t="inlineStr">
        <is>
          <t>GN 1/6 container, PC, 100 mm</t>
        </is>
      </c>
      <c r="C251" s="27" t="inlineStr">
        <is>
          <t>Gastrodax</t>
        </is>
      </c>
      <c r="D251" s="27" t="inlineStr">
        <is>
          <t>Hendi Gastronorm-Behälter 1/6, 1,6L, Transparent, 176x162x(H)100mm (Polycarbonat)</t>
        </is>
      </c>
      <c r="E251" s="27" t="inlineStr">
        <is>
          <t>Hendi</t>
        </is>
      </c>
      <c r="F251" s="28" t="inlineStr">
        <is>
          <t>https://www.gastrodax.de/hendi-gastronorm-behaelter-gn-1-6-1-6-l-polykarbonat-transparent-176-x-162-x-h-100-mm</t>
        </is>
      </c>
      <c r="G251" s="121" t="n">
        <v>14.86</v>
      </c>
      <c r="H251" s="27" t="inlineStr">
        <is>
          <t>excl.</t>
        </is>
      </c>
      <c r="I251" s="117" t="n">
        <v>1</v>
      </c>
      <c r="J251" s="27" t="n"/>
      <c r="K251" s="121" t="n">
        <v>14.86</v>
      </c>
      <c r="L251" s="27" t="inlineStr">
        <is>
          <t>EXACT</t>
        </is>
      </c>
      <c r="M251" s="27" t="n"/>
      <c r="N251" s="27" t="inlineStr">
        <is>
          <t>2026-09-30</t>
        </is>
      </c>
      <c r="O251" s="2" t="n"/>
      <c r="P251" s="2" t="n"/>
      <c r="Q251" s="2" t="n"/>
      <c r="R251" s="2" t="n"/>
      <c r="S251" s="2" t="n"/>
      <c r="T251" s="2" t="n"/>
      <c r="U251" s="2" t="n"/>
      <c r="V251" s="2" t="n"/>
      <c r="W251" s="2" t="n"/>
      <c r="X251" s="2" t="n"/>
      <c r="Y251" s="2" t="n"/>
      <c r="Z251" s="2" t="n"/>
      <c r="AA251" s="2" t="n"/>
      <c r="AB251" s="2" t="n"/>
      <c r="AC251" s="2" t="n"/>
    </row>
    <row r="252" ht="36" customHeight="1">
      <c r="A252" s="2" t="n"/>
      <c r="B252" s="24" t="inlineStr">
        <is>
          <t>GN 1/6 container, PC, 100 mm</t>
        </is>
      </c>
      <c r="C252" s="24" t="inlineStr">
        <is>
          <t>Gastroladen.at (Harotec GmbH)</t>
        </is>
      </c>
      <c r="D252" s="24" t="inlineStr">
        <is>
          <t>Vogue Polycarbonat GN-Behälter GN1/6 100mm</t>
        </is>
      </c>
      <c r="E252" s="24" t="inlineStr">
        <is>
          <t>Vogue</t>
        </is>
      </c>
      <c r="F252" s="25" t="inlineStr">
        <is>
          <t>https://www.gastroladen.at/3020@GN-U240/Vogue-Polycarbonat-GN-Beh%C3%A4lter-GN1-6-100mm.htm</t>
        </is>
      </c>
      <c r="G252" s="120" t="n">
        <v>3.89</v>
      </c>
      <c r="H252" s="24" t="inlineStr">
        <is>
          <t>incl.</t>
        </is>
      </c>
      <c r="I252" s="116" t="n">
        <v>1</v>
      </c>
      <c r="J252" s="24" t="n"/>
      <c r="K252" s="120" t="n">
        <v>3.24</v>
      </c>
      <c r="L252" s="24" t="inlineStr">
        <is>
          <t>EXACT</t>
        </is>
      </c>
      <c r="M252" s="24" t="n"/>
      <c r="N252" s="24" t="inlineStr">
        <is>
          <t>2026-09-30</t>
        </is>
      </c>
      <c r="O252" s="2" t="n"/>
      <c r="P252" s="2" t="n"/>
      <c r="Q252" s="2" t="n"/>
      <c r="R252" s="2" t="n"/>
      <c r="S252" s="2" t="n"/>
      <c r="T252" s="2" t="n"/>
      <c r="U252" s="2" t="n"/>
      <c r="V252" s="2" t="n"/>
      <c r="W252" s="2" t="n"/>
      <c r="X252" s="2" t="n"/>
      <c r="Y252" s="2" t="n"/>
      <c r="Z252" s="2" t="n"/>
      <c r="AA252" s="2" t="n"/>
      <c r="AB252" s="2" t="n"/>
      <c r="AC252" s="2" t="n"/>
    </row>
    <row r="253" ht="36" customHeight="1">
      <c r="A253" s="2" t="n"/>
      <c r="B253" s="27" t="inlineStr">
        <is>
          <t>GN 1/6 container, PC, 100 mm</t>
        </is>
      </c>
      <c r="C253" s="27" t="inlineStr">
        <is>
          <t>Intergastro (AT shop)</t>
        </is>
      </c>
      <c r="D253" s="27" t="inlineStr">
        <is>
          <t>Gastronorm Behälter GN 1/6 GN 96 BLACK Polycarbonat schwarz H 100 mm</t>
        </is>
      </c>
      <c r="E253" s="27" t="inlineStr">
        <is>
          <t>WAS Germany</t>
        </is>
      </c>
      <c r="F253" s="28" t="inlineStr">
        <is>
          <t>https://www.intergastro.at/gastronorm-behaelter-gn-1-6-gn-96-black-polycarbonat-schwarz-h-100-mm-1016785</t>
        </is>
      </c>
      <c r="G253" s="121" t="n">
        <v>4.13</v>
      </c>
      <c r="H253" s="27" t="inlineStr">
        <is>
          <t>excl.</t>
        </is>
      </c>
      <c r="I253" s="117" t="n">
        <v>1</v>
      </c>
      <c r="J253" s="27" t="n"/>
      <c r="K253" s="121" t="n">
        <v>4.13</v>
      </c>
      <c r="L253" s="27" t="inlineStr">
        <is>
          <t>EXACT</t>
        </is>
      </c>
      <c r="M253" s="27" t="inlineStr">
        <is>
          <t>Black PC</t>
        </is>
      </c>
      <c r="N253" s="27" t="inlineStr">
        <is>
          <t>2026-09-30</t>
        </is>
      </c>
      <c r="O253" s="2" t="n"/>
      <c r="P253" s="2" t="n"/>
      <c r="Q253" s="2" t="n"/>
      <c r="R253" s="2" t="n"/>
      <c r="S253" s="2" t="n"/>
      <c r="T253" s="2" t="n"/>
      <c r="U253" s="2" t="n"/>
      <c r="V253" s="2" t="n"/>
      <c r="W253" s="2" t="n"/>
      <c r="X253" s="2" t="n"/>
      <c r="Y253" s="2" t="n"/>
      <c r="Z253" s="2" t="n"/>
      <c r="AA253" s="2" t="n"/>
      <c r="AB253" s="2" t="n"/>
      <c r="AC253" s="2" t="n"/>
    </row>
    <row r="254" ht="36" customHeight="1">
      <c r="A254" s="2" t="n"/>
      <c r="B254" s="24" t="inlineStr">
        <is>
          <t>GN 1/6 container, PC, 100 mm</t>
        </is>
      </c>
      <c r="C254" s="24" t="inlineStr">
        <is>
          <t>Jungheinrich PROFISHOP Austria</t>
        </is>
      </c>
      <c r="D254" s="24" t="inlineStr">
        <is>
          <t>Stalgast Gastronormbehälter, Polycarbonat, schwarz, GN 1/6 (100 mm)</t>
        </is>
      </c>
      <c r="E254" s="24" t="inlineStr">
        <is>
          <t>Stalgast</t>
        </is>
      </c>
      <c r="F254" s="25" t="inlineStr">
        <is>
          <t>https://www.jh-profishop.at/p/stalgast-gastronormbehaelter-polycarbonat-schwarz-gn-1-6-100-mm-928314-347822/</t>
        </is>
      </c>
      <c r="G254" s="120" t="n">
        <v>14.3</v>
      </c>
      <c r="H254" s="24" t="inlineStr">
        <is>
          <t>excl.</t>
        </is>
      </c>
      <c r="I254" s="116" t="n">
        <v>1</v>
      </c>
      <c r="J254" s="24" t="n"/>
      <c r="K254" s="120" t="n">
        <v>14.3</v>
      </c>
      <c r="L254" s="24" t="inlineStr">
        <is>
          <t>EXACT</t>
        </is>
      </c>
      <c r="M254" s="24" t="inlineStr">
        <is>
          <t>Black PC</t>
        </is>
      </c>
      <c r="N254" s="24" t="inlineStr">
        <is>
          <t>2026-09-30</t>
        </is>
      </c>
      <c r="O254" s="2" t="n"/>
      <c r="P254" s="2" t="n"/>
      <c r="Q254" s="2" t="n"/>
      <c r="R254" s="2" t="n"/>
      <c r="S254" s="2" t="n"/>
      <c r="T254" s="2" t="n"/>
      <c r="U254" s="2" t="n"/>
      <c r="V254" s="2" t="n"/>
      <c r="W254" s="2" t="n"/>
      <c r="X254" s="2" t="n"/>
      <c r="Y254" s="2" t="n"/>
      <c r="Z254" s="2" t="n"/>
      <c r="AA254" s="2" t="n"/>
      <c r="AB254" s="2" t="n"/>
      <c r="AC254" s="2" t="n"/>
    </row>
    <row r="255" ht="36" customHeight="1">
      <c r="A255" s="2" t="n"/>
      <c r="B255" s="27" t="inlineStr">
        <is>
          <t>GN 1/6 container, PC, 100 mm</t>
        </is>
      </c>
      <c r="C255" s="27" t="inlineStr">
        <is>
          <t>shopbuero.com</t>
        </is>
      </c>
      <c r="D255" s="27" t="inlineStr">
        <is>
          <t>GN-Behälter - GN 1/6 (176 x 162 mm) - 100 mm - Inhalt 1,6 l - Polycarbonat</t>
        </is>
      </c>
      <c r="E255" s="27" t="inlineStr">
        <is>
          <t>Schneider</t>
        </is>
      </c>
      <c r="F255" s="28" t="inlineStr">
        <is>
          <t>https://shopbuero.com/gn-behaelter-gn-1-6-176-x-162-mm-100-mm-inhalt-1-6-l-polycarbonat/530141-C</t>
        </is>
      </c>
      <c r="G255" s="121" t="n">
        <v>3.7</v>
      </c>
      <c r="H255" s="27" t="inlineStr">
        <is>
          <t>excl.</t>
        </is>
      </c>
      <c r="I255" s="117" t="n">
        <v>1</v>
      </c>
      <c r="J255" s="27" t="n"/>
      <c r="K255" s="121" t="n">
        <v>3.7</v>
      </c>
      <c r="L255" s="27" t="inlineStr">
        <is>
          <t>EXACT</t>
        </is>
      </c>
      <c r="M255" s="27" t="inlineStr">
        <is>
          <t>Regular price 5.95</t>
        </is>
      </c>
      <c r="N255" s="27" t="inlineStr">
        <is>
          <t>2026-09-30</t>
        </is>
      </c>
      <c r="O255" s="2" t="n"/>
      <c r="P255" s="2" t="n"/>
      <c r="Q255" s="2" t="n"/>
      <c r="R255" s="2" t="n"/>
      <c r="S255" s="2" t="n"/>
      <c r="T255" s="2" t="n"/>
      <c r="U255" s="2" t="n"/>
      <c r="V255" s="2" t="n"/>
      <c r="W255" s="2" t="n"/>
      <c r="X255" s="2" t="n"/>
      <c r="Y255" s="2" t="n"/>
      <c r="Z255" s="2" t="n"/>
      <c r="AA255" s="2" t="n"/>
      <c r="AB255" s="2" t="n"/>
      <c r="AC255" s="2" t="n"/>
    </row>
    <row r="256" ht="36" customHeight="1">
      <c r="A256" s="2" t="n"/>
      <c r="B256" s="24" t="inlineStr">
        <is>
          <t>Cutting board 530x325x15 mm, red PE</t>
        </is>
      </c>
      <c r="C256" s="24" t="inlineStr">
        <is>
          <t>ALLPAX Österreich</t>
        </is>
      </c>
      <c r="D256" s="24" t="inlineStr">
        <is>
          <t>Hendi Schneidebrett GN 1/1 in Rot</t>
        </is>
      </c>
      <c r="E256" s="24" t="inlineStr">
        <is>
          <t>Hendi</t>
        </is>
      </c>
      <c r="F256" s="25" t="inlineStr">
        <is>
          <t>https://www.allpax.at/product_info.php/info/Hendi-Schneidebrett-GN-1-1-in-Rot.html</t>
        </is>
      </c>
      <c r="G256" s="120" t="n">
        <v>21.24</v>
      </c>
      <c r="H256" s="24" t="inlineStr">
        <is>
          <t>excl.</t>
        </is>
      </c>
      <c r="I256" s="116" t="n">
        <v>1</v>
      </c>
      <c r="J256" s="24" t="n"/>
      <c r="K256" s="120" t="n">
        <v>21.24</v>
      </c>
      <c r="L256" s="24" t="inlineStr">
        <is>
          <t>CLOSE</t>
        </is>
      </c>
      <c r="M256" s="24" t="inlineStr">
        <is>
          <t>Red 530x325, HACCP; thickness not stated; with juice groove</t>
        </is>
      </c>
      <c r="N256" s="24" t="inlineStr">
        <is>
          <t>2026-09-30</t>
        </is>
      </c>
      <c r="O256" s="2" t="n"/>
      <c r="P256" s="2" t="n"/>
      <c r="Q256" s="2" t="n"/>
      <c r="R256" s="2" t="n"/>
      <c r="S256" s="2" t="n"/>
      <c r="T256" s="2" t="n"/>
      <c r="U256" s="2" t="n"/>
      <c r="V256" s="2" t="n"/>
      <c r="W256" s="2" t="n"/>
      <c r="X256" s="2" t="n"/>
      <c r="Y256" s="2" t="n"/>
      <c r="Z256" s="2" t="n"/>
      <c r="AA256" s="2" t="n"/>
      <c r="AB256" s="2" t="n"/>
      <c r="AC256" s="2" t="n"/>
    </row>
    <row r="257" ht="36" customHeight="1">
      <c r="A257" s="2" t="n"/>
      <c r="B257" s="27" t="inlineStr">
        <is>
          <t>Cutting board 530x325x15 mm, red PE</t>
        </is>
      </c>
      <c r="C257" s="27" t="inlineStr">
        <is>
          <t>GGM Gastro (Austrian storefront)</t>
        </is>
      </c>
      <c r="D257" s="27" t="inlineStr">
        <is>
          <t>Schneidebrett - 325x530mm - HACCP-Konform - Rot</t>
        </is>
      </c>
      <c r="E257" s="27" t="inlineStr">
        <is>
          <t>GGM</t>
        </is>
      </c>
      <c r="F257" s="28" t="inlineStr">
        <is>
          <t>https://www.ggmgastro.com/de-at-eur/schneidebrett-325x530mm-haccp-konform-rot-sbp53r</t>
        </is>
      </c>
      <c r="G257" s="121" t="n">
        <v>26.49</v>
      </c>
      <c r="H257" s="27" t="inlineStr">
        <is>
          <t>excl.</t>
        </is>
      </c>
      <c r="I257" s="117" t="n">
        <v>1</v>
      </c>
      <c r="J257" s="27" t="n"/>
      <c r="K257" s="121" t="n">
        <v>26.49</v>
      </c>
      <c r="L257" s="27" t="inlineStr">
        <is>
          <t>CLOSE</t>
        </is>
      </c>
      <c r="M257" s="27" t="inlineStr">
        <is>
          <t>Red PE board; thickness not shown on this page (white board of same series is 325x530x20 mm)</t>
        </is>
      </c>
      <c r="N257" s="27" t="inlineStr">
        <is>
          <t>2026-09-30</t>
        </is>
      </c>
      <c r="O257" s="2" t="n"/>
      <c r="P257" s="2" t="n"/>
      <c r="Q257" s="2" t="n"/>
      <c r="R257" s="2" t="n"/>
      <c r="S257" s="2" t="n"/>
      <c r="T257" s="2" t="n"/>
      <c r="U257" s="2" t="n"/>
      <c r="V257" s="2" t="n"/>
      <c r="W257" s="2" t="n"/>
      <c r="X257" s="2" t="n"/>
      <c r="Y257" s="2" t="n"/>
      <c r="Z257" s="2" t="n"/>
      <c r="AA257" s="2" t="n"/>
      <c r="AB257" s="2" t="n"/>
      <c r="AC257" s="2" t="n"/>
    </row>
    <row r="258" ht="36" customHeight="1">
      <c r="A258" s="2" t="n"/>
      <c r="B258" s="24" t="inlineStr">
        <is>
          <t>Cutting board 530x325x15 mm, red PE</t>
        </is>
      </c>
      <c r="C258" s="24" t="inlineStr">
        <is>
          <t>Gastrodax</t>
        </is>
      </c>
      <c r="D258" s="24" t="inlineStr">
        <is>
          <t>Hendi Schneidbrett HACCP Gastronorm 1/1, Rot, 530x325mm</t>
        </is>
      </c>
      <c r="E258" s="24" t="inlineStr">
        <is>
          <t>Hendi</t>
        </is>
      </c>
      <c r="F258" s="25" t="inlineStr">
        <is>
          <t>https://www.gastrodax.de/hendi-schneidbretter-haccp-gastronorm-1-1-gn-1-1-rot-530-x-325-mm</t>
        </is>
      </c>
      <c r="G258" s="120" t="n">
        <v>20.95</v>
      </c>
      <c r="H258" s="24" t="inlineStr">
        <is>
          <t>excl.</t>
        </is>
      </c>
      <c r="I258" s="116" t="n">
        <v>1</v>
      </c>
      <c r="J258" s="24" t="n"/>
      <c r="K258" s="120" t="n">
        <v>20.95</v>
      </c>
      <c r="L258" s="24" t="inlineStr">
        <is>
          <t>EXACT</t>
        </is>
      </c>
      <c r="M258" s="24" t="inlineStr">
        <is>
          <t>530x325x15 mm, red; material not stated on page</t>
        </is>
      </c>
      <c r="N258" s="24" t="inlineStr">
        <is>
          <t>2026-09-30</t>
        </is>
      </c>
      <c r="O258" s="2" t="n"/>
      <c r="P258" s="2" t="n"/>
      <c r="Q258" s="2" t="n"/>
      <c r="R258" s="2" t="n"/>
      <c r="S258" s="2" t="n"/>
      <c r="T258" s="2" t="n"/>
      <c r="U258" s="2" t="n"/>
      <c r="V258" s="2" t="n"/>
      <c r="W258" s="2" t="n"/>
      <c r="X258" s="2" t="n"/>
      <c r="Y258" s="2" t="n"/>
      <c r="Z258" s="2" t="n"/>
      <c r="AA258" s="2" t="n"/>
      <c r="AB258" s="2" t="n"/>
      <c r="AC258" s="2" t="n"/>
    </row>
    <row r="259" ht="36" customHeight="1">
      <c r="A259" s="2" t="n"/>
      <c r="B259" s="27" t="inlineStr">
        <is>
          <t>Cutting board 530x325x15 mm, red PE</t>
        </is>
      </c>
      <c r="C259" s="27" t="inlineStr">
        <is>
          <t>Gastroladen.at (Harotec GmbH)</t>
        </is>
      </c>
      <c r="D259" s="27" t="inlineStr">
        <is>
          <t>Bartscher Schneidbrett PRO 53x32 R-R (rot)</t>
        </is>
      </c>
      <c r="E259" s="27" t="inlineStr">
        <is>
          <t>Bartscher</t>
        </is>
      </c>
      <c r="F259" s="28" t="inlineStr">
        <is>
          <t>https://www.gastroladen.at/2310@A120513/Bartscher-Schneidbrett-PRO-53x32-R-R.htm</t>
        </is>
      </c>
      <c r="G259" s="121" t="n">
        <v>29.49</v>
      </c>
      <c r="H259" s="27" t="inlineStr">
        <is>
          <t>incl.</t>
        </is>
      </c>
      <c r="I259" s="117" t="n">
        <v>1</v>
      </c>
      <c r="J259" s="27" t="n"/>
      <c r="K259" s="121" t="n">
        <v>24.57</v>
      </c>
      <c r="L259" s="27" t="inlineStr">
        <is>
          <t>CLOSE</t>
        </is>
      </c>
      <c r="M259" s="27" t="inlineStr">
        <is>
          <t>Red PE 530x325 but 20 mm plate (vs 15 mm), rubber feet, juice groove</t>
        </is>
      </c>
      <c r="N259" s="27" t="inlineStr">
        <is>
          <t>2026-09-30</t>
        </is>
      </c>
      <c r="O259" s="2" t="n"/>
      <c r="P259" s="2" t="n"/>
      <c r="Q259" s="2" t="n"/>
      <c r="R259" s="2" t="n"/>
      <c r="S259" s="2" t="n"/>
      <c r="T259" s="2" t="n"/>
      <c r="U259" s="2" t="n"/>
      <c r="V259" s="2" t="n"/>
      <c r="W259" s="2" t="n"/>
      <c r="X259" s="2" t="n"/>
      <c r="Y259" s="2" t="n"/>
      <c r="Z259" s="2" t="n"/>
      <c r="AA259" s="2" t="n"/>
      <c r="AB259" s="2" t="n"/>
      <c r="AC259" s="2" t="n"/>
    </row>
    <row r="260" ht="36" customHeight="1">
      <c r="A260" s="2" t="n"/>
      <c r="B260" s="24" t="inlineStr">
        <is>
          <t>Cutting board 530x325x15 mm, red PE</t>
        </is>
      </c>
      <c r="C260" s="24" t="inlineStr">
        <is>
          <t>Intergastro (AT shop)</t>
        </is>
      </c>
      <c r="D260" s="24" t="inlineStr">
        <is>
          <t>Schneidbrett Kunststoff rot mit Saftrille 530 x 325 mm H 20 mm</t>
        </is>
      </c>
      <c r="E260" s="24" t="inlineStr">
        <is>
          <t>Dick</t>
        </is>
      </c>
      <c r="F260" s="25" t="inlineStr">
        <is>
          <t>https://www.intergastro.at/schneidbrett-kunststoff-rot-mit-saftrille-530-mm-x-325-mm-h-20-mm-159103</t>
        </is>
      </c>
      <c r="G260" s="120" t="n">
        <v>51.09</v>
      </c>
      <c r="H260" s="24" t="inlineStr">
        <is>
          <t>excl.</t>
        </is>
      </c>
      <c r="I260" s="116" t="n">
        <v>1</v>
      </c>
      <c r="J260" s="24" t="n"/>
      <c r="K260" s="120" t="n">
        <v>51.09</v>
      </c>
      <c r="L260" s="24" t="inlineStr">
        <is>
          <t>CLOSE</t>
        </is>
      </c>
      <c r="M260" s="24" t="inlineStr">
        <is>
          <t>20 mm instead of 15 mm, juice groove; premium brand (F. Dick)</t>
        </is>
      </c>
      <c r="N260" s="24" t="inlineStr">
        <is>
          <t>2026-09-30</t>
        </is>
      </c>
      <c r="O260" s="2" t="n"/>
      <c r="P260" s="2" t="n"/>
      <c r="Q260" s="2" t="n"/>
      <c r="R260" s="2" t="n"/>
      <c r="S260" s="2" t="n"/>
      <c r="T260" s="2" t="n"/>
      <c r="U260" s="2" t="n"/>
      <c r="V260" s="2" t="n"/>
      <c r="W260" s="2" t="n"/>
      <c r="X260" s="2" t="n"/>
      <c r="Y260" s="2" t="n"/>
      <c r="Z260" s="2" t="n"/>
      <c r="AA260" s="2" t="n"/>
      <c r="AB260" s="2" t="n"/>
      <c r="AC260" s="2" t="n"/>
    </row>
    <row r="261" ht="36" customHeight="1">
      <c r="A261" s="2" t="n"/>
      <c r="B261" s="27" t="inlineStr">
        <is>
          <t>Cutting board 530x325x15 mm, red PE</t>
        </is>
      </c>
      <c r="C261" s="27" t="inlineStr">
        <is>
          <t>Jungheinrich PROFISHOP Austria</t>
        </is>
      </c>
      <c r="D261" s="27" t="inlineStr">
        <is>
          <t>Stalgast Schneidbrett, HACCP, Farbe rot, GN1/1, Stärke 15 mm</t>
        </is>
      </c>
      <c r="E261" s="27" t="inlineStr">
        <is>
          <t>Stalgast</t>
        </is>
      </c>
      <c r="F261" s="28" t="inlineStr">
        <is>
          <t>https://www.jh-profishop.at/p/stalgast-schneidbrett-haccp-farbe-rot-gn1-1-staerke-15-mm-927571-346777/</t>
        </is>
      </c>
      <c r="G261" s="121" t="n">
        <v>23.9</v>
      </c>
      <c r="H261" s="27" t="inlineStr">
        <is>
          <t>excl.</t>
        </is>
      </c>
      <c r="I261" s="117" t="n">
        <v>1</v>
      </c>
      <c r="J261" s="27" t="n"/>
      <c r="K261" s="121" t="n">
        <v>23.9</v>
      </c>
      <c r="L261" s="27" t="inlineStr">
        <is>
          <t>CLOSE</t>
        </is>
      </c>
      <c r="M261" s="27" t="inlineStr">
        <is>
          <t>Red 530x325x15 mm but polypropylene (not PE)</t>
        </is>
      </c>
      <c r="N261" s="27" t="inlineStr">
        <is>
          <t>2026-09-30</t>
        </is>
      </c>
      <c r="O261" s="2" t="n"/>
      <c r="P261" s="2" t="n"/>
      <c r="Q261" s="2" t="n"/>
      <c r="R261" s="2" t="n"/>
      <c r="S261" s="2" t="n"/>
      <c r="T261" s="2" t="n"/>
      <c r="U261" s="2" t="n"/>
      <c r="V261" s="2" t="n"/>
      <c r="W261" s="2" t="n"/>
      <c r="X261" s="2" t="n"/>
      <c r="Y261" s="2" t="n"/>
      <c r="Z261" s="2" t="n"/>
      <c r="AA261" s="2" t="n"/>
      <c r="AB261" s="2" t="n"/>
      <c r="AC261" s="2" t="n"/>
    </row>
    <row r="262" ht="36" customHeight="1">
      <c r="A262" s="2" t="n"/>
      <c r="B262" s="24" t="inlineStr">
        <is>
          <t>Cutting board 530x325x15 mm, red PE</t>
        </is>
      </c>
      <c r="C262" s="24" t="inlineStr">
        <is>
          <t>shopbuero.com</t>
        </is>
      </c>
      <c r="D262" s="24" t="inlineStr">
        <is>
          <t>GN-Schneidebrett - mit Füßen - rot - GN 1/1 (530 x 325 mm) - Polyethylen</t>
        </is>
      </c>
      <c r="E262" s="24" t="inlineStr">
        <is>
          <t>Schneider</t>
        </is>
      </c>
      <c r="F262" s="25" t="inlineStr">
        <is>
          <t>https://shopbuero.com/gn-schneidebrett-mit-fuessen-rot-gn-1-1-530-x-325-mm-polyethylen/228313-C</t>
        </is>
      </c>
      <c r="G262" s="120" t="n">
        <v>29</v>
      </c>
      <c r="H262" s="24" t="inlineStr">
        <is>
          <t>excl.</t>
        </is>
      </c>
      <c r="I262" s="116" t="n">
        <v>1</v>
      </c>
      <c r="J262" s="24" t="n"/>
      <c r="K262" s="120" t="n">
        <v>29</v>
      </c>
      <c r="L262" s="24" t="inlineStr">
        <is>
          <t>CLOSE</t>
        </is>
      </c>
      <c r="M262" s="24" t="inlineStr">
        <is>
          <t>Red PE but 20 mm thick (vs 15 mm), with feet; regular price 45.30</t>
        </is>
      </c>
      <c r="N262" s="24" t="inlineStr">
        <is>
          <t>2026-09-30</t>
        </is>
      </c>
      <c r="O262" s="2" t="n"/>
      <c r="P262" s="2" t="n"/>
      <c r="Q262" s="2" t="n"/>
      <c r="R262" s="2" t="n"/>
      <c r="S262" s="2" t="n"/>
      <c r="T262" s="2" t="n"/>
      <c r="U262" s="2" t="n"/>
      <c r="V262" s="2" t="n"/>
      <c r="W262" s="2" t="n"/>
      <c r="X262" s="2" t="n"/>
      <c r="Y262" s="2" t="n"/>
      <c r="Z262" s="2" t="n"/>
      <c r="AA262" s="2" t="n"/>
      <c r="AB262" s="2" t="n"/>
      <c r="AC262" s="2" t="n"/>
    </row>
    <row r="263" ht="36" customHeight="1">
      <c r="A263" s="2" t="n"/>
      <c r="B263" s="27" t="inlineStr">
        <is>
          <t>GN 1/3 PP lid, standard</t>
        </is>
      </c>
      <c r="C263" s="27" t="inlineStr">
        <is>
          <t>ALLPAX Österreich</t>
        </is>
      </c>
      <c r="D263" s="27" t="inlineStr">
        <is>
          <t>Hendi GN Deckel 1/3 PP, violett</t>
        </is>
      </c>
      <c r="E263" s="27" t="inlineStr">
        <is>
          <t>Hendi</t>
        </is>
      </c>
      <c r="F263" s="28" t="inlineStr">
        <is>
          <t>https://www.allpax.at/product_info.php/info/Hendi-GN-Deckel-1-3-PP-violett.html</t>
        </is>
      </c>
      <c r="G263" s="121" t="n">
        <v>3.38</v>
      </c>
      <c r="H263" s="27" t="inlineStr">
        <is>
          <t>excl.</t>
        </is>
      </c>
      <c r="I263" s="117" t="n">
        <v>1</v>
      </c>
      <c r="J263" s="27" t="n"/>
      <c r="K263" s="121" t="n">
        <v>3.38</v>
      </c>
      <c r="L263" s="27" t="inlineStr">
        <is>
          <t>CLOSE</t>
        </is>
      </c>
      <c r="M263" s="27" t="inlineStr">
        <is>
          <t>PP GN 1/3 lid in violet (allergen colour) rather than standard transparent</t>
        </is>
      </c>
      <c r="N263" s="27" t="inlineStr">
        <is>
          <t>2026-09-30</t>
        </is>
      </c>
      <c r="O263" s="2" t="n"/>
      <c r="P263" s="2" t="n"/>
      <c r="Q263" s="2" t="n"/>
      <c r="R263" s="2" t="n"/>
      <c r="S263" s="2" t="n"/>
      <c r="T263" s="2" t="n"/>
      <c r="U263" s="2" t="n"/>
      <c r="V263" s="2" t="n"/>
      <c r="W263" s="2" t="n"/>
      <c r="X263" s="2" t="n"/>
      <c r="Y263" s="2" t="n"/>
      <c r="Z263" s="2" t="n"/>
      <c r="AA263" s="2" t="n"/>
      <c r="AB263" s="2" t="n"/>
      <c r="AC263" s="2" t="n"/>
    </row>
    <row r="264" ht="36" customHeight="1">
      <c r="A264" s="2" t="n"/>
      <c r="B264" s="24" t="inlineStr">
        <is>
          <t>GN 1/3 PP lid, standard</t>
        </is>
      </c>
      <c r="C264" s="24" t="inlineStr">
        <is>
          <t>GGM Gastro (Austrian storefront)</t>
        </is>
      </c>
      <c r="D264" s="24" t="inlineStr">
        <is>
          <t>(6 Stück) CAMBRO SafeTrak Polypropylen-Deckel GN 1/3 - Milchig</t>
        </is>
      </c>
      <c r="E264" s="24" t="inlineStr">
        <is>
          <t>Cambro</t>
        </is>
      </c>
      <c r="F264" s="25" t="inlineStr">
        <is>
          <t>https://www.ggmgastro.com/de-at-eur/6-stueck-cambro-safetrak-polypropylen-deckel-gn-1-3-milchig-30ppcwsc190</t>
        </is>
      </c>
      <c r="G264" s="120" t="n">
        <v>18.99</v>
      </c>
      <c r="H264" s="24" t="inlineStr">
        <is>
          <t>excl.</t>
        </is>
      </c>
      <c r="I264" s="116" t="n">
        <v>6</v>
      </c>
      <c r="J264" s="24" t="inlineStr">
        <is>
          <t>set of 6</t>
        </is>
      </c>
      <c r="K264" s="120" t="n">
        <v>3.16</v>
      </c>
      <c r="L264" s="24" t="inlineStr">
        <is>
          <t>EXACT</t>
        </is>
      </c>
      <c r="M264" s="24" t="n"/>
      <c r="N264" s="24" t="inlineStr">
        <is>
          <t>2026-09-30</t>
        </is>
      </c>
      <c r="O264" s="2" t="n"/>
      <c r="P264" s="2" t="n"/>
      <c r="Q264" s="2" t="n"/>
      <c r="R264" s="2" t="n"/>
      <c r="S264" s="2" t="n"/>
      <c r="T264" s="2" t="n"/>
      <c r="U264" s="2" t="n"/>
      <c r="V264" s="2" t="n"/>
      <c r="W264" s="2" t="n"/>
      <c r="X264" s="2" t="n"/>
      <c r="Y264" s="2" t="n"/>
      <c r="Z264" s="2" t="n"/>
      <c r="AA264" s="2" t="n"/>
      <c r="AB264" s="2" t="n"/>
      <c r="AC264" s="2" t="n"/>
    </row>
    <row r="265" ht="31" customHeight="1">
      <c r="A265" s="2" t="n"/>
      <c r="B265" s="27" t="inlineStr">
        <is>
          <t>GN 1/3 PP lid, standard</t>
        </is>
      </c>
      <c r="C265" s="27" t="inlineStr">
        <is>
          <t>Gastro Star</t>
        </is>
      </c>
      <c r="D265" s="27" t="inlineStr">
        <is>
          <t>Polypropylen Deckel GN 1/3</t>
        </is>
      </c>
      <c r="E265" s="27" t="inlineStr">
        <is>
          <t>Hendi</t>
        </is>
      </c>
      <c r="F265" s="28" t="inlineStr">
        <is>
          <t>https://www.gastro-star.at/produkt/polypropylendeckelgn13/</t>
        </is>
      </c>
      <c r="G265" s="121" t="n">
        <v>2.65</v>
      </c>
      <c r="H265" s="27" t="inlineStr">
        <is>
          <t>excl.</t>
        </is>
      </c>
      <c r="I265" s="117" t="n">
        <v>1</v>
      </c>
      <c r="J265" s="27" t="n"/>
      <c r="K265" s="121" t="n">
        <v>2.65</v>
      </c>
      <c r="L265" s="27" t="inlineStr">
        <is>
          <t>EXACT</t>
        </is>
      </c>
      <c r="M265" s="27" t="n"/>
      <c r="N265" s="27" t="inlineStr">
        <is>
          <t>2026-09-30</t>
        </is>
      </c>
      <c r="O265" s="2" t="n"/>
      <c r="P265" s="2" t="n"/>
      <c r="Q265" s="2" t="n"/>
      <c r="R265" s="2" t="n"/>
      <c r="S265" s="2" t="n"/>
      <c r="T265" s="2" t="n"/>
      <c r="U265" s="2" t="n"/>
      <c r="V265" s="2" t="n"/>
      <c r="W265" s="2" t="n"/>
      <c r="X265" s="2" t="n"/>
      <c r="Y265" s="2" t="n"/>
      <c r="Z265" s="2" t="n"/>
      <c r="AA265" s="2" t="n"/>
      <c r="AB265" s="2" t="n"/>
      <c r="AC265" s="2" t="n"/>
    </row>
    <row r="266" ht="36" customHeight="1">
      <c r="A266" s="2" t="n"/>
      <c r="B266" s="24" t="inlineStr">
        <is>
          <t>GN 1/3 PP lid, standard</t>
        </is>
      </c>
      <c r="C266" s="24" t="inlineStr">
        <is>
          <t>GastroHero Österreich</t>
        </is>
      </c>
      <c r="D266" s="24" t="inlineStr">
        <is>
          <t>Schneider PP GN 1/3 Deckel, einrastend</t>
        </is>
      </c>
      <c r="E266" s="24" t="inlineStr">
        <is>
          <t>Schneider</t>
        </is>
      </c>
      <c r="F266" s="25" t="inlineStr">
        <is>
          <t>https://www.gastro-hero.at/products/schneider-pp-gn-13-deckel-einrastend-530025</t>
        </is>
      </c>
      <c r="G266" s="120" t="n">
        <v>5.59</v>
      </c>
      <c r="H266" s="24" t="inlineStr">
        <is>
          <t>excl.</t>
        </is>
      </c>
      <c r="I266" s="116" t="n">
        <v>1</v>
      </c>
      <c r="J266" s="24" t="n"/>
      <c r="K266" s="120" t="n">
        <v>5.59</v>
      </c>
      <c r="L266" s="24" t="inlineStr">
        <is>
          <t>EXACT</t>
        </is>
      </c>
      <c r="M266" s="24" t="inlineStr">
        <is>
          <t>Min. qty 8</t>
        </is>
      </c>
      <c r="N266" s="24" t="inlineStr">
        <is>
          <t>2026-09-30</t>
        </is>
      </c>
      <c r="O266" s="2" t="n"/>
      <c r="P266" s="2" t="n"/>
      <c r="Q266" s="2" t="n"/>
      <c r="R266" s="2" t="n"/>
      <c r="S266" s="2" t="n"/>
      <c r="T266" s="2" t="n"/>
      <c r="U266" s="2" t="n"/>
      <c r="V266" s="2" t="n"/>
      <c r="W266" s="2" t="n"/>
      <c r="X266" s="2" t="n"/>
      <c r="Y266" s="2" t="n"/>
      <c r="Z266" s="2" t="n"/>
      <c r="AA266" s="2" t="n"/>
      <c r="AB266" s="2" t="n"/>
      <c r="AC266" s="2" t="n"/>
    </row>
    <row r="267" ht="31" customHeight="1">
      <c r="A267" s="2" t="n"/>
      <c r="B267" s="27" t="inlineStr">
        <is>
          <t>GN 1/3 PP lid, standard</t>
        </is>
      </c>
      <c r="C267" s="27" t="inlineStr">
        <is>
          <t>Gastrodax</t>
        </is>
      </c>
      <c r="D267" s="27" t="inlineStr">
        <is>
          <t>WAS GN 89 Deckel 1/3 Polypropylen</t>
        </is>
      </c>
      <c r="E267" s="27" t="inlineStr">
        <is>
          <t>WAS Germany</t>
        </is>
      </c>
      <c r="F267" s="28" t="inlineStr">
        <is>
          <t>https://www.gastrodax.de/was-gn-89-deckel-1-3-polypropylen</t>
        </is>
      </c>
      <c r="G267" s="121" t="n">
        <v>12</v>
      </c>
      <c r="H267" s="27" t="inlineStr">
        <is>
          <t>excl.</t>
        </is>
      </c>
      <c r="I267" s="117" t="n">
        <v>1</v>
      </c>
      <c r="J267" s="27" t="n"/>
      <c r="K267" s="121" t="n">
        <v>12</v>
      </c>
      <c r="L267" s="27" t="inlineStr">
        <is>
          <t>EXACT</t>
        </is>
      </c>
      <c r="M267" s="27" t="inlineStr">
        <is>
          <t>No pack size stated</t>
        </is>
      </c>
      <c r="N267" s="27" t="inlineStr">
        <is>
          <t>2026-09-30</t>
        </is>
      </c>
      <c r="O267" s="2" t="n"/>
      <c r="P267" s="2" t="n"/>
      <c r="Q267" s="2" t="n"/>
      <c r="R267" s="2" t="n"/>
      <c r="S267" s="2" t="n"/>
      <c r="T267" s="2" t="n"/>
      <c r="U267" s="2" t="n"/>
      <c r="V267" s="2" t="n"/>
      <c r="W267" s="2" t="n"/>
      <c r="X267" s="2" t="n"/>
      <c r="Y267" s="2" t="n"/>
      <c r="Z267" s="2" t="n"/>
      <c r="AA267" s="2" t="n"/>
      <c r="AB267" s="2" t="n"/>
      <c r="AC267" s="2" t="n"/>
    </row>
    <row r="268" ht="36" customHeight="1">
      <c r="A268" s="2" t="n"/>
      <c r="B268" s="24" t="inlineStr">
        <is>
          <t>GN 1/3 PP lid, standard</t>
        </is>
      </c>
      <c r="C268" s="24" t="inlineStr">
        <is>
          <t>Gastroladen.at (Harotec GmbH)</t>
        </is>
      </c>
      <c r="D268" s="24" t="inlineStr">
        <is>
          <t>Cambro biegsamer Polypropylen Deckel GN 1/3</t>
        </is>
      </c>
      <c r="E268" s="24" t="inlineStr">
        <is>
          <t>Cambro</t>
        </is>
      </c>
      <c r="F268" s="25" t="inlineStr">
        <is>
          <t>https://www.gastroladen.at/3030@GN-DM714/Cambro-biegsamer-Polypropylen-Deckel-GN-1-3.htm</t>
        </is>
      </c>
      <c r="G268" s="120" t="n">
        <v>5.59</v>
      </c>
      <c r="H268" s="24" t="inlineStr">
        <is>
          <t>incl.</t>
        </is>
      </c>
      <c r="I268" s="116" t="n">
        <v>1</v>
      </c>
      <c r="J268" s="24" t="n"/>
      <c r="K268" s="120" t="n">
        <v>4.66</v>
      </c>
      <c r="L268" s="24" t="inlineStr">
        <is>
          <t>EXACT</t>
        </is>
      </c>
      <c r="M268" s="24" t="inlineStr">
        <is>
          <t>Flexible soft-seal PP lid</t>
        </is>
      </c>
      <c r="N268" s="24" t="inlineStr">
        <is>
          <t>2026-09-30</t>
        </is>
      </c>
      <c r="O268" s="2" t="n"/>
      <c r="P268" s="2" t="n"/>
      <c r="Q268" s="2" t="n"/>
      <c r="R268" s="2" t="n"/>
      <c r="S268" s="2" t="n"/>
      <c r="T268" s="2" t="n"/>
      <c r="U268" s="2" t="n"/>
      <c r="V268" s="2" t="n"/>
      <c r="W268" s="2" t="n"/>
      <c r="X268" s="2" t="n"/>
      <c r="Y268" s="2" t="n"/>
      <c r="Z268" s="2" t="n"/>
      <c r="AA268" s="2" t="n"/>
      <c r="AB268" s="2" t="n"/>
      <c r="AC268" s="2" t="n"/>
    </row>
    <row r="269" ht="36" customHeight="1">
      <c r="A269" s="2" t="n"/>
      <c r="B269" s="27" t="inlineStr">
        <is>
          <t>GN 1/3 PP lid, standard</t>
        </is>
      </c>
      <c r="C269" s="27" t="inlineStr">
        <is>
          <t>Intergastro (AT shop)</t>
        </is>
      </c>
      <c r="D269" s="27" t="inlineStr">
        <is>
          <t>GN Deckel GN 89 GN 1/3 weiß (Polypropylen)</t>
        </is>
      </c>
      <c r="E269" s="27" t="inlineStr">
        <is>
          <t>WAS Germany</t>
        </is>
      </c>
      <c r="F269" s="28" t="inlineStr">
        <is>
          <t>https://www.intergastro.at/gn-deckel-gn-89-gn-1-3-weiss-252566</t>
        </is>
      </c>
      <c r="G269" s="121" t="n">
        <v>2.97</v>
      </c>
      <c r="H269" s="27" t="inlineStr">
        <is>
          <t>excl.</t>
        </is>
      </c>
      <c r="I269" s="117" t="n">
        <v>1</v>
      </c>
      <c r="J269" s="27" t="n"/>
      <c r="K269" s="121" t="n">
        <v>2.97</v>
      </c>
      <c r="L269" s="27" t="inlineStr">
        <is>
          <t>EXACT</t>
        </is>
      </c>
      <c r="M269" s="27" t="inlineStr">
        <is>
          <t>GN 89 series is PP (GN 1/1 lid of same series labelled Polypropylen). GN 84 GN 1/3 lid 2.02 (material not stated)</t>
        </is>
      </c>
      <c r="N269" s="27" t="inlineStr">
        <is>
          <t>2026-09-30</t>
        </is>
      </c>
      <c r="O269" s="2" t="n"/>
      <c r="P269" s="2" t="n"/>
      <c r="Q269" s="2" t="n"/>
      <c r="R269" s="2" t="n"/>
      <c r="S269" s="2" t="n"/>
      <c r="T269" s="2" t="n"/>
      <c r="U269" s="2" t="n"/>
      <c r="V269" s="2" t="n"/>
      <c r="W269" s="2" t="n"/>
      <c r="X269" s="2" t="n"/>
      <c r="Y269" s="2" t="n"/>
      <c r="Z269" s="2" t="n"/>
      <c r="AA269" s="2" t="n"/>
      <c r="AB269" s="2" t="n"/>
      <c r="AC269" s="2" t="n"/>
    </row>
    <row r="270" ht="36" customHeight="1">
      <c r="A270" s="2" t="n"/>
      <c r="B270" s="24" t="inlineStr">
        <is>
          <t>GN 1/3 PP lid, standard</t>
        </is>
      </c>
      <c r="C270" s="24" t="inlineStr">
        <is>
          <t>Jungheinrich PROFISHOP Austria</t>
        </is>
      </c>
      <c r="D270" s="24" t="inlineStr">
        <is>
          <t>Stalgast GN-Deckel, Polypropylen, für GN 1/3 Behälter</t>
        </is>
      </c>
      <c r="E270" s="24" t="inlineStr">
        <is>
          <t>Stalgast</t>
        </is>
      </c>
      <c r="F270" s="25" t="inlineStr">
        <is>
          <t>https://www.jh-profishop.at/p/stalgast-gn-deckel-polypropylen-fuer-gn-1-3-behaelter-928338-347853/</t>
        </is>
      </c>
      <c r="G270" s="120" t="n">
        <v>12.7</v>
      </c>
      <c r="H270" s="24" t="inlineStr">
        <is>
          <t>excl.</t>
        </is>
      </c>
      <c r="I270" s="116" t="n">
        <v>1</v>
      </c>
      <c r="J270" s="24" t="n"/>
      <c r="K270" s="120" t="n">
        <v>12.7</v>
      </c>
      <c r="L270" s="24" t="inlineStr">
        <is>
          <t>EXACT</t>
        </is>
      </c>
      <c r="M270" s="24" t="n"/>
      <c r="N270" s="24" t="inlineStr">
        <is>
          <t>2026-09-30</t>
        </is>
      </c>
      <c r="O270" s="2" t="n"/>
      <c r="P270" s="2" t="n"/>
      <c r="Q270" s="2" t="n"/>
      <c r="R270" s="2" t="n"/>
      <c r="S270" s="2" t="n"/>
      <c r="T270" s="2" t="n"/>
      <c r="U270" s="2" t="n"/>
      <c r="V270" s="2" t="n"/>
      <c r="W270" s="2" t="n"/>
      <c r="X270" s="2" t="n"/>
      <c r="Y270" s="2" t="n"/>
      <c r="Z270" s="2" t="n"/>
      <c r="AA270" s="2" t="n"/>
      <c r="AB270" s="2" t="n"/>
      <c r="AC270" s="2" t="n"/>
    </row>
    <row r="271" ht="36" customHeight="1">
      <c r="A271" s="2" t="n"/>
      <c r="B271" s="27" t="inlineStr">
        <is>
          <t>GN 1/3 PP lid, standard</t>
        </is>
      </c>
      <c r="C271" s="27" t="inlineStr">
        <is>
          <t>shopbuero.com</t>
        </is>
      </c>
      <c r="D271" s="27" t="inlineStr">
        <is>
          <t>GN-Deckel - einrastend - GN 1/3 (325 x 176 mm) - Polypropylen</t>
        </is>
      </c>
      <c r="E271" s="27" t="inlineStr">
        <is>
          <t>Schneider</t>
        </is>
      </c>
      <c r="F271" s="28" t="inlineStr">
        <is>
          <t>https://shopbuero.com/gn-deckel-einrastend-gn-1-3-325-x-176-mm-polypropylen/530025-C</t>
        </is>
      </c>
      <c r="G271" s="121" t="n">
        <v>2.3</v>
      </c>
      <c r="H271" s="27" t="inlineStr">
        <is>
          <t>excl.</t>
        </is>
      </c>
      <c r="I271" s="117" t="n">
        <v>1</v>
      </c>
      <c r="J271" s="27" t="n"/>
      <c r="K271" s="121" t="n">
        <v>2.3</v>
      </c>
      <c r="L271" s="27" t="inlineStr">
        <is>
          <t>EXACT</t>
        </is>
      </c>
      <c r="M271" s="27" t="inlineStr">
        <is>
          <t>Regular price 3.50</t>
        </is>
      </c>
      <c r="N271" s="27" t="inlineStr">
        <is>
          <t>2026-09-30</t>
        </is>
      </c>
      <c r="O271" s="2" t="n"/>
      <c r="P271" s="2" t="n"/>
      <c r="Q271" s="2" t="n"/>
      <c r="R271" s="2" t="n"/>
      <c r="S271" s="2" t="n"/>
      <c r="T271" s="2" t="n"/>
      <c r="U271" s="2" t="n"/>
      <c r="V271" s="2" t="n"/>
      <c r="W271" s="2" t="n"/>
      <c r="X271" s="2" t="n"/>
      <c r="Y271" s="2" t="n"/>
      <c r="Z271" s="2" t="n"/>
      <c r="AA271" s="2" t="n"/>
      <c r="AB271" s="2" t="n"/>
      <c r="AC271" s="2" t="n"/>
    </row>
    <row r="272" ht="36" customHeight="1">
      <c r="A272" s="2" t="n"/>
      <c r="B272" s="24" t="inlineStr">
        <is>
          <t>Squeeze bottle 750 ml, PP/PE, wide covered tip</t>
        </is>
      </c>
      <c r="C272" s="24" t="inlineStr">
        <is>
          <t>Gastroladen.at (Harotec GmbH)</t>
        </is>
      </c>
      <c r="D272" s="24" t="inlineStr">
        <is>
          <t>Araven klare tropffreie Soßenflasche 70cl</t>
        </is>
      </c>
      <c r="E272" s="24" t="inlineStr">
        <is>
          <t>Araven</t>
        </is>
      </c>
      <c r="F272" s="25" t="inlineStr">
        <is>
          <t>https://www.gastroladen.at/G16771B@GN-CW113/Araven-klare-tropffreie-So%C3%9Fenflasche-70cl.htm</t>
        </is>
      </c>
      <c r="G272" s="120" t="n">
        <v>6.49</v>
      </c>
      <c r="H272" s="24" t="inlineStr">
        <is>
          <t>incl.</t>
        </is>
      </c>
      <c r="I272" s="116" t="n">
        <v>1</v>
      </c>
      <c r="J272" s="24" t="n"/>
      <c r="K272" s="120" t="n">
        <v>5.41</v>
      </c>
      <c r="L272" s="24" t="inlineStr">
        <is>
          <t>CLOSE</t>
        </is>
      </c>
      <c r="M272" s="24" t="inlineStr">
        <is>
          <t>700 ml PE with drip-free valve and cap; tip width not specified</t>
        </is>
      </c>
      <c r="N272" s="24" t="inlineStr">
        <is>
          <t>2026-09-30</t>
        </is>
      </c>
      <c r="O272" s="2" t="n"/>
      <c r="P272" s="2" t="n"/>
      <c r="Q272" s="2" t="n"/>
      <c r="R272" s="2" t="n"/>
      <c r="S272" s="2" t="n"/>
      <c r="T272" s="2" t="n"/>
      <c r="U272" s="2" t="n"/>
      <c r="V272" s="2" t="n"/>
      <c r="W272" s="2" t="n"/>
      <c r="X272" s="2" t="n"/>
      <c r="Y272" s="2" t="n"/>
      <c r="Z272" s="2" t="n"/>
      <c r="AA272" s="2" t="n"/>
      <c r="AB272" s="2" t="n"/>
      <c r="AC272" s="2" t="n"/>
    </row>
    <row r="273" ht="36" customHeight="1">
      <c r="A273" s="2" t="n"/>
      <c r="B273" s="27" t="inlineStr">
        <is>
          <t>Squeeze bottle 750 ml, PP/PE, wide covered tip</t>
        </is>
      </c>
      <c r="C273" s="27" t="inlineStr">
        <is>
          <t>Intergastro (AT shop)</t>
        </is>
      </c>
      <c r="D273" s="27" t="inlineStr">
        <is>
          <t>Quetschflasche 700 ml Kunststoff gelb Verschlusskappe</t>
        </is>
      </c>
      <c r="E273" s="27" t="inlineStr">
        <is>
          <t>APS</t>
        </is>
      </c>
      <c r="F273" s="28" t="inlineStr">
        <is>
          <t>https://www.intergastro.at/quetschflasche-700-ml-kunststoff-gelb-verschlusskappe-70-mm-h-240-mm-247040</t>
        </is>
      </c>
      <c r="G273" s="121" t="n">
        <v>1.61</v>
      </c>
      <c r="H273" s="27" t="inlineStr">
        <is>
          <t>excl.</t>
        </is>
      </c>
      <c r="I273" s="117" t="n">
        <v>1</v>
      </c>
      <c r="J273" s="27" t="n"/>
      <c r="K273" s="121" t="n">
        <v>1.61</v>
      </c>
      <c r="L273" s="27" t="inlineStr">
        <is>
          <t>CLOSE</t>
        </is>
      </c>
      <c r="M273" s="27" t="inlineStr">
        <is>
          <t>700 ml PE with closure cap over the tip; width of tip not specified</t>
        </is>
      </c>
      <c r="N273" s="27" t="inlineStr">
        <is>
          <t>2026-09-30</t>
        </is>
      </c>
      <c r="O273" s="2" t="n"/>
      <c r="P273" s="2" t="n"/>
      <c r="Q273" s="2" t="n"/>
      <c r="R273" s="2" t="n"/>
      <c r="S273" s="2" t="n"/>
      <c r="T273" s="2" t="n"/>
      <c r="U273" s="2" t="n"/>
      <c r="V273" s="2" t="n"/>
      <c r="W273" s="2" t="n"/>
      <c r="X273" s="2" t="n"/>
      <c r="Y273" s="2" t="n"/>
      <c r="Z273" s="2" t="n"/>
      <c r="AA273" s="2" t="n"/>
      <c r="AB273" s="2" t="n"/>
      <c r="AC273" s="2" t="n"/>
    </row>
    <row r="274" ht="36" customHeight="1">
      <c r="A274" s="2" t="n"/>
      <c r="B274" s="24" t="inlineStr">
        <is>
          <t>Cutting board 300x200x20 mm, red PE</t>
        </is>
      </c>
      <c r="C274" s="24" t="inlineStr">
        <is>
          <t>Gastroladen.at (Harotec GmbH)</t>
        </is>
      </c>
      <c r="D274" s="24" t="inlineStr">
        <is>
          <t>Hygiplas HDPE kleines Schneidebrett rot 300x225x12mm</t>
        </is>
      </c>
      <c r="E274" s="24" t="inlineStr">
        <is>
          <t>Hygiplas</t>
        </is>
      </c>
      <c r="F274" s="25" t="inlineStr">
        <is>
          <t>https://www.gastroladen.at/2310@GN-HC866/Hygiplas-HDPE-kleines-Schneidebrett-rot-300x-225x12mm.htm</t>
        </is>
      </c>
      <c r="G274" s="120" t="n">
        <v>8.890000000000001</v>
      </c>
      <c r="H274" s="24" t="inlineStr">
        <is>
          <t>incl.</t>
        </is>
      </c>
      <c r="I274" s="116" t="n">
        <v>1</v>
      </c>
      <c r="J274" s="24" t="n"/>
      <c r="K274" s="120" t="n">
        <v>7.41</v>
      </c>
      <c r="L274" s="24" t="inlineStr">
        <is>
          <t>CLOSE</t>
        </is>
      </c>
      <c r="M274" s="24" t="inlineStr">
        <is>
          <t>Red HDPE, 300x225x12 mm (vs 300x200x20)</t>
        </is>
      </c>
      <c r="N274" s="24" t="inlineStr">
        <is>
          <t>2026-09-30</t>
        </is>
      </c>
      <c r="O274" s="2" t="n"/>
      <c r="P274" s="2" t="n"/>
      <c r="Q274" s="2" t="n"/>
      <c r="R274" s="2" t="n"/>
      <c r="S274" s="2" t="n"/>
      <c r="T274" s="2" t="n"/>
      <c r="U274" s="2" t="n"/>
      <c r="V274" s="2" t="n"/>
      <c r="W274" s="2" t="n"/>
      <c r="X274" s="2" t="n"/>
      <c r="Y274" s="2" t="n"/>
      <c r="Z274" s="2" t="n"/>
      <c r="AA274" s="2" t="n"/>
      <c r="AB274" s="2" t="n"/>
      <c r="AC274" s="2" t="n"/>
    </row>
    <row r="275" ht="36" customHeight="1">
      <c r="A275" s="2" t="n"/>
      <c r="B275" s="27" t="inlineStr">
        <is>
          <t>Cutting board 300x200x20 mm, red PE</t>
        </is>
      </c>
      <c r="C275" s="27" t="inlineStr">
        <is>
          <t>Intergastro (AT shop)</t>
        </is>
      </c>
      <c r="D275" s="27" t="inlineStr">
        <is>
          <t>Schneidebrett gelb HDPE 500, 300 mm x 200 mm</t>
        </is>
      </c>
      <c r="E275" s="27" t="inlineStr">
        <is>
          <t>Comas</t>
        </is>
      </c>
      <c r="F275" s="28" t="inlineStr">
        <is>
          <t>https://www.intergastro.at/schneidebrett-gelb-hdpe-500-300-mm-x-200-mm-997231</t>
        </is>
      </c>
      <c r="G275" s="121" t="n">
        <v>11.19</v>
      </c>
      <c r="H275" s="27" t="inlineStr">
        <is>
          <t>excl.</t>
        </is>
      </c>
      <c r="I275" s="117" t="n">
        <v>1</v>
      </c>
      <c r="J275" s="27" t="n"/>
      <c r="K275" s="121" t="n">
        <v>11.19</v>
      </c>
      <c r="L275" s="27" t="inlineStr">
        <is>
          <t>CLOSE</t>
        </is>
      </c>
      <c r="M275" s="27" t="inlineStr">
        <is>
          <t>Yellow (red not offered in this size); 20 mm per series size list</t>
        </is>
      </c>
      <c r="N275" s="27" t="inlineStr">
        <is>
          <t>2026-09-30</t>
        </is>
      </c>
      <c r="O275" s="2" t="n"/>
      <c r="P275" s="2" t="n"/>
      <c r="Q275" s="2" t="n"/>
      <c r="R275" s="2" t="n"/>
      <c r="S275" s="2" t="n"/>
      <c r="T275" s="2" t="n"/>
      <c r="U275" s="2" t="n"/>
      <c r="V275" s="2" t="n"/>
      <c r="W275" s="2" t="n"/>
      <c r="X275" s="2" t="n"/>
      <c r="Y275" s="2" t="n"/>
      <c r="Z275" s="2" t="n"/>
      <c r="AA275" s="2" t="n"/>
      <c r="AB275" s="2" t="n"/>
      <c r="AC275" s="2" t="n"/>
    </row>
    <row r="276" ht="36" customHeight="1">
      <c r="A276" s="2" t="n"/>
      <c r="B276" s="24" t="inlineStr">
        <is>
          <t>Dough box 400x300x100 mm, PP, without lid</t>
        </is>
      </c>
      <c r="C276" s="24" t="inlineStr">
        <is>
          <t>Intergastro (AT shop)</t>
        </is>
      </c>
      <c r="D276" s="24" t="inlineStr">
        <is>
          <t>Pizzaballenbehälter PP 10 ltr, 400 x 300 x 100 mm</t>
        </is>
      </c>
      <c r="E276" s="24" t="inlineStr">
        <is>
          <t>Schneider</t>
        </is>
      </c>
      <c r="F276" s="25" t="inlineStr">
        <is>
          <t>https://www.intergastro.at/pizzaballenbehaelter-pp-10-ltr-400-mm-x-300-mm-h-100-mm-1039856</t>
        </is>
      </c>
      <c r="G276" s="120" t="n">
        <v>11.97</v>
      </c>
      <c r="H276" s="24" t="inlineStr">
        <is>
          <t>excl.</t>
        </is>
      </c>
      <c r="I276" s="116" t="n">
        <v>1</v>
      </c>
      <c r="J276" s="24" t="n"/>
      <c r="K276" s="120" t="n">
        <v>11.97</v>
      </c>
      <c r="L276" s="24" t="inlineStr">
        <is>
          <t>EXACT</t>
        </is>
      </c>
      <c r="M276" s="24" t="inlineStr">
        <is>
          <t>PP, no lid</t>
        </is>
      </c>
      <c r="N276" s="24" t="inlineStr">
        <is>
          <t>2026-09-30</t>
        </is>
      </c>
      <c r="O276" s="2" t="n"/>
      <c r="P276" s="2" t="n"/>
      <c r="Q276" s="2" t="n"/>
      <c r="R276" s="2" t="n"/>
      <c r="S276" s="2" t="n"/>
      <c r="T276" s="2" t="n"/>
      <c r="U276" s="2" t="n"/>
      <c r="V276" s="2" t="n"/>
      <c r="W276" s="2" t="n"/>
      <c r="X276" s="2" t="n"/>
      <c r="Y276" s="2" t="n"/>
      <c r="Z276" s="2" t="n"/>
      <c r="AA276" s="2" t="n"/>
      <c r="AB276" s="2" t="n"/>
      <c r="AC276" s="2" t="n"/>
    </row>
    <row r="277" ht="36" customHeight="1">
      <c r="A277" s="2" t="n"/>
      <c r="B277" s="27" t="inlineStr">
        <is>
          <t>Dough box 400x300x100 mm, PP, without lid</t>
        </is>
      </c>
      <c r="C277" s="27" t="inlineStr">
        <is>
          <t>Jungheinrich PROFISHOP Austria</t>
        </is>
      </c>
      <c r="D277" s="27" t="inlineStr">
        <is>
          <t>Stalgast Pizzaballenbehälter aus Polypropylen 400x300x100 mm</t>
        </is>
      </c>
      <c r="E277" s="27" t="inlineStr">
        <is>
          <t>Stalgast</t>
        </is>
      </c>
      <c r="F277" s="28" t="inlineStr">
        <is>
          <t>https://www.jh-profishop.at/p/stalgast-pizzaballenbehaelter-aus-polypropylen-400x300x100-mm-bxtxh-929479-349076/</t>
        </is>
      </c>
      <c r="G277" s="121" t="n">
        <v>20.9</v>
      </c>
      <c r="H277" s="27" t="inlineStr">
        <is>
          <t>excl.</t>
        </is>
      </c>
      <c r="I277" s="117" t="n">
        <v>1</v>
      </c>
      <c r="J277" s="27" t="n"/>
      <c r="K277" s="121" t="n">
        <v>20.9</v>
      </c>
      <c r="L277" s="27" t="inlineStr">
        <is>
          <t>EXACT</t>
        </is>
      </c>
      <c r="M277" s="27" t="inlineStr">
        <is>
          <t>PP per title, no lid</t>
        </is>
      </c>
      <c r="N277" s="27" t="inlineStr">
        <is>
          <t>2026-09-30</t>
        </is>
      </c>
      <c r="O277" s="2" t="n"/>
      <c r="P277" s="2" t="n"/>
      <c r="Q277" s="2" t="n"/>
      <c r="R277" s="2" t="n"/>
      <c r="S277" s="2" t="n"/>
      <c r="T277" s="2" t="n"/>
      <c r="U277" s="2" t="n"/>
      <c r="V277" s="2" t="n"/>
      <c r="W277" s="2" t="n"/>
      <c r="X277" s="2" t="n"/>
      <c r="Y277" s="2" t="n"/>
      <c r="Z277" s="2" t="n"/>
      <c r="AA277" s="2" t="n"/>
      <c r="AB277" s="2" t="n"/>
      <c r="AC277" s="2" t="n"/>
    </row>
    <row r="278" ht="36" customHeight="1">
      <c r="A278" s="2" t="n"/>
      <c r="B278" s="24" t="inlineStr">
        <is>
          <t>Dough box 400x300x100 mm, PP, without lid</t>
        </is>
      </c>
      <c r="C278" s="24" t="inlineStr">
        <is>
          <t>shopbuero.com</t>
        </is>
      </c>
      <c r="D278" s="24" t="inlineStr">
        <is>
          <t>Pizzaballenbehälter - 40,0 x 30,0 x 10,0 cm - Inhalt 10,0 l - Polypropylen</t>
        </is>
      </c>
      <c r="E278" s="24" t="inlineStr">
        <is>
          <t>Schneider</t>
        </is>
      </c>
      <c r="F278" s="25" t="inlineStr">
        <is>
          <t>https://shopbuero.com/pizzaballenbehaelter-40-0-x-30-0-x-10-0-cm-inhalt-10-0-l-polypropylen/202175-C</t>
        </is>
      </c>
      <c r="G278" s="120" t="n">
        <v>9.800000000000001</v>
      </c>
      <c r="H278" s="24" t="inlineStr">
        <is>
          <t>excl.</t>
        </is>
      </c>
      <c r="I278" s="116" t="n">
        <v>1</v>
      </c>
      <c r="J278" s="24" t="n"/>
      <c r="K278" s="120" t="n">
        <v>9.800000000000001</v>
      </c>
      <c r="L278" s="24" t="inlineStr">
        <is>
          <t>EXACT</t>
        </is>
      </c>
      <c r="M278" s="24" t="inlineStr">
        <is>
          <t>PP, no lid; regular price 15.80</t>
        </is>
      </c>
      <c r="N278" s="24" t="inlineStr">
        <is>
          <t>2026-09-30</t>
        </is>
      </c>
      <c r="O278" s="2" t="n"/>
      <c r="P278" s="2" t="n"/>
      <c r="Q278" s="2" t="n"/>
      <c r="R278" s="2" t="n"/>
      <c r="S278" s="2" t="n"/>
      <c r="T278" s="2" t="n"/>
      <c r="U278" s="2" t="n"/>
      <c r="V278" s="2" t="n"/>
      <c r="W278" s="2" t="n"/>
      <c r="X278" s="2" t="n"/>
      <c r="Y278" s="2" t="n"/>
      <c r="Z278" s="2" t="n"/>
      <c r="AA278" s="2" t="n"/>
      <c r="AB278" s="2" t="n"/>
      <c r="AC278" s="2" t="n"/>
    </row>
    <row r="279" ht="31" customHeight="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row>
    <row r="280" ht="31" customHeight="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row>
    <row r="281" ht="31" customHeight="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row>
    <row r="282" ht="31" customHeight="1">
      <c r="A282" s="2" t="n"/>
      <c r="B282" s="7" t="inlineStr">
        <is>
          <t>Additional variants · Competitors</t>
        </is>
      </c>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row>
    <row r="283" ht="31" customHeight="1">
      <c r="A283" s="2" t="n"/>
      <c r="B283" s="16" t="inlineStr">
        <is>
          <t>Name</t>
        </is>
      </c>
      <c r="C283" s="17" t="inlineStr">
        <is>
          <t>URL</t>
        </is>
      </c>
      <c r="D283" s="17" t="inlineStr">
        <is>
          <t>Type</t>
        </is>
      </c>
      <c r="E283" s="17" t="inlineStr">
        <is>
          <t>B2B / B2C focus</t>
        </is>
      </c>
      <c r="F283" s="17" t="inlineStr">
        <is>
          <t>Prices shown</t>
        </is>
      </c>
      <c r="G283" s="17" t="inlineStr">
        <is>
          <t>Shipping to AT</t>
        </is>
      </c>
      <c r="H283" s="17" t="inlineStr">
        <is>
          <t>Min. order</t>
        </is>
      </c>
      <c r="I283" s="18" t="inlineStr">
        <is>
          <t>Notes</t>
        </is>
      </c>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row>
    <row r="284" ht="106" customHeight="1">
      <c r="A284" s="2" t="n"/>
      <c r="B284" s="24" t="inlineStr">
        <is>
          <t>Intergastro (AT shop)</t>
        </is>
      </c>
      <c r="C284" s="25" t="inlineStr">
        <is>
          <t>https://www.intergastro.at</t>
        </is>
      </c>
      <c r="D284" s="24" t="inlineStr">
        <is>
          <t>pan-EU</t>
        </is>
      </c>
      <c r="E284" s="24" t="inlineStr">
        <is>
          <t>B2B</t>
        </is>
      </c>
      <c r="F284" s="24" t="inlineStr">
        <is>
          <t>excl. VAT (net shown first; gross incl. 20% AT VAT also shown)</t>
        </is>
      </c>
      <c r="G284" s="24" t="inlineStr">
        <is>
          <t>Parcels up to 31.5 kg flat 8.95 EUR net via DPD to AT; bulky items by freight, cost shown in cart (e.g. fridge approx. 35 EUR)</t>
        </is>
      </c>
      <c r="H284" s="24" t="inlineStr">
        <is>
          <t>not shown</t>
        </is>
      </c>
      <c r="I284" s="24" t="inlineStr">
        <is>
          <t>German gastro supplier (Dortmund) with Austrian storefront; sells only to businesses. Tiered quantity prices; single-unit price recorded.</t>
        </is>
      </c>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row>
    <row r="285" ht="176" customHeight="1">
      <c r="A285" s="2" t="n"/>
      <c r="B285" s="27" t="inlineStr">
        <is>
          <t>Gastroladen.at (Harotec GmbH)</t>
        </is>
      </c>
      <c r="C285" s="28" t="inlineStr">
        <is>
          <t>https://www.gastroladen.at</t>
        </is>
      </c>
      <c r="D285" s="27" t="inlineStr">
        <is>
          <t>pan-EU</t>
        </is>
      </c>
      <c r="E285" s="27" t="inlineStr">
        <is>
          <t>B2B + B2C</t>
        </is>
      </c>
      <c r="F285" s="27" t="inlineStr">
        <is>
          <t>incl. VAT ("alle Preise inkl. Mehrwertsteuer"); EU business customers with UID can buy VAT-free</t>
        </is>
      </c>
      <c r="G285" s="27" t="inlineStr">
        <is>
          <t>AT: parcel 13.15 EUR (most brands; 7.95 for ESGE/Thomas/Valera), freight 90.00 EUR; Bartscher by weight from 10.80 EUR (0-10 kg). Shipping shown incl. VAT</t>
        </is>
      </c>
      <c r="H285" s="27" t="inlineStr">
        <is>
          <t>not shown</t>
        </is>
      </c>
      <c r="I285" s="27" t="inlineStr">
        <is>
          <t>German-based seller (Harotec GmbH) with .at storefront, mostly Nisbets range (Vogue, Cambro, Hygiplas, Gastronoble) plus Bartscher. Product pages show 'Versand in D' by default; the VAT rate used for AT is not stated, so net assumes 20%.</t>
        </is>
      </c>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row>
    <row r="286" ht="190" customHeight="1">
      <c r="A286" s="2" t="n"/>
      <c r="B286" s="24" t="inlineStr">
        <is>
          <t>Jungheinrich PROFISHOP Austria</t>
        </is>
      </c>
      <c r="C286" s="25" t="inlineStr">
        <is>
          <t>https://www.jh-profishop.at</t>
        </is>
      </c>
      <c r="D286" s="24" t="inlineStr">
        <is>
          <t>local</t>
        </is>
      </c>
      <c r="E286" s="24" t="inlineStr">
        <is>
          <t>B2B</t>
        </is>
      </c>
      <c r="F286" s="24" t="inlineStr">
        <is>
          <t>excl. VAT (toggle 'ohne/mit MwSt.' in header; default excl.)</t>
        </is>
      </c>
      <c r="G286" s="24" t="inlineStr">
        <is>
          <t>15 EUR net within Austria; free from 250 EUR net goods value</t>
        </is>
      </c>
      <c r="H286" s="24" t="inlineStr">
        <is>
          <t>none stated (free shipping threshold 250 EUR net)</t>
        </is>
      </c>
      <c r="I286" s="24" t="inlineStr">
        <is>
          <t>Austrian subsidiary of Jungheinrich; general B2B industrial/operations webshop with a gastro range (mainly Stalgast). Business customers only. Limited plastic GN range (no GN 1/1 PC, no PP lid, no squeeze bottles, thermoboxes or trays found).</t>
        </is>
      </c>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row>
    <row r="287" ht="162" customHeight="1">
      <c r="A287" s="2" t="n"/>
      <c r="B287" s="27" t="inlineStr">
        <is>
          <t>Gastrodax</t>
        </is>
      </c>
      <c r="C287" s="28" t="inlineStr">
        <is>
          <t>https://www.gastrodax.de</t>
        </is>
      </c>
      <c r="D287" s="27" t="inlineStr">
        <is>
          <t>pan-EU</t>
        </is>
      </c>
      <c r="E287" s="27" t="inlineStr">
        <is>
          <t>B2B + B2C</t>
        </is>
      </c>
      <c r="F287" s="27" t="inlineStr">
        <is>
          <t>excl. VAT (list shows 'zzgl. 19% MwSt.' - German rate; EU businesses with VAT-ID get VAT refunded)</t>
        </is>
      </c>
      <c r="G287" s="27" t="inlineStr">
        <is>
          <t>Free to Germany and Austria from 99 EUR (incl. VAT) order value; below that 9.95 EUR (incl. VAT) flat for both countries; freight items by forwarder</t>
        </is>
      </c>
      <c r="H287" s="27" t="inlineStr">
        <is>
          <t>none stated</t>
        </is>
      </c>
      <c r="I287" s="27" t="inlineStr">
        <is>
          <t>German gastro webshop (40,000+ items: Hendi, Contacto, WAS, APS, Rieber) that explicitly delivers to DE &amp; AT. Many Contacto items currently on 20% 'Sonderangebot' - sale price recorded, normal price in notes.</t>
        </is>
      </c>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row>
    <row r="288" ht="204" customHeight="1">
      <c r="A288" s="2" t="n"/>
      <c r="B288" s="24" t="inlineStr">
        <is>
          <t>GastroHero Österreich</t>
        </is>
      </c>
      <c r="C288" s="25" t="inlineStr">
        <is>
          <t>https://www.gastro-hero.at</t>
        </is>
      </c>
      <c r="D288" s="24" t="inlineStr">
        <is>
          <t>pan-EU</t>
        </is>
      </c>
      <c r="E288" s="24" t="inlineStr">
        <is>
          <t>B2B</t>
        </is>
      </c>
      <c r="F288" s="24" t="inlineStr">
        <is>
          <t>excl. VAT (net price shown first; the 'inkl. MwSt.' line on product pages is net x 1.19, i.e. German VAT)</t>
        </is>
      </c>
      <c r="G288" s="24" t="inlineStr">
        <is>
          <t>Within Austria: free from 350 EUR net; below that 'Komfort-Lieferung' 9.90 EUR net (options with transport protection/tail-lift 19.90-39.90 EUR net)</t>
        </is>
      </c>
      <c r="H288" s="24" t="inlineStr">
        <is>
          <t>No order minimum stated, but many small items have a minimum quantity per item (e.g. 2, 4, 8 or 12 pcs)</t>
        </is>
      </c>
      <c r="I288" s="24" t="inlineStr">
        <is>
          <t>Pan-EU gastro webshop (GastroHero, Hamburg) with Austrian Shopify storefront. Category and search listings load via JavaScript; products located via the public sitemap and read from server-rendered product pages. Several items on sale ('Angebotspreis'); sale price recorded.</t>
        </is>
      </c>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row>
    <row r="289" ht="176" customHeight="1">
      <c r="A289" s="2" t="n"/>
      <c r="B289" s="27" t="inlineStr">
        <is>
          <t>shopbuero.com</t>
        </is>
      </c>
      <c r="C289" s="28" t="inlineStr">
        <is>
          <t>https://shopbuero.com</t>
        </is>
      </c>
      <c r="D289" s="27" t="inlineStr">
        <is>
          <t>pan-EU</t>
        </is>
      </c>
      <c r="E289" s="27" t="inlineStr">
        <is>
          <t>B2B</t>
        </is>
      </c>
      <c r="F289" s="27" t="inlineStr">
        <is>
          <t>excl. VAT ('Preise zzgl. MwSt.'; gross line shown at German 19%)</t>
        </is>
      </c>
      <c r="G289" s="27" t="inlineStr">
        <is>
          <t>Austria: from 19.90 EUR (exact cost calculated in cart by type/quantity)</t>
        </is>
      </c>
      <c r="H289" s="27" t="inlineStr">
        <is>
          <t>Minimum order value per shipping warehouse: 150 EUR net for EU countries outside Germany (70 EUR net in DE)</t>
        </is>
      </c>
      <c r="I289" s="27" t="inlineStr">
        <is>
          <t>German B2B webshop for business/gastro/hotel supplies (large WAS and Schneider GN range). Most items shown with a struck-through 'regulärer Preis' and a current Verkaufspreis; current price recorded. No squeeze bottles found.</t>
        </is>
      </c>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row>
    <row r="290" ht="218" customHeight="1">
      <c r="A290" s="2" t="n"/>
      <c r="B290" s="24" t="inlineStr">
        <is>
          <t>ALLPAX Österreich</t>
        </is>
      </c>
      <c r="C290" s="25" t="inlineStr">
        <is>
          <t>https://www.allpax.at</t>
        </is>
      </c>
      <c r="D290" s="24" t="inlineStr">
        <is>
          <t>pan-EU</t>
        </is>
      </c>
      <c r="E290" s="24" t="inlineStr">
        <is>
          <t>B2B + B2C</t>
        </is>
      </c>
      <c r="F290" s="24" t="inlineStr">
        <is>
          <t>excl. VAT ('Steuerhinweis: exkl. MwSt.')</t>
        </is>
      </c>
      <c r="G290" s="24" t="inlineStr">
        <is>
          <t>Per shipping table on allpax.at (/ShippingInfo): parcel rates of 3.70-9.51 EUR (DHL Ausland / DPD) depending on article; freight items 54-174 EUR; exact cost shown in cart</t>
        </is>
      </c>
      <c r="H290" s="24" t="inlineStr">
        <is>
          <t>not shown</t>
        </is>
      </c>
      <c r="I290" s="24" t="inlineStr">
        <is>
          <t>German packaging &amp; catering supplies retailer (ALLPAX GmbH &amp; Co. KG) with Austrian storefront; ranges from Hendi, Bartscher, APS and others. Product pages with variant selectors (e.g. PP GN containers, PP lids) show a default-variant price only, so those items were not recorded.</t>
        </is>
      </c>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row>
    <row r="291" ht="218" customHeight="1">
      <c r="A291" s="2" t="n"/>
      <c r="B291" s="27" t="inlineStr">
        <is>
          <t>GGM Gastro (Austrian storefront)</t>
        </is>
      </c>
      <c r="C291" s="28" t="inlineStr">
        <is>
          <t>https://www.ggmgastro.com/de-at-eur</t>
        </is>
      </c>
      <c r="D291" s="27" t="inlineStr">
        <is>
          <t>pan-EU</t>
        </is>
      </c>
      <c r="E291" s="27" t="inlineStr">
        <is>
          <t>B2B</t>
        </is>
      </c>
      <c r="F291" s="27" t="inlineStr">
        <is>
          <t>excl. VAT (net price shown; site computes gross at 19%, e.g. 46.99 net / 55.92 gross)</t>
        </is>
      </c>
      <c r="G291" s="27" t="inlineStr">
        <is>
          <t>Free delivery ('Kostenloser Versand'; site states prices incl. delivery)</t>
        </is>
      </c>
      <c r="H291" s="27" t="inlineStr">
        <is>
          <t>not shown; smallwares mostly sold in sets of 6, 8 or 12</t>
        </is>
      </c>
      <c r="I291" s="27" t="inlineStr">
        <is>
          <t>German pan-EU gastro supplier (GGM Gastro International). Prices appear via JavaScript on screen, but each product page's HTML carries schema.org price data for the de-at storefront (net and gross); those values were recorded. Product URLs found via GGM's public sitemap. B2B only.</t>
        </is>
      </c>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row>
    <row r="292" ht="260" customHeight="1">
      <c r="A292" s="2" t="n"/>
      <c r="B292" s="24" t="inlineStr">
        <is>
          <t>Gastro Star</t>
        </is>
      </c>
      <c r="C292" s="25" t="inlineStr">
        <is>
          <t>https://www.gastro-star.at</t>
        </is>
      </c>
      <c r="D292" s="24" t="inlineStr">
        <is>
          <t>local</t>
        </is>
      </c>
      <c r="E292" s="24" t="inlineStr">
        <is>
          <t>B2B</t>
        </is>
      </c>
      <c r="F292" s="24" t="inlineStr">
        <is>
          <t>excl. VAT ('Zzgl. 20% MwSt.'; gross incl. 20% also shown)</t>
        </is>
      </c>
      <c r="G292" s="24" t="inlineStr">
        <is>
          <t>Austria: free delivery ('frei Haus') from 300 EUR net goods value; charges below that not stated on the shipping page</t>
        </is>
      </c>
      <c r="H292" s="24" t="inlineStr">
        <is>
          <t>not shown</t>
        </is>
      </c>
      <c r="I292" s="24" t="inlineStr">
        <is>
          <t>Austrian B2B gastro equipment shop (WooCommerce). Carries plastic GN containers/lids (HENDI, RIEBER) and Rieber front-loaders only - no squeeze bottles, cutting boards, dough boxes or trays. Original 17-item basket: 5 items (below the 6-item threshold); new variants 18-34: 8 items. Included at the user's request; prices are counted in the Summary.</t>
        </is>
      </c>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row>
    <row r="293" ht="31" customHeight="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row>
    <row r="294" ht="31" customHeight="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row>
    <row r="295" ht="31" customHeight="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row>
    <row r="296" ht="31" customHeight="1">
      <c r="A296" s="2" t="n"/>
      <c r="B296" s="7" t="inlineStr">
        <is>
          <t>Additional variants · Summary</t>
        </is>
      </c>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row>
    <row r="297" ht="31" customHeight="1">
      <c r="A297" s="2" t="n"/>
      <c r="B297" s="16" t="inlineStr">
        <is>
          <t>Basket item</t>
        </is>
      </c>
      <c r="C297" s="17" t="inlineStr">
        <is>
          <t>Min net/pc EUR</t>
        </is>
      </c>
      <c r="D297" s="17" t="inlineStr">
        <is>
          <t>Median net/pc EUR</t>
        </is>
      </c>
      <c r="E297" s="17" t="inlineStr">
        <is>
          <t>Max net/pc EUR</t>
        </is>
      </c>
      <c r="F297" s="18" t="inlineStr">
        <is>
          <t>Competitors with price</t>
        </is>
      </c>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row>
    <row r="298" ht="50" customHeight="1">
      <c r="A298" s="2" t="n"/>
      <c r="B298" s="24" t="inlineStr">
        <is>
          <t>GN 1/1 container, PP, 65 mm</t>
        </is>
      </c>
      <c r="C298" s="120" t="n">
        <v>7.17</v>
      </c>
      <c r="D298" s="120" t="n">
        <v>10.46</v>
      </c>
      <c r="E298" s="120" t="n">
        <v>19.99</v>
      </c>
      <c r="F298" s="24" t="inlineStr">
        <is>
          <t>ALLPAX Österreich, GGM Gastro (Austrian storefront), GastroHero Österreich, Gastrodax, Intergastro (AT shop), shopbuero.com</t>
        </is>
      </c>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row>
    <row r="299" ht="50" customHeight="1">
      <c r="A299" s="2" t="n"/>
      <c r="B299" s="27" t="inlineStr">
        <is>
          <t>GN 1/3 container, PC, 100 mm</t>
        </is>
      </c>
      <c r="C299" s="121" t="n">
        <v>4.02</v>
      </c>
      <c r="D299" s="121" t="n">
        <v>6.65</v>
      </c>
      <c r="E299" s="121" t="n">
        <v>15.7</v>
      </c>
      <c r="F299" s="27" t="inlineStr">
        <is>
          <t>ALLPAX Österreich, GGM Gastro (Austrian storefront), Gastro Star, GastroHero Österreich, Gastrodax, Intergastro (AT shop), Jungheinrich PROFISHOP Austria, shopbuero.com</t>
        </is>
      </c>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row>
    <row r="300" ht="64" customHeight="1">
      <c r="A300" s="2" t="n"/>
      <c r="B300" s="24" t="inlineStr">
        <is>
          <t>GN 1/2 container, PP, 150 mm</t>
        </is>
      </c>
      <c r="C300" s="120" t="n">
        <v>4.25</v>
      </c>
      <c r="D300" s="120" t="n">
        <v>7.5</v>
      </c>
      <c r="E300" s="120" t="n">
        <v>37.9</v>
      </c>
      <c r="F300" s="24" t="inlineStr">
        <is>
          <t>ALLPAX Österreich, GGM Gastro (Austrian storefront), Gastro Star, GastroHero Österreich, Gastrodax, Gastroladen.at (Harotec GmbH), Intergastro (AT shop), Jungheinrich PROFISHOP Austria, shopbuero.com</t>
        </is>
      </c>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row>
    <row r="301" ht="50" customHeight="1">
      <c r="A301" s="2" t="n"/>
      <c r="B301" s="27" t="inlineStr">
        <is>
          <t>GN 1/1 PC lid, standard</t>
        </is>
      </c>
      <c r="C301" s="121" t="n">
        <v>6.54</v>
      </c>
      <c r="D301" s="121" t="n">
        <v>10.83</v>
      </c>
      <c r="E301" s="121" t="n">
        <v>22</v>
      </c>
      <c r="F301" s="27" t="inlineStr">
        <is>
          <t>ALLPAX Österreich, GGM Gastro (Austrian storefront), Gastro Star, GastroHero Österreich, Gastrodax, Gastroladen.at (Harotec GmbH), Intergastro (AT shop), shopbuero.com</t>
        </is>
      </c>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row>
    <row r="302" ht="64" customHeight="1">
      <c r="A302" s="2" t="n"/>
      <c r="B302" s="24" t="inlineStr">
        <is>
          <t>GN 1/6 container, PP, 100 mm</t>
        </is>
      </c>
      <c r="C302" s="120" t="n">
        <v>2.8</v>
      </c>
      <c r="D302" s="120" t="n">
        <v>3.62</v>
      </c>
      <c r="E302" s="120" t="n">
        <v>13.2</v>
      </c>
      <c r="F302" s="24" t="inlineStr">
        <is>
          <t>GGM Gastro (Austrian storefront), Gastro Star, GastroHero Österreich, Gastrodax, Gastroladen.at (Harotec GmbH), Intergastro (AT shop), Jungheinrich PROFISHOP Austria, shopbuero.com</t>
        </is>
      </c>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row>
    <row r="303" ht="50" customHeight="1">
      <c r="A303" s="2" t="n"/>
      <c r="B303" s="27" t="inlineStr">
        <is>
          <t>GN 1/9 container, PP, 100 mm</t>
        </is>
      </c>
      <c r="C303" s="121" t="n">
        <v>2.1</v>
      </c>
      <c r="D303" s="121" t="n">
        <v>3.58</v>
      </c>
      <c r="E303" s="121" t="n">
        <v>17.5</v>
      </c>
      <c r="F303" s="27" t="inlineStr">
        <is>
          <t>GGM Gastro (Austrian storefront), Gastro Star, GastroHero Österreich, Gastrodax, Intergastro (AT shop), Jungheinrich PROFISHOP Austria, shopbuero.com</t>
        </is>
      </c>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row>
    <row r="304" ht="36" customHeight="1">
      <c r="A304" s="2" t="n"/>
      <c r="B304" s="24" t="inlineStr">
        <is>
          <t>Squeeze bottle 250 ml, PP, single tip</t>
        </is>
      </c>
      <c r="C304" s="120" t="n">
        <v>0.8100000000000001</v>
      </c>
      <c r="D304" s="120" t="n">
        <v>1.08</v>
      </c>
      <c r="E304" s="120" t="n">
        <v>6.59</v>
      </c>
      <c r="F304" s="24" t="inlineStr">
        <is>
          <t>ALLPAX Österreich, GastroHero Österreich, Gastrodax, Gastroladen.at (Harotec GmbH), Intergastro (AT shop)</t>
        </is>
      </c>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row>
    <row r="305" ht="50" customHeight="1">
      <c r="A305" s="2" t="n"/>
      <c r="B305" s="27" t="inlineStr">
        <is>
          <t>Squeeze bottle 750 ml, PP, single tip</t>
        </is>
      </c>
      <c r="C305" s="121" t="n">
        <v>1.06</v>
      </c>
      <c r="D305" s="121" t="n">
        <v>1.75</v>
      </c>
      <c r="E305" s="121" t="n">
        <v>5.83</v>
      </c>
      <c r="F305" s="27" t="inlineStr">
        <is>
          <t>ALLPAX Österreich, GGM Gastro (Austrian storefront), GastroHero Österreich, Gastrodax, Gastroladen.at (Harotec GmbH), Intergastro (AT shop)</t>
        </is>
      </c>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row>
    <row r="306" ht="31" customHeight="1">
      <c r="A306" s="2" t="n"/>
      <c r="B306" s="24" t="inlineStr">
        <is>
          <t>Cutting board 400x300x20 mm, red PE</t>
        </is>
      </c>
      <c r="C306" s="120" t="n">
        <v>20.96</v>
      </c>
      <c r="D306" s="120" t="n">
        <v>20.96</v>
      </c>
      <c r="E306" s="120" t="n">
        <v>20.96</v>
      </c>
      <c r="F306" s="24" t="inlineStr">
        <is>
          <t>Intergastro (AT shop)</t>
        </is>
      </c>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row>
    <row r="307" ht="50" customHeight="1">
      <c r="A307" s="2" t="n"/>
      <c r="B307" s="27" t="inlineStr">
        <is>
          <t>Dough box 600x400x75 mm, PP, without lid</t>
        </is>
      </c>
      <c r="C307" s="121" t="n">
        <v>9.119999999999999</v>
      </c>
      <c r="D307" s="121" t="n">
        <v>21.46</v>
      </c>
      <c r="E307" s="121" t="n">
        <v>38</v>
      </c>
      <c r="F307" s="27" t="inlineStr">
        <is>
          <t>GGM Gastro (Austrian storefront), Gastrodax, Gastroladen.at (Harotec GmbH), Intergastro (AT shop), Jungheinrich PROFISHOP Austria, shopbuero.com</t>
        </is>
      </c>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row>
    <row r="308" ht="50" customHeight="1">
      <c r="A308" s="2" t="n"/>
      <c r="B308" s="24" t="inlineStr">
        <is>
          <t>GN 1/1 container, PC, 100 mm</t>
        </is>
      </c>
      <c r="C308" s="120" t="n">
        <v>6.4</v>
      </c>
      <c r="D308" s="120" t="n">
        <v>17.55</v>
      </c>
      <c r="E308" s="120" t="n">
        <v>29.25</v>
      </c>
      <c r="F308" s="24" t="inlineStr">
        <is>
          <t>ALLPAX Österreich, GGM Gastro (Austrian storefront), Gastro Star, GastroHero Österreich, Gastrodax, Gastroladen.at (Harotec GmbH), Intergastro (AT shop), shopbuero.com</t>
        </is>
      </c>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row>
    <row r="309" ht="64" customHeight="1">
      <c r="A309" s="2" t="n"/>
      <c r="B309" s="27" t="inlineStr">
        <is>
          <t>GN 1/6 container, PC, 100 mm</t>
        </is>
      </c>
      <c r="C309" s="121" t="n">
        <v>3.23</v>
      </c>
      <c r="D309" s="121" t="n">
        <v>3.92</v>
      </c>
      <c r="E309" s="121" t="n">
        <v>14.86</v>
      </c>
      <c r="F309" s="27" t="inlineStr">
        <is>
          <t>ALLPAX Österreich, GGM Gastro (Austrian storefront), Gastro Star, GastroHero Österreich, Gastrodax, Gastroladen.at (Harotec GmbH), Intergastro (AT shop), Jungheinrich PROFISHOP Austria, shopbuero.com</t>
        </is>
      </c>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row>
    <row r="310" ht="50" customHeight="1">
      <c r="A310" s="2" t="n"/>
      <c r="B310" s="24" t="inlineStr">
        <is>
          <t>Cutting board 530x325x15 mm, red PE</t>
        </is>
      </c>
      <c r="C310" s="120" t="n">
        <v>20.95</v>
      </c>
      <c r="D310" s="120" t="n">
        <v>24.57</v>
      </c>
      <c r="E310" s="120" t="n">
        <v>51.09</v>
      </c>
      <c r="F310" s="24" t="inlineStr">
        <is>
          <t>ALLPAX Österreich, GGM Gastro (Austrian storefront), Gastrodax, Gastroladen.at (Harotec GmbH), Intergastro (AT shop), Jungheinrich PROFISHOP Austria, shopbuero.com</t>
        </is>
      </c>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row>
    <row r="311" ht="64" customHeight="1">
      <c r="A311" s="2" t="n"/>
      <c r="B311" s="27" t="inlineStr">
        <is>
          <t>GN 1/3 PP lid, standard</t>
        </is>
      </c>
      <c r="C311" s="121" t="n">
        <v>2.3</v>
      </c>
      <c r="D311" s="121" t="n">
        <v>3.38</v>
      </c>
      <c r="E311" s="121" t="n">
        <v>12.7</v>
      </c>
      <c r="F311" s="27" t="inlineStr">
        <is>
          <t>ALLPAX Österreich, GGM Gastro (Austrian storefront), Gastro Star, GastroHero Österreich, Gastrodax, Gastroladen.at (Harotec GmbH), Intergastro (AT shop), Jungheinrich PROFISHOP Austria, shopbuero.com</t>
        </is>
      </c>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row>
    <row r="312" ht="36" customHeight="1">
      <c r="A312" s="2" t="n"/>
      <c r="B312" s="24" t="inlineStr">
        <is>
          <t>Squeeze bottle 750 ml, PP/PE, wide covered tip</t>
        </is>
      </c>
      <c r="C312" s="120" t="n">
        <v>1.61</v>
      </c>
      <c r="D312" s="120" t="n">
        <v>3.51</v>
      </c>
      <c r="E312" s="120" t="n">
        <v>5.41</v>
      </c>
      <c r="F312" s="24" t="inlineStr">
        <is>
          <t>Gastroladen.at (Harotec GmbH), Intergastro (AT shop)</t>
        </is>
      </c>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row>
    <row r="313" ht="31" customHeight="1">
      <c r="A313" s="2" t="n"/>
      <c r="B313" s="27" t="inlineStr">
        <is>
          <t>Cutting board 300x200x20 mm, red PE</t>
        </is>
      </c>
      <c r="C313" s="121" t="n">
        <v>7.41</v>
      </c>
      <c r="D313" s="121" t="n">
        <v>9.300000000000001</v>
      </c>
      <c r="E313" s="121" t="n">
        <v>11.19</v>
      </c>
      <c r="F313" s="27" t="inlineStr">
        <is>
          <t>Gastroladen.at (Harotec GmbH), Intergastro (AT shop)</t>
        </is>
      </c>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row>
    <row r="314" ht="36" customHeight="1">
      <c r="A314" s="2" t="n"/>
      <c r="B314" s="24" t="inlineStr">
        <is>
          <t>Dough box 400x300x100 mm, PP, without lid</t>
        </is>
      </c>
      <c r="C314" s="120" t="n">
        <v>9.800000000000001</v>
      </c>
      <c r="D314" s="120" t="n">
        <v>11.97</v>
      </c>
      <c r="E314" s="120" t="n">
        <v>20.9</v>
      </c>
      <c r="F314" s="24" t="inlineStr">
        <is>
          <t>Intergastro (AT shop), Jungheinrich PROFISHOP Austria, shopbuero.com</t>
        </is>
      </c>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row>
    <row r="315" ht="64" customHeight="1">
      <c r="A315" s="2" t="n"/>
      <c r="B315" s="27" t="inlineStr">
        <is>
          <t>Net price = listed gross / 1.20 (AT standard VAT 20%) when listed incl. VAT; divided by pack size. Only EXACT and CLOSE matches counted.</t>
        </is>
      </c>
      <c r="C315" s="27" t="n"/>
      <c r="D315" s="27" t="n"/>
      <c r="E315" s="27" t="n"/>
      <c r="F315" s="27"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row>
    <row r="316" ht="31" customHeight="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row>
    <row r="317" ht="31" customHeight="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row>
    <row r="318" ht="31" customHeight="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row>
    <row r="319" ht="31" customHeight="1">
      <c r="A319" s="2" t="n"/>
      <c r="B319" s="7" t="inlineStr">
        <is>
          <t>Additional variants · Not accessible</t>
        </is>
      </c>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row>
    <row r="320" ht="36" customHeight="1">
      <c r="A320" s="2" t="n"/>
      <c r="B320" s="16" t="inlineStr">
        <is>
          <t>Name</t>
        </is>
      </c>
      <c r="C320" s="17" t="inlineStr">
        <is>
          <t>URL</t>
        </is>
      </c>
      <c r="D320" s="17" t="inlineStr">
        <is>
          <t>Type</t>
        </is>
      </c>
      <c r="E320" s="17" t="inlineStr">
        <is>
          <t>Reason prices not counted</t>
        </is>
      </c>
      <c r="F320" s="18" t="inlineStr">
        <is>
          <t>Notes</t>
        </is>
      </c>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row>
    <row r="321" ht="162" customHeight="1">
      <c r="A321" s="2" t="n"/>
      <c r="B321" s="24" t="inlineStr">
        <is>
          <t>LUSINI Austria (incl. VEGA and PULSIVA)</t>
        </is>
      </c>
      <c r="C321" s="25" t="inlineStr">
        <is>
          <t>https://www.lusini.com/de-at/</t>
        </is>
      </c>
      <c r="D321" s="24" t="inlineStr">
        <is>
          <t>pan-EU</t>
        </is>
      </c>
      <c r="E321" s="24" t="inlineStr">
        <is>
          <t>Blocks automated access: every lusini.com page (including robots.txt and the sitemap) returns HTTP 403 to scripts and to the web-fetch tool, so no price could be read or verified. Re-checked 2026-09-30.</t>
        </is>
      </c>
      <c r="F321" s="24" t="inlineStr">
        <is>
          <t>vega-direct.at and pulsiva.at now redirect to lusini.com/de-at, and vega-direct.com / pulsiva.com to lusini.com/vega and /pulsiva: VEGA and PULSIVA are sold through the LUSINI shop. Search-engine snippets show LUSINI de-at listings (e.g. pdp/248536 'Behälter GN 1/1'), but prices/variants could not be confirmed on the site, so none were recorded. Needs a manual check in a normal browser.</t>
        </is>
      </c>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row>
    <row r="322" ht="176" customHeight="1">
      <c r="A322" s="2" t="n"/>
      <c r="B322" s="27" t="inlineStr">
        <is>
          <t>METRO Austria</t>
        </is>
      </c>
      <c r="C322" s="28" t="inlineStr">
        <is>
          <t>https://shop.metro.at</t>
        </is>
      </c>
      <c r="D322" s="27" t="inlineStr">
        <is>
          <t>local</t>
        </is>
      </c>
      <c r="E322" s="27" t="inlineStr">
        <is>
          <t>Login only: shop.metro.at redirects to the sign-in page ('Willkommen im METRO Shop' - customer registration required). www.metro.at returns HTTP 403 and produkte.metro.at is a JavaScript-only page with no readable product data.</t>
        </is>
      </c>
      <c r="F322" s="27" t="inlineStr">
        <is>
          <t>Cash &amp; carry wholesaler; METRO Professional GN containers exist in its range (seen on metro.de marketplace and in Austrian flyer-aggregator sites), but no current Austrian online price is publicly readable.</t>
        </is>
      </c>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row>
    <row r="323" ht="176" customHeight="1">
      <c r="A323" s="2" t="n"/>
      <c r="B323" s="24" t="inlineStr">
        <is>
          <t>HENDI Austria</t>
        </is>
      </c>
      <c r="C323" s="25" t="inlineStr">
        <is>
          <t>https://hendi.com/at</t>
        </is>
      </c>
      <c r="D323" s="24" t="inlineStr">
        <is>
          <t>pan-EU</t>
        </is>
      </c>
      <c r="E323" s="24" t="inlineStr">
        <is>
          <t>Price not readable: hendi.com/at product pages (3,467 AT URLs in the public sitemap) are JavaScript app shells - the HTML contains no product data or prices, and no HENDI AT prices appear in search indexes. HENDI sells through dealers.</t>
        </is>
      </c>
      <c r="F323" s="24" t="inlineStr">
        <is>
          <t>HENDI products are priced at Gastro Star, GastroHero, Gastrodax and Allpax (see Prices sheet, brand = Hendi).</t>
        </is>
      </c>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row>
    <row r="324" ht="50" customHeight="1">
      <c r="A324" s="2" t="n"/>
      <c r="B324" s="27" t="inlineStr">
        <is>
          <t>Kaufland.at Marktplatz</t>
        </is>
      </c>
      <c r="C324" s="28" t="inlineStr">
        <is>
          <t>https://www.kaufland.at</t>
        </is>
      </c>
      <c r="D324" s="27" t="inlineStr">
        <is>
          <t>marketplace</t>
        </is>
      </c>
      <c r="E324" s="27" t="inlineStr">
        <is>
          <t>Blocks automated access (HTTP 403); prices not verified.</t>
        </is>
      </c>
      <c r="F324" s="27" t="inlineStr">
        <is>
          <t>Gastro sellers such as GASTROVERTRIEBSKONTOR, getgastro and HENDI items are listed (per search-engine snippets).</t>
        </is>
      </c>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row>
    <row r="325" ht="64" customHeight="1">
      <c r="A325" s="2" t="n"/>
      <c r="B325" s="24" t="inlineStr">
        <is>
          <t>eBay.at / Amazon.de</t>
        </is>
      </c>
      <c r="C325" s="25" t="inlineStr">
        <is>
          <t>https://www.ebay.at</t>
        </is>
      </c>
      <c r="D325" s="24" t="inlineStr">
        <is>
          <t>marketplace</t>
        </is>
      </c>
      <c r="E325" s="24" t="inlineStr">
        <is>
          <t>Blocks automated access (403 / bot check); prices not verified.</t>
        </is>
      </c>
      <c r="F325" s="24" t="inlineStr">
        <is>
          <t>amazon.at redirects to amazon.de.</t>
        </is>
      </c>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row>
    <row r="326" ht="92" customHeight="1">
      <c r="A326" s="2" t="n"/>
      <c r="B326" s="27" t="inlineStr">
        <is>
          <t>Transgourmet Österreich (Webshop)</t>
        </is>
      </c>
      <c r="C326" s="28" t="inlineStr">
        <is>
          <t>https://shop.transgourmet.at</t>
        </is>
      </c>
      <c r="D326" s="27" t="inlineStr">
        <is>
          <t>local</t>
        </is>
      </c>
      <c r="E326" s="27" t="inlineStr">
        <is>
          <t>Price on request: product page shows 'auf Anfr.' instead of a price; full access needs a customer login.</t>
        </is>
      </c>
      <c r="F326" s="27" t="inlineStr">
        <is>
          <t>Example: Gastronorm-Behälter 1/3 H=100 mm PP (Art. 1623644).</t>
        </is>
      </c>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row>
    <row r="327" ht="64" customHeight="1">
      <c r="A327" s="2" t="n"/>
      <c r="B327" s="24" t="inlineStr">
        <is>
          <t>Kiennast / Eurogast</t>
        </is>
      </c>
      <c r="C327" s="25" t="inlineStr">
        <is>
          <t>https://www.kiennast.at/de/webshops/</t>
        </is>
      </c>
      <c r="D327" s="24" t="inlineStr">
        <is>
          <t>local</t>
        </is>
      </c>
      <c r="E327" s="24" t="inlineStr">
        <is>
          <t>Login only: customer-specific ('persönlicher') webshops; no public prices.</t>
        </is>
      </c>
      <c r="F327" s="24" t="inlineStr">
        <is>
          <t>Food &amp; non-food wholesaler for gastro in Vienna, Lower Austria and Burgenland.</t>
        </is>
      </c>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row>
    <row r="328" ht="92" customHeight="1">
      <c r="A328" s="2" t="n"/>
      <c r="B328" s="27" t="inlineStr">
        <is>
          <t>Gradwohl (gastroartikel.at)</t>
        </is>
      </c>
      <c r="C328" s="28" t="inlineStr">
        <is>
          <t>https://gastroartikel.at</t>
        </is>
      </c>
      <c r="D328" s="27" t="inlineStr">
        <is>
          <t>local</t>
        </is>
      </c>
      <c r="E328" s="27" t="inlineStr">
        <is>
          <t>Catalogue only, no prices: an Austrian manufacturer (Melk) that sells through dealers ('Shops finden').</t>
        </is>
      </c>
      <c r="F328" s="27" t="inlineStr">
        <is>
          <t>Makes Polyhygien cutting boards and kitchen tools.</t>
        </is>
      </c>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row>
    <row r="329" ht="78" customHeight="1">
      <c r="A329" s="2" t="n"/>
      <c r="B329" s="24" t="inlineStr">
        <is>
          <t>Stalgast</t>
        </is>
      </c>
      <c r="C329" s="25" t="inlineStr">
        <is>
          <t>https://www.stalgast.de</t>
        </is>
      </c>
      <c r="D329" s="24" t="inlineStr">
        <is>
          <t>pan-EU</t>
        </is>
      </c>
      <c r="E329" s="24" t="inlineStr">
        <is>
          <t>Catalogue without prices on stalgast.de; stalgast.at redirects to the Swiss site (CHF).</t>
        </is>
      </c>
      <c r="F329" s="24" t="inlineStr">
        <is>
          <t>Stalgast items are priced at Jungheinrich PROFISHOP and Intergastro.</t>
        </is>
      </c>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row>
    <row r="330" ht="78" customHeight="1">
      <c r="A330" s="2" t="n"/>
      <c r="B330" s="27" t="inlineStr">
        <is>
          <t>Esmeyer</t>
        </is>
      </c>
      <c r="C330" s="28" t="inlineStr">
        <is>
          <t>https://www.esmeyer-shop.de</t>
        </is>
      </c>
      <c r="D330" s="27" t="inlineStr">
        <is>
          <t>pan-EU</t>
        </is>
      </c>
      <c r="E330" s="27" t="inlineStr">
        <is>
          <t>Blocks automated access (HTTP 403); the fetched page showed no price. Not verified.</t>
        </is>
      </c>
      <c r="F330" s="27" t="inlineStr">
        <is>
          <t>German gastro webshop.</t>
        </is>
      </c>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row>
    <row r="331" ht="50" customHeight="1">
      <c r="A331" s="2" t="n"/>
      <c r="B331" s="24" t="inlineStr">
        <is>
          <t>Gastrotiger</t>
        </is>
      </c>
      <c r="C331" s="25" t="inlineStr">
        <is>
          <t>https://gastrotiger.at</t>
        </is>
      </c>
      <c r="D331" s="24" t="inlineStr">
        <is>
          <t>local</t>
        </is>
      </c>
      <c r="E331" s="24" t="inlineStr">
        <is>
          <t>Blocks automated access (HTTP 403); not verified.</t>
        </is>
      </c>
      <c r="F331" s="24"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row>
    <row r="332" ht="148" customHeight="1">
      <c r="A332" s="2" t="n"/>
      <c r="B332" s="27" t="inlineStr">
        <is>
          <t>Gastro Zimml</t>
        </is>
      </c>
      <c r="C332" s="28" t="inlineStr">
        <is>
          <t>https://www.gastrozimml.at</t>
        </is>
      </c>
      <c r="D332" s="27" t="inlineStr">
        <is>
          <t>local</t>
        </is>
      </c>
      <c r="E332" s="27" t="inlineStr">
        <is>
          <t>Not counted: shows prices (excl. 20% VAT) but only a request basket ('Anfragekorb'), no checkout, and fewer than 6 basket items (only stainless sauce dispensers, no plastic GN, boards or bottles).</t>
        </is>
      </c>
      <c r="F332" s="27" t="inlineStr">
        <is>
          <t>Tyrol (Oberlienz); HOGAST partner.</t>
        </is>
      </c>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row>
    <row r="333" ht="92" customHeight="1">
      <c r="A333" s="2" t="n"/>
      <c r="B333" s="24" t="inlineStr">
        <is>
          <t>OM Gastrohandel</t>
        </is>
      </c>
      <c r="C333" s="25" t="inlineStr">
        <is>
          <t>https://om-gastrohandel.at</t>
        </is>
      </c>
      <c r="D333" s="24" t="inlineStr">
        <is>
          <t>local</t>
        </is>
      </c>
      <c r="E333" s="24" t="inlineStr">
        <is>
          <t>Not counted: shows prices (excl. VAT) but carries no basket items (focus on cleaning chemicals, paper and dishwashers).</t>
        </is>
      </c>
      <c r="F333" s="24" t="inlineStr">
        <is>
          <t>Altendorf, Lower Austria.</t>
        </is>
      </c>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row>
    <row r="334" ht="106" customHeight="1">
      <c r="A334" s="2" t="n"/>
      <c r="B334" s="27" t="inlineStr">
        <is>
          <t>ZORRO Gastro (AT storefront)</t>
        </is>
      </c>
      <c r="C334" s="28" t="inlineStr">
        <is>
          <t>https://www.zorro.de/at/</t>
        </is>
      </c>
      <c r="D334" s="27" t="inlineStr">
        <is>
          <t>pan-EU</t>
        </is>
      </c>
      <c r="E334" s="27" t="inlineStr">
        <is>
          <t>Not counted: shows prices, but focuses on equipment; GN range is stainless steel only and none of the plastic basket items were found.</t>
        </is>
      </c>
      <c r="F334" s="27"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row>
    <row r="335" ht="31" customHeight="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row>
    <row r="336" ht="31" customHeight="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row>
    <row r="337" ht="31" customHeight="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row>
    <row r="338" ht="22" customHeight="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row>
    <row r="339" ht="22" customHeight="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row>
    <row r="340" ht="31" customHeight="1">
      <c r="A340" s="2" t="n"/>
      <c r="B340" s="45" t="inlineStr">
        <is>
          <t>Live-confirmed additions</t>
        </is>
      </c>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row>
    <row r="341" ht="36" customHeight="1">
      <c r="A341" s="2" t="n"/>
      <c r="B341" s="6" t="inlineStr">
        <is>
          <t>research_AT.xlsx (current version) · Rows for original basket items that the master had not imported. Each listed price was confirmed on the live page on 30 Sep 2026.</t>
        </is>
      </c>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row>
    <row r="342" ht="22" customHeight="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row>
    <row r="343" ht="31" customHeight="1">
      <c r="A343" s="2" t="n"/>
      <c r="B343" s="7" t="inlineStr">
        <is>
          <t>Live-confirmed additions · Prices</t>
        </is>
      </c>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row>
    <row r="344" ht="36" customHeight="1">
      <c r="A344" s="2" t="n"/>
      <c r="B344" s="16" t="inlineStr">
        <is>
          <t>Basket item</t>
        </is>
      </c>
      <c r="C344" s="17" t="inlineStr">
        <is>
          <t>Competitor</t>
        </is>
      </c>
      <c r="D344" s="17" t="inlineStr">
        <is>
          <t>Product name</t>
        </is>
      </c>
      <c r="E344" s="17" t="inlineStr">
        <is>
          <t>Brand</t>
        </is>
      </c>
      <c r="F344" s="17" t="inlineStr">
        <is>
          <t>Product URL</t>
        </is>
      </c>
      <c r="G344" s="17" t="inlineStr">
        <is>
          <t>Listed price EUR</t>
        </is>
      </c>
      <c r="H344" s="17" t="inlineStr">
        <is>
          <t>Incl./excl. VAT</t>
        </is>
      </c>
      <c r="I344" s="17" t="inlineStr">
        <is>
          <t>Pack size (pcs)</t>
        </is>
      </c>
      <c r="J344" s="17" t="inlineStr">
        <is>
          <t>Pack description</t>
        </is>
      </c>
      <c r="K344" s="17" t="inlineStr">
        <is>
          <t>Net price per piece EUR</t>
        </is>
      </c>
      <c r="L344" s="17" t="inlineStr">
        <is>
          <t>Match quality</t>
        </is>
      </c>
      <c r="M344" s="17" t="inlineStr">
        <is>
          <t>Notes</t>
        </is>
      </c>
      <c r="N344" s="18" t="inlineStr">
        <is>
          <t>Date checked</t>
        </is>
      </c>
      <c r="O344" s="2" t="n"/>
      <c r="P344" s="2" t="n"/>
      <c r="Q344" s="2" t="n"/>
      <c r="R344" s="2" t="n"/>
      <c r="S344" s="2" t="n"/>
      <c r="T344" s="2" t="n"/>
      <c r="U344" s="2" t="n"/>
      <c r="V344" s="2" t="n"/>
      <c r="W344" s="2" t="n"/>
      <c r="X344" s="2" t="n"/>
      <c r="Y344" s="2" t="n"/>
      <c r="Z344" s="2" t="n"/>
      <c r="AA344" s="2" t="n"/>
      <c r="AB344" s="2" t="n"/>
      <c r="AC344" s="2" t="n"/>
    </row>
    <row r="345" ht="36" customHeight="1">
      <c r="A345" s="2" t="n"/>
      <c r="B345" s="24" t="inlineStr">
        <is>
          <t>GN 1/1 polycarbonate container, 65 mm deep</t>
        </is>
      </c>
      <c r="C345" s="24" t="inlineStr">
        <is>
          <t>GGM Gastro (Austrian storefront)</t>
        </is>
      </c>
      <c r="D345" s="24" t="inlineStr">
        <is>
          <t>(6 Stück) Polycarbonat-Behälter GN 1/1 - Transparent - Höhe: 65mm</t>
        </is>
      </c>
      <c r="E345" s="24" t="inlineStr">
        <is>
          <t>GGM</t>
        </is>
      </c>
      <c r="F345" s="25" t="inlineStr">
        <is>
          <t>https://www.ggmgastro.com/de-at-eur/6-stueck-polycarbonat-behaelter-gn-1-1-transparent-hoehe-65mm-gpcp1165</t>
        </is>
      </c>
      <c r="G345" s="120" t="n">
        <v>46.99</v>
      </c>
      <c r="H345" s="24" t="inlineStr">
        <is>
          <t>excl.</t>
        </is>
      </c>
      <c r="I345" s="116" t="n">
        <v>6</v>
      </c>
      <c r="J345" s="24" t="inlineStr">
        <is>
          <t>set of 6</t>
        </is>
      </c>
      <c r="K345" s="120" t="n">
        <v>7.83</v>
      </c>
      <c r="L345" s="24" t="inlineStr">
        <is>
          <t>EXACT</t>
        </is>
      </c>
      <c r="M345" s="24" t="inlineStr">
        <is>
          <t>RRP 87.99</t>
        </is>
      </c>
      <c r="N345" s="24" t="inlineStr">
        <is>
          <t>2026-09-30</t>
        </is>
      </c>
      <c r="O345" s="2" t="n"/>
      <c r="P345" s="2" t="n"/>
      <c r="Q345" s="2" t="n"/>
      <c r="R345" s="2" t="n"/>
      <c r="S345" s="2" t="n"/>
      <c r="T345" s="2" t="n"/>
      <c r="U345" s="2" t="n"/>
      <c r="V345" s="2" t="n"/>
      <c r="W345" s="2" t="n"/>
      <c r="X345" s="2" t="n"/>
      <c r="Y345" s="2" t="n"/>
      <c r="Z345" s="2" t="n"/>
      <c r="AA345" s="2" t="n"/>
      <c r="AB345" s="2" t="n"/>
      <c r="AC345" s="2" t="n"/>
    </row>
    <row r="346" ht="36" customHeight="1">
      <c r="A346" s="2" t="n"/>
      <c r="B346" s="24" t="inlineStr">
        <is>
          <t>GN 1/1 polycarbonate container, 65 mm deep</t>
        </is>
      </c>
      <c r="C346" s="24" t="inlineStr">
        <is>
          <t>Gastro Star</t>
        </is>
      </c>
      <c r="D346" s="24" t="inlineStr">
        <is>
          <t>RIEBER GN 1/1 Polycarbonat-Behälter - Tiefe 65mm</t>
        </is>
      </c>
      <c r="E346" s="24" t="inlineStr">
        <is>
          <t>Rieber</t>
        </is>
      </c>
      <c r="F346" s="25" t="inlineStr">
        <is>
          <t>https://www.gastro-star.at/produkt/riebergn11polycarbonat-behaelter-tiefe65mm/</t>
        </is>
      </c>
      <c r="G346" s="120" t="n">
        <v>23</v>
      </c>
      <c r="H346" s="24" t="inlineStr">
        <is>
          <t>excl.</t>
        </is>
      </c>
      <c r="I346" s="116" t="n">
        <v>1</v>
      </c>
      <c r="J346" s="24" t="n"/>
      <c r="K346" s="120" t="n">
        <v>23</v>
      </c>
      <c r="L346" s="24" t="inlineStr">
        <is>
          <t>EXACT</t>
        </is>
      </c>
      <c r="M346" s="24" t="inlineStr">
        <is>
          <t>Gross 27.60</t>
        </is>
      </c>
      <c r="N346" s="24" t="inlineStr">
        <is>
          <t>2026-09-30</t>
        </is>
      </c>
      <c r="O346" s="2" t="n"/>
      <c r="P346" s="2" t="n"/>
      <c r="Q346" s="2" t="n"/>
      <c r="R346" s="2" t="n"/>
      <c r="S346" s="2" t="n"/>
      <c r="T346" s="2" t="n"/>
      <c r="U346" s="2" t="n"/>
      <c r="V346" s="2" t="n"/>
      <c r="W346" s="2" t="n"/>
      <c r="X346" s="2" t="n"/>
      <c r="Y346" s="2" t="n"/>
      <c r="Z346" s="2" t="n"/>
      <c r="AA346" s="2" t="n"/>
      <c r="AB346" s="2" t="n"/>
      <c r="AC346" s="2" t="n"/>
    </row>
    <row r="347" ht="36" customHeight="1">
      <c r="A347" s="2" t="n"/>
      <c r="B347" s="24" t="inlineStr">
        <is>
          <t>GN 1/2 polycarbonate container, 150 mm deep</t>
        </is>
      </c>
      <c r="C347" s="24" t="inlineStr">
        <is>
          <t>GGM Gastro (Austrian storefront)</t>
        </is>
      </c>
      <c r="D347" s="24" t="inlineStr">
        <is>
          <t>(6 Stück) CAMBRO CAMVIEW Copolymer-Behälter GN 1/2 - Höhe 150mm - BPA-frei</t>
        </is>
      </c>
      <c r="E347" s="24" t="inlineStr">
        <is>
          <t>Cambro</t>
        </is>
      </c>
      <c r="F347" s="25" t="inlineStr">
        <is>
          <t>https://www.ggmgastro.com/de-at-eur/6-stueck-cambro-camview-r-copolymer-behaelter-gn-1-2-transparent-hoehe-150mm-bpa-frei-26cv135</t>
        </is>
      </c>
      <c r="G347" s="120" t="n">
        <v>60.99</v>
      </c>
      <c r="H347" s="24" t="inlineStr">
        <is>
          <t>excl.</t>
        </is>
      </c>
      <c r="I347" s="116" t="n">
        <v>6</v>
      </c>
      <c r="J347" s="24" t="inlineStr">
        <is>
          <t>set of 6</t>
        </is>
      </c>
      <c r="K347" s="120" t="n">
        <v>10.17</v>
      </c>
      <c r="L347" s="24" t="inlineStr">
        <is>
          <t>APPROX</t>
        </is>
      </c>
      <c r="M347" s="24" t="inlineStr">
        <is>
          <t>Copolyester (Tritan-type), not polycarbonate; no PC GN 1/2 150 mm found in GGM sitemap</t>
        </is>
      </c>
      <c r="N347" s="24" t="inlineStr">
        <is>
          <t>2026-09-30</t>
        </is>
      </c>
      <c r="O347" s="2" t="n"/>
      <c r="P347" s="2" t="n"/>
      <c r="Q347" s="2" t="n"/>
      <c r="R347" s="2" t="n"/>
      <c r="S347" s="2" t="n"/>
      <c r="T347" s="2" t="n"/>
      <c r="U347" s="2" t="n"/>
      <c r="V347" s="2" t="n"/>
      <c r="W347" s="2" t="n"/>
      <c r="X347" s="2" t="n"/>
      <c r="Y347" s="2" t="n"/>
      <c r="Z347" s="2" t="n"/>
      <c r="AA347" s="2" t="n"/>
      <c r="AB347" s="2" t="n"/>
      <c r="AC347" s="2" t="n"/>
    </row>
    <row r="348" ht="36" customHeight="1">
      <c r="A348" s="2" t="n"/>
      <c r="B348" s="24" t="inlineStr">
        <is>
          <t>GN 1/2 polycarbonate container, 150 mm deep</t>
        </is>
      </c>
      <c r="C348" s="24" t="inlineStr">
        <is>
          <t>Gastro Star</t>
        </is>
      </c>
      <c r="D348" s="24" t="inlineStr">
        <is>
          <t>RIEBER GN 1/2 Polycarbonat-Behälter - Tiefe 150mm</t>
        </is>
      </c>
      <c r="E348" s="24" t="inlineStr">
        <is>
          <t>Rieber</t>
        </is>
      </c>
      <c r="F348" s="25" t="inlineStr">
        <is>
          <t>https://www.gastro-star.at/produkt/riebergn12polycarbonat-behaelter-tiefe150mm/</t>
        </is>
      </c>
      <c r="G348" s="120" t="n">
        <v>21</v>
      </c>
      <c r="H348" s="24" t="inlineStr">
        <is>
          <t>excl.</t>
        </is>
      </c>
      <c r="I348" s="116" t="n">
        <v>1</v>
      </c>
      <c r="J348" s="24" t="n"/>
      <c r="K348" s="120" t="n">
        <v>21</v>
      </c>
      <c r="L348" s="24" t="inlineStr">
        <is>
          <t>EXACT</t>
        </is>
      </c>
      <c r="M348" s="24" t="inlineStr">
        <is>
          <t>Gross 25.20</t>
        </is>
      </c>
      <c r="N348" s="24" t="inlineStr">
        <is>
          <t>2026-09-30</t>
        </is>
      </c>
      <c r="O348" s="2" t="n"/>
      <c r="P348" s="2" t="n"/>
      <c r="Q348" s="2" t="n"/>
      <c r="R348" s="2" t="n"/>
      <c r="S348" s="2" t="n"/>
      <c r="T348" s="2" t="n"/>
      <c r="U348" s="2" t="n"/>
      <c r="V348" s="2" t="n"/>
      <c r="W348" s="2" t="n"/>
      <c r="X348" s="2" t="n"/>
      <c r="Y348" s="2" t="n"/>
      <c r="Z348" s="2" t="n"/>
      <c r="AA348" s="2" t="n"/>
      <c r="AB348" s="2" t="n"/>
      <c r="AC348" s="2" t="n"/>
    </row>
    <row r="349" ht="36" customHeight="1">
      <c r="A349" s="2" t="n"/>
      <c r="B349" s="24" t="inlineStr">
        <is>
          <t>GN 1/3 polypropylene container, 100 mm deep</t>
        </is>
      </c>
      <c r="C349" s="24" t="inlineStr">
        <is>
          <t>GGM Gastro (Austrian storefront)</t>
        </is>
      </c>
      <c r="D349" s="24" t="inlineStr">
        <is>
          <t>(12 Stück) Polypropylen-Behälter GN 1/3 - Milchig - Höhe: 100mm</t>
        </is>
      </c>
      <c r="E349" s="24" t="inlineStr">
        <is>
          <t>GGM</t>
        </is>
      </c>
      <c r="F349" s="25" t="inlineStr">
        <is>
          <t>https://www.ggmgastro.com/de-at-eur/12-stueck-polypropylen-behaelter-gn-1-3-milchig-hoehe-100mm-gpp13100</t>
        </is>
      </c>
      <c r="G349" s="120" t="n">
        <v>39.99</v>
      </c>
      <c r="H349" s="24" t="inlineStr">
        <is>
          <t>excl.</t>
        </is>
      </c>
      <c r="I349" s="116" t="n">
        <v>12</v>
      </c>
      <c r="J349" s="24" t="inlineStr">
        <is>
          <t>set of 12</t>
        </is>
      </c>
      <c r="K349" s="120" t="n">
        <v>3.33</v>
      </c>
      <c r="L349" s="24" t="inlineStr">
        <is>
          <t>EXACT</t>
        </is>
      </c>
      <c r="M349" s="24" t="inlineStr">
        <is>
          <t>The 6-piece version of the same item is listed at 175.99 net (looks like a listing error; not used)</t>
        </is>
      </c>
      <c r="N349" s="24" t="inlineStr">
        <is>
          <t>2026-09-30</t>
        </is>
      </c>
      <c r="O349" s="2" t="n"/>
      <c r="P349" s="2" t="n"/>
      <c r="Q349" s="2" t="n"/>
      <c r="R349" s="2" t="n"/>
      <c r="S349" s="2" t="n"/>
      <c r="T349" s="2" t="n"/>
      <c r="U349" s="2" t="n"/>
      <c r="V349" s="2" t="n"/>
      <c r="W349" s="2" t="n"/>
      <c r="X349" s="2" t="n"/>
      <c r="Y349" s="2" t="n"/>
      <c r="Z349" s="2" t="n"/>
      <c r="AA349" s="2" t="n"/>
      <c r="AB349" s="2" t="n"/>
      <c r="AC349" s="2" t="n"/>
    </row>
    <row r="350" ht="36" customHeight="1">
      <c r="A350" s="2" t="n"/>
      <c r="B350" s="24" t="inlineStr">
        <is>
          <t>GN 1/3 polypropylene container, 100 mm deep</t>
        </is>
      </c>
      <c r="C350" s="24" t="inlineStr">
        <is>
          <t>Gastro Star</t>
        </is>
      </c>
      <c r="D350" s="24" t="inlineStr">
        <is>
          <t>Polypropylen Behälter GN 1/3 – 325x176x100mm</t>
        </is>
      </c>
      <c r="E350" s="24" t="inlineStr">
        <is>
          <t>Hendi</t>
        </is>
      </c>
      <c r="F350" s="25" t="inlineStr">
        <is>
          <t>https://www.gastro-star.at/produkt/polypropylenbehaeltergn13-325x176x100mm/</t>
        </is>
      </c>
      <c r="G350" s="120" t="n">
        <v>4.75</v>
      </c>
      <c r="H350" s="24" t="inlineStr">
        <is>
          <t>excl.</t>
        </is>
      </c>
      <c r="I350" s="116" t="n">
        <v>1</v>
      </c>
      <c r="J350" s="24" t="n"/>
      <c r="K350" s="120" t="n">
        <v>4.75</v>
      </c>
      <c r="L350" s="24" t="inlineStr">
        <is>
          <t>EXACT</t>
        </is>
      </c>
      <c r="M350" s="24" t="inlineStr">
        <is>
          <t>4 l; gross 5.70</t>
        </is>
      </c>
      <c r="N350" s="24" t="inlineStr">
        <is>
          <t>2026-09-30</t>
        </is>
      </c>
      <c r="O350" s="2" t="n"/>
      <c r="P350" s="2" t="n"/>
      <c r="Q350" s="2" t="n"/>
      <c r="R350" s="2" t="n"/>
      <c r="S350" s="2" t="n"/>
      <c r="T350" s="2" t="n"/>
      <c r="U350" s="2" t="n"/>
      <c r="V350" s="2" t="n"/>
      <c r="W350" s="2" t="n"/>
      <c r="X350" s="2" t="n"/>
      <c r="Y350" s="2" t="n"/>
      <c r="Z350" s="2" t="n"/>
      <c r="AA350" s="2" t="n"/>
      <c r="AB350" s="2" t="n"/>
      <c r="AC350" s="2" t="n"/>
    </row>
    <row r="351" ht="36" customHeight="1">
      <c r="A351" s="2" t="n"/>
      <c r="B351" s="24" t="inlineStr">
        <is>
          <t>GN 1/1 polypropylene lid</t>
        </is>
      </c>
      <c r="C351" s="24" t="inlineStr">
        <is>
          <t>GGM Gastro (Austrian storefront)</t>
        </is>
      </c>
      <c r="D351" s="24" t="inlineStr">
        <is>
          <t>(12 Stück) Polypropylen-Deckel GN 1/1 - Milchig - mit 24 Codierclips</t>
        </is>
      </c>
      <c r="E351" s="24" t="inlineStr">
        <is>
          <t>GGM</t>
        </is>
      </c>
      <c r="F351" s="25" t="inlineStr">
        <is>
          <t>https://www.ggmgastro.com/de-at-eur/12-stueck-polypropylen-deckel-gn-1-1-milchig-mit-24-codierclips-gppl11-12</t>
        </is>
      </c>
      <c r="G351" s="120" t="n">
        <v>29.49</v>
      </c>
      <c r="H351" s="24" t="inlineStr">
        <is>
          <t>excl.</t>
        </is>
      </c>
      <c r="I351" s="116" t="n">
        <v>12</v>
      </c>
      <c r="J351" s="24" t="inlineStr">
        <is>
          <t>set of 12 (per title)</t>
        </is>
      </c>
      <c r="K351" s="120" t="n">
        <v>2.46</v>
      </c>
      <c r="L351" s="24" t="inlineStr">
        <is>
          <t>EXACT</t>
        </is>
      </c>
      <c r="M351" s="24" t="inlineStr">
        <is>
          <t>Title says 12 pcs but spec table says 'Set Menge 6 Stk' - conflicting; if 6 pcs, net/pc would be 4.92</t>
        </is>
      </c>
      <c r="N351" s="24" t="inlineStr">
        <is>
          <t>2026-09-30</t>
        </is>
      </c>
      <c r="O351" s="2" t="n"/>
      <c r="P351" s="2" t="n"/>
      <c r="Q351" s="2" t="n"/>
      <c r="R351" s="2" t="n"/>
      <c r="S351" s="2" t="n"/>
      <c r="T351" s="2" t="n"/>
      <c r="U351" s="2" t="n"/>
      <c r="V351" s="2" t="n"/>
      <c r="W351" s="2" t="n"/>
      <c r="X351" s="2" t="n"/>
      <c r="Y351" s="2" t="n"/>
      <c r="Z351" s="2" t="n"/>
      <c r="AA351" s="2" t="n"/>
      <c r="AB351" s="2" t="n"/>
      <c r="AC351" s="2" t="n"/>
    </row>
    <row r="352" ht="36" customHeight="1">
      <c r="A352" s="2" t="n"/>
      <c r="B352" s="24" t="inlineStr">
        <is>
          <t>GN 1/1 polypropylene lid</t>
        </is>
      </c>
      <c r="C352" s="24" t="inlineStr">
        <is>
          <t>Gastro Star</t>
        </is>
      </c>
      <c r="D352" s="24" t="inlineStr">
        <is>
          <t>Polypropylen Deckel GN 1/1</t>
        </is>
      </c>
      <c r="E352" s="24" t="inlineStr">
        <is>
          <t>Hendi</t>
        </is>
      </c>
      <c r="F352" s="25" t="inlineStr">
        <is>
          <t>https://www.gastro-star.at/produkt/polypropylendeckelgn11/</t>
        </is>
      </c>
      <c r="G352" s="120" t="n">
        <v>5.55</v>
      </c>
      <c r="H352" s="24" t="inlineStr">
        <is>
          <t>excl.</t>
        </is>
      </c>
      <c r="I352" s="116" t="n">
        <v>1</v>
      </c>
      <c r="J352" s="24" t="n"/>
      <c r="K352" s="120" t="n">
        <v>5.55</v>
      </c>
      <c r="L352" s="24" t="inlineStr">
        <is>
          <t>EXACT</t>
        </is>
      </c>
      <c r="M352" s="24" t="inlineStr">
        <is>
          <t>Gross 6.66</t>
        </is>
      </c>
      <c r="N352" s="24" t="inlineStr">
        <is>
          <t>2026-09-30</t>
        </is>
      </c>
      <c r="O352" s="2" t="n"/>
      <c r="P352" s="2" t="n"/>
      <c r="Q352" s="2" t="n"/>
      <c r="R352" s="2" t="n"/>
      <c r="S352" s="2" t="n"/>
      <c r="T352" s="2" t="n"/>
      <c r="U352" s="2" t="n"/>
      <c r="V352" s="2" t="n"/>
      <c r="W352" s="2" t="n"/>
      <c r="X352" s="2" t="n"/>
      <c r="Y352" s="2" t="n"/>
      <c r="Z352" s="2" t="n"/>
      <c r="AA352" s="2" t="n"/>
      <c r="AB352" s="2" t="n"/>
      <c r="AC352" s="2" t="n"/>
    </row>
    <row r="353" ht="36" customHeight="1">
      <c r="A353" s="2" t="n"/>
      <c r="B353" s="24" t="inlineStr">
        <is>
          <t>Squeeze bottle 500 ml, PP, single tip</t>
        </is>
      </c>
      <c r="C353" s="24" t="inlineStr">
        <is>
          <t>GGM Gastro (Austrian storefront)</t>
        </is>
      </c>
      <c r="D353" s="24" t="inlineStr">
        <is>
          <t>(12 Stück) Quetschflasche mit mittlerer Membran - 473ml</t>
        </is>
      </c>
      <c r="E353" s="24" t="inlineStr">
        <is>
          <t>GGM</t>
        </is>
      </c>
      <c r="F353" s="25" t="inlineStr">
        <is>
          <t>https://www.ggmgastro.com/de-at-eur/12-stueck-quetschflasche-mit-mittlerer-membran-473ml-ffo-002</t>
        </is>
      </c>
      <c r="G353" s="120" t="n">
        <v>51.99</v>
      </c>
      <c r="H353" s="24" t="inlineStr">
        <is>
          <t>excl.</t>
        </is>
      </c>
      <c r="I353" s="116" t="n">
        <v>12</v>
      </c>
      <c r="J353" s="24" t="inlineStr">
        <is>
          <t>set of 12</t>
        </is>
      </c>
      <c r="K353" s="120" t="n">
        <v>4.33</v>
      </c>
      <c r="L353" s="24" t="inlineStr">
        <is>
          <t>CLOSE</t>
        </is>
      </c>
      <c r="M353" s="24" t="inlineStr">
        <is>
          <t>473 ml, FIFO type with valve; material not stated</t>
        </is>
      </c>
      <c r="N353" s="24" t="inlineStr">
        <is>
          <t>2026-09-30</t>
        </is>
      </c>
      <c r="O353" s="2" t="n"/>
      <c r="P353" s="2" t="n"/>
      <c r="Q353" s="2" t="n"/>
      <c r="R353" s="2" t="n"/>
      <c r="S353" s="2" t="n"/>
      <c r="T353" s="2" t="n"/>
      <c r="U353" s="2" t="n"/>
      <c r="V353" s="2" t="n"/>
      <c r="W353" s="2" t="n"/>
      <c r="X353" s="2" t="n"/>
      <c r="Y353" s="2" t="n"/>
      <c r="Z353" s="2" t="n"/>
      <c r="AA353" s="2" t="n"/>
      <c r="AB353" s="2" t="n"/>
      <c r="AC353" s="2" t="n"/>
    </row>
    <row r="354" ht="36" customHeight="1">
      <c r="A354" s="2" t="n"/>
      <c r="B354" s="24" t="inlineStr">
        <is>
          <t>Squeeze bottle 1000 ml, PP, single tip</t>
        </is>
      </c>
      <c r="C354" s="24" t="inlineStr">
        <is>
          <t>GGM Gastro (Austrian storefront)</t>
        </is>
      </c>
      <c r="D354" s="24" t="inlineStr">
        <is>
          <t>(6 Stück) Quetschflasche mit mittlerer Membran - 946ml</t>
        </is>
      </c>
      <c r="E354" s="24" t="inlineStr">
        <is>
          <t>GGM</t>
        </is>
      </c>
      <c r="F354" s="25" t="inlineStr">
        <is>
          <t>https://www.ggmgastro.com/de-at-eur/6-stueck-quetschflasche-mit-mittlerer-membran-946ml-ffo-005</t>
        </is>
      </c>
      <c r="G354" s="120" t="n">
        <v>35.99</v>
      </c>
      <c r="H354" s="24" t="inlineStr">
        <is>
          <t>excl.</t>
        </is>
      </c>
      <c r="I354" s="116" t="n">
        <v>6</v>
      </c>
      <c r="J354" s="24" t="inlineStr">
        <is>
          <t>set of 6</t>
        </is>
      </c>
      <c r="K354" s="120" t="n">
        <v>6</v>
      </c>
      <c r="L354" s="24" t="inlineStr">
        <is>
          <t>CLOSE</t>
        </is>
      </c>
      <c r="M354" s="24" t="inlineStr">
        <is>
          <t>946 ml, FIFO type; material not stated</t>
        </is>
      </c>
      <c r="N354" s="24" t="inlineStr">
        <is>
          <t>2026-09-30</t>
        </is>
      </c>
      <c r="O354" s="2" t="n"/>
      <c r="P354" s="2" t="n"/>
      <c r="Q354" s="2" t="n"/>
      <c r="R354" s="2" t="n"/>
      <c r="S354" s="2" t="n"/>
      <c r="T354" s="2" t="n"/>
      <c r="U354" s="2" t="n"/>
      <c r="V354" s="2" t="n"/>
      <c r="W354" s="2" t="n"/>
      <c r="X354" s="2" t="n"/>
      <c r="Y354" s="2" t="n"/>
      <c r="Z354" s="2" t="n"/>
      <c r="AA354" s="2" t="n"/>
      <c r="AB354" s="2" t="n"/>
      <c r="AC354" s="2" t="n"/>
    </row>
    <row r="355" ht="36" customHeight="1">
      <c r="A355" s="2" t="n"/>
      <c r="B355" s="24" t="inlineStr">
        <is>
          <t>Ketchup/sauce pump dispenser with stand</t>
        </is>
      </c>
      <c r="C355" s="24" t="inlineStr">
        <is>
          <t>GGM Gastro (Austrian storefront)</t>
        </is>
      </c>
      <c r="D355" s="24" t="inlineStr">
        <is>
          <t>Ketchup / Saucenspender - 2 Liter - Polypropylen - mit Pumpe</t>
        </is>
      </c>
      <c r="E355" s="24" t="inlineStr">
        <is>
          <t>GGM</t>
        </is>
      </c>
      <c r="F355" s="25" t="inlineStr">
        <is>
          <t>https://www.ggmgastro.com/de-at-eur/ketchup-saucenspender-2-liter-polypropylen-mit-pumpe-ksp2</t>
        </is>
      </c>
      <c r="G355" s="120" t="n">
        <v>28.99</v>
      </c>
      <c r="H355" s="24" t="inlineStr">
        <is>
          <t>excl.</t>
        </is>
      </c>
      <c r="I355" s="116" t="n">
        <v>1</v>
      </c>
      <c r="J355" s="24" t="n"/>
      <c r="K355" s="120" t="n">
        <v>28.99</v>
      </c>
      <c r="L355" s="24" t="inlineStr">
        <is>
          <t>EXACT</t>
        </is>
      </c>
      <c r="M355" s="24" t="inlineStr">
        <is>
          <t>210x220x210 mm, PP with pump</t>
        </is>
      </c>
      <c r="N355" s="24" t="inlineStr">
        <is>
          <t>2026-09-30</t>
        </is>
      </c>
      <c r="O355" s="2" t="n"/>
      <c r="P355" s="2" t="n"/>
      <c r="Q355" s="2" t="n"/>
      <c r="R355" s="2" t="n"/>
      <c r="S355" s="2" t="n"/>
      <c r="T355" s="2" t="n"/>
      <c r="U355" s="2" t="n"/>
      <c r="V355" s="2" t="n"/>
      <c r="W355" s="2" t="n"/>
      <c r="X355" s="2" t="n"/>
      <c r="Y355" s="2" t="n"/>
      <c r="Z355" s="2" t="n"/>
      <c r="AA355" s="2" t="n"/>
      <c r="AB355" s="2" t="n"/>
      <c r="AC355" s="2" t="n"/>
    </row>
    <row r="356" ht="36" customHeight="1">
      <c r="A356" s="2" t="n"/>
      <c r="B356" s="24" t="inlineStr">
        <is>
          <t>HACCP cutting board PE 530x325x20 mm (GN 1/1)</t>
        </is>
      </c>
      <c r="C356" s="24" t="inlineStr">
        <is>
          <t>GGM Gastro (Austrian storefront)</t>
        </is>
      </c>
      <c r="D356" s="24" t="inlineStr">
        <is>
          <t>Schneidebrett - 325x530mm - HACCP-Konform - Weiß</t>
        </is>
      </c>
      <c r="E356" s="24" t="inlineStr">
        <is>
          <t>GGM</t>
        </is>
      </c>
      <c r="F356" s="25" t="inlineStr">
        <is>
          <t>https://www.ggmgastro.com/de-at-eur/schneidebrett-325x530mm-haccp-konform-weiss-sbp53w</t>
        </is>
      </c>
      <c r="G356" s="120" t="n">
        <v>26.49</v>
      </c>
      <c r="H356" s="24" t="inlineStr">
        <is>
          <t>excl.</t>
        </is>
      </c>
      <c r="I356" s="116" t="n">
        <v>1</v>
      </c>
      <c r="J356" s="24" t="n"/>
      <c r="K356" s="120" t="n">
        <v>26.49</v>
      </c>
      <c r="L356" s="24" t="inlineStr">
        <is>
          <t>EXACT</t>
        </is>
      </c>
      <c r="M356" s="24" t="inlineStr">
        <is>
          <t>PE, 325x530x20 mm</t>
        </is>
      </c>
      <c r="N356" s="24" t="inlineStr">
        <is>
          <t>2026-09-30</t>
        </is>
      </c>
      <c r="O356" s="2" t="n"/>
      <c r="P356" s="2" t="n"/>
      <c r="Q356" s="2" t="n"/>
      <c r="R356" s="2" t="n"/>
      <c r="S356" s="2" t="n"/>
      <c r="T356" s="2" t="n"/>
      <c r="U356" s="2" t="n"/>
      <c r="V356" s="2" t="n"/>
      <c r="W356" s="2" t="n"/>
      <c r="X356" s="2" t="n"/>
      <c r="Y356" s="2" t="n"/>
      <c r="Z356" s="2" t="n"/>
      <c r="AA356" s="2" t="n"/>
      <c r="AB356" s="2" t="n"/>
      <c r="AC356" s="2" t="n"/>
    </row>
    <row r="357" ht="36" customHeight="1">
      <c r="A357" s="2" t="n"/>
      <c r="B357" s="24" t="inlineStr">
        <is>
          <t>HACCP cutting board PE 600x400x20 mm</t>
        </is>
      </c>
      <c r="C357" s="24" t="inlineStr">
        <is>
          <t>GGM Gastro (Austrian storefront)</t>
        </is>
      </c>
      <c r="D357" s="24" t="inlineStr">
        <is>
          <t>Schneidebrett - EN 600x400 - HACCP-Konform - Weiß</t>
        </is>
      </c>
      <c r="E357" s="24" t="inlineStr">
        <is>
          <t>GGM</t>
        </is>
      </c>
      <c r="F357" s="25" t="inlineStr">
        <is>
          <t>https://www.ggmgastro.com/de-at-eur/schneidebrett-en-600x400-haccp-konform-weiss-sbp46w</t>
        </is>
      </c>
      <c r="G357" s="120" t="n">
        <v>29.49</v>
      </c>
      <c r="H357" s="24" t="inlineStr">
        <is>
          <t>excl.</t>
        </is>
      </c>
      <c r="I357" s="116" t="n">
        <v>1</v>
      </c>
      <c r="J357" s="24" t="n"/>
      <c r="K357" s="120" t="n">
        <v>29.49</v>
      </c>
      <c r="L357" s="24" t="inlineStr">
        <is>
          <t>EXACT</t>
        </is>
      </c>
      <c r="M357" s="24" t="inlineStr">
        <is>
          <t>PE, 600x400x20 mm</t>
        </is>
      </c>
      <c r="N357" s="24" t="inlineStr">
        <is>
          <t>2026-09-30</t>
        </is>
      </c>
      <c r="O357" s="2" t="n"/>
      <c r="P357" s="2" t="n"/>
      <c r="Q357" s="2" t="n"/>
      <c r="R357" s="2" t="n"/>
      <c r="S357" s="2" t="n"/>
      <c r="T357" s="2" t="n"/>
      <c r="U357" s="2" t="n"/>
      <c r="V357" s="2" t="n"/>
      <c r="W357" s="2" t="n"/>
      <c r="X357" s="2" t="n"/>
      <c r="Y357" s="2" t="n"/>
      <c r="Z357" s="2" t="n"/>
      <c r="AA357" s="2" t="n"/>
      <c r="AB357" s="2" t="n"/>
      <c r="AC357" s="2" t="n"/>
    </row>
    <row r="358" ht="36" customHeight="1">
      <c r="A358" s="2" t="n"/>
      <c r="B358" s="24" t="inlineStr">
        <is>
          <t>Pizza dough box 600x400x100 mm, PP</t>
        </is>
      </c>
      <c r="C358" s="24" t="inlineStr">
        <is>
          <t>GGM Gastro (Austrian storefront)</t>
        </is>
      </c>
      <c r="D358" s="24" t="inlineStr">
        <is>
          <t>9-tlg Teigbehälter-Set - 8 Behälter &amp; 1 Deckel - EN 600x400 - Höhe: 100mm - Polypropylen</t>
        </is>
      </c>
      <c r="E358" s="24" t="inlineStr">
        <is>
          <t>GGM</t>
        </is>
      </c>
      <c r="F358" s="25" t="inlineStr">
        <is>
          <t>https://www.ggmgastro.com/de-at-eur/9-tlg-teigbehaelter-set-8-behaelter-und-1-deckel-en-600x400-hoehe-100mm-polypropylen-weiss-tbpp6410</t>
        </is>
      </c>
      <c r="G358" s="120" t="n">
        <v>88.98999999999999</v>
      </c>
      <c r="H358" s="24" t="inlineStr">
        <is>
          <t>excl.</t>
        </is>
      </c>
      <c r="I358" s="116" t="n">
        <v>8</v>
      </c>
      <c r="J358" s="24" t="inlineStr">
        <is>
          <t>8 boxes + 1 lid</t>
        </is>
      </c>
      <c r="K358" s="120" t="n">
        <v>11.12</v>
      </c>
      <c r="L358" s="24" t="inlineStr">
        <is>
          <t>CLOSE</t>
        </is>
      </c>
      <c r="M358" s="24" t="inlineStr">
        <is>
          <t>Only sold as a set of 8 boxes plus 1 lid; net per box includes a share of the lid</t>
        </is>
      </c>
      <c r="N358" s="24" t="inlineStr">
        <is>
          <t>2026-09-30</t>
        </is>
      </c>
      <c r="O358" s="2" t="n"/>
      <c r="P358" s="2" t="n"/>
      <c r="Q358" s="2" t="n"/>
      <c r="R358" s="2" t="n"/>
      <c r="S358" s="2" t="n"/>
      <c r="T358" s="2" t="n"/>
      <c r="U358" s="2" t="n"/>
      <c r="V358" s="2" t="n"/>
      <c r="W358" s="2" t="n"/>
      <c r="X358" s="2" t="n"/>
      <c r="Y358" s="2" t="n"/>
      <c r="Z358" s="2" t="n"/>
      <c r="AA358" s="2" t="n"/>
      <c r="AB358" s="2" t="n"/>
      <c r="AC358" s="2" t="n"/>
    </row>
    <row r="359" ht="36" customHeight="1">
      <c r="A359" s="2" t="n"/>
      <c r="B359" s="24" t="inlineStr">
        <is>
          <t>Pizza dough box 600x400x75 mm, PE</t>
        </is>
      </c>
      <c r="C359" s="24" t="inlineStr">
        <is>
          <t>GGM Gastro (Austrian storefront)</t>
        </is>
      </c>
      <c r="D359" s="24" t="inlineStr">
        <is>
          <t>(8 Stück) Teigbehälter - EN 600x400 - Weiß (70 mm)</t>
        </is>
      </c>
      <c r="E359" s="24" t="inlineStr">
        <is>
          <t>GGM</t>
        </is>
      </c>
      <c r="F359" s="25" t="inlineStr">
        <is>
          <t>https://www.ggmgastro.com/de-at-eur/8-stueck-teigbehaelter-en-600x400-weiss-tbp647</t>
        </is>
      </c>
      <c r="G359" s="120" t="n">
        <v>76.98999999999999</v>
      </c>
      <c r="H359" s="24" t="inlineStr">
        <is>
          <t>excl.</t>
        </is>
      </c>
      <c r="I359" s="116" t="n">
        <v>8</v>
      </c>
      <c r="J359" s="24" t="inlineStr">
        <is>
          <t>set of 8</t>
        </is>
      </c>
      <c r="K359" s="120" t="n">
        <v>9.619999999999999</v>
      </c>
      <c r="L359" s="24" t="inlineStr">
        <is>
          <t>CLOSE</t>
        </is>
      </c>
      <c r="M359" s="24" t="inlineStr">
        <is>
          <t>70 mm high, polypropylene (vs 75 mm PE)</t>
        </is>
      </c>
      <c r="N359" s="24" t="inlineStr">
        <is>
          <t>2026-09-30</t>
        </is>
      </c>
      <c r="O359" s="2" t="n"/>
      <c r="P359" s="2" t="n"/>
      <c r="Q359" s="2" t="n"/>
      <c r="R359" s="2" t="n"/>
      <c r="S359" s="2" t="n"/>
      <c r="T359" s="2" t="n"/>
      <c r="U359" s="2" t="n"/>
      <c r="V359" s="2" t="n"/>
      <c r="W359" s="2" t="n"/>
      <c r="X359" s="2" t="n"/>
      <c r="Y359" s="2" t="n"/>
      <c r="Z359" s="2" t="n"/>
      <c r="AA359" s="2" t="n"/>
      <c r="AB359" s="2" t="n"/>
      <c r="AC359" s="2" t="n"/>
    </row>
    <row r="360" ht="36" customHeight="1">
      <c r="A360" s="2" t="n"/>
      <c r="B360" s="24" t="inlineStr">
        <is>
          <t>Front-loading insulated thermobox for GN 1/1 (~80-90 l)</t>
        </is>
      </c>
      <c r="C360" s="24" t="inlineStr">
        <is>
          <t>GGM Gastro (Austrian storefront)</t>
        </is>
      </c>
      <c r="D360" s="24" t="inlineStr">
        <is>
          <t>Porter - Frontlader - 83 Liter - für 12x GN 1/1</t>
        </is>
      </c>
      <c r="E360" s="24" t="inlineStr">
        <is>
          <t>GGM</t>
        </is>
      </c>
      <c r="F360" s="25" t="inlineStr">
        <is>
          <t>https://www.ggmgastro.com/de-at-eur/porter-frontlader-83-liter-fuer-12x-gn-1-1-plb-300</t>
        </is>
      </c>
      <c r="G360" s="120" t="n">
        <v>289.99</v>
      </c>
      <c r="H360" s="24" t="inlineStr">
        <is>
          <t>excl.</t>
        </is>
      </c>
      <c r="I360" s="116" t="n">
        <v>1</v>
      </c>
      <c r="J360" s="24" t="n"/>
      <c r="K360" s="120" t="n">
        <v>289.99</v>
      </c>
      <c r="L360" s="24" t="inlineStr">
        <is>
          <t>EXACT</t>
        </is>
      </c>
      <c r="M360" s="24" t="inlineStr">
        <is>
          <t>PP, 83 l. Cheaper PU 'Thermobox Frontlader 92 l' (tpbe92): 127.99 net</t>
        </is>
      </c>
      <c r="N360" s="24" t="inlineStr">
        <is>
          <t>2026-09-30</t>
        </is>
      </c>
      <c r="O360" s="2" t="n"/>
      <c r="P360" s="2" t="n"/>
      <c r="Q360" s="2" t="n"/>
      <c r="R360" s="2" t="n"/>
      <c r="S360" s="2" t="n"/>
      <c r="T360" s="2" t="n"/>
      <c r="U360" s="2" t="n"/>
      <c r="V360" s="2" t="n"/>
      <c r="W360" s="2" t="n"/>
      <c r="X360" s="2" t="n"/>
      <c r="Y360" s="2" t="n"/>
      <c r="Z360" s="2" t="n"/>
      <c r="AA360" s="2" t="n"/>
      <c r="AB360" s="2" t="n"/>
      <c r="AC360" s="2" t="n"/>
    </row>
    <row r="361" ht="36" customHeight="1">
      <c r="A361" s="2" t="n"/>
      <c r="B361" s="24" t="inlineStr">
        <is>
          <t>Front-loading insulated thermobox for GN 1/1 (~80-90 l)</t>
        </is>
      </c>
      <c r="C361" s="24" t="inlineStr">
        <is>
          <t>Gastro Star</t>
        </is>
      </c>
      <c r="D361" s="24" t="inlineStr">
        <is>
          <t>RIEBER thermoport K 1000 unbeheizt-orange</t>
        </is>
      </c>
      <c r="E361" s="24" t="inlineStr">
        <is>
          <t>Rieber</t>
        </is>
      </c>
      <c r="F361" s="25" t="inlineStr">
        <is>
          <t>https://www.gastro-star.at/produkt/rieberthermoportk1000unbeheizt-orange/</t>
        </is>
      </c>
      <c r="G361" s="120" t="n">
        <v>561</v>
      </c>
      <c r="H361" s="24" t="inlineStr">
        <is>
          <t>excl.</t>
        </is>
      </c>
      <c r="I361" s="116" t="n">
        <v>1</v>
      </c>
      <c r="J361" s="24" t="n"/>
      <c r="K361" s="120" t="n">
        <v>561</v>
      </c>
      <c r="L361" s="24" t="inlineStr">
        <is>
          <t>APPROX</t>
        </is>
      </c>
      <c r="M361" s="24" t="inlineStr">
        <is>
          <t>Premium PP front-loader for GN 1/1 (12 rail pairs), unheated; volume not stated on the page. K 6000 front-loader 472.00 net</t>
        </is>
      </c>
      <c r="N361" s="24" t="inlineStr">
        <is>
          <t>2026-09-30</t>
        </is>
      </c>
      <c r="O361" s="2" t="n"/>
      <c r="P361" s="2" t="n"/>
      <c r="Q361" s="2" t="n"/>
      <c r="R361" s="2" t="n"/>
      <c r="S361" s="2" t="n"/>
      <c r="T361" s="2" t="n"/>
      <c r="U361" s="2" t="n"/>
      <c r="V361" s="2" t="n"/>
      <c r="W361" s="2" t="n"/>
      <c r="X361" s="2" t="n"/>
      <c r="Y361" s="2" t="n"/>
      <c r="Z361" s="2" t="n"/>
      <c r="AA361" s="2" t="n"/>
      <c r="AB361" s="2" t="n"/>
      <c r="AC361" s="2" t="n"/>
    </row>
    <row r="362" ht="36" customHeight="1">
      <c r="A362" s="2" t="n"/>
      <c r="B362" s="24" t="inlineStr">
        <is>
          <t>Service tray approx. 370x530 mm, ABS/PP</t>
        </is>
      </c>
      <c r="C362" s="24" t="inlineStr">
        <is>
          <t>GGM Gastro (Austrian storefront)</t>
        </is>
      </c>
      <c r="D362" s="24" t="inlineStr">
        <is>
          <t>(6 Stück) FAST FOOD Tablett - GN 1/1 - Polypropylen - Höhe 20mm - Schwarz</t>
        </is>
      </c>
      <c r="E362" s="24" t="inlineStr">
        <is>
          <t>GGM</t>
        </is>
      </c>
      <c r="F362" s="25" t="inlineStr">
        <is>
          <t>https://www.ggmgastro.com/de-at-eur/6-stueck-fast-food-tablett-gn-1-1-polypropylen-hoehe-20mm-schwarz-00553-6</t>
        </is>
      </c>
      <c r="G362" s="120" t="n">
        <v>43.99</v>
      </c>
      <c r="H362" s="24" t="inlineStr">
        <is>
          <t>excl.</t>
        </is>
      </c>
      <c r="I362" s="116" t="n">
        <v>6</v>
      </c>
      <c r="J362" s="24" t="inlineStr">
        <is>
          <t>set of 6</t>
        </is>
      </c>
      <c r="K362" s="120" t="n">
        <v>7.33</v>
      </c>
      <c r="L362" s="24" t="inlineStr">
        <is>
          <t>APPROX</t>
        </is>
      </c>
      <c r="M362" s="24" t="inlineStr">
        <is>
          <t>PP but GN 1/1 size (530x325), not 530x370. Cambro fibreglass 530x370 tray: 199.99 per 12</t>
        </is>
      </c>
      <c r="N362" s="24" t="inlineStr">
        <is>
          <t>2026-09-30</t>
        </is>
      </c>
      <c r="O362" s="2" t="n"/>
      <c r="P362" s="2" t="n"/>
      <c r="Q362" s="2" t="n"/>
      <c r="R362" s="2" t="n"/>
      <c r="S362" s="2" t="n"/>
      <c r="T362" s="2" t="n"/>
      <c r="U362" s="2" t="n"/>
      <c r="V362" s="2" t="n"/>
      <c r="W362" s="2" t="n"/>
      <c r="X362" s="2" t="n"/>
      <c r="Y362" s="2" t="n"/>
      <c r="Z362" s="2" t="n"/>
      <c r="AA362" s="2" t="n"/>
      <c r="AB362" s="2" t="n"/>
      <c r="AC362" s="2" t="n"/>
    </row>
    <row r="363" ht="22" customHeight="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row>
    <row r="364" ht="22" customHeight="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row>
    <row r="365" ht="22" customHeight="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row>
    <row r="366" ht="22" customHeight="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row>
    <row r="367" ht="22" customHeight="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row>
    <row r="368" ht="22" customHeight="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row>
    <row r="369" ht="22" customHeight="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row>
    <row r="370" ht="22" customHeight="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row>
    <row r="371" ht="22" customHeight="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row>
    <row r="372" ht="22" customHeight="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row>
    <row r="373" ht="22" customHeight="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row>
    <row r="374" ht="22" customHeight="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row>
    <row r="375" ht="22" customHeight="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row>
    <row r="376" ht="22" customHeight="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row>
    <row r="377" ht="22" customHeight="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row>
    <row r="378" ht="22" customHeight="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row>
    <row r="379" ht="22" customHeight="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row>
    <row r="380" ht="22" customHeight="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row>
    <row r="381" ht="22" customHeight="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row>
    <row r="382" ht="22" customHeight="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row>
    <row r="383" ht="22" customHeight="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row>
    <row r="384" ht="22" customHeight="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row>
    <row r="385" ht="22" customHeight="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row>
    <row r="386" ht="22" customHeight="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row>
    <row r="387" ht="22" customHeight="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row>
    <row r="388" ht="22" customHeight="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row>
    <row r="389" ht="22" customHeight="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row>
    <row r="390" ht="22" customHeight="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row>
    <row r="391" ht="22" customHeight="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row>
    <row r="392" ht="22" customHeight="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row>
    <row r="393" ht="22" customHeight="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row>
    <row r="394" ht="22" customHeight="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row>
    <row r="395" ht="22" customHeight="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row>
    <row r="396" ht="22" customHeight="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row>
    <row r="397" ht="22" customHeight="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row>
    <row r="398" ht="22" customHeight="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row>
    <row r="399" ht="22" customHeight="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row>
    <row r="400" ht="22" customHeight="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row>
    <row r="401" ht="22" customHeight="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row>
    <row r="402" ht="22" customHeight="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row>
    <row r="403" ht="22" customHeight="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row>
    <row r="404" ht="22" customHeight="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row>
    <row r="405" ht="22" customHeight="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row>
    <row r="406" ht="22" customHeight="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row>
    <row r="407" ht="22" customHeight="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row>
    <row r="408" ht="22" customHeight="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row>
    <row r="409" ht="22" customHeight="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row>
    <row r="410" ht="22" customHeight="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row>
    <row r="411" ht="22" customHeight="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row>
    <row r="412" ht="22" customHeight="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row>
    <row r="413" ht="22" customHeight="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row>
    <row r="414" ht="22" customHeight="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row>
    <row r="415" ht="22" customHeight="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row>
    <row r="416" ht="22" customHeight="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row>
    <row r="417" ht="22" customHeight="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row>
    <row r="418" ht="22" customHeight="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row>
    <row r="419" ht="22" customHeight="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row>
    <row r="420" ht="22" customHeight="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row>
    <row r="421" ht="22" customHeight="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row>
    <row r="422" ht="22" customHeight="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row>
    <row r="423" ht="22" customHeight="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row>
    <row r="424" ht="22" customHeight="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row>
    <row r="425" ht="22" customHeight="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row>
    <row r="426" ht="22" customHeight="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row>
    <row r="427" ht="22" customHeight="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row>
    <row r="428" ht="22" customHeight="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row>
    <row r="429" ht="22" customHeight="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row>
    <row r="430" ht="22" customHeight="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row>
    <row r="431" ht="22" customHeight="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row>
    <row r="432" ht="22" customHeight="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row>
    <row r="433" ht="22" customHeight="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row>
    <row r="434" ht="22" customHeight="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row>
    <row r="435" ht="22" customHeight="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row>
    <row r="436" ht="22" customHeight="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row>
    <row r="437" ht="22" customHeight="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row>
    <row r="438" ht="22" customHeight="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row>
    <row r="439" ht="22" customHeight="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row>
    <row r="440" ht="22" customHeight="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row>
    <row r="441" ht="22" customHeight="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row>
    <row r="442" ht="22" customHeight="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row>
    <row r="443" ht="22" customHeight="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row>
    <row r="444" ht="22" customHeight="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row>
    <row r="445" ht="22" customHeight="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row>
    <row r="446" ht="22" customHeight="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row>
    <row r="447" ht="22" customHeight="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row>
    <row r="448" ht="22" customHeight="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row>
    <row r="449" ht="22" customHeight="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row>
    <row r="450" ht="22" customHeight="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row>
    <row r="451" ht="22" customHeight="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row>
    <row r="452" ht="22" customHeight="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row>
    <row r="453" ht="22" customHeight="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row>
    <row r="454" ht="22" customHeight="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row>
    <row r="455" ht="22" customHeight="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row>
    <row r="456" ht="22" customHeight="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row>
    <row r="457" ht="22" customHeight="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row>
    <row r="458" ht="22" customHeight="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row>
    <row r="459" ht="22" customHeight="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row>
    <row r="460" ht="22" customHeight="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row>
    <row r="461" ht="22" customHeight="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row>
    <row r="462" ht="22" customHeight="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row>
    <row r="463" ht="22" customHeight="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row>
    <row r="464" ht="22" customHeight="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row>
    <row r="465" ht="22" customHeight="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row>
    <row r="466" ht="22" customHeight="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row>
    <row r="467" ht="22" customHeight="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row>
    <row r="468" ht="22" customHeight="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row>
    <row r="469" ht="22" customHeight="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row>
    <row r="470" ht="22" customHeight="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row>
    <row r="471" ht="22" customHeight="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row>
    <row r="472" ht="22" customHeight="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row>
    <row r="473" ht="22" customHeight="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row>
    <row r="474" ht="22" customHeight="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row>
    <row r="475" ht="22" customHeight="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row>
    <row r="476" ht="22" customHeight="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row>
    <row r="477" ht="22" customHeight="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row>
    <row r="478" ht="22" customHeight="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row>
    <row r="479" ht="22" customHeight="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row>
    <row r="480" ht="22" customHeight="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row>
    <row r="481" ht="22" customHeight="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row>
    <row r="482" ht="22" customHeight="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row>
    <row r="483" ht="22" customHeight="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row>
    <row r="484" ht="22" customHeight="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row>
    <row r="485" ht="22" customHeight="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row>
    <row r="486" ht="22" customHeight="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row>
    <row r="487" ht="22" customHeight="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row>
    <row r="488" ht="22" customHeight="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row>
    <row r="489" ht="22" customHeight="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row>
    <row r="490" ht="22" customHeight="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row>
    <row r="491" ht="22" customHeight="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row>
    <row r="492" ht="22" customHeight="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row>
    <row r="493" ht="22" customHeight="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row>
    <row r="494" ht="22" customHeight="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row>
    <row r="495" ht="22" customHeight="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row>
    <row r="496" ht="22" customHeight="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row>
    <row r="497" ht="22" customHeight="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row>
    <row r="498" ht="22" customHeight="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row>
    <row r="499" ht="22" customHeight="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row>
    <row r="500" ht="22" customHeight="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row>
  </sheetData>
  <pageMargins left="0.7" right="0.7" top="0.75" bottom="0.75" header="0.3" footer="0.3"/>
  <tableParts count="9">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s>
</worksheet>
</file>

<file path=xl/worksheets/sheet10.xml><?xml version="1.0" encoding="utf-8"?>
<worksheet xmlns="http://schemas.openxmlformats.org/spreadsheetml/2006/main">
  <sheetPr>
    <outlinePr summaryBelow="1" summaryRight="1"/>
    <pageSetUpPr/>
  </sheetPr>
  <dimension ref="A1:AC230"/>
  <sheetViews>
    <sheetView showGridLines="0" workbookViewId="0">
      <pane xSplit="2" ySplit="8" topLeftCell="C9" activePane="bottomRight" state="frozen"/>
      <selection activeCell="A1" sqref="A1"/>
    </sheetView>
  </sheetViews>
  <sheetFormatPr baseColWidth="8" defaultRowHeight="15"/>
  <cols>
    <col width="3" customWidth="1" min="1" max="1"/>
    <col width="52" customWidth="1" min="2" max="2"/>
    <col width="27" customWidth="1" min="3" max="3"/>
    <col width="56" customWidth="1" min="4" max="4"/>
    <col width="24" customWidth="1" min="5" max="5"/>
    <col width="70" customWidth="1" min="6" max="6"/>
    <col width="24" customWidth="1" min="7" max="7"/>
    <col width="24" customWidth="1" min="8" max="8"/>
    <col width="24" customWidth="1" min="9" max="9"/>
    <col width="24" customWidth="1" min="10" max="10"/>
    <col width="24" customWidth="1" min="11" max="11"/>
    <col width="24" customWidth="1" min="12" max="12"/>
    <col width="80"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s>
  <sheetData>
    <row r="1" ht="22"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ht="28" customHeight="1">
      <c r="A2" s="2" t="n"/>
      <c r="B2" s="3" t="inlineStr">
        <is>
          <t>Germany source extract</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row>
    <row r="3" ht="22" customHeight="1">
      <c r="A3" s="2" t="n"/>
      <c r="B3" s="4" t="inlineStr">
        <is>
          <t>YES Gastro Germany Market Research.xlsx</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row>
    <row r="4" ht="22" customHeight="1">
      <c r="A4" s="2" t="n"/>
      <c r="B4" s="5" t="n"/>
      <c r="C4" s="5" t="n"/>
      <c r="D4" s="5" t="n"/>
      <c r="E4" s="5" t="n"/>
      <c r="F4" s="5" t="n"/>
      <c r="G4" s="5" t="n"/>
      <c r="H4" s="5" t="n"/>
      <c r="I4" s="5" t="n"/>
      <c r="J4" s="5" t="n"/>
      <c r="K4" s="5" t="n"/>
      <c r="L4" s="5" t="n"/>
      <c r="M4" s="5" t="n"/>
      <c r="N4" s="5" t="n"/>
      <c r="O4" s="2" t="n"/>
      <c r="P4" s="2" t="n"/>
      <c r="Q4" s="2" t="n"/>
      <c r="R4" s="2" t="n"/>
      <c r="S4" s="2" t="n"/>
      <c r="T4" s="2" t="n"/>
      <c r="U4" s="2" t="n"/>
      <c r="V4" s="2" t="n"/>
      <c r="W4" s="2" t="n"/>
      <c r="X4" s="2" t="n"/>
      <c r="Y4" s="2" t="n"/>
      <c r="Z4" s="2" t="n"/>
      <c r="AA4" s="2" t="n"/>
      <c r="AB4" s="2" t="n"/>
      <c r="AC4" s="2" t="n"/>
    </row>
    <row r="5" ht="22" customHeight="1">
      <c r="A5" s="2" t="n"/>
      <c r="B5" s="6" t="inlineStr">
        <is>
          <t>Original research values. Item numbers and observation counts removed; source formulas retain their original wording.</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row>
    <row r="6" ht="22" customHeight="1">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row>
    <row r="7" ht="22" customHeight="1">
      <c r="A7" s="2" t="n"/>
      <c r="B7" s="7" t="inlineStr">
        <is>
          <t>Prices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row>
    <row r="8" ht="38" customHeight="1">
      <c r="A8" s="2" t="n"/>
      <c r="B8" s="16" t="inlineStr">
        <is>
          <t>Basket item</t>
        </is>
      </c>
      <c r="C8" s="17" t="inlineStr">
        <is>
          <t>Competitor</t>
        </is>
      </c>
      <c r="D8" s="17" t="inlineStr">
        <is>
          <t>Product name</t>
        </is>
      </c>
      <c r="E8" s="17" t="inlineStr">
        <is>
          <t>Brand</t>
        </is>
      </c>
      <c r="F8" s="17" t="inlineStr">
        <is>
          <t>Product URL</t>
        </is>
      </c>
      <c r="G8" s="17" t="inlineStr">
        <is>
          <t>Listed price EUR</t>
        </is>
      </c>
      <c r="H8" s="17" t="inlineStr">
        <is>
          <t>Incl./excl. VAT</t>
        </is>
      </c>
      <c r="I8" s="17" t="inlineStr">
        <is>
          <t>Pack size (pcs)</t>
        </is>
      </c>
      <c r="J8" s="17" t="inlineStr">
        <is>
          <t>Pack description</t>
        </is>
      </c>
      <c r="K8" s="17" t="inlineStr">
        <is>
          <t>Net price per piece EUR</t>
        </is>
      </c>
      <c r="L8" s="17" t="inlineStr">
        <is>
          <t>Match quality</t>
        </is>
      </c>
      <c r="M8" s="17" t="inlineStr">
        <is>
          <t>Notes</t>
        </is>
      </c>
      <c r="N8" s="18" t="inlineStr">
        <is>
          <t>Date checked</t>
        </is>
      </c>
      <c r="O8" s="2" t="n"/>
      <c r="P8" s="2" t="n"/>
      <c r="Q8" s="2" t="n"/>
      <c r="R8" s="2" t="n"/>
      <c r="S8" s="2" t="n"/>
      <c r="T8" s="2" t="n"/>
      <c r="U8" s="2" t="n"/>
      <c r="V8" s="2" t="n"/>
      <c r="W8" s="2" t="n"/>
      <c r="X8" s="2" t="n"/>
      <c r="Y8" s="2" t="n"/>
      <c r="Z8" s="2" t="n"/>
      <c r="AA8" s="2" t="n"/>
      <c r="AB8" s="2" t="n"/>
      <c r="AC8" s="2" t="n"/>
    </row>
    <row r="9" ht="36" customHeight="1">
      <c r="A9" s="2" t="n"/>
      <c r="B9" s="24" t="inlineStr">
        <is>
          <t>GN 1/1 polycarbonate container, 65 mm deep</t>
        </is>
      </c>
      <c r="C9" s="24" t="inlineStr">
        <is>
          <t>GGM Gastro</t>
        </is>
      </c>
      <c r="D9" s="24" t="inlineStr">
        <is>
          <t>(6 Stück) Polycarbonat-Behälter GN 1/1 - Transparent - Höhe: 65mm</t>
        </is>
      </c>
      <c r="E9" s="24" t="inlineStr">
        <is>
          <t>GGM</t>
        </is>
      </c>
      <c r="F9" s="25" t="inlineStr">
        <is>
          <t>https://www.ggmgastro.com/de-de-eur/6-stueck-polycarbonat-behaelter-gn-1-1-transparent-hoehe-65mm-gpcp1165</t>
        </is>
      </c>
      <c r="G9" s="120" t="n">
        <v>44.99</v>
      </c>
      <c r="H9" s="24" t="inlineStr">
        <is>
          <t>excl.</t>
        </is>
      </c>
      <c r="I9" s="116" t="n">
        <v>6</v>
      </c>
      <c r="J9" s="24" t="inlineStr">
        <is>
          <t>set of 6</t>
        </is>
      </c>
      <c r="K9" s="120" t="n">
        <v>7.5</v>
      </c>
      <c r="L9" s="24" t="inlineStr">
        <is>
          <t>EXACT</t>
        </is>
      </c>
      <c r="M9" s="24" t="inlineStr">
        <is>
          <t>RRP 87.99</t>
        </is>
      </c>
      <c r="N9" s="24" t="inlineStr">
        <is>
          <t>2026-09-30</t>
        </is>
      </c>
      <c r="O9" s="2" t="n"/>
      <c r="P9" s="2" t="n"/>
      <c r="Q9" s="2" t="n"/>
      <c r="R9" s="2" t="n"/>
      <c r="S9" s="2" t="n"/>
      <c r="T9" s="2" t="n"/>
      <c r="U9" s="2" t="n"/>
      <c r="V9" s="2" t="n"/>
      <c r="W9" s="2" t="n"/>
      <c r="X9" s="2" t="n"/>
      <c r="Y9" s="2" t="n"/>
      <c r="Z9" s="2" t="n"/>
      <c r="AA9" s="2" t="n"/>
      <c r="AB9" s="2" t="n"/>
      <c r="AC9" s="2" t="n"/>
    </row>
    <row r="10" ht="36" customHeight="1">
      <c r="A10" s="2" t="n"/>
      <c r="B10" s="27" t="inlineStr">
        <is>
          <t>GN 1/1 polycarbonate container, 65 mm deep</t>
        </is>
      </c>
      <c r="C10" s="27" t="inlineStr">
        <is>
          <t>GastroHero</t>
        </is>
      </c>
      <c r="D10" s="27" t="inlineStr">
        <is>
          <t>Schneider Polycarbonat GN 1/1 Behälter 65 mm, 8,5 l</t>
        </is>
      </c>
      <c r="E10" s="27" t="inlineStr">
        <is>
          <t>Schneider</t>
        </is>
      </c>
      <c r="F10" s="28" t="inlineStr">
        <is>
          <t>https://www.gastro-hero.de/products/schneider-polycarbonat-gn-11-behaelter-65-mm-85-l-530100</t>
        </is>
      </c>
      <c r="G10" s="121" t="n">
        <v>14.29</v>
      </c>
      <c r="H10" s="27" t="inlineStr">
        <is>
          <t>excl.</t>
        </is>
      </c>
      <c r="I10" s="117" t="n">
        <v>1</v>
      </c>
      <c r="J10" s="27" t="n"/>
      <c r="K10" s="121" t="n">
        <v>14.29</v>
      </c>
      <c r="L10" s="27" t="inlineStr">
        <is>
          <t>EXACT</t>
        </is>
      </c>
      <c r="M10" s="27" t="inlineStr">
        <is>
          <t>Min. order qty 4</t>
        </is>
      </c>
      <c r="N10" s="27" t="inlineStr">
        <is>
          <t>2026-09-30</t>
        </is>
      </c>
      <c r="O10" s="2" t="n"/>
      <c r="P10" s="2" t="n"/>
      <c r="Q10" s="2" t="n"/>
      <c r="R10" s="2" t="n"/>
      <c r="S10" s="2" t="n"/>
      <c r="T10" s="2" t="n"/>
      <c r="U10" s="2" t="n"/>
      <c r="V10" s="2" t="n"/>
      <c r="W10" s="2" t="n"/>
      <c r="X10" s="2" t="n"/>
      <c r="Y10" s="2" t="n"/>
      <c r="Z10" s="2" t="n"/>
      <c r="AA10" s="2" t="n"/>
      <c r="AB10" s="2" t="n"/>
      <c r="AC10" s="2" t="n"/>
    </row>
    <row r="11" ht="36" customHeight="1">
      <c r="A11" s="2" t="n"/>
      <c r="B11" s="24" t="inlineStr">
        <is>
          <t>GN 1/1 polycarbonate container, 65 mm deep</t>
        </is>
      </c>
      <c r="C11" s="24" t="inlineStr">
        <is>
          <t>Gastrodax [substitute]</t>
        </is>
      </c>
      <c r="D11" s="24" t="inlineStr">
        <is>
          <t>Hendi Gastronorm-Behälter 1/1, GN 1/1, 9L, Transparent, 530x325x(H)65mm – Polycarbonat</t>
        </is>
      </c>
      <c r="E11" s="24" t="inlineStr">
        <is>
          <t>Hendi</t>
        </is>
      </c>
      <c r="F11" s="25" t="inlineStr">
        <is>
          <t>https://www.gastrodax.de/hendi-gastronorm-behaelter-polykarbonat-transparent-gn-1-1-9-l-530-x-325-x-h-65-mm</t>
        </is>
      </c>
      <c r="G11" s="120" t="n">
        <v>22.43</v>
      </c>
      <c r="H11" s="24" t="inlineStr">
        <is>
          <t>excl.</t>
        </is>
      </c>
      <c r="I11" s="116" t="n">
        <v>1</v>
      </c>
      <c r="J11" s="24" t="n"/>
      <c r="K11" s="120" t="n">
        <v>22.43</v>
      </c>
      <c r="L11" s="24" t="inlineStr">
        <is>
          <t>EXACT</t>
        </is>
      </c>
      <c r="M11" s="24" t="n"/>
      <c r="N11" s="24" t="inlineStr">
        <is>
          <t>2026-09-30</t>
        </is>
      </c>
      <c r="O11" s="2" t="n"/>
      <c r="P11" s="2" t="n"/>
      <c r="Q11" s="2" t="n"/>
      <c r="R11" s="2" t="n"/>
      <c r="S11" s="2" t="n"/>
      <c r="T11" s="2" t="n"/>
      <c r="U11" s="2" t="n"/>
      <c r="V11" s="2" t="n"/>
      <c r="W11" s="2" t="n"/>
      <c r="X11" s="2" t="n"/>
      <c r="Y11" s="2" t="n"/>
      <c r="Z11" s="2" t="n"/>
      <c r="AA11" s="2" t="n"/>
      <c r="AB11" s="2" t="n"/>
      <c r="AC11" s="2" t="n"/>
    </row>
    <row r="12" ht="36" customHeight="1">
      <c r="A12" s="2" t="n"/>
      <c r="B12" s="27" t="inlineStr">
        <is>
          <t>GN 1/1 polycarbonate container, 65 mm deep</t>
        </is>
      </c>
      <c r="C12" s="27" t="inlineStr">
        <is>
          <t>Gastroladen.de (Harotec GmbH) [substitute]</t>
        </is>
      </c>
      <c r="D12" s="27" t="inlineStr">
        <is>
          <t>Vogue Polycarbonat GN-Behälter GN1/1 65mm</t>
        </is>
      </c>
      <c r="E12" s="27" t="inlineStr">
        <is>
          <t>Vogue</t>
        </is>
      </c>
      <c r="F12" s="28" t="inlineStr">
        <is>
          <t>https://www.gastroladen.de/3020@GN-U224/Vogue-Polycarbonat-GN-Beh%C3%A4lter-GN1-1-65mm.htm</t>
        </is>
      </c>
      <c r="G12" s="121" t="n">
        <v>12.39</v>
      </c>
      <c r="H12" s="27" t="inlineStr">
        <is>
          <t>incl.</t>
        </is>
      </c>
      <c r="I12" s="117" t="n">
        <v>1</v>
      </c>
      <c r="J12" s="27" t="n"/>
      <c r="K12" s="121" t="n">
        <v>10.41</v>
      </c>
      <c r="L12" s="27" t="inlineStr">
        <is>
          <t>EXACT</t>
        </is>
      </c>
      <c r="M12" s="27" t="n"/>
      <c r="N12" s="27" t="inlineStr">
        <is>
          <t>2026-09-30</t>
        </is>
      </c>
      <c r="O12" s="2" t="n"/>
      <c r="P12" s="2" t="n"/>
      <c r="Q12" s="2" t="n"/>
      <c r="R12" s="2" t="n"/>
      <c r="S12" s="2" t="n"/>
      <c r="T12" s="2" t="n"/>
      <c r="U12" s="2" t="n"/>
      <c r="V12" s="2" t="n"/>
      <c r="W12" s="2" t="n"/>
      <c r="X12" s="2" t="n"/>
      <c r="Y12" s="2" t="n"/>
      <c r="Z12" s="2" t="n"/>
      <c r="AA12" s="2" t="n"/>
      <c r="AB12" s="2" t="n"/>
      <c r="AC12" s="2" t="n"/>
    </row>
    <row r="13" ht="36" customHeight="1">
      <c r="A13" s="2" t="n"/>
      <c r="B13" s="24" t="inlineStr">
        <is>
          <t>GN 1/1 polycarbonate container, 65 mm deep</t>
        </is>
      </c>
      <c r="C13" s="24" t="inlineStr">
        <is>
          <t>Intergastro</t>
        </is>
      </c>
      <c r="D13" s="24" t="inlineStr">
        <is>
          <t>Gastronormbehälter GN 1/1 x 65 mm GN 94 Polycarbonat transparent</t>
        </is>
      </c>
      <c r="E13" s="24" t="inlineStr">
        <is>
          <t>WAS Germany</t>
        </is>
      </c>
      <c r="F13" s="25" t="inlineStr">
        <is>
          <t>https://www.intergastro.de/gastronormbehaelter-gn-1-1-x-65-mm-gn-94-polycarbonat-transparent-252042</t>
        </is>
      </c>
      <c r="G13" s="120" t="n">
        <v>14.07</v>
      </c>
      <c r="H13" s="24" t="inlineStr">
        <is>
          <t>excl.</t>
        </is>
      </c>
      <c r="I13" s="116" t="n">
        <v>1</v>
      </c>
      <c r="J13" s="24" t="n"/>
      <c r="K13" s="120" t="n">
        <v>14.07</v>
      </c>
      <c r="L13" s="24" t="inlineStr">
        <is>
          <t>EXACT</t>
        </is>
      </c>
      <c r="M13" s="24" t="inlineStr">
        <is>
          <t>Gross 16.74 incl. 19% VAT; tier prices from 3 pcs</t>
        </is>
      </c>
      <c r="N13" s="24" t="inlineStr">
        <is>
          <t>2026-09-30</t>
        </is>
      </c>
      <c r="O13" s="2" t="n"/>
      <c r="P13" s="2" t="n"/>
      <c r="Q13" s="2" t="n"/>
      <c r="R13" s="2" t="n"/>
      <c r="S13" s="2" t="n"/>
      <c r="T13" s="2" t="n"/>
      <c r="U13" s="2" t="n"/>
      <c r="V13" s="2" t="n"/>
      <c r="W13" s="2" t="n"/>
      <c r="X13" s="2" t="n"/>
      <c r="Y13" s="2" t="n"/>
      <c r="Z13" s="2" t="n"/>
      <c r="AA13" s="2" t="n"/>
      <c r="AB13" s="2" t="n"/>
      <c r="AC13" s="2" t="n"/>
    </row>
    <row r="14" ht="36" customHeight="1">
      <c r="A14" s="2" t="n"/>
      <c r="B14" s="27" t="inlineStr">
        <is>
          <t>GN 1/1 polycarbonate container, 65 mm deep</t>
        </is>
      </c>
      <c r="C14" s="27" t="inlineStr">
        <is>
          <t>Nisbets</t>
        </is>
      </c>
      <c r="D14" s="27" t="inlineStr">
        <is>
          <t>Vogue Polycarbonat GN-Behälter GN1/1 65mm</t>
        </is>
      </c>
      <c r="E14" s="27" t="inlineStr">
        <is>
          <t>Vogue</t>
        </is>
      </c>
      <c r="F14" s="28" t="inlineStr">
        <is>
          <t>https://www.nisbets.de/vogue-polycarbonat-gn-behlter-65mm/u224</t>
        </is>
      </c>
      <c r="G14" s="121" t="n">
        <v>7.26</v>
      </c>
      <c r="H14" s="27" t="inlineStr">
        <is>
          <t>excl.</t>
        </is>
      </c>
      <c r="I14" s="117" t="n">
        <v>1</v>
      </c>
      <c r="J14" s="27" t="n"/>
      <c r="K14" s="121" t="n">
        <v>7.26</v>
      </c>
      <c r="L14" s="27" t="inlineStr">
        <is>
          <t>EXACT</t>
        </is>
      </c>
      <c r="M14" s="27" t="inlineStr">
        <is>
          <t>Reduced web price (UVP 15.29, -53%); 'Nicht vorrätig' (out of stock) on 2026-09-30</t>
        </is>
      </c>
      <c r="N14" s="27" t="inlineStr">
        <is>
          <t>2026-09-30</t>
        </is>
      </c>
      <c r="O14" s="2" t="n"/>
      <c r="P14" s="2" t="n"/>
      <c r="Q14" s="2" t="n"/>
      <c r="R14" s="2" t="n"/>
      <c r="S14" s="2" t="n"/>
      <c r="T14" s="2" t="n"/>
      <c r="U14" s="2" t="n"/>
      <c r="V14" s="2" t="n"/>
      <c r="W14" s="2" t="n"/>
      <c r="X14" s="2" t="n"/>
      <c r="Y14" s="2" t="n"/>
      <c r="Z14" s="2" t="n"/>
      <c r="AA14" s="2" t="n"/>
      <c r="AB14" s="2" t="n"/>
      <c r="AC14" s="2" t="n"/>
    </row>
    <row r="15" ht="36" customHeight="1">
      <c r="A15" s="2" t="n"/>
      <c r="B15" s="24" t="inlineStr">
        <is>
          <t>GN 1/2 polycarbonate container, 150 mm deep</t>
        </is>
      </c>
      <c r="C15" s="24" t="inlineStr">
        <is>
          <t>ALLPAX</t>
        </is>
      </c>
      <c r="D15" s="24" t="inlineStr">
        <is>
          <t>PC GN 1/2 Höhe 150 mm schwarz</t>
        </is>
      </c>
      <c r="E15" s="24" t="n"/>
      <c r="F15" s="25" t="inlineStr">
        <is>
          <t>https://www.allpax.de/product_info.php/info/PC-GN-1-2-Hoehe-150-mm-schwarz.html</t>
        </is>
      </c>
      <c r="G15" s="120" t="n">
        <v>7.29</v>
      </c>
      <c r="H15" s="24" t="inlineStr">
        <is>
          <t>excl.</t>
        </is>
      </c>
      <c r="I15" s="116" t="n">
        <v>1</v>
      </c>
      <c r="J15" s="24" t="n"/>
      <c r="K15" s="120" t="n">
        <v>7.29</v>
      </c>
      <c r="L15" s="24" t="inlineStr">
        <is>
          <t>EXACT</t>
        </is>
      </c>
      <c r="M15" s="24" t="inlineStr">
        <is>
          <t>'jetzt' price; regular 10.35</t>
        </is>
      </c>
      <c r="N15" s="24" t="inlineStr">
        <is>
          <t>2026-09-30</t>
        </is>
      </c>
      <c r="O15" s="2" t="n"/>
      <c r="P15" s="2" t="n"/>
      <c r="Q15" s="2" t="n"/>
      <c r="R15" s="2" t="n"/>
      <c r="S15" s="2" t="n"/>
      <c r="T15" s="2" t="n"/>
      <c r="U15" s="2" t="n"/>
      <c r="V15" s="2" t="n"/>
      <c r="W15" s="2" t="n"/>
      <c r="X15" s="2" t="n"/>
      <c r="Y15" s="2" t="n"/>
      <c r="Z15" s="2" t="n"/>
      <c r="AA15" s="2" t="n"/>
      <c r="AB15" s="2" t="n"/>
      <c r="AC15" s="2" t="n"/>
    </row>
    <row r="16" ht="50" customHeight="1">
      <c r="A16" s="2" t="n"/>
      <c r="B16" s="27" t="inlineStr">
        <is>
          <t>GN 1/2 polycarbonate container, 150 mm deep</t>
        </is>
      </c>
      <c r="C16" s="27" t="inlineStr">
        <is>
          <t>GGM Gastro</t>
        </is>
      </c>
      <c r="D16" s="27" t="inlineStr">
        <is>
          <t>(6 Stück) CAMBRO CAMVIEW Copolymer-Behälter GN 1/2 - Höhe 150mm - BPA-frei</t>
        </is>
      </c>
      <c r="E16" s="27" t="inlineStr">
        <is>
          <t>Cambro</t>
        </is>
      </c>
      <c r="F16" s="28" t="inlineStr">
        <is>
          <t>https://www.ggmgastro.com/de-de-eur/6-stueck-cambro-camview-r-copolymer-behaelter-gn-1-2-transparent-hoehe-150mm-bpa-frei-26cv135</t>
        </is>
      </c>
      <c r="G16" s="121" t="n">
        <v>56.99</v>
      </c>
      <c r="H16" s="27" t="inlineStr">
        <is>
          <t>excl.</t>
        </is>
      </c>
      <c r="I16" s="117" t="n">
        <v>6</v>
      </c>
      <c r="J16" s="27" t="inlineStr">
        <is>
          <t>set of 6</t>
        </is>
      </c>
      <c r="K16" s="121" t="n">
        <v>9.5</v>
      </c>
      <c r="L16" s="27" t="inlineStr">
        <is>
          <t>APPROX</t>
        </is>
      </c>
      <c r="M16" s="27" t="inlineStr">
        <is>
          <t>Copolyester (Tritan-type), not polycarbonate; no PC GN 1/2 150 mm found in GGM sitemap</t>
        </is>
      </c>
      <c r="N16" s="27" t="inlineStr">
        <is>
          <t>2026-09-30</t>
        </is>
      </c>
      <c r="O16" s="2" t="n"/>
      <c r="P16" s="2" t="n"/>
      <c r="Q16" s="2" t="n"/>
      <c r="R16" s="2" t="n"/>
      <c r="S16" s="2" t="n"/>
      <c r="T16" s="2" t="n"/>
      <c r="U16" s="2" t="n"/>
      <c r="V16" s="2" t="n"/>
      <c r="W16" s="2" t="n"/>
      <c r="X16" s="2" t="n"/>
      <c r="Y16" s="2" t="n"/>
      <c r="Z16" s="2" t="n"/>
      <c r="AA16" s="2" t="n"/>
      <c r="AB16" s="2" t="n"/>
      <c r="AC16" s="2" t="n"/>
    </row>
    <row r="17" ht="36" customHeight="1">
      <c r="A17" s="2" t="n"/>
      <c r="B17" s="24" t="inlineStr">
        <is>
          <t>GN 1/2 polycarbonate container, 150 mm deep</t>
        </is>
      </c>
      <c r="C17" s="24" t="inlineStr">
        <is>
          <t>GastroHero</t>
        </is>
      </c>
      <c r="D17" s="24" t="inlineStr">
        <is>
          <t>Vogue GN-Behälter 1/2 Polycarbonat - Tiefe 150 mm</t>
        </is>
      </c>
      <c r="E17" s="24" t="inlineStr">
        <is>
          <t>Vogue</t>
        </is>
      </c>
      <c r="F17" s="25" t="inlineStr">
        <is>
          <t>https://www.gastro-hero.de/products/vogue-gn-behaelter-12-polycarbonat-tiefe-150-mm-u230</t>
        </is>
      </c>
      <c r="G17" s="120" t="n">
        <v>9.59</v>
      </c>
      <c r="H17" s="24" t="inlineStr">
        <is>
          <t>excl.</t>
        </is>
      </c>
      <c r="I17" s="116" t="n">
        <v>1</v>
      </c>
      <c r="J17" s="24" t="n"/>
      <c r="K17" s="120" t="n">
        <v>9.59</v>
      </c>
      <c r="L17" s="24" t="inlineStr">
        <is>
          <t>EXACT</t>
        </is>
      </c>
      <c r="M17" s="24" t="inlineStr">
        <is>
          <t>Min. qty 4. (Schneider equivalent available too)</t>
        </is>
      </c>
      <c r="N17" s="24" t="inlineStr">
        <is>
          <t>2026-09-30</t>
        </is>
      </c>
      <c r="O17" s="2" t="n"/>
      <c r="P17" s="2" t="n"/>
      <c r="Q17" s="2" t="n"/>
      <c r="R17" s="2" t="n"/>
      <c r="S17" s="2" t="n"/>
      <c r="T17" s="2" t="n"/>
      <c r="U17" s="2" t="n"/>
      <c r="V17" s="2" t="n"/>
      <c r="W17" s="2" t="n"/>
      <c r="X17" s="2" t="n"/>
      <c r="Y17" s="2" t="n"/>
      <c r="Z17" s="2" t="n"/>
      <c r="AA17" s="2" t="n"/>
      <c r="AB17" s="2" t="n"/>
      <c r="AC17" s="2" t="n"/>
    </row>
    <row r="18" ht="36" customHeight="1">
      <c r="A18" s="2" t="n"/>
      <c r="B18" s="27" t="inlineStr">
        <is>
          <t>GN 1/2 polycarbonate container, 150 mm deep</t>
        </is>
      </c>
      <c r="C18" s="27" t="inlineStr">
        <is>
          <t>Gastrodax [substitute]</t>
        </is>
      </c>
      <c r="D18" s="27" t="inlineStr">
        <is>
          <t>Hendi Gastronorm-Behälter 1/2, GN 1/2, 9,5L, Transparent, 325x265x(H)150mm – Polycarbonat</t>
        </is>
      </c>
      <c r="E18" s="27" t="inlineStr">
        <is>
          <t>Hendi</t>
        </is>
      </c>
      <c r="F18" s="28" t="inlineStr">
        <is>
          <t>https://www.gastrodax.de/hendi-gastronorm-behaelter-gn-1-2-9-5-l-polykarbonat-transparent-325-x-265-x-h-150-mm</t>
        </is>
      </c>
      <c r="G18" s="121" t="n">
        <v>18.75</v>
      </c>
      <c r="H18" s="27" t="inlineStr">
        <is>
          <t>excl.</t>
        </is>
      </c>
      <c r="I18" s="117" t="n">
        <v>1</v>
      </c>
      <c r="J18" s="27" t="n"/>
      <c r="K18" s="121" t="n">
        <v>18.75</v>
      </c>
      <c r="L18" s="27" t="inlineStr">
        <is>
          <t>EXACT</t>
        </is>
      </c>
      <c r="M18" s="27" t="n"/>
      <c r="N18" s="27" t="inlineStr">
        <is>
          <t>2026-09-30</t>
        </is>
      </c>
      <c r="O18" s="2" t="n"/>
      <c r="P18" s="2" t="n"/>
      <c r="Q18" s="2" t="n"/>
      <c r="R18" s="2" t="n"/>
      <c r="S18" s="2" t="n"/>
      <c r="T18" s="2" t="n"/>
      <c r="U18" s="2" t="n"/>
      <c r="V18" s="2" t="n"/>
      <c r="W18" s="2" t="n"/>
      <c r="X18" s="2" t="n"/>
      <c r="Y18" s="2" t="n"/>
      <c r="Z18" s="2" t="n"/>
      <c r="AA18" s="2" t="n"/>
      <c r="AB18" s="2" t="n"/>
      <c r="AC18" s="2" t="n"/>
    </row>
    <row r="19" ht="36" customHeight="1">
      <c r="A19" s="2" t="n"/>
      <c r="B19" s="24" t="inlineStr">
        <is>
          <t>GN 1/2 polycarbonate container, 150 mm deep</t>
        </is>
      </c>
      <c r="C19" s="24" t="inlineStr">
        <is>
          <t>Gastroladen.de (Harotec GmbH) [substitute]</t>
        </is>
      </c>
      <c r="D19" s="24" t="inlineStr">
        <is>
          <t>Vogue Polycarbonat GN-Behälter GN1/2 150mm</t>
        </is>
      </c>
      <c r="E19" s="24" t="inlineStr">
        <is>
          <t>Vogue</t>
        </is>
      </c>
      <c r="F19" s="25" t="inlineStr">
        <is>
          <t>https://www.gastroladen.de/3020@GN-U230/Vogue-Polycarbonat-GN-Beh%C3%A4lter-GN1-2-150mm.htm</t>
        </is>
      </c>
      <c r="G19" s="120" t="n">
        <v>10.09</v>
      </c>
      <c r="H19" s="24" t="inlineStr">
        <is>
          <t>incl.</t>
        </is>
      </c>
      <c r="I19" s="116" t="n">
        <v>1</v>
      </c>
      <c r="J19" s="24" t="n"/>
      <c r="K19" s="120" t="n">
        <v>8.48</v>
      </c>
      <c r="L19" s="24" t="inlineStr">
        <is>
          <t>EXACT</t>
        </is>
      </c>
      <c r="M19" s="24" t="n"/>
      <c r="N19" s="24" t="inlineStr">
        <is>
          <t>2026-09-30</t>
        </is>
      </c>
      <c r="O19" s="2" t="n"/>
      <c r="P19" s="2" t="n"/>
      <c r="Q19" s="2" t="n"/>
      <c r="R19" s="2" t="n"/>
      <c r="S19" s="2" t="n"/>
      <c r="T19" s="2" t="n"/>
      <c r="U19" s="2" t="n"/>
      <c r="V19" s="2" t="n"/>
      <c r="W19" s="2" t="n"/>
      <c r="X19" s="2" t="n"/>
      <c r="Y19" s="2" t="n"/>
      <c r="Z19" s="2" t="n"/>
      <c r="AA19" s="2" t="n"/>
      <c r="AB19" s="2" t="n"/>
      <c r="AC19" s="2" t="n"/>
    </row>
    <row r="20" ht="36" customHeight="1">
      <c r="A20" s="2" t="n"/>
      <c r="B20" s="27" t="inlineStr">
        <is>
          <t>GN 1/2 polycarbonate container, 150 mm deep</t>
        </is>
      </c>
      <c r="C20" s="27" t="inlineStr">
        <is>
          <t>Intergastro</t>
        </is>
      </c>
      <c r="D20" s="27" t="inlineStr">
        <is>
          <t>Gastronorm Behälter GN 1/2 GN 96 BLACK Polycarbonat schwarz H 150 mm</t>
        </is>
      </c>
      <c r="E20" s="27" t="inlineStr">
        <is>
          <t>WAS Germany</t>
        </is>
      </c>
      <c r="F20" s="28" t="inlineStr">
        <is>
          <t>https://www.intergastro.de/gastronorm-behaelter-gn-1-2-gn-96-black-polycarbonat-schwarz-h-150-mm-1016774</t>
        </is>
      </c>
      <c r="G20" s="121" t="n">
        <v>10.17</v>
      </c>
      <c r="H20" s="27" t="inlineStr">
        <is>
          <t>excl.</t>
        </is>
      </c>
      <c r="I20" s="117" t="n">
        <v>1</v>
      </c>
      <c r="J20" s="27" t="n"/>
      <c r="K20" s="121" t="n">
        <v>10.17</v>
      </c>
      <c r="L20" s="27" t="inlineStr">
        <is>
          <t>EXACT</t>
        </is>
      </c>
      <c r="M20" s="27" t="inlineStr">
        <is>
          <t>Black PC</t>
        </is>
      </c>
      <c r="N20" s="27" t="inlineStr">
        <is>
          <t>2026-09-30</t>
        </is>
      </c>
      <c r="O20" s="2" t="n"/>
      <c r="P20" s="2" t="n"/>
      <c r="Q20" s="2" t="n"/>
      <c r="R20" s="2" t="n"/>
      <c r="S20" s="2" t="n"/>
      <c r="T20" s="2" t="n"/>
      <c r="U20" s="2" t="n"/>
      <c r="V20" s="2" t="n"/>
      <c r="W20" s="2" t="n"/>
      <c r="X20" s="2" t="n"/>
      <c r="Y20" s="2" t="n"/>
      <c r="Z20" s="2" t="n"/>
      <c r="AA20" s="2" t="n"/>
      <c r="AB20" s="2" t="n"/>
      <c r="AC20" s="2" t="n"/>
    </row>
    <row r="21" ht="36" customHeight="1">
      <c r="A21" s="2" t="n"/>
      <c r="B21" s="24" t="inlineStr">
        <is>
          <t>GN 1/2 polycarbonate container, 150 mm deep</t>
        </is>
      </c>
      <c r="C21" s="24" t="inlineStr">
        <is>
          <t>Nisbets</t>
        </is>
      </c>
      <c r="D21" s="24" t="inlineStr">
        <is>
          <t>Vogue Polycarbonat GN-Behälter 1/2, 150mm, transparent</t>
        </is>
      </c>
      <c r="E21" s="24" t="inlineStr">
        <is>
          <t>Vogue</t>
        </is>
      </c>
      <c r="F21" s="25" t="inlineStr">
        <is>
          <t>https://www.nisbets.de/vogue-polycarbonat-gn-behlter-150mm/u230</t>
        </is>
      </c>
      <c r="G21" s="120" t="n">
        <v>5.82</v>
      </c>
      <c r="H21" s="24" t="inlineStr">
        <is>
          <t>excl.</t>
        </is>
      </c>
      <c r="I21" s="116" t="n">
        <v>1</v>
      </c>
      <c r="J21" s="24" t="n"/>
      <c r="K21" s="120" t="n">
        <v>5.82</v>
      </c>
      <c r="L21" s="24" t="inlineStr">
        <is>
          <t>EXACT</t>
        </is>
      </c>
      <c r="M21" s="24" t="inlineStr">
        <is>
          <t>Reduced web price (UVP 12.19, -52%)</t>
        </is>
      </c>
      <c r="N21" s="24" t="inlineStr">
        <is>
          <t>2026-09-30</t>
        </is>
      </c>
      <c r="O21" s="2" t="n"/>
      <c r="P21" s="2" t="n"/>
      <c r="Q21" s="2" t="n"/>
      <c r="R21" s="2" t="n"/>
      <c r="S21" s="2" t="n"/>
      <c r="T21" s="2" t="n"/>
      <c r="U21" s="2" t="n"/>
      <c r="V21" s="2" t="n"/>
      <c r="W21" s="2" t="n"/>
      <c r="X21" s="2" t="n"/>
      <c r="Y21" s="2" t="n"/>
      <c r="Z21" s="2" t="n"/>
      <c r="AA21" s="2" t="n"/>
      <c r="AB21" s="2" t="n"/>
      <c r="AC21" s="2" t="n"/>
    </row>
    <row r="22" ht="36" customHeight="1">
      <c r="A22" s="2" t="n"/>
      <c r="B22" s="27" t="inlineStr">
        <is>
          <t>GN 1/3 polypropylene container, 100 mm deep</t>
        </is>
      </c>
      <c r="C22" s="27" t="inlineStr">
        <is>
          <t>GGM Gastro</t>
        </is>
      </c>
      <c r="D22" s="27" t="inlineStr">
        <is>
          <t>(12 Stück) Polypropylen-Behälter GN 1/3 - Milchig - Höhe: 100mm</t>
        </is>
      </c>
      <c r="E22" s="27" t="inlineStr">
        <is>
          <t>GGM</t>
        </is>
      </c>
      <c r="F22" s="28" t="inlineStr">
        <is>
          <t>https://www.ggmgastro.com/de-de-eur/12-stueck-polypropylen-behaelter-gn-1-3-milchig-hoehe-100mm-gpp13100</t>
        </is>
      </c>
      <c r="G22" s="121" t="n">
        <v>37.99</v>
      </c>
      <c r="H22" s="27" t="inlineStr">
        <is>
          <t>excl.</t>
        </is>
      </c>
      <c r="I22" s="117" t="n">
        <v>12</v>
      </c>
      <c r="J22" s="27" t="inlineStr">
        <is>
          <t>set of 12</t>
        </is>
      </c>
      <c r="K22" s="121" t="n">
        <v>3.17</v>
      </c>
      <c r="L22" s="27" t="inlineStr">
        <is>
          <t>EXACT</t>
        </is>
      </c>
      <c r="M22" s="27" t="inlineStr">
        <is>
          <t>The 6-piece version of the same item is listed at 174.99 net (looks like a listing error; not used)</t>
        </is>
      </c>
      <c r="N22" s="27" t="inlineStr">
        <is>
          <t>2026-09-30</t>
        </is>
      </c>
      <c r="O22" s="2" t="n"/>
      <c r="P22" s="2" t="n"/>
      <c r="Q22" s="2" t="n"/>
      <c r="R22" s="2" t="n"/>
      <c r="S22" s="2" t="n"/>
      <c r="T22" s="2" t="n"/>
      <c r="U22" s="2" t="n"/>
      <c r="V22" s="2" t="n"/>
      <c r="W22" s="2" t="n"/>
      <c r="X22" s="2" t="n"/>
      <c r="Y22" s="2" t="n"/>
      <c r="Z22" s="2" t="n"/>
      <c r="AA22" s="2" t="n"/>
      <c r="AB22" s="2" t="n"/>
      <c r="AC22" s="2" t="n"/>
    </row>
    <row r="23" ht="36" customHeight="1">
      <c r="A23" s="2" t="n"/>
      <c r="B23" s="24" t="inlineStr">
        <is>
          <t>GN 1/3 polypropylene container, 100 mm deep</t>
        </is>
      </c>
      <c r="C23" s="24" t="inlineStr">
        <is>
          <t>GastroHero</t>
        </is>
      </c>
      <c r="D23" s="24" t="inlineStr">
        <is>
          <t>Araven GN1/3 Lebensmittelbehälter blau 100 mm</t>
        </is>
      </c>
      <c r="E23" s="24" t="inlineStr">
        <is>
          <t>Araven</t>
        </is>
      </c>
      <c r="F23" s="25" t="inlineStr">
        <is>
          <t>https://www.gastro-hero.de/products/araven-gn13-lebensmittelbehaelter-blau-100-mm-gp579</t>
        </is>
      </c>
      <c r="G23" s="120" t="n">
        <v>17.29</v>
      </c>
      <c r="H23" s="24" t="inlineStr">
        <is>
          <t>excl.</t>
        </is>
      </c>
      <c r="I23" s="116" t="n">
        <v>1</v>
      </c>
      <c r="J23" s="24" t="n"/>
      <c r="K23" s="120" t="n">
        <v>17.29</v>
      </c>
      <c r="L23" s="24" t="inlineStr">
        <is>
          <t>EXACT</t>
        </is>
      </c>
      <c r="M23" s="24" t="inlineStr">
        <is>
          <t>Polypropylene, colour-coded blue</t>
        </is>
      </c>
      <c r="N23" s="24" t="inlineStr">
        <is>
          <t>2026-09-30</t>
        </is>
      </c>
      <c r="O23" s="2" t="n"/>
      <c r="P23" s="2" t="n"/>
      <c r="Q23" s="2" t="n"/>
      <c r="R23" s="2" t="n"/>
      <c r="S23" s="2" t="n"/>
      <c r="T23" s="2" t="n"/>
      <c r="U23" s="2" t="n"/>
      <c r="V23" s="2" t="n"/>
      <c r="W23" s="2" t="n"/>
      <c r="X23" s="2" t="n"/>
      <c r="Y23" s="2" t="n"/>
      <c r="Z23" s="2" t="n"/>
      <c r="AA23" s="2" t="n"/>
      <c r="AB23" s="2" t="n"/>
      <c r="AC23" s="2" t="n"/>
    </row>
    <row r="24" ht="36" customHeight="1">
      <c r="A24" s="2" t="n"/>
      <c r="B24" s="27" t="inlineStr">
        <is>
          <t>GN 1/3 polypropylene container, 100 mm deep</t>
        </is>
      </c>
      <c r="C24" s="27" t="inlineStr">
        <is>
          <t>Gastrodax [substitute]</t>
        </is>
      </c>
      <c r="D24" s="27" t="inlineStr">
        <is>
          <t>Hendi Gastronorm-Behälter 1/3, GN 1/3, 4L, Transparent, 325x176x(H)100mm – Polypropylen</t>
        </is>
      </c>
      <c r="E24" s="27" t="inlineStr">
        <is>
          <t>Hendi</t>
        </is>
      </c>
      <c r="F24" s="28" t="inlineStr">
        <is>
          <t>https://www.gastrodax.de/hendi-haccp-aufbewahrungsbehaelter-gn-1-3-4-l-transparent-325-x-176-x-h-100-mm</t>
        </is>
      </c>
      <c r="G24" s="121" t="n">
        <v>18.6</v>
      </c>
      <c r="H24" s="27" t="inlineStr">
        <is>
          <t>excl.</t>
        </is>
      </c>
      <c r="I24" s="117" t="n">
        <v>1</v>
      </c>
      <c r="J24" s="27" t="n"/>
      <c r="K24" s="121" t="n">
        <v>18.6</v>
      </c>
      <c r="L24" s="27" t="inlineStr">
        <is>
          <t>EXACT</t>
        </is>
      </c>
      <c r="M24" s="27" t="n"/>
      <c r="N24" s="27" t="inlineStr">
        <is>
          <t>2026-09-30</t>
        </is>
      </c>
      <c r="O24" s="2" t="n"/>
      <c r="P24" s="2" t="n"/>
      <c r="Q24" s="2" t="n"/>
      <c r="R24" s="2" t="n"/>
      <c r="S24" s="2" t="n"/>
      <c r="T24" s="2" t="n"/>
      <c r="U24" s="2" t="n"/>
      <c r="V24" s="2" t="n"/>
      <c r="W24" s="2" t="n"/>
      <c r="X24" s="2" t="n"/>
      <c r="Y24" s="2" t="n"/>
      <c r="Z24" s="2" t="n"/>
      <c r="AA24" s="2" t="n"/>
      <c r="AB24" s="2" t="n"/>
      <c r="AC24" s="2" t="n"/>
    </row>
    <row r="25" ht="36" customHeight="1">
      <c r="A25" s="2" t="n"/>
      <c r="B25" s="24" t="inlineStr">
        <is>
          <t>GN 1/3 polypropylene container, 100 mm deep</t>
        </is>
      </c>
      <c r="C25" s="24" t="inlineStr">
        <is>
          <t>Gastroladen.de (Harotec GmbH) [substitute]</t>
        </is>
      </c>
      <c r="D25" s="24" t="inlineStr">
        <is>
          <t>Cambro Polypropylen GN 1/3 Behälter 100mm</t>
        </is>
      </c>
      <c r="E25" s="24" t="inlineStr">
        <is>
          <t>Cambro</t>
        </is>
      </c>
      <c r="F25" s="25" t="inlineStr">
        <is>
          <t>https://www.gastroladen.de/3030@GN-DW504/Cambro-Polypropylen-GN-1-3-Beh%C3%A4lter-100mm.htm</t>
        </is>
      </c>
      <c r="G25" s="120" t="n">
        <v>6.98</v>
      </c>
      <c r="H25" s="24" t="inlineStr">
        <is>
          <t>incl.</t>
        </is>
      </c>
      <c r="I25" s="116" t="n">
        <v>1</v>
      </c>
      <c r="J25" s="24" t="n"/>
      <c r="K25" s="120" t="n">
        <v>5.87</v>
      </c>
      <c r="L25" s="24" t="inlineStr">
        <is>
          <t>EXACT</t>
        </is>
      </c>
      <c r="M25" s="24" t="inlineStr">
        <is>
          <t>3.6 l</t>
        </is>
      </c>
      <c r="N25" s="24" t="inlineStr">
        <is>
          <t>2026-09-30</t>
        </is>
      </c>
      <c r="O25" s="2" t="n"/>
      <c r="P25" s="2" t="n"/>
      <c r="Q25" s="2" t="n"/>
      <c r="R25" s="2" t="n"/>
      <c r="S25" s="2" t="n"/>
      <c r="T25" s="2" t="n"/>
      <c r="U25" s="2" t="n"/>
      <c r="V25" s="2" t="n"/>
      <c r="W25" s="2" t="n"/>
      <c r="X25" s="2" t="n"/>
      <c r="Y25" s="2" t="n"/>
      <c r="Z25" s="2" t="n"/>
      <c r="AA25" s="2" t="n"/>
      <c r="AB25" s="2" t="n"/>
      <c r="AC25" s="2" t="n"/>
    </row>
    <row r="26" ht="36" customHeight="1">
      <c r="A26" s="2" t="n"/>
      <c r="B26" s="27" t="inlineStr">
        <is>
          <t>GN 1/3 polypropylene container, 100 mm deep</t>
        </is>
      </c>
      <c r="C26" s="27" t="inlineStr">
        <is>
          <t>Intergastro</t>
        </is>
      </c>
      <c r="D26" s="27" t="inlineStr">
        <is>
          <t>GN-Behälter GN 1/3 x 100 mm Kunststoff transparent-weiß (Polypropylen)</t>
        </is>
      </c>
      <c r="E26" s="27" t="inlineStr">
        <is>
          <t>Contacto</t>
        </is>
      </c>
      <c r="F26" s="28" t="inlineStr">
        <is>
          <t>https://www.intergastro.de/gn-behaelter-gn-1-3-x-100-mm-kunststoff-transparent-weiss-251459</t>
        </is>
      </c>
      <c r="G26" s="121" t="n">
        <v>10</v>
      </c>
      <c r="H26" s="27" t="inlineStr">
        <is>
          <t>excl.</t>
        </is>
      </c>
      <c r="I26" s="117" t="n">
        <v>1</v>
      </c>
      <c r="J26" s="27" t="n"/>
      <c r="K26" s="121" t="n">
        <v>10</v>
      </c>
      <c r="L26" s="27" t="inlineStr">
        <is>
          <t>EXACT</t>
        </is>
      </c>
      <c r="M26" s="27" t="n"/>
      <c r="N26" s="27" t="inlineStr">
        <is>
          <t>2026-09-30</t>
        </is>
      </c>
      <c r="O26" s="2" t="n"/>
      <c r="P26" s="2" t="n"/>
      <c r="Q26" s="2" t="n"/>
      <c r="R26" s="2" t="n"/>
      <c r="S26" s="2" t="n"/>
      <c r="T26" s="2" t="n"/>
      <c r="U26" s="2" t="n"/>
      <c r="V26" s="2" t="n"/>
      <c r="W26" s="2" t="n"/>
      <c r="X26" s="2" t="n"/>
      <c r="Y26" s="2" t="n"/>
      <c r="Z26" s="2" t="n"/>
      <c r="AA26" s="2" t="n"/>
      <c r="AB26" s="2" t="n"/>
      <c r="AC26" s="2" t="n"/>
    </row>
    <row r="27" ht="36" customHeight="1">
      <c r="A27" s="2" t="n"/>
      <c r="B27" s="24" t="inlineStr">
        <is>
          <t>GN 1/3 polypropylene container, 100 mm deep</t>
        </is>
      </c>
      <c r="C27" s="24" t="inlineStr">
        <is>
          <t>Nisbets</t>
        </is>
      </c>
      <c r="D27" s="24" t="inlineStr">
        <is>
          <t>Cambro Polypropylen GN 1/3 Gastronorm-Behälter 100mm</t>
        </is>
      </c>
      <c r="E27" s="24" t="inlineStr">
        <is>
          <t>Cambro</t>
        </is>
      </c>
      <c r="F27" s="25" t="inlineStr">
        <is>
          <t>https://www.nisbets.de/cambro-polypropylen-gn-13-behlter-100mm/dw504</t>
        </is>
      </c>
      <c r="G27" s="120" t="n">
        <v>3.59</v>
      </c>
      <c r="H27" s="24" t="inlineStr">
        <is>
          <t>excl.</t>
        </is>
      </c>
      <c r="I27" s="116" t="n">
        <v>1</v>
      </c>
      <c r="J27" s="24" t="n"/>
      <c r="K27" s="120" t="n">
        <v>3.59</v>
      </c>
      <c r="L27" s="24" t="inlineStr">
        <is>
          <t>EXACT</t>
        </is>
      </c>
      <c r="M27" s="24" t="inlineStr">
        <is>
          <t>UVP 4.59; Nisbets Essentials HZ340 same spec 4.09</t>
        </is>
      </c>
      <c r="N27" s="24" t="inlineStr">
        <is>
          <t>2026-09-30</t>
        </is>
      </c>
      <c r="O27" s="2" t="n"/>
      <c r="P27" s="2" t="n"/>
      <c r="Q27" s="2" t="n"/>
      <c r="R27" s="2" t="n"/>
      <c r="S27" s="2" t="n"/>
      <c r="T27" s="2" t="n"/>
      <c r="U27" s="2" t="n"/>
      <c r="V27" s="2" t="n"/>
      <c r="W27" s="2" t="n"/>
      <c r="X27" s="2" t="n"/>
      <c r="Y27" s="2" t="n"/>
      <c r="Z27" s="2" t="n"/>
      <c r="AA27" s="2" t="n"/>
      <c r="AB27" s="2" t="n"/>
      <c r="AC27" s="2" t="n"/>
    </row>
    <row r="28" ht="36" customHeight="1">
      <c r="A28" s="2" t="n"/>
      <c r="B28" s="27" t="inlineStr">
        <is>
          <t>GN 1/1 polypropylene lid</t>
        </is>
      </c>
      <c r="C28" s="27" t="inlineStr">
        <is>
          <t>GGM Gastro</t>
        </is>
      </c>
      <c r="D28" s="27" t="inlineStr">
        <is>
          <t>(12 Stück) Polypropylen-Deckel GN 1/1 - Milchig - mit 24 Codierclips</t>
        </is>
      </c>
      <c r="E28" s="27" t="inlineStr">
        <is>
          <t>GGM</t>
        </is>
      </c>
      <c r="F28" s="28" t="inlineStr">
        <is>
          <t>https://www.ggmgastro.com/de-de-eur/12-stueck-polypropylen-deckel-gn-1-1-milchig-mit-24-codierclips-gppl11-12</t>
        </is>
      </c>
      <c r="G28" s="121" t="n">
        <v>27.99</v>
      </c>
      <c r="H28" s="27" t="inlineStr">
        <is>
          <t>excl.</t>
        </is>
      </c>
      <c r="I28" s="117" t="n">
        <v>12</v>
      </c>
      <c r="J28" s="27" t="inlineStr">
        <is>
          <t>set of 12 (per title)</t>
        </is>
      </c>
      <c r="K28" s="121" t="n">
        <v>2.33</v>
      </c>
      <c r="L28" s="27" t="inlineStr">
        <is>
          <t>EXACT</t>
        </is>
      </c>
      <c r="M28" s="27" t="inlineStr">
        <is>
          <t>Title says 12 pcs but spec table says 'Set Menge 6 Stk' - conflicting; if 6 pcs, net/pc would be 4.67</t>
        </is>
      </c>
      <c r="N28" s="27" t="inlineStr">
        <is>
          <t>2026-09-30</t>
        </is>
      </c>
      <c r="O28" s="2" t="n"/>
      <c r="P28" s="2" t="n"/>
      <c r="Q28" s="2" t="n"/>
      <c r="R28" s="2" t="n"/>
      <c r="S28" s="2" t="n"/>
      <c r="T28" s="2" t="n"/>
      <c r="U28" s="2" t="n"/>
      <c r="V28" s="2" t="n"/>
      <c r="W28" s="2" t="n"/>
      <c r="X28" s="2" t="n"/>
      <c r="Y28" s="2" t="n"/>
      <c r="Z28" s="2" t="n"/>
      <c r="AA28" s="2" t="n"/>
      <c r="AB28" s="2" t="n"/>
      <c r="AC28" s="2" t="n"/>
    </row>
    <row r="29" ht="36" customHeight="1">
      <c r="A29" s="2" t="n"/>
      <c r="B29" s="24" t="inlineStr">
        <is>
          <t>GN 1/1 polypropylene lid</t>
        </is>
      </c>
      <c r="C29" s="24" t="inlineStr">
        <is>
          <t>GastroHero</t>
        </is>
      </c>
      <c r="D29" s="24" t="inlineStr">
        <is>
          <t>Schneider PP GN 1/1 Deckel, einrastend</t>
        </is>
      </c>
      <c r="E29" s="24" t="inlineStr">
        <is>
          <t>Schneider</t>
        </is>
      </c>
      <c r="F29" s="25" t="inlineStr">
        <is>
          <t>https://www.gastro-hero.de/products/schneider-pp-gn-11-deckel-einrastend-530005</t>
        </is>
      </c>
      <c r="G29" s="120" t="n">
        <v>5.29</v>
      </c>
      <c r="H29" s="24" t="inlineStr">
        <is>
          <t>excl.</t>
        </is>
      </c>
      <c r="I29" s="116" t="n">
        <v>1</v>
      </c>
      <c r="J29" s="24" t="n"/>
      <c r="K29" s="120" t="n">
        <v>5.29</v>
      </c>
      <c r="L29" s="24" t="inlineStr">
        <is>
          <t>EXACT</t>
        </is>
      </c>
      <c r="M29" s="24" t="inlineStr">
        <is>
          <t>Min. qty 4</t>
        </is>
      </c>
      <c r="N29" s="24" t="inlineStr">
        <is>
          <t>2026-09-30</t>
        </is>
      </c>
      <c r="O29" s="2" t="n"/>
      <c r="P29" s="2" t="n"/>
      <c r="Q29" s="2" t="n"/>
      <c r="R29" s="2" t="n"/>
      <c r="S29" s="2" t="n"/>
      <c r="T29" s="2" t="n"/>
      <c r="U29" s="2" t="n"/>
      <c r="V29" s="2" t="n"/>
      <c r="W29" s="2" t="n"/>
      <c r="X29" s="2" t="n"/>
      <c r="Y29" s="2" t="n"/>
      <c r="Z29" s="2" t="n"/>
      <c r="AA29" s="2" t="n"/>
      <c r="AB29" s="2" t="n"/>
      <c r="AC29" s="2" t="n"/>
    </row>
    <row r="30" ht="36" customHeight="1">
      <c r="A30" s="2" t="n"/>
      <c r="B30" s="27" t="inlineStr">
        <is>
          <t>GN 1/1 polypropylene lid</t>
        </is>
      </c>
      <c r="C30" s="27" t="inlineStr">
        <is>
          <t>Gastrodax [substitute]</t>
        </is>
      </c>
      <c r="D30" s="27" t="inlineStr">
        <is>
          <t>Hendi Gastronorm-Deckel, GN 1/1, Transparent, 530x325mm</t>
        </is>
      </c>
      <c r="E30" s="27" t="inlineStr">
        <is>
          <t>Hendi</t>
        </is>
      </c>
      <c r="F30" s="28" t="inlineStr">
        <is>
          <t>https://www.gastrodax.de/hendi-gastronorm-deckel-gn-1-1-transparent-530-x-325-mm</t>
        </is>
      </c>
      <c r="G30" s="121" t="n">
        <v>16.66</v>
      </c>
      <c r="H30" s="27" t="inlineStr">
        <is>
          <t>excl.</t>
        </is>
      </c>
      <c r="I30" s="117" t="n">
        <v>1</v>
      </c>
      <c r="J30" s="27" t="n"/>
      <c r="K30" s="121" t="n">
        <v>16.66</v>
      </c>
      <c r="L30" s="27" t="inlineStr">
        <is>
          <t>CLOSE</t>
        </is>
      </c>
      <c r="M30" s="27" t="inlineStr">
        <is>
          <t>Lid for Hendi polypropylene GN containers; lid material not explicitly stated</t>
        </is>
      </c>
      <c r="N30" s="27" t="inlineStr">
        <is>
          <t>2026-09-30</t>
        </is>
      </c>
      <c r="O30" s="2" t="n"/>
      <c r="P30" s="2" t="n"/>
      <c r="Q30" s="2" t="n"/>
      <c r="R30" s="2" t="n"/>
      <c r="S30" s="2" t="n"/>
      <c r="T30" s="2" t="n"/>
      <c r="U30" s="2" t="n"/>
      <c r="V30" s="2" t="n"/>
      <c r="W30" s="2" t="n"/>
      <c r="X30" s="2" t="n"/>
      <c r="Y30" s="2" t="n"/>
      <c r="Z30" s="2" t="n"/>
      <c r="AA30" s="2" t="n"/>
      <c r="AB30" s="2" t="n"/>
      <c r="AC30" s="2" t="n"/>
    </row>
    <row r="31" ht="36" customHeight="1">
      <c r="A31" s="2" t="n"/>
      <c r="B31" s="24" t="inlineStr">
        <is>
          <t>GN 1/1 polypropylene lid</t>
        </is>
      </c>
      <c r="C31" s="24" t="inlineStr">
        <is>
          <t>Gastroladen.de (Harotec GmbH) [substitute]</t>
        </is>
      </c>
      <c r="D31" s="24" t="inlineStr">
        <is>
          <t>Cambro biegsamer Polypropylen Deckel GN 1/1</t>
        </is>
      </c>
      <c r="E31" s="24" t="inlineStr">
        <is>
          <t>Cambro</t>
        </is>
      </c>
      <c r="F31" s="25" t="inlineStr">
        <is>
          <t>https://www.gastroladen.de/3030@GN-DM743/Cambro-biegsamer-Polypropylen-Deckel-GN-1-1.htm</t>
        </is>
      </c>
      <c r="G31" s="120" t="n">
        <v>11.09</v>
      </c>
      <c r="H31" s="24" t="inlineStr">
        <is>
          <t>incl.</t>
        </is>
      </c>
      <c r="I31" s="116" t="n">
        <v>1</v>
      </c>
      <c r="J31" s="24" t="n"/>
      <c r="K31" s="120" t="n">
        <v>9.32</v>
      </c>
      <c r="L31" s="24" t="inlineStr">
        <is>
          <t>EXACT</t>
        </is>
      </c>
      <c r="M31" s="24" t="inlineStr">
        <is>
          <t>Flexible PP lid with seal</t>
        </is>
      </c>
      <c r="N31" s="24" t="inlineStr">
        <is>
          <t>2026-09-30</t>
        </is>
      </c>
      <c r="O31" s="2" t="n"/>
      <c r="P31" s="2" t="n"/>
      <c r="Q31" s="2" t="n"/>
      <c r="R31" s="2" t="n"/>
      <c r="S31" s="2" t="n"/>
      <c r="T31" s="2" t="n"/>
      <c r="U31" s="2" t="n"/>
      <c r="V31" s="2" t="n"/>
      <c r="W31" s="2" t="n"/>
      <c r="X31" s="2" t="n"/>
      <c r="Y31" s="2" t="n"/>
      <c r="Z31" s="2" t="n"/>
      <c r="AA31" s="2" t="n"/>
      <c r="AB31" s="2" t="n"/>
      <c r="AC31" s="2" t="n"/>
    </row>
    <row r="32" ht="36" customHeight="1">
      <c r="A32" s="2" t="n"/>
      <c r="B32" s="27" t="inlineStr">
        <is>
          <t>GN 1/1 polypropylene lid</t>
        </is>
      </c>
      <c r="C32" s="27" t="inlineStr">
        <is>
          <t>Intergastro</t>
        </is>
      </c>
      <c r="D32" s="27" t="inlineStr">
        <is>
          <t>GN Deckel GN 89 GN 1/1 Polypropylen weiß</t>
        </is>
      </c>
      <c r="E32" s="27" t="inlineStr">
        <is>
          <t>WAS Germany</t>
        </is>
      </c>
      <c r="F32" s="28" t="inlineStr">
        <is>
          <t>https://www.intergastro.de/gn-deckel-gn-89-gn-1-1-polypropylen-weiss-252554</t>
        </is>
      </c>
      <c r="G32" s="121" t="n">
        <v>7.5</v>
      </c>
      <c r="H32" s="27" t="inlineStr">
        <is>
          <t>excl.</t>
        </is>
      </c>
      <c r="I32" s="117" t="n">
        <v>1</v>
      </c>
      <c r="J32" s="27" t="n"/>
      <c r="K32" s="121" t="n">
        <v>7.5</v>
      </c>
      <c r="L32" s="27" t="inlineStr">
        <is>
          <t>EXACT</t>
        </is>
      </c>
      <c r="M32" s="27" t="n"/>
      <c r="N32" s="27" t="inlineStr">
        <is>
          <t>2026-09-30</t>
        </is>
      </c>
      <c r="O32" s="2" t="n"/>
      <c r="P32" s="2" t="n"/>
      <c r="Q32" s="2" t="n"/>
      <c r="R32" s="2" t="n"/>
      <c r="S32" s="2" t="n"/>
      <c r="T32" s="2" t="n"/>
      <c r="U32" s="2" t="n"/>
      <c r="V32" s="2" t="n"/>
      <c r="W32" s="2" t="n"/>
      <c r="X32" s="2" t="n"/>
      <c r="Y32" s="2" t="n"/>
      <c r="Z32" s="2" t="n"/>
      <c r="AA32" s="2" t="n"/>
      <c r="AB32" s="2" t="n"/>
      <c r="AC32" s="2" t="n"/>
    </row>
    <row r="33" ht="36" customHeight="1">
      <c r="A33" s="2" t="n"/>
      <c r="B33" s="24" t="inlineStr">
        <is>
          <t>GN 1/1 polypropylene lid</t>
        </is>
      </c>
      <c r="C33" s="24" t="inlineStr">
        <is>
          <t>Nisbets</t>
        </is>
      </c>
      <c r="D33" s="24" t="inlineStr">
        <is>
          <t>Nisbets Essentials Gastronorm-Deckel 1/1 aus Polypropylen, transparent</t>
        </is>
      </c>
      <c r="E33" s="24" t="inlineStr">
        <is>
          <t>Nisbets Essentials</t>
        </is>
      </c>
      <c r="F33" s="25" t="inlineStr">
        <is>
          <t>https://www.nisbets.de/nisbets-essentials-gastronorm-deckel-1zu1-aus-polypropylenkma-transparent/fa826</t>
        </is>
      </c>
      <c r="G33" s="120" t="n">
        <v>4.99</v>
      </c>
      <c r="H33" s="24" t="inlineStr">
        <is>
          <t>excl.</t>
        </is>
      </c>
      <c r="I33" s="116" t="n">
        <v>1</v>
      </c>
      <c r="J33" s="24" t="n"/>
      <c r="K33" s="120" t="n">
        <v>4.99</v>
      </c>
      <c r="L33" s="24" t="inlineStr">
        <is>
          <t>EXACT</t>
        </is>
      </c>
      <c r="M33" s="24" t="inlineStr">
        <is>
          <t>UVP 6.49; Cambro soft-seal PP lid DM743: 6.09</t>
        </is>
      </c>
      <c r="N33" s="24" t="inlineStr">
        <is>
          <t>2026-09-30</t>
        </is>
      </c>
      <c r="O33" s="2" t="n"/>
      <c r="P33" s="2" t="n"/>
      <c r="Q33" s="2" t="n"/>
      <c r="R33" s="2" t="n"/>
      <c r="S33" s="2" t="n"/>
      <c r="T33" s="2" t="n"/>
      <c r="U33" s="2" t="n"/>
      <c r="V33" s="2" t="n"/>
      <c r="W33" s="2" t="n"/>
      <c r="X33" s="2" t="n"/>
      <c r="Y33" s="2" t="n"/>
      <c r="Z33" s="2" t="n"/>
      <c r="AA33" s="2" t="n"/>
      <c r="AB33" s="2" t="n"/>
      <c r="AC33" s="2" t="n"/>
    </row>
    <row r="34" ht="36" customHeight="1">
      <c r="A34" s="2" t="n"/>
      <c r="B34" s="27" t="inlineStr">
        <is>
          <t>Squeeze bottle 500 ml, PP, single tip</t>
        </is>
      </c>
      <c r="C34" s="27" t="inlineStr">
        <is>
          <t>ALLPAX</t>
        </is>
      </c>
      <c r="D34" s="27" t="inlineStr">
        <is>
          <t>Quetschflasche PE 0,45 l, mit Schraubdeckel, 6 Stück</t>
        </is>
      </c>
      <c r="E34" s="27" t="n"/>
      <c r="F34" s="28" t="inlineStr">
        <is>
          <t>https://www.allpax.de/product_info.php/info/Quetschflasche-PE-0-45-l-mit-Schraubdeckel-6-St-uuml-ck.html</t>
        </is>
      </c>
      <c r="G34" s="121" t="n">
        <v>8.5</v>
      </c>
      <c r="H34" s="27" t="inlineStr">
        <is>
          <t>excl.</t>
        </is>
      </c>
      <c r="I34" s="117" t="n">
        <v>6</v>
      </c>
      <c r="J34" s="27" t="inlineStr">
        <is>
          <t>set of 6</t>
        </is>
      </c>
      <c r="K34" s="121" t="n">
        <v>1.42</v>
      </c>
      <c r="L34" s="27" t="inlineStr">
        <is>
          <t>CLOSE</t>
        </is>
      </c>
      <c r="M34" s="27" t="inlineStr">
        <is>
          <t>450 ml, polyethylene (not PP); site shows 1 pc = 1.42</t>
        </is>
      </c>
      <c r="N34" s="27" t="inlineStr">
        <is>
          <t>2026-09-30</t>
        </is>
      </c>
      <c r="O34" s="2" t="n"/>
      <c r="P34" s="2" t="n"/>
      <c r="Q34" s="2" t="n"/>
      <c r="R34" s="2" t="n"/>
      <c r="S34" s="2" t="n"/>
      <c r="T34" s="2" t="n"/>
      <c r="U34" s="2" t="n"/>
      <c r="V34" s="2" t="n"/>
      <c r="W34" s="2" t="n"/>
      <c r="X34" s="2" t="n"/>
      <c r="Y34" s="2" t="n"/>
      <c r="Z34" s="2" t="n"/>
      <c r="AA34" s="2" t="n"/>
      <c r="AB34" s="2" t="n"/>
      <c r="AC34" s="2" t="n"/>
    </row>
    <row r="35" ht="36" customHeight="1">
      <c r="A35" s="2" t="n"/>
      <c r="B35" s="24" t="inlineStr">
        <is>
          <t>Squeeze bottle 500 ml, PP, single tip</t>
        </is>
      </c>
      <c r="C35" s="24" t="inlineStr">
        <is>
          <t>GGM Gastro</t>
        </is>
      </c>
      <c r="D35" s="24" t="inlineStr">
        <is>
          <t>(12 Stück) Quetschflasche mit mittlerer Membran - 473ml</t>
        </is>
      </c>
      <c r="E35" s="24" t="inlineStr">
        <is>
          <t>GGM</t>
        </is>
      </c>
      <c r="F35" s="25" t="inlineStr">
        <is>
          <t>https://www.ggmgastro.com/de-de-eur/12-stueck-quetschflasche-mit-mittlerer-membran-473ml-ffo-002</t>
        </is>
      </c>
      <c r="G35" s="120" t="n">
        <v>47.99</v>
      </c>
      <c r="H35" s="24" t="inlineStr">
        <is>
          <t>excl.</t>
        </is>
      </c>
      <c r="I35" s="116" t="n">
        <v>12</v>
      </c>
      <c r="J35" s="24" t="inlineStr">
        <is>
          <t>set of 12</t>
        </is>
      </c>
      <c r="K35" s="120" t="n">
        <v>4</v>
      </c>
      <c r="L35" s="24" t="inlineStr">
        <is>
          <t>CLOSE</t>
        </is>
      </c>
      <c r="M35" s="24" t="inlineStr">
        <is>
          <t>473 ml, FIFO type with valve; material not stated</t>
        </is>
      </c>
      <c r="N35" s="24" t="inlineStr">
        <is>
          <t>2026-09-30</t>
        </is>
      </c>
      <c r="O35" s="2" t="n"/>
      <c r="P35" s="2" t="n"/>
      <c r="Q35" s="2" t="n"/>
      <c r="R35" s="2" t="n"/>
      <c r="S35" s="2" t="n"/>
      <c r="T35" s="2" t="n"/>
      <c r="U35" s="2" t="n"/>
      <c r="V35" s="2" t="n"/>
      <c r="W35" s="2" t="n"/>
      <c r="X35" s="2" t="n"/>
      <c r="Y35" s="2" t="n"/>
      <c r="Z35" s="2" t="n"/>
      <c r="AA35" s="2" t="n"/>
      <c r="AB35" s="2" t="n"/>
      <c r="AC35" s="2" t="n"/>
    </row>
    <row r="36" ht="36" customHeight="1">
      <c r="A36" s="2" t="n"/>
      <c r="B36" s="27" t="inlineStr">
        <is>
          <t>Squeeze bottle 500 ml, PP, single tip</t>
        </is>
      </c>
      <c r="C36" s="27" t="inlineStr">
        <is>
          <t>GastroHero</t>
        </is>
      </c>
      <c r="D36" s="27" t="inlineStr">
        <is>
          <t>Schneider PP Quetschflasche transparent 500 ml</t>
        </is>
      </c>
      <c r="E36" s="27" t="inlineStr">
        <is>
          <t>Schneider</t>
        </is>
      </c>
      <c r="F36" s="28" t="inlineStr">
        <is>
          <t>https://www.gastro-hero.de/products/schneider-pp-quetschflasche-transparent-500-ml-200491</t>
        </is>
      </c>
      <c r="G36" s="121" t="n">
        <v>1.79</v>
      </c>
      <c r="H36" s="27" t="inlineStr">
        <is>
          <t>excl.</t>
        </is>
      </c>
      <c r="I36" s="117" t="n">
        <v>1</v>
      </c>
      <c r="J36" s="27" t="n"/>
      <c r="K36" s="121" t="n">
        <v>1.79</v>
      </c>
      <c r="L36" s="27" t="inlineStr">
        <is>
          <t>EXACT</t>
        </is>
      </c>
      <c r="M36" s="27" t="inlineStr">
        <is>
          <t>Min. qty 12</t>
        </is>
      </c>
      <c r="N36" s="27" t="inlineStr">
        <is>
          <t>2026-09-30</t>
        </is>
      </c>
      <c r="O36" s="2" t="n"/>
      <c r="P36" s="2" t="n"/>
      <c r="Q36" s="2" t="n"/>
      <c r="R36" s="2" t="n"/>
      <c r="S36" s="2" t="n"/>
      <c r="T36" s="2" t="n"/>
      <c r="U36" s="2" t="n"/>
      <c r="V36" s="2" t="n"/>
      <c r="W36" s="2" t="n"/>
      <c r="X36" s="2" t="n"/>
      <c r="Y36" s="2" t="n"/>
      <c r="Z36" s="2" t="n"/>
      <c r="AA36" s="2" t="n"/>
      <c r="AB36" s="2" t="n"/>
      <c r="AC36" s="2" t="n"/>
    </row>
    <row r="37" ht="36" customHeight="1">
      <c r="A37" s="2" t="n"/>
      <c r="B37" s="24" t="inlineStr">
        <is>
          <t>Squeeze bottle 500 ml, PP, single tip</t>
        </is>
      </c>
      <c r="C37" s="24" t="inlineStr">
        <is>
          <t>Gastrodax [substitute]</t>
        </is>
      </c>
      <c r="D37" s="24" t="inlineStr">
        <is>
          <t>Contacto Quetschflasche 0,5 l</t>
        </is>
      </c>
      <c r="E37" s="24" t="inlineStr">
        <is>
          <t>Contacto</t>
        </is>
      </c>
      <c r="F37" s="25" t="inlineStr">
        <is>
          <t>https://www.gastrodax.de/contacto-quetschflasche-0-5-l</t>
        </is>
      </c>
      <c r="G37" s="120" t="n">
        <v>2.32</v>
      </c>
      <c r="H37" s="24" t="inlineStr">
        <is>
          <t>excl.</t>
        </is>
      </c>
      <c r="I37" s="116" t="n">
        <v>1</v>
      </c>
      <c r="J37" s="24" t="n"/>
      <c r="K37" s="120" t="n">
        <v>2.32</v>
      </c>
      <c r="L37" s="24" t="inlineStr">
        <is>
          <t>CLOSE</t>
        </is>
      </c>
      <c r="M37" s="24" t="inlineStr">
        <is>
          <t>Polyethylene (not PP), bottom-fill FIFO type with silicone valve; sale price, normal 2.90</t>
        </is>
      </c>
      <c r="N37" s="24" t="inlineStr">
        <is>
          <t>2026-09-30</t>
        </is>
      </c>
      <c r="O37" s="2" t="n"/>
      <c r="P37" s="2" t="n"/>
      <c r="Q37" s="2" t="n"/>
      <c r="R37" s="2" t="n"/>
      <c r="S37" s="2" t="n"/>
      <c r="T37" s="2" t="n"/>
      <c r="U37" s="2" t="n"/>
      <c r="V37" s="2" t="n"/>
      <c r="W37" s="2" t="n"/>
      <c r="X37" s="2" t="n"/>
      <c r="Y37" s="2" t="n"/>
      <c r="Z37" s="2" t="n"/>
      <c r="AA37" s="2" t="n"/>
      <c r="AB37" s="2" t="n"/>
      <c r="AC37" s="2" t="n"/>
    </row>
    <row r="38" ht="36" customHeight="1">
      <c r="A38" s="2" t="n"/>
      <c r="B38" s="27" t="inlineStr">
        <is>
          <t>Squeeze bottle 500 ml, PP, single tip</t>
        </is>
      </c>
      <c r="C38" s="27" t="inlineStr">
        <is>
          <t>Gastroladen.de (Harotec GmbH) [substitute]</t>
        </is>
      </c>
      <c r="D38" s="27" t="inlineStr">
        <is>
          <t>Vogue Quetschflasche extra breit klar 454ml</t>
        </is>
      </c>
      <c r="E38" s="27" t="inlineStr">
        <is>
          <t>Vogue</t>
        </is>
      </c>
      <c r="F38" s="28" t="inlineStr">
        <is>
          <t>https://www.gastroladen.de/G16771B@GN-E092/Vogue-Quetschflasche-extra-breit-klar-454ml.htm</t>
        </is>
      </c>
      <c r="G38" s="121" t="n">
        <v>4.59</v>
      </c>
      <c r="H38" s="27" t="inlineStr">
        <is>
          <t>incl.</t>
        </is>
      </c>
      <c r="I38" s="117" t="n">
        <v>1</v>
      </c>
      <c r="J38" s="27" t="n"/>
      <c r="K38" s="121" t="n">
        <v>3.86</v>
      </c>
      <c r="L38" s="27" t="inlineStr">
        <is>
          <t>CLOSE</t>
        </is>
      </c>
      <c r="M38" s="27" t="inlineStr">
        <is>
          <t>454 ml, polyethylene (not PP), wide neck, single nozzle; sold singly</t>
        </is>
      </c>
      <c r="N38" s="27" t="inlineStr">
        <is>
          <t>2026-09-30</t>
        </is>
      </c>
      <c r="O38" s="2" t="n"/>
      <c r="P38" s="2" t="n"/>
      <c r="Q38" s="2" t="n"/>
      <c r="R38" s="2" t="n"/>
      <c r="S38" s="2" t="n"/>
      <c r="T38" s="2" t="n"/>
      <c r="U38" s="2" t="n"/>
      <c r="V38" s="2" t="n"/>
      <c r="W38" s="2" t="n"/>
      <c r="X38" s="2" t="n"/>
      <c r="Y38" s="2" t="n"/>
      <c r="Z38" s="2" t="n"/>
      <c r="AA38" s="2" t="n"/>
      <c r="AB38" s="2" t="n"/>
      <c r="AC38" s="2" t="n"/>
    </row>
    <row r="39" ht="36" customHeight="1">
      <c r="A39" s="2" t="n"/>
      <c r="B39" s="24" t="inlineStr">
        <is>
          <t>Squeeze bottle 500 ml, PP, single tip</t>
        </is>
      </c>
      <c r="C39" s="24" t="inlineStr">
        <is>
          <t>Intergastro</t>
        </is>
      </c>
      <c r="D39" s="24" t="inlineStr">
        <is>
          <t>Quetschflasche 490 ml transparent Ø 70 mm H 200 mm (6er Set)</t>
        </is>
      </c>
      <c r="E39" s="24" t="inlineStr">
        <is>
          <t>APS</t>
        </is>
      </c>
      <c r="F39" s="25" t="inlineStr">
        <is>
          <t>https://www.intergastro.de/quetschflasche-490-ml-transparent-70-mm-h-200-mm-985062</t>
        </is>
      </c>
      <c r="G39" s="120" t="n">
        <v>8.73</v>
      </c>
      <c r="H39" s="24" t="inlineStr">
        <is>
          <t>excl.</t>
        </is>
      </c>
      <c r="I39" s="116" t="n">
        <v>6</v>
      </c>
      <c r="J39" s="24" t="inlineStr">
        <is>
          <t>set of 6</t>
        </is>
      </c>
      <c r="K39" s="120" t="n">
        <v>1.46</v>
      </c>
      <c r="L39" s="24" t="inlineStr">
        <is>
          <t>CLOSE</t>
        </is>
      </c>
      <c r="M39" s="24" t="inlineStr">
        <is>
          <t>490 ml; material polyethylene (not PP); price per set of 6</t>
        </is>
      </c>
      <c r="N39" s="24" t="inlineStr">
        <is>
          <t>2026-09-30</t>
        </is>
      </c>
      <c r="O39" s="2" t="n"/>
      <c r="P39" s="2" t="n"/>
      <c r="Q39" s="2" t="n"/>
      <c r="R39" s="2" t="n"/>
      <c r="S39" s="2" t="n"/>
      <c r="T39" s="2" t="n"/>
      <c r="U39" s="2" t="n"/>
      <c r="V39" s="2" t="n"/>
      <c r="W39" s="2" t="n"/>
      <c r="X39" s="2" t="n"/>
      <c r="Y39" s="2" t="n"/>
      <c r="Z39" s="2" t="n"/>
      <c r="AA39" s="2" t="n"/>
      <c r="AB39" s="2" t="n"/>
      <c r="AC39" s="2" t="n"/>
    </row>
    <row r="40" ht="36" customHeight="1">
      <c r="A40" s="2" t="n"/>
      <c r="B40" s="27" t="inlineStr">
        <is>
          <t>Squeeze bottle 500 ml, PP, single tip</t>
        </is>
      </c>
      <c r="C40" s="27" t="inlineStr">
        <is>
          <t>Nisbets</t>
        </is>
      </c>
      <c r="D40" s="27" t="inlineStr">
        <is>
          <t>Araven klare tropffreie Soßenflasche 50cl</t>
        </is>
      </c>
      <c r="E40" s="27" t="inlineStr">
        <is>
          <t>Araven</t>
        </is>
      </c>
      <c r="F40" s="28" t="inlineStr">
        <is>
          <t>https://www.nisbets.de/araven-klare-tropffreie-soenflasche-50cl/cw112</t>
        </is>
      </c>
      <c r="G40" s="121" t="n">
        <v>2.69</v>
      </c>
      <c r="H40" s="27" t="inlineStr">
        <is>
          <t>excl.</t>
        </is>
      </c>
      <c r="I40" s="117" t="n">
        <v>1</v>
      </c>
      <c r="J40" s="27" t="n"/>
      <c r="K40" s="121" t="n">
        <v>2.69</v>
      </c>
      <c r="L40" s="27" t="inlineStr">
        <is>
          <t>CLOSE</t>
        </is>
      </c>
      <c r="M40" s="27" t="inlineStr">
        <is>
          <t>500 ml, polyethylene (not PP), drip-free valve; Vogue 454 ml (E092) no longer listed</t>
        </is>
      </c>
      <c r="N40" s="27" t="inlineStr">
        <is>
          <t>2026-09-30</t>
        </is>
      </c>
      <c r="O40" s="2" t="n"/>
      <c r="P40" s="2" t="n"/>
      <c r="Q40" s="2" t="n"/>
      <c r="R40" s="2" t="n"/>
      <c r="S40" s="2" t="n"/>
      <c r="T40" s="2" t="n"/>
      <c r="U40" s="2" t="n"/>
      <c r="V40" s="2" t="n"/>
      <c r="W40" s="2" t="n"/>
      <c r="X40" s="2" t="n"/>
      <c r="Y40" s="2" t="n"/>
      <c r="Z40" s="2" t="n"/>
      <c r="AA40" s="2" t="n"/>
      <c r="AB40" s="2" t="n"/>
      <c r="AC40" s="2" t="n"/>
    </row>
    <row r="41" ht="36" customHeight="1">
      <c r="A41" s="2" t="n"/>
      <c r="B41" s="24" t="inlineStr">
        <is>
          <t>Squeeze bottle 1000 ml, PP, single tip</t>
        </is>
      </c>
      <c r="C41" s="24" t="inlineStr">
        <is>
          <t>GGM Gastro</t>
        </is>
      </c>
      <c r="D41" s="24" t="inlineStr">
        <is>
          <t>(6 Stück) Quetschflasche mit mittlerer Membran - 946ml</t>
        </is>
      </c>
      <c r="E41" s="24" t="inlineStr">
        <is>
          <t>GGM</t>
        </is>
      </c>
      <c r="F41" s="25" t="inlineStr">
        <is>
          <t>https://www.ggmgastro.com/de-de-eur/6-stueck-quetschflasche-mit-mittlerer-membran-946ml-ffo-005</t>
        </is>
      </c>
      <c r="G41" s="120" t="n">
        <v>31.99</v>
      </c>
      <c r="H41" s="24" t="inlineStr">
        <is>
          <t>excl.</t>
        </is>
      </c>
      <c r="I41" s="116" t="n">
        <v>6</v>
      </c>
      <c r="J41" s="24" t="inlineStr">
        <is>
          <t>set of 6</t>
        </is>
      </c>
      <c r="K41" s="120" t="n">
        <v>5.33</v>
      </c>
      <c r="L41" s="24" t="inlineStr">
        <is>
          <t>CLOSE</t>
        </is>
      </c>
      <c r="M41" s="24" t="inlineStr">
        <is>
          <t>946 ml, FIFO type; material not stated</t>
        </is>
      </c>
      <c r="N41" s="24" t="inlineStr">
        <is>
          <t>2026-09-30</t>
        </is>
      </c>
      <c r="O41" s="2" t="n"/>
      <c r="P41" s="2" t="n"/>
      <c r="Q41" s="2" t="n"/>
      <c r="R41" s="2" t="n"/>
      <c r="S41" s="2" t="n"/>
      <c r="T41" s="2" t="n"/>
      <c r="U41" s="2" t="n"/>
      <c r="V41" s="2" t="n"/>
      <c r="W41" s="2" t="n"/>
      <c r="X41" s="2" t="n"/>
      <c r="Y41" s="2" t="n"/>
      <c r="Z41" s="2" t="n"/>
      <c r="AA41" s="2" t="n"/>
      <c r="AB41" s="2" t="n"/>
      <c r="AC41" s="2" t="n"/>
    </row>
    <row r="42" ht="36" customHeight="1">
      <c r="A42" s="2" t="n"/>
      <c r="B42" s="27" t="inlineStr">
        <is>
          <t>Squeeze bottle 1000 ml, PP, single tip</t>
        </is>
      </c>
      <c r="C42" s="27" t="inlineStr">
        <is>
          <t>GastroHero</t>
        </is>
      </c>
      <c r="D42" s="27" t="inlineStr">
        <is>
          <t>APS Quetschflasche, transparent, 1,025 L</t>
        </is>
      </c>
      <c r="E42" s="27" t="inlineStr">
        <is>
          <t>APS</t>
        </is>
      </c>
      <c r="F42" s="28" t="inlineStr">
        <is>
          <t>https://www.gastro-hero.de/products/aps-quetschflasche-transparent-1025-l-aps93259</t>
        </is>
      </c>
      <c r="G42" s="121" t="n">
        <v>1.95</v>
      </c>
      <c r="H42" s="27" t="inlineStr">
        <is>
          <t>excl.</t>
        </is>
      </c>
      <c r="I42" s="117" t="n">
        <v>1</v>
      </c>
      <c r="J42" s="27" t="n"/>
      <c r="K42" s="121" t="n">
        <v>1.95</v>
      </c>
      <c r="L42" s="27" t="inlineStr">
        <is>
          <t>CLOSE</t>
        </is>
      </c>
      <c r="M42" s="27" t="inlineStr">
        <is>
          <t>1025 ml, polyethylene (not PP); min. qty 2</t>
        </is>
      </c>
      <c r="N42" s="27" t="inlineStr">
        <is>
          <t>2026-09-30</t>
        </is>
      </c>
      <c r="O42" s="2" t="n"/>
      <c r="P42" s="2" t="n"/>
      <c r="Q42" s="2" t="n"/>
      <c r="R42" s="2" t="n"/>
      <c r="S42" s="2" t="n"/>
      <c r="T42" s="2" t="n"/>
      <c r="U42" s="2" t="n"/>
      <c r="V42" s="2" t="n"/>
      <c r="W42" s="2" t="n"/>
      <c r="X42" s="2" t="n"/>
      <c r="Y42" s="2" t="n"/>
      <c r="Z42" s="2" t="n"/>
      <c r="AA42" s="2" t="n"/>
      <c r="AB42" s="2" t="n"/>
      <c r="AC42" s="2" t="n"/>
    </row>
    <row r="43" ht="31" customHeight="1">
      <c r="A43" s="2" t="n"/>
      <c r="B43" s="24" t="inlineStr">
        <is>
          <t>Squeeze bottle 1000 ml, PP, single tip</t>
        </is>
      </c>
      <c r="C43" s="24" t="inlineStr">
        <is>
          <t>Gastrodax [substitute]</t>
        </is>
      </c>
      <c r="D43" s="24" t="inlineStr">
        <is>
          <t>Contacto Quetschflasche 0,95 l</t>
        </is>
      </c>
      <c r="E43" s="24" t="inlineStr">
        <is>
          <t>Contacto</t>
        </is>
      </c>
      <c r="F43" s="25" t="inlineStr">
        <is>
          <t>https://www.gastrodax.de/contacto-quetschflasche-0-95-l</t>
        </is>
      </c>
      <c r="G43" s="120" t="n">
        <v>2.76</v>
      </c>
      <c r="H43" s="24" t="inlineStr">
        <is>
          <t>excl.</t>
        </is>
      </c>
      <c r="I43" s="116" t="n">
        <v>1</v>
      </c>
      <c r="J43" s="24" t="n"/>
      <c r="K43" s="120" t="n">
        <v>2.76</v>
      </c>
      <c r="L43" s="24" t="inlineStr">
        <is>
          <t>CLOSE</t>
        </is>
      </c>
      <c r="M43" s="24" t="inlineStr">
        <is>
          <t>950 ml, polyethylene, FIFO bottom-fill; sale price, normal 3.45</t>
        </is>
      </c>
      <c r="N43" s="24" t="inlineStr">
        <is>
          <t>2026-09-30</t>
        </is>
      </c>
      <c r="O43" s="2" t="n"/>
      <c r="P43" s="2" t="n"/>
      <c r="Q43" s="2" t="n"/>
      <c r="R43" s="2" t="n"/>
      <c r="S43" s="2" t="n"/>
      <c r="T43" s="2" t="n"/>
      <c r="U43" s="2" t="n"/>
      <c r="V43" s="2" t="n"/>
      <c r="W43" s="2" t="n"/>
      <c r="X43" s="2" t="n"/>
      <c r="Y43" s="2" t="n"/>
      <c r="Z43" s="2" t="n"/>
      <c r="AA43" s="2" t="n"/>
      <c r="AB43" s="2" t="n"/>
      <c r="AC43" s="2" t="n"/>
    </row>
    <row r="44" ht="36" customHeight="1">
      <c r="A44" s="2" t="n"/>
      <c r="B44" s="27" t="inlineStr">
        <is>
          <t>Squeeze bottle 1000 ml, PP, single tip</t>
        </is>
      </c>
      <c r="C44" s="27" t="inlineStr">
        <is>
          <t>Gastroladen.de (Harotec GmbH) [substitute]</t>
        </is>
      </c>
      <c r="D44" s="27" t="inlineStr">
        <is>
          <t>Vogue Quetschflasche klar 990ml</t>
        </is>
      </c>
      <c r="E44" s="27" t="inlineStr">
        <is>
          <t>Vogue</t>
        </is>
      </c>
      <c r="F44" s="28" t="inlineStr">
        <is>
          <t>https://www.gastroladen.de/G16771B@GN-W832/Vogue-Quetschflasche-klar-990ml.htm</t>
        </is>
      </c>
      <c r="G44" s="121" t="n">
        <v>3.79</v>
      </c>
      <c r="H44" s="27" t="inlineStr">
        <is>
          <t>incl.</t>
        </is>
      </c>
      <c r="I44" s="117" t="n">
        <v>1</v>
      </c>
      <c r="J44" s="27" t="n"/>
      <c r="K44" s="121" t="n">
        <v>3.18</v>
      </c>
      <c r="L44" s="27" t="inlineStr">
        <is>
          <t>CLOSE</t>
        </is>
      </c>
      <c r="M44" s="27" t="inlineStr">
        <is>
          <t>990 ml, polyethylene (not PP)</t>
        </is>
      </c>
      <c r="N44" s="27" t="inlineStr">
        <is>
          <t>2026-09-30</t>
        </is>
      </c>
      <c r="O44" s="2" t="n"/>
      <c r="P44" s="2" t="n"/>
      <c r="Q44" s="2" t="n"/>
      <c r="R44" s="2" t="n"/>
      <c r="S44" s="2" t="n"/>
      <c r="T44" s="2" t="n"/>
      <c r="U44" s="2" t="n"/>
      <c r="V44" s="2" t="n"/>
      <c r="W44" s="2" t="n"/>
      <c r="X44" s="2" t="n"/>
      <c r="Y44" s="2" t="n"/>
      <c r="Z44" s="2" t="n"/>
      <c r="AA44" s="2" t="n"/>
      <c r="AB44" s="2" t="n"/>
      <c r="AC44" s="2" t="n"/>
    </row>
    <row r="45" ht="36" customHeight="1">
      <c r="A45" s="2" t="n"/>
      <c r="B45" s="24" t="inlineStr">
        <is>
          <t>Squeeze bottle 1000 ml, PP, single tip</t>
        </is>
      </c>
      <c r="C45" s="24" t="inlineStr">
        <is>
          <t>Intergastro</t>
        </is>
      </c>
      <c r="D45" s="24" t="inlineStr">
        <is>
          <t>Quetschflasche 1025 ml transparent Ø 80 mm H 265 mm</t>
        </is>
      </c>
      <c r="E45" s="24" t="inlineStr">
        <is>
          <t>APS</t>
        </is>
      </c>
      <c r="F45" s="25" t="inlineStr">
        <is>
          <t>https://www.intergastro.de/quetschflasche-1025-ml-transparent-80-mm-h-265-mm-985068</t>
        </is>
      </c>
      <c r="G45" s="120" t="n">
        <v>1.95</v>
      </c>
      <c r="H45" s="24" t="inlineStr">
        <is>
          <t>excl.</t>
        </is>
      </c>
      <c r="I45" s="116" t="n">
        <v>1</v>
      </c>
      <c r="J45" s="24" t="n"/>
      <c r="K45" s="120" t="n">
        <v>1.95</v>
      </c>
      <c r="L45" s="24" t="inlineStr">
        <is>
          <t>CLOSE</t>
        </is>
      </c>
      <c r="M45" s="24" t="inlineStr">
        <is>
          <t>1025 ml; material polyethylene (not PP)</t>
        </is>
      </c>
      <c r="N45" s="24" t="inlineStr">
        <is>
          <t>2026-09-30</t>
        </is>
      </c>
      <c r="O45" s="2" t="n"/>
      <c r="P45" s="2" t="n"/>
      <c r="Q45" s="2" t="n"/>
      <c r="R45" s="2" t="n"/>
      <c r="S45" s="2" t="n"/>
      <c r="T45" s="2" t="n"/>
      <c r="U45" s="2" t="n"/>
      <c r="V45" s="2" t="n"/>
      <c r="W45" s="2" t="n"/>
      <c r="X45" s="2" t="n"/>
      <c r="Y45" s="2" t="n"/>
      <c r="Z45" s="2" t="n"/>
      <c r="AA45" s="2" t="n"/>
      <c r="AB45" s="2" t="n"/>
      <c r="AC45" s="2" t="n"/>
    </row>
    <row r="46" ht="36" customHeight="1">
      <c r="A46" s="2" t="n"/>
      <c r="B46" s="27" t="inlineStr">
        <is>
          <t>Squeeze bottle 1000 ml, PP, single tip</t>
        </is>
      </c>
      <c r="C46" s="27" t="inlineStr">
        <is>
          <t>Nisbets</t>
        </is>
      </c>
      <c r="D46" s="27" t="inlineStr">
        <is>
          <t>Vogue Quetschflasche für Saucen und Dressings transparent 994ml</t>
        </is>
      </c>
      <c r="E46" s="27" t="inlineStr">
        <is>
          <t>Vogue</t>
        </is>
      </c>
      <c r="F46" s="28" t="inlineStr">
        <is>
          <t>https://www.nisbets.de/vogue-quetschflasche-klar-990ml/w832</t>
        </is>
      </c>
      <c r="G46" s="121" t="n">
        <v>1.79</v>
      </c>
      <c r="H46" s="27" t="inlineStr">
        <is>
          <t>excl.</t>
        </is>
      </c>
      <c r="I46" s="117" t="n">
        <v>1</v>
      </c>
      <c r="J46" s="27" t="n"/>
      <c r="K46" s="121" t="n">
        <v>1.79</v>
      </c>
      <c r="L46" s="27" t="inlineStr">
        <is>
          <t>CLOSE</t>
        </is>
      </c>
      <c r="M46" s="27" t="inlineStr">
        <is>
          <t>994 ml, polyethylene (not PP); 1.49 each from 10 pcs</t>
        </is>
      </c>
      <c r="N46" s="27" t="inlineStr">
        <is>
          <t>2026-09-30</t>
        </is>
      </c>
      <c r="O46" s="2" t="n"/>
      <c r="P46" s="2" t="n"/>
      <c r="Q46" s="2" t="n"/>
      <c r="R46" s="2" t="n"/>
      <c r="S46" s="2" t="n"/>
      <c r="T46" s="2" t="n"/>
      <c r="U46" s="2" t="n"/>
      <c r="V46" s="2" t="n"/>
      <c r="W46" s="2" t="n"/>
      <c r="X46" s="2" t="n"/>
      <c r="Y46" s="2" t="n"/>
      <c r="Z46" s="2" t="n"/>
      <c r="AA46" s="2" t="n"/>
      <c r="AB46" s="2" t="n"/>
      <c r="AC46" s="2" t="n"/>
    </row>
    <row r="47" ht="36" customHeight="1">
      <c r="A47" s="2" t="n"/>
      <c r="B47" s="24" t="inlineStr">
        <is>
          <t>Squeeze bottle 500 ml, triple tip</t>
        </is>
      </c>
      <c r="C47" s="24" t="inlineStr">
        <is>
          <t>GastroHero</t>
        </is>
      </c>
      <c r="D47" s="24" t="inlineStr">
        <is>
          <t>Schneider Quetschflasche 950 ml, 3 Öffnungen</t>
        </is>
      </c>
      <c r="E47" s="24" t="inlineStr">
        <is>
          <t>Schneider</t>
        </is>
      </c>
      <c r="F47" s="25" t="inlineStr">
        <is>
          <t>https://www.gastro-hero.de/products/schneider-quetschflasche-950-ml-3-oeffnungen-150621</t>
        </is>
      </c>
      <c r="G47" s="120" t="n">
        <v>3.89</v>
      </c>
      <c r="H47" s="24" t="inlineStr">
        <is>
          <t>excl.</t>
        </is>
      </c>
      <c r="I47" s="116" t="n">
        <v>1</v>
      </c>
      <c r="J47" s="24" t="n"/>
      <c r="K47" s="120" t="n">
        <v>3.89</v>
      </c>
      <c r="L47" s="24" t="inlineStr">
        <is>
          <t>APPROX</t>
        </is>
      </c>
      <c r="M47" s="24" t="inlineStr">
        <is>
          <t>Triple tip PP but 950 ml instead of 500 ml; min. qty 8</t>
        </is>
      </c>
      <c r="N47" s="24" t="inlineStr">
        <is>
          <t>2026-09-30</t>
        </is>
      </c>
      <c r="O47" s="2" t="n"/>
      <c r="P47" s="2" t="n"/>
      <c r="Q47" s="2" t="n"/>
      <c r="R47" s="2" t="n"/>
      <c r="S47" s="2" t="n"/>
      <c r="T47" s="2" t="n"/>
      <c r="U47" s="2" t="n"/>
      <c r="V47" s="2" t="n"/>
      <c r="W47" s="2" t="n"/>
      <c r="X47" s="2" t="n"/>
      <c r="Y47" s="2" t="n"/>
      <c r="Z47" s="2" t="n"/>
      <c r="AA47" s="2" t="n"/>
      <c r="AB47" s="2" t="n"/>
      <c r="AC47" s="2" t="n"/>
    </row>
    <row r="48" ht="36" customHeight="1">
      <c r="A48" s="2" t="n"/>
      <c r="B48" s="27" t="inlineStr">
        <is>
          <t>Squeeze bottle 500 ml, triple tip</t>
        </is>
      </c>
      <c r="C48" s="27" t="inlineStr">
        <is>
          <t>Gastroladen.de (Harotec GmbH) [substitute]</t>
        </is>
      </c>
      <c r="D48" s="27" t="inlineStr">
        <is>
          <t>Vogue transparente Quetschflasche mit 3 Spritzdüsen 68cl</t>
        </is>
      </c>
      <c r="E48" s="27" t="inlineStr">
        <is>
          <t>Vogue</t>
        </is>
      </c>
      <c r="F48" s="28" t="inlineStr">
        <is>
          <t>https://www.gastroladen.de/G16771B@GN-CW725/Vogue-transparente-Quetschflasche-mit-3-Spritzd%C3%BCsen-68cl.htm</t>
        </is>
      </c>
      <c r="G48" s="121" t="n">
        <v>3.89</v>
      </c>
      <c r="H48" s="27" t="inlineStr">
        <is>
          <t>incl.</t>
        </is>
      </c>
      <c r="I48" s="117" t="n">
        <v>1</v>
      </c>
      <c r="J48" s="27" t="n"/>
      <c r="K48" s="121" t="n">
        <v>3.27</v>
      </c>
      <c r="L48" s="27" t="inlineStr">
        <is>
          <t>APPROX</t>
        </is>
      </c>
      <c r="M48" s="27" t="inlineStr">
        <is>
          <t>Triple tip but 680 ml instead of 500 ml; smallest triple-tip offered</t>
        </is>
      </c>
      <c r="N48" s="27" t="inlineStr">
        <is>
          <t>2026-09-30</t>
        </is>
      </c>
      <c r="O48" s="2" t="n"/>
      <c r="P48" s="2" t="n"/>
      <c r="Q48" s="2" t="n"/>
      <c r="R48" s="2" t="n"/>
      <c r="S48" s="2" t="n"/>
      <c r="T48" s="2" t="n"/>
      <c r="U48" s="2" t="n"/>
      <c r="V48" s="2" t="n"/>
      <c r="W48" s="2" t="n"/>
      <c r="X48" s="2" t="n"/>
      <c r="Y48" s="2" t="n"/>
      <c r="Z48" s="2" t="n"/>
      <c r="AA48" s="2" t="n"/>
      <c r="AB48" s="2" t="n"/>
      <c r="AC48" s="2" t="n"/>
    </row>
    <row r="49" ht="36" customHeight="1">
      <c r="A49" s="2" t="n"/>
      <c r="B49" s="24" t="inlineStr">
        <is>
          <t>Squeeze bottle 500 ml, triple tip</t>
        </is>
      </c>
      <c r="C49" s="24" t="inlineStr">
        <is>
          <t>Intergastro</t>
        </is>
      </c>
      <c r="D49" s="24" t="inlineStr">
        <is>
          <t>Quetschflasche Kunststoff 950 ml 3 Öffnungen transparent</t>
        </is>
      </c>
      <c r="E49" s="24" t="inlineStr">
        <is>
          <t>Schneider</t>
        </is>
      </c>
      <c r="F49" s="25" t="inlineStr">
        <is>
          <t>https://www.intergastro.de/quetschflasche-kunststoff-950-ml-3-oeffnungen-transparent-80-mm-h-291-mm-960754</t>
        </is>
      </c>
      <c r="G49" s="120" t="n">
        <v>4.44</v>
      </c>
      <c r="H49" s="24" t="inlineStr">
        <is>
          <t>excl.</t>
        </is>
      </c>
      <c r="I49" s="116" t="n">
        <v>1</v>
      </c>
      <c r="J49" s="24" t="n"/>
      <c r="K49" s="120" t="n">
        <v>4.44</v>
      </c>
      <c r="L49" s="24" t="inlineStr">
        <is>
          <t>APPROX</t>
        </is>
      </c>
      <c r="M49" s="24" t="inlineStr">
        <is>
          <t>Triple tip PP bottle but 950 ml instead of 500 ml; no 500 ml triple-tip found</t>
        </is>
      </c>
      <c r="N49" s="24" t="inlineStr">
        <is>
          <t>2026-09-30</t>
        </is>
      </c>
      <c r="O49" s="2" t="n"/>
      <c r="P49" s="2" t="n"/>
      <c r="Q49" s="2" t="n"/>
      <c r="R49" s="2" t="n"/>
      <c r="S49" s="2" t="n"/>
      <c r="T49" s="2" t="n"/>
      <c r="U49" s="2" t="n"/>
      <c r="V49" s="2" t="n"/>
      <c r="W49" s="2" t="n"/>
      <c r="X49" s="2" t="n"/>
      <c r="Y49" s="2" t="n"/>
      <c r="Z49" s="2" t="n"/>
      <c r="AA49" s="2" t="n"/>
      <c r="AB49" s="2" t="n"/>
      <c r="AC49" s="2" t="n"/>
    </row>
    <row r="50" ht="36" customHeight="1">
      <c r="A50" s="2" t="n"/>
      <c r="B50" s="27" t="inlineStr">
        <is>
          <t>Squeeze bottle 500 ml, triple tip</t>
        </is>
      </c>
      <c r="C50" s="27" t="inlineStr">
        <is>
          <t>Nisbets</t>
        </is>
      </c>
      <c r="D50" s="27" t="inlineStr">
        <is>
          <t>Vogue klare Quetschflasche mit 3 Düsen 681ml</t>
        </is>
      </c>
      <c r="E50" s="27" t="inlineStr">
        <is>
          <t>Vogue</t>
        </is>
      </c>
      <c r="F50" s="28" t="inlineStr">
        <is>
          <t>https://www.nisbets.de/vogue-klare-quetschflasche-mit-3-dsen-24oz/cw725</t>
        </is>
      </c>
      <c r="G50" s="121" t="n">
        <v>2.29</v>
      </c>
      <c r="H50" s="27" t="inlineStr">
        <is>
          <t>excl.</t>
        </is>
      </c>
      <c r="I50" s="117" t="n">
        <v>1</v>
      </c>
      <c r="J50" s="27" t="n"/>
      <c r="K50" s="121" t="n">
        <v>2.29</v>
      </c>
      <c r="L50" s="27" t="inlineStr">
        <is>
          <t>APPROX</t>
        </is>
      </c>
      <c r="M50" s="27" t="inlineStr">
        <is>
          <t>Triple tip but 681 ml instead of 500 ml</t>
        </is>
      </c>
      <c r="N50" s="27" t="inlineStr">
        <is>
          <t>2026-09-30</t>
        </is>
      </c>
      <c r="O50" s="2" t="n"/>
      <c r="P50" s="2" t="n"/>
      <c r="Q50" s="2" t="n"/>
      <c r="R50" s="2" t="n"/>
      <c r="S50" s="2" t="n"/>
      <c r="T50" s="2" t="n"/>
      <c r="U50" s="2" t="n"/>
      <c r="V50" s="2" t="n"/>
      <c r="W50" s="2" t="n"/>
      <c r="X50" s="2" t="n"/>
      <c r="Y50" s="2" t="n"/>
      <c r="Z50" s="2" t="n"/>
      <c r="AA50" s="2" t="n"/>
      <c r="AB50" s="2" t="n"/>
      <c r="AC50" s="2" t="n"/>
    </row>
    <row r="51" ht="36" customHeight="1">
      <c r="A51" s="2" t="n"/>
      <c r="B51" s="24" t="inlineStr">
        <is>
          <t>Ketchup/sauce pump dispenser with stand</t>
        </is>
      </c>
      <c r="C51" s="24" t="inlineStr">
        <is>
          <t>ALLPAX</t>
        </is>
      </c>
      <c r="D51" s="24" t="inlineStr">
        <is>
          <t>Saucenspender (für Senf, Ketchup, Mayonnaise), 2 l</t>
        </is>
      </c>
      <c r="E51" s="24" t="n"/>
      <c r="F51" s="25" t="inlineStr">
        <is>
          <t>https://www.allpax.de/product_info.php/info/p12858_Saucenspender.html</t>
        </is>
      </c>
      <c r="G51" s="120" t="n">
        <v>36.1</v>
      </c>
      <c r="H51" s="24" t="inlineStr">
        <is>
          <t>excl.</t>
        </is>
      </c>
      <c r="I51" s="116" t="n">
        <v>1</v>
      </c>
      <c r="J51" s="24" t="n"/>
      <c r="K51" s="120" t="n">
        <v>36.1</v>
      </c>
      <c r="L51" s="24" t="inlineStr">
        <is>
          <t>CLOSE</t>
        </is>
      </c>
      <c r="M51" s="24" t="inlineStr">
        <is>
          <t>Sauce pump dispenser 2 l (17x14x15.5 cm); price shown for default 2 l size; stand not mentioned</t>
        </is>
      </c>
      <c r="N51" s="24" t="inlineStr">
        <is>
          <t>2026-09-30</t>
        </is>
      </c>
      <c r="O51" s="2" t="n"/>
      <c r="P51" s="2" t="n"/>
      <c r="Q51" s="2" t="n"/>
      <c r="R51" s="2" t="n"/>
      <c r="S51" s="2" t="n"/>
      <c r="T51" s="2" t="n"/>
      <c r="U51" s="2" t="n"/>
      <c r="V51" s="2" t="n"/>
      <c r="W51" s="2" t="n"/>
      <c r="X51" s="2" t="n"/>
      <c r="Y51" s="2" t="n"/>
      <c r="Z51" s="2" t="n"/>
      <c r="AA51" s="2" t="n"/>
      <c r="AB51" s="2" t="n"/>
      <c r="AC51" s="2" t="n"/>
    </row>
    <row r="52" ht="36" customHeight="1">
      <c r="A52" s="2" t="n"/>
      <c r="B52" s="27" t="inlineStr">
        <is>
          <t>Ketchup/sauce pump dispenser with stand</t>
        </is>
      </c>
      <c r="C52" s="27" t="inlineStr">
        <is>
          <t>GGM Gastro</t>
        </is>
      </c>
      <c r="D52" s="27" t="inlineStr">
        <is>
          <t>Ketchup / Saucenspender - 2 Liter - Polypropylen - mit Pumpe</t>
        </is>
      </c>
      <c r="E52" s="27" t="inlineStr">
        <is>
          <t>GGM</t>
        </is>
      </c>
      <c r="F52" s="28" t="inlineStr">
        <is>
          <t>https://www.ggmgastro.com/de-de-eur/ketchup-saucenspender-2-liter-polypropylen-mit-pumpe-ksp2</t>
        </is>
      </c>
      <c r="G52" s="121" t="n">
        <v>24.99</v>
      </c>
      <c r="H52" s="27" t="inlineStr">
        <is>
          <t>excl.</t>
        </is>
      </c>
      <c r="I52" s="117" t="n">
        <v>1</v>
      </c>
      <c r="J52" s="27" t="n"/>
      <c r="K52" s="121" t="n">
        <v>24.99</v>
      </c>
      <c r="L52" s="27" t="inlineStr">
        <is>
          <t>EXACT</t>
        </is>
      </c>
      <c r="M52" s="27" t="inlineStr">
        <is>
          <t>210x220x210 mm, PP with pump</t>
        </is>
      </c>
      <c r="N52" s="27" t="inlineStr">
        <is>
          <t>2026-09-30</t>
        </is>
      </c>
      <c r="O52" s="2" t="n"/>
      <c r="P52" s="2" t="n"/>
      <c r="Q52" s="2" t="n"/>
      <c r="R52" s="2" t="n"/>
      <c r="S52" s="2" t="n"/>
      <c r="T52" s="2" t="n"/>
      <c r="U52" s="2" t="n"/>
      <c r="V52" s="2" t="n"/>
      <c r="W52" s="2" t="n"/>
      <c r="X52" s="2" t="n"/>
      <c r="Y52" s="2" t="n"/>
      <c r="Z52" s="2" t="n"/>
      <c r="AA52" s="2" t="n"/>
      <c r="AB52" s="2" t="n"/>
      <c r="AC52" s="2" t="n"/>
    </row>
    <row r="53" ht="36" customHeight="1">
      <c r="A53" s="2" t="n"/>
      <c r="B53" s="24" t="inlineStr">
        <is>
          <t>Ketchup/sauce pump dispenser with stand</t>
        </is>
      </c>
      <c r="C53" s="24" t="inlineStr">
        <is>
          <t>GastroHero</t>
        </is>
      </c>
      <c r="D53" s="24" t="inlineStr">
        <is>
          <t>Hendi Pump-Saucenspender, 2,5L, Weiß</t>
        </is>
      </c>
      <c r="E53" s="24" t="inlineStr">
        <is>
          <t>Hendi</t>
        </is>
      </c>
      <c r="F53" s="25" t="inlineStr">
        <is>
          <t>https://www.gastro-hero.de/products/hendi-pump-saucenspender-2-5l-wei-c3-9f-230x210x-h-250mm</t>
        </is>
      </c>
      <c r="G53" s="120" t="n">
        <v>18.09</v>
      </c>
      <c r="H53" s="24" t="inlineStr">
        <is>
          <t>excl.</t>
        </is>
      </c>
      <c r="I53" s="116" t="n">
        <v>1</v>
      </c>
      <c r="J53" s="24" t="n"/>
      <c r="K53" s="120" t="n">
        <v>18.09</v>
      </c>
      <c r="L53" s="24" t="inlineStr">
        <is>
          <t>EXACT</t>
        </is>
      </c>
      <c r="M53" s="24" t="inlineStr">
        <is>
          <t>ABS housing/stand with pump</t>
        </is>
      </c>
      <c r="N53" s="24" t="inlineStr">
        <is>
          <t>2026-09-30</t>
        </is>
      </c>
      <c r="O53" s="2" t="n"/>
      <c r="P53" s="2" t="n"/>
      <c r="Q53" s="2" t="n"/>
      <c r="R53" s="2" t="n"/>
      <c r="S53" s="2" t="n"/>
      <c r="T53" s="2" t="n"/>
      <c r="U53" s="2" t="n"/>
      <c r="V53" s="2" t="n"/>
      <c r="W53" s="2" t="n"/>
      <c r="X53" s="2" t="n"/>
      <c r="Y53" s="2" t="n"/>
      <c r="Z53" s="2" t="n"/>
      <c r="AA53" s="2" t="n"/>
      <c r="AB53" s="2" t="n"/>
      <c r="AC53" s="2" t="n"/>
    </row>
    <row r="54" ht="36" customHeight="1">
      <c r="A54" s="2" t="n"/>
      <c r="B54" s="27" t="inlineStr">
        <is>
          <t>Ketchup/sauce pump dispenser with stand</t>
        </is>
      </c>
      <c r="C54" s="27" t="inlineStr">
        <is>
          <t>Gastrodax [substitute]</t>
        </is>
      </c>
      <c r="D54" s="27" t="inlineStr">
        <is>
          <t>Hendi Pump-Saucenspender, 2,5L, Weiß, 230x210x(H)327mm</t>
        </is>
      </c>
      <c r="E54" s="27" t="inlineStr">
        <is>
          <t>Hendi</t>
        </is>
      </c>
      <c r="F54" s="28" t="inlineStr">
        <is>
          <t>https://www.gastrodax.de/hendi-pump-sossenspender-weiss</t>
        </is>
      </c>
      <c r="G54" s="121" t="n">
        <v>19.76</v>
      </c>
      <c r="H54" s="27" t="inlineStr">
        <is>
          <t>excl.</t>
        </is>
      </c>
      <c r="I54" s="117" t="n">
        <v>1</v>
      </c>
      <c r="J54" s="27" t="n"/>
      <c r="K54" s="121" t="n">
        <v>19.76</v>
      </c>
      <c r="L54" s="27" t="inlineStr">
        <is>
          <t>EXACT</t>
        </is>
      </c>
      <c r="M54" s="27" t="inlineStr">
        <is>
          <t>ABS housing/stand with PP sauce container, lid and pump</t>
        </is>
      </c>
      <c r="N54" s="27" t="inlineStr">
        <is>
          <t>2026-09-30</t>
        </is>
      </c>
      <c r="O54" s="2" t="n"/>
      <c r="P54" s="2" t="n"/>
      <c r="Q54" s="2" t="n"/>
      <c r="R54" s="2" t="n"/>
      <c r="S54" s="2" t="n"/>
      <c r="T54" s="2" t="n"/>
      <c r="U54" s="2" t="n"/>
      <c r="V54" s="2" t="n"/>
      <c r="W54" s="2" t="n"/>
      <c r="X54" s="2" t="n"/>
      <c r="Y54" s="2" t="n"/>
      <c r="Z54" s="2" t="n"/>
      <c r="AA54" s="2" t="n"/>
      <c r="AB54" s="2" t="n"/>
      <c r="AC54" s="2" t="n"/>
    </row>
    <row r="55" ht="36" customHeight="1">
      <c r="A55" s="2" t="n"/>
      <c r="B55" s="24" t="inlineStr">
        <is>
          <t>Ketchup/sauce pump dispenser with stand</t>
        </is>
      </c>
      <c r="C55" s="24" t="inlineStr">
        <is>
          <t>Gastroladen.de (Harotec GmbH) [substitute]</t>
        </is>
      </c>
      <c r="D55" s="24" t="inlineStr">
        <is>
          <t>Araven Soßenspender GN 1/9 Transparent 1,5L</t>
        </is>
      </c>
      <c r="E55" s="24" t="inlineStr">
        <is>
          <t>Araven</t>
        </is>
      </c>
      <c r="F55" s="25" t="inlineStr">
        <is>
          <t>https://www.gastroladen.de/3300@GN-CR821/Araven-So%C3%9Fenspender-GN-1-9-Transparent-1-5L.htm</t>
        </is>
      </c>
      <c r="G55" s="120" t="n">
        <v>35.9</v>
      </c>
      <c r="H55" s="24" t="inlineStr">
        <is>
          <t>incl.</t>
        </is>
      </c>
      <c r="I55" s="116" t="n">
        <v>1</v>
      </c>
      <c r="J55" s="24" t="n"/>
      <c r="K55" s="120" t="n">
        <v>30.17</v>
      </c>
      <c r="L55" s="24" t="inlineStr">
        <is>
          <t>CLOSE</t>
        </is>
      </c>
      <c r="M55" s="24" t="inlineStr">
        <is>
          <t>PP pump dispenser 1.5 l; stand only included in 2-/3-piece sets (3-set with acrylic stand also offered)</t>
        </is>
      </c>
      <c r="N55" s="24" t="inlineStr">
        <is>
          <t>2026-09-30</t>
        </is>
      </c>
      <c r="O55" s="2" t="n"/>
      <c r="P55" s="2" t="n"/>
      <c r="Q55" s="2" t="n"/>
      <c r="R55" s="2" t="n"/>
      <c r="S55" s="2" t="n"/>
      <c r="T55" s="2" t="n"/>
      <c r="U55" s="2" t="n"/>
      <c r="V55" s="2" t="n"/>
      <c r="W55" s="2" t="n"/>
      <c r="X55" s="2" t="n"/>
      <c r="Y55" s="2" t="n"/>
      <c r="Z55" s="2" t="n"/>
      <c r="AA55" s="2" t="n"/>
      <c r="AB55" s="2" t="n"/>
      <c r="AC55" s="2" t="n"/>
    </row>
    <row r="56" ht="36" customHeight="1">
      <c r="A56" s="2" t="n"/>
      <c r="B56" s="27" t="inlineStr">
        <is>
          <t>Ketchup/sauce pump dispenser with stand</t>
        </is>
      </c>
      <c r="C56" s="27" t="inlineStr">
        <is>
          <t>Intergastro</t>
        </is>
      </c>
      <c r="D56" s="27" t="inlineStr">
        <is>
          <t>Druckknopf-Dosierspender rot 2 ltr Ø 98 mm H 440 mm</t>
        </is>
      </c>
      <c r="E56" s="27" t="inlineStr">
        <is>
          <t>Schneider</t>
        </is>
      </c>
      <c r="F56" s="28" t="inlineStr">
        <is>
          <t>https://www.intergastro.de/druckknopf-dosierspender-rot-2-ltr-98-mm-h-440-mm-100247</t>
        </is>
      </c>
      <c r="G56" s="121" t="n">
        <v>93.66</v>
      </c>
      <c r="H56" s="27" t="inlineStr">
        <is>
          <t>excl.</t>
        </is>
      </c>
      <c r="I56" s="117" t="n">
        <v>1</v>
      </c>
      <c r="J56" s="27" t="n"/>
      <c r="K56" s="121" t="n">
        <v>93.66</v>
      </c>
      <c r="L56" s="27" t="inlineStr">
        <is>
          <t>CLOSE</t>
        </is>
      </c>
      <c r="M56" s="27" t="inlineStr">
        <is>
          <t>Free-standing glass/stainless push-button sauce pump dispenser, 2 l</t>
        </is>
      </c>
      <c r="N56" s="27" t="inlineStr">
        <is>
          <t>2026-09-30</t>
        </is>
      </c>
      <c r="O56" s="2" t="n"/>
      <c r="P56" s="2" t="n"/>
      <c r="Q56" s="2" t="n"/>
      <c r="R56" s="2" t="n"/>
      <c r="S56" s="2" t="n"/>
      <c r="T56" s="2" t="n"/>
      <c r="U56" s="2" t="n"/>
      <c r="V56" s="2" t="n"/>
      <c r="W56" s="2" t="n"/>
      <c r="X56" s="2" t="n"/>
      <c r="Y56" s="2" t="n"/>
      <c r="Z56" s="2" t="n"/>
      <c r="AA56" s="2" t="n"/>
      <c r="AB56" s="2" t="n"/>
      <c r="AC56" s="2" t="n"/>
    </row>
    <row r="57" ht="36" customHeight="1">
      <c r="A57" s="2" t="n"/>
      <c r="B57" s="24" t="inlineStr">
        <is>
          <t>Ketchup/sauce pump dispenser with stand</t>
        </is>
      </c>
      <c r="C57" s="24" t="inlineStr">
        <is>
          <t>Nisbets</t>
        </is>
      </c>
      <c r="D57" s="24" t="inlineStr">
        <is>
          <t>Araven Soßenspender GN 1/9 Transparent 1,5Ltr</t>
        </is>
      </c>
      <c r="E57" s="24" t="inlineStr">
        <is>
          <t>Araven</t>
        </is>
      </c>
      <c r="F57" s="25" t="inlineStr">
        <is>
          <t>https://www.nisbets.de/araven-soenspender-gn-19-transparent-15l/cr821</t>
        </is>
      </c>
      <c r="G57" s="120" t="n">
        <v>27.49</v>
      </c>
      <c r="H57" s="24" t="inlineStr">
        <is>
          <t>excl.</t>
        </is>
      </c>
      <c r="I57" s="116" t="n">
        <v>1</v>
      </c>
      <c r="J57" s="24" t="n"/>
      <c r="K57" s="120" t="n">
        <v>27.49</v>
      </c>
      <c r="L57" s="24" t="inlineStr">
        <is>
          <t>CLOSE</t>
        </is>
      </c>
      <c r="M57" s="24" t="inlineStr">
        <is>
          <t>PP pump dispenser 1.5 l, no stand; 3-piece set with stand (CR823) 111.99</t>
        </is>
      </c>
      <c r="N57" s="24" t="inlineStr">
        <is>
          <t>2026-09-30</t>
        </is>
      </c>
      <c r="O57" s="2" t="n"/>
      <c r="P57" s="2" t="n"/>
      <c r="Q57" s="2" t="n"/>
      <c r="R57" s="2" t="n"/>
      <c r="S57" s="2" t="n"/>
      <c r="T57" s="2" t="n"/>
      <c r="U57" s="2" t="n"/>
      <c r="V57" s="2" t="n"/>
      <c r="W57" s="2" t="n"/>
      <c r="X57" s="2" t="n"/>
      <c r="Y57" s="2" t="n"/>
      <c r="Z57" s="2" t="n"/>
      <c r="AA57" s="2" t="n"/>
      <c r="AB57" s="2" t="n"/>
      <c r="AC57" s="2" t="n"/>
    </row>
    <row r="58" ht="36" customHeight="1">
      <c r="A58" s="2" t="n"/>
      <c r="B58" s="27" t="inlineStr">
        <is>
          <t>HACCP cutting board PE 530x325x20 mm (GN 1/1)</t>
        </is>
      </c>
      <c r="C58" s="27" t="inlineStr">
        <is>
          <t>ALLPAX</t>
        </is>
      </c>
      <c r="D58" s="27" t="inlineStr">
        <is>
          <t>Schneidbrett PRO 53x32 W-R</t>
        </is>
      </c>
      <c r="E58" s="27" t="inlineStr">
        <is>
          <t>Bartscher</t>
        </is>
      </c>
      <c r="F58" s="28" t="inlineStr">
        <is>
          <t>https://www.allpax.de/product_info.php/info/Schneidbrett-PRO-53x32-W-R.html</t>
        </is>
      </c>
      <c r="G58" s="121" t="n">
        <v>26.95</v>
      </c>
      <c r="H58" s="27" t="inlineStr">
        <is>
          <t>excl.</t>
        </is>
      </c>
      <c r="I58" s="117" t="n">
        <v>1</v>
      </c>
      <c r="J58" s="27" t="n"/>
      <c r="K58" s="121" t="n">
        <v>26.95</v>
      </c>
      <c r="L58" s="27" t="inlineStr">
        <is>
          <t>EXACT</t>
        </is>
      </c>
      <c r="M58" s="27" t="inlineStr">
        <is>
          <t>HDPE white, 20 mm plate, juice groove, 530x325x24 mm incl. feet</t>
        </is>
      </c>
      <c r="N58" s="27" t="inlineStr">
        <is>
          <t>2026-09-30</t>
        </is>
      </c>
      <c r="O58" s="2" t="n"/>
      <c r="P58" s="2" t="n"/>
      <c r="Q58" s="2" t="n"/>
      <c r="R58" s="2" t="n"/>
      <c r="S58" s="2" t="n"/>
      <c r="T58" s="2" t="n"/>
      <c r="U58" s="2" t="n"/>
      <c r="V58" s="2" t="n"/>
      <c r="W58" s="2" t="n"/>
      <c r="X58" s="2" t="n"/>
      <c r="Y58" s="2" t="n"/>
      <c r="Z58" s="2" t="n"/>
      <c r="AA58" s="2" t="n"/>
      <c r="AB58" s="2" t="n"/>
      <c r="AC58" s="2" t="n"/>
    </row>
    <row r="59" ht="36" customHeight="1">
      <c r="A59" s="2" t="n"/>
      <c r="B59" s="24" t="inlineStr">
        <is>
          <t>HACCP cutting board PE 530x325x20 mm (GN 1/1)</t>
        </is>
      </c>
      <c r="C59" s="24" t="inlineStr">
        <is>
          <t>GGM Gastro</t>
        </is>
      </c>
      <c r="D59" s="24" t="inlineStr">
        <is>
          <t>Schneidebrett - 325x530mm - HACCP-Konform - Weiß</t>
        </is>
      </c>
      <c r="E59" s="24" t="inlineStr">
        <is>
          <t>GGM</t>
        </is>
      </c>
      <c r="F59" s="25" t="inlineStr">
        <is>
          <t>https://www.ggmgastro.com/de-de-eur/schneidebrett-325x530mm-haccp-konform-weiss-sbp53w</t>
        </is>
      </c>
      <c r="G59" s="120" t="n">
        <v>23.49</v>
      </c>
      <c r="H59" s="24" t="inlineStr">
        <is>
          <t>excl.</t>
        </is>
      </c>
      <c r="I59" s="116" t="n">
        <v>1</v>
      </c>
      <c r="J59" s="24" t="n"/>
      <c r="K59" s="120" t="n">
        <v>23.49</v>
      </c>
      <c r="L59" s="24" t="inlineStr">
        <is>
          <t>EXACT</t>
        </is>
      </c>
      <c r="M59" s="24" t="inlineStr">
        <is>
          <t>PE, 325x530x20 mm</t>
        </is>
      </c>
      <c r="N59" s="24" t="inlineStr">
        <is>
          <t>2026-09-30</t>
        </is>
      </c>
      <c r="O59" s="2" t="n"/>
      <c r="P59" s="2" t="n"/>
      <c r="Q59" s="2" t="n"/>
      <c r="R59" s="2" t="n"/>
      <c r="S59" s="2" t="n"/>
      <c r="T59" s="2" t="n"/>
      <c r="U59" s="2" t="n"/>
      <c r="V59" s="2" t="n"/>
      <c r="W59" s="2" t="n"/>
      <c r="X59" s="2" t="n"/>
      <c r="Y59" s="2" t="n"/>
      <c r="Z59" s="2" t="n"/>
      <c r="AA59" s="2" t="n"/>
      <c r="AB59" s="2" t="n"/>
      <c r="AC59" s="2" t="n"/>
    </row>
    <row r="60" ht="36" customHeight="1">
      <c r="A60" s="2" t="n"/>
      <c r="B60" s="27" t="inlineStr">
        <is>
          <t>HACCP cutting board PE 530x325x20 mm (GN 1/1)</t>
        </is>
      </c>
      <c r="C60" s="27" t="inlineStr">
        <is>
          <t>GastroHero</t>
        </is>
      </c>
      <c r="D60" s="27" t="inlineStr">
        <is>
          <t>Schneidbrett GN 1/1 - 53 x 32,5 x 1,5 cm - HDPE blau</t>
        </is>
      </c>
      <c r="E60" s="27" t="inlineStr">
        <is>
          <t>Hendi</t>
        </is>
      </c>
      <c r="F60" s="28" t="inlineStr">
        <is>
          <t>https://www.gastro-hero.de/products/schneidbrett-gn-1-1-53-x-32-5-x-1-5-cm-hdpe-blau</t>
        </is>
      </c>
      <c r="G60" s="121" t="n">
        <v>17.29</v>
      </c>
      <c r="H60" s="27" t="inlineStr">
        <is>
          <t>excl.</t>
        </is>
      </c>
      <c r="I60" s="117" t="n">
        <v>1</v>
      </c>
      <c r="J60" s="27" t="n"/>
      <c r="K60" s="121" t="n">
        <v>17.29</v>
      </c>
      <c r="L60" s="27" t="inlineStr">
        <is>
          <t>CLOSE</t>
        </is>
      </c>
      <c r="M60" s="27" t="inlineStr">
        <is>
          <t>15 mm instead of 20 mm</t>
        </is>
      </c>
      <c r="N60" s="27" t="inlineStr">
        <is>
          <t>2026-09-30</t>
        </is>
      </c>
      <c r="O60" s="2" t="n"/>
      <c r="P60" s="2" t="n"/>
      <c r="Q60" s="2" t="n"/>
      <c r="R60" s="2" t="n"/>
      <c r="S60" s="2" t="n"/>
      <c r="T60" s="2" t="n"/>
      <c r="U60" s="2" t="n"/>
      <c r="V60" s="2" t="n"/>
      <c r="W60" s="2" t="n"/>
      <c r="X60" s="2" t="n"/>
      <c r="Y60" s="2" t="n"/>
      <c r="Z60" s="2" t="n"/>
      <c r="AA60" s="2" t="n"/>
      <c r="AB60" s="2" t="n"/>
      <c r="AC60" s="2" t="n"/>
    </row>
    <row r="61" ht="36" customHeight="1">
      <c r="A61" s="2" t="n"/>
      <c r="B61" s="24" t="inlineStr">
        <is>
          <t>HACCP cutting board PE 530x325x20 mm (GN 1/1)</t>
        </is>
      </c>
      <c r="C61" s="24" t="inlineStr">
        <is>
          <t>Gastrodax [substitute]</t>
        </is>
      </c>
      <c r="D61" s="24" t="inlineStr">
        <is>
          <t>Hendi Schneidbrett HACCP Gastronorm 1/1, Weiß, 530x325mm</t>
        </is>
      </c>
      <c r="E61" s="24" t="inlineStr">
        <is>
          <t>Hendi</t>
        </is>
      </c>
      <c r="F61" s="25" t="inlineStr">
        <is>
          <t>https://www.gastrodax.de/hendi-schneidbretter-haccp-gastronorm-1-1-gn-1-1-weiss-530-x-325-mm</t>
        </is>
      </c>
      <c r="G61" s="120" t="n">
        <v>20.95</v>
      </c>
      <c r="H61" s="24" t="inlineStr">
        <is>
          <t>excl.</t>
        </is>
      </c>
      <c r="I61" s="116" t="n">
        <v>1</v>
      </c>
      <c r="J61" s="24" t="n"/>
      <c r="K61" s="120" t="n">
        <v>20.95</v>
      </c>
      <c r="L61" s="24" t="inlineStr">
        <is>
          <t>CLOSE</t>
        </is>
      </c>
      <c r="M61" s="24" t="inlineStr">
        <is>
          <t>15 mm thick instead of 20 mm; all HACCP colours same price</t>
        </is>
      </c>
      <c r="N61" s="24" t="inlineStr">
        <is>
          <t>2026-09-30</t>
        </is>
      </c>
      <c r="O61" s="2" t="n"/>
      <c r="P61" s="2" t="n"/>
      <c r="Q61" s="2" t="n"/>
      <c r="R61" s="2" t="n"/>
      <c r="S61" s="2" t="n"/>
      <c r="T61" s="2" t="n"/>
      <c r="U61" s="2" t="n"/>
      <c r="V61" s="2" t="n"/>
      <c r="W61" s="2" t="n"/>
      <c r="X61" s="2" t="n"/>
      <c r="Y61" s="2" t="n"/>
      <c r="Z61" s="2" t="n"/>
      <c r="AA61" s="2" t="n"/>
      <c r="AB61" s="2" t="n"/>
      <c r="AC61" s="2" t="n"/>
    </row>
    <row r="62" ht="36" customHeight="1">
      <c r="A62" s="2" t="n"/>
      <c r="B62" s="27" t="inlineStr">
        <is>
          <t>HACCP cutting board PE 530x325x20 mm (GN 1/1)</t>
        </is>
      </c>
      <c r="C62" s="27" t="inlineStr">
        <is>
          <t>Gastroladen.de (Harotec GmbH) [substitute]</t>
        </is>
      </c>
      <c r="D62" s="27" t="inlineStr">
        <is>
          <t>Bartscher Schneidbrett PRO 53x32 W-R</t>
        </is>
      </c>
      <c r="E62" s="27" t="inlineStr">
        <is>
          <t>Bartscher</t>
        </is>
      </c>
      <c r="F62" s="28" t="inlineStr">
        <is>
          <t>https://www.gastroladen.de/2310@A120511/Bartscher-Schneidbrett-PRO-53x32-W-R.htm</t>
        </is>
      </c>
      <c r="G62" s="121" t="n">
        <v>29.29</v>
      </c>
      <c r="H62" s="27" t="inlineStr">
        <is>
          <t>incl.</t>
        </is>
      </c>
      <c r="I62" s="117" t="n">
        <v>1</v>
      </c>
      <c r="J62" s="27" t="n"/>
      <c r="K62" s="121" t="n">
        <v>24.61</v>
      </c>
      <c r="L62" s="27" t="inlineStr">
        <is>
          <t>EXACT</t>
        </is>
      </c>
      <c r="M62" s="27" t="inlineStr">
        <is>
          <t>PE, 20 mm plate, HACCP white, rubber feet (530x24x325 overall)</t>
        </is>
      </c>
      <c r="N62" s="27" t="inlineStr">
        <is>
          <t>2026-09-30</t>
        </is>
      </c>
      <c r="O62" s="2" t="n"/>
      <c r="P62" s="2" t="n"/>
      <c r="Q62" s="2" t="n"/>
      <c r="R62" s="2" t="n"/>
      <c r="S62" s="2" t="n"/>
      <c r="T62" s="2" t="n"/>
      <c r="U62" s="2" t="n"/>
      <c r="V62" s="2" t="n"/>
      <c r="W62" s="2" t="n"/>
      <c r="X62" s="2" t="n"/>
      <c r="Y62" s="2" t="n"/>
      <c r="Z62" s="2" t="n"/>
      <c r="AA62" s="2" t="n"/>
      <c r="AB62" s="2" t="n"/>
      <c r="AC62" s="2" t="n"/>
    </row>
    <row r="63" ht="36" customHeight="1">
      <c r="A63" s="2" t="n"/>
      <c r="B63" s="24" t="inlineStr">
        <is>
          <t>HACCP cutting board PE 530x325x20 mm (GN 1/1)</t>
        </is>
      </c>
      <c r="C63" s="24" t="inlineStr">
        <is>
          <t>Intergastro</t>
        </is>
      </c>
      <c r="D63" s="24" t="inlineStr">
        <is>
          <t>HACCP Schneidbrett Polyethylen weiß 530 x 325 mm H 20 mm</t>
        </is>
      </c>
      <c r="E63" s="24" t="inlineStr">
        <is>
          <t>WAS Germany</t>
        </is>
      </c>
      <c r="F63" s="25" t="inlineStr">
        <is>
          <t>https://www.intergastro.de/haccp-schneidbrett-polyethylen-weiss-530-mm-x-325-mm-h-20-mm-159115</t>
        </is>
      </c>
      <c r="G63" s="120" t="n">
        <v>22.09</v>
      </c>
      <c r="H63" s="24" t="inlineStr">
        <is>
          <t>excl.</t>
        </is>
      </c>
      <c r="I63" s="116" t="n">
        <v>1</v>
      </c>
      <c r="J63" s="24" t="n"/>
      <c r="K63" s="120" t="n">
        <v>22.09</v>
      </c>
      <c r="L63" s="24" t="inlineStr">
        <is>
          <t>EXACT</t>
        </is>
      </c>
      <c r="M63" s="24" t="inlineStr">
        <is>
          <t>White; other HACCP colours listed separately</t>
        </is>
      </c>
      <c r="N63" s="24" t="inlineStr">
        <is>
          <t>2026-09-30</t>
        </is>
      </c>
      <c r="O63" s="2" t="n"/>
      <c r="P63" s="2" t="n"/>
      <c r="Q63" s="2" t="n"/>
      <c r="R63" s="2" t="n"/>
      <c r="S63" s="2" t="n"/>
      <c r="T63" s="2" t="n"/>
      <c r="U63" s="2" t="n"/>
      <c r="V63" s="2" t="n"/>
      <c r="W63" s="2" t="n"/>
      <c r="X63" s="2" t="n"/>
      <c r="Y63" s="2" t="n"/>
      <c r="Z63" s="2" t="n"/>
      <c r="AA63" s="2" t="n"/>
      <c r="AB63" s="2" t="n"/>
      <c r="AC63" s="2" t="n"/>
    </row>
    <row r="64" ht="36" customHeight="1">
      <c r="A64" s="2" t="n"/>
      <c r="B64" s="27" t="inlineStr">
        <is>
          <t>HACCP cutting board PE 530x325x20 mm (GN 1/1)</t>
        </is>
      </c>
      <c r="C64" s="27" t="inlineStr">
        <is>
          <t>Nisbets</t>
        </is>
      </c>
      <c r="D64" s="27" t="inlineStr">
        <is>
          <t>Gastro M Schneidebrett GN1/1 braun</t>
        </is>
      </c>
      <c r="E64" s="27" t="inlineStr">
        <is>
          <t>Gastro M</t>
        </is>
      </c>
      <c r="F64" s="28" t="inlineStr">
        <is>
          <t>https://www.nisbets.de/gastro-m-schneidebrett-braun/gn340</t>
        </is>
      </c>
      <c r="G64" s="121" t="n">
        <v>31.04</v>
      </c>
      <c r="H64" s="27" t="inlineStr">
        <is>
          <t>excl.</t>
        </is>
      </c>
      <c r="I64" s="117" t="n">
        <v>1</v>
      </c>
      <c r="J64" s="27" t="n"/>
      <c r="K64" s="121" t="n">
        <v>31.04</v>
      </c>
      <c r="L64" s="27" t="inlineStr">
        <is>
          <t>CLOSE</t>
        </is>
      </c>
      <c r="M64" s="27" t="inlineStr">
        <is>
          <t>HDPE 530x325 but 15 mm thick (not 20); out of stock; UVP 37.49</t>
        </is>
      </c>
      <c r="N64" s="27" t="inlineStr">
        <is>
          <t>2026-09-30</t>
        </is>
      </c>
      <c r="O64" s="2" t="n"/>
      <c r="P64" s="2" t="n"/>
      <c r="Q64" s="2" t="n"/>
      <c r="R64" s="2" t="n"/>
      <c r="S64" s="2" t="n"/>
      <c r="T64" s="2" t="n"/>
      <c r="U64" s="2" t="n"/>
      <c r="V64" s="2" t="n"/>
      <c r="W64" s="2" t="n"/>
      <c r="X64" s="2" t="n"/>
      <c r="Y64" s="2" t="n"/>
      <c r="Z64" s="2" t="n"/>
      <c r="AA64" s="2" t="n"/>
      <c r="AB64" s="2" t="n"/>
      <c r="AC64" s="2" t="n"/>
    </row>
    <row r="65" ht="36" customHeight="1">
      <c r="A65" s="2" t="n"/>
      <c r="B65" s="24" t="inlineStr">
        <is>
          <t>HACCP cutting board PE 600x400x20 mm</t>
        </is>
      </c>
      <c r="C65" s="24" t="inlineStr">
        <is>
          <t>ALLPAX</t>
        </is>
      </c>
      <c r="D65" s="24" t="inlineStr">
        <is>
          <t>Schneidbrett farbig 600 x 400 x 20 mm</t>
        </is>
      </c>
      <c r="E65" s="24" t="n"/>
      <c r="F65" s="25" t="inlineStr">
        <is>
          <t>https://www.allpax.de/product_info.php/info/p30393_Schneidbrett-farbig-600-x-400-x-20-mm.html</t>
        </is>
      </c>
      <c r="G65" s="120" t="n">
        <v>49.39</v>
      </c>
      <c r="H65" s="24" t="inlineStr">
        <is>
          <t>excl.</t>
        </is>
      </c>
      <c r="I65" s="116" t="n">
        <v>1</v>
      </c>
      <c r="J65" s="24" t="n"/>
      <c r="K65" s="120" t="n">
        <v>49.39</v>
      </c>
      <c r="L65" s="24" t="inlineStr">
        <is>
          <t>CLOSE</t>
        </is>
      </c>
      <c r="M65" s="24" t="inlineStr">
        <is>
          <t>600x400x20 mm, 5 colours, rubber feet; material not stated. Bartscher 60x40 white (16 mm) 34.61</t>
        </is>
      </c>
      <c r="N65" s="24" t="inlineStr">
        <is>
          <t>2026-09-30</t>
        </is>
      </c>
      <c r="O65" s="2" t="n"/>
      <c r="P65" s="2" t="n"/>
      <c r="Q65" s="2" t="n"/>
      <c r="R65" s="2" t="n"/>
      <c r="S65" s="2" t="n"/>
      <c r="T65" s="2" t="n"/>
      <c r="U65" s="2" t="n"/>
      <c r="V65" s="2" t="n"/>
      <c r="W65" s="2" t="n"/>
      <c r="X65" s="2" t="n"/>
      <c r="Y65" s="2" t="n"/>
      <c r="Z65" s="2" t="n"/>
      <c r="AA65" s="2" t="n"/>
      <c r="AB65" s="2" t="n"/>
      <c r="AC65" s="2" t="n"/>
    </row>
    <row r="66" ht="36" customHeight="1">
      <c r="A66" s="2" t="n"/>
      <c r="B66" s="27" t="inlineStr">
        <is>
          <t>HACCP cutting board PE 600x400x20 mm</t>
        </is>
      </c>
      <c r="C66" s="27" t="inlineStr">
        <is>
          <t>GGM Gastro</t>
        </is>
      </c>
      <c r="D66" s="27" t="inlineStr">
        <is>
          <t>Schneidebrett - EN 600x400 - HACCP-Konform - Weiß</t>
        </is>
      </c>
      <c r="E66" s="27" t="inlineStr">
        <is>
          <t>GGM</t>
        </is>
      </c>
      <c r="F66" s="28" t="inlineStr">
        <is>
          <t>https://www.ggmgastro.com/de-de-eur/schneidebrett-en-600x400-haccp-konform-weiss-sbp46w</t>
        </is>
      </c>
      <c r="G66" s="121" t="n">
        <v>28.49</v>
      </c>
      <c r="H66" s="27" t="inlineStr">
        <is>
          <t>excl.</t>
        </is>
      </c>
      <c r="I66" s="117" t="n">
        <v>1</v>
      </c>
      <c r="J66" s="27" t="n"/>
      <c r="K66" s="121" t="n">
        <v>28.49</v>
      </c>
      <c r="L66" s="27" t="inlineStr">
        <is>
          <t>EXACT</t>
        </is>
      </c>
      <c r="M66" s="27" t="inlineStr">
        <is>
          <t>PE, 600x400x20 mm</t>
        </is>
      </c>
      <c r="N66" s="27" t="inlineStr">
        <is>
          <t>2026-09-30</t>
        </is>
      </c>
      <c r="O66" s="2" t="n"/>
      <c r="P66" s="2" t="n"/>
      <c r="Q66" s="2" t="n"/>
      <c r="R66" s="2" t="n"/>
      <c r="S66" s="2" t="n"/>
      <c r="T66" s="2" t="n"/>
      <c r="U66" s="2" t="n"/>
      <c r="V66" s="2" t="n"/>
      <c r="W66" s="2" t="n"/>
      <c r="X66" s="2" t="n"/>
      <c r="Y66" s="2" t="n"/>
      <c r="Z66" s="2" t="n"/>
      <c r="AA66" s="2" t="n"/>
      <c r="AB66" s="2" t="n"/>
      <c r="AC66" s="2" t="n"/>
    </row>
    <row r="67" ht="36" customHeight="1">
      <c r="A67" s="2" t="n"/>
      <c r="B67" s="24" t="inlineStr">
        <is>
          <t>HACCP cutting board PE 600x400x20 mm</t>
        </is>
      </c>
      <c r="C67" s="24" t="inlineStr">
        <is>
          <t>GastroHero</t>
        </is>
      </c>
      <c r="D67" s="24" t="inlineStr">
        <is>
          <t>Schneidebrett Gastro-M 600x400 weiß</t>
        </is>
      </c>
      <c r="E67" s="24" t="inlineStr">
        <is>
          <t>Gastro-M</t>
        </is>
      </c>
      <c r="F67" s="25" t="inlineStr">
        <is>
          <t>https://www.gastro-hero.de/products/schneidebrett-gastro-m-600x400-weiss-gn344</t>
        </is>
      </c>
      <c r="G67" s="120" t="n">
        <v>45.9</v>
      </c>
      <c r="H67" s="24" t="inlineStr">
        <is>
          <t>excl.</t>
        </is>
      </c>
      <c r="I67" s="116" t="n">
        <v>1</v>
      </c>
      <c r="J67" s="24" t="n"/>
      <c r="K67" s="120" t="n">
        <v>45.9</v>
      </c>
      <c r="L67" s="24" t="inlineStr">
        <is>
          <t>CLOSE</t>
        </is>
      </c>
      <c r="M67" s="24" t="inlineStr">
        <is>
          <t>600x400x20 mm; material not stated on page</t>
        </is>
      </c>
      <c r="N67" s="24" t="inlineStr">
        <is>
          <t>2026-09-30</t>
        </is>
      </c>
      <c r="O67" s="2" t="n"/>
      <c r="P67" s="2" t="n"/>
      <c r="Q67" s="2" t="n"/>
      <c r="R67" s="2" t="n"/>
      <c r="S67" s="2" t="n"/>
      <c r="T67" s="2" t="n"/>
      <c r="U67" s="2" t="n"/>
      <c r="V67" s="2" t="n"/>
      <c r="W67" s="2" t="n"/>
      <c r="X67" s="2" t="n"/>
      <c r="Y67" s="2" t="n"/>
      <c r="Z67" s="2" t="n"/>
      <c r="AA67" s="2" t="n"/>
      <c r="AB67" s="2" t="n"/>
      <c r="AC67" s="2" t="n"/>
    </row>
    <row r="68" ht="36" customHeight="1">
      <c r="A68" s="2" t="n"/>
      <c r="B68" s="27" t="inlineStr">
        <is>
          <t>HACCP cutting board PE 600x400x20 mm</t>
        </is>
      </c>
      <c r="C68" s="27" t="inlineStr">
        <is>
          <t>Gastrodax [substitute]</t>
        </is>
      </c>
      <c r="D68" s="27" t="inlineStr">
        <is>
          <t>Hendi Schneidbretter HACCP 600x400, Weiß</t>
        </is>
      </c>
      <c r="E68" s="27" t="inlineStr">
        <is>
          <t>Hendi</t>
        </is>
      </c>
      <c r="F68" s="28" t="inlineStr">
        <is>
          <t>https://www.gastrodax.de/hendi-schneidbretter-haccp-600-x-400-mm-weiss</t>
        </is>
      </c>
      <c r="G68" s="121" t="n">
        <v>33.5</v>
      </c>
      <c r="H68" s="27" t="inlineStr">
        <is>
          <t>excl.</t>
        </is>
      </c>
      <c r="I68" s="117" t="n">
        <v>1</v>
      </c>
      <c r="J68" s="27" t="n"/>
      <c r="K68" s="121" t="n">
        <v>33.5</v>
      </c>
      <c r="L68" s="27" t="inlineStr">
        <is>
          <t>CLOSE</t>
        </is>
      </c>
      <c r="M68" s="27" t="inlineStr">
        <is>
          <t>18 mm thick instead of 20 mm</t>
        </is>
      </c>
      <c r="N68" s="27" t="inlineStr">
        <is>
          <t>2026-09-30</t>
        </is>
      </c>
      <c r="O68" s="2" t="n"/>
      <c r="P68" s="2" t="n"/>
      <c r="Q68" s="2" t="n"/>
      <c r="R68" s="2" t="n"/>
      <c r="S68" s="2" t="n"/>
      <c r="T68" s="2" t="n"/>
      <c r="U68" s="2" t="n"/>
      <c r="V68" s="2" t="n"/>
      <c r="W68" s="2" t="n"/>
      <c r="X68" s="2" t="n"/>
      <c r="Y68" s="2" t="n"/>
      <c r="Z68" s="2" t="n"/>
      <c r="AA68" s="2" t="n"/>
      <c r="AB68" s="2" t="n"/>
      <c r="AC68" s="2" t="n"/>
    </row>
    <row r="69" ht="36" customHeight="1">
      <c r="A69" s="2" t="n"/>
      <c r="B69" s="24" t="inlineStr">
        <is>
          <t>HACCP cutting board PE 600x400x20 mm</t>
        </is>
      </c>
      <c r="C69" s="24" t="inlineStr">
        <is>
          <t>Gastroladen.de (Harotec GmbH) [substitute]</t>
        </is>
      </c>
      <c r="D69" s="24" t="inlineStr">
        <is>
          <t>Bartscher Schneidbrett 60x40 W</t>
        </is>
      </c>
      <c r="E69" s="24" t="inlineStr">
        <is>
          <t>Bartscher</t>
        </is>
      </c>
      <c r="F69" s="25" t="inlineStr">
        <is>
          <t>https://www.gastroladen.de/2310@A120592/Bartscher-Schneidbrett-60x40-W.htm</t>
        </is>
      </c>
      <c r="G69" s="120" t="n">
        <v>34.9</v>
      </c>
      <c r="H69" s="24" t="inlineStr">
        <is>
          <t>incl.</t>
        </is>
      </c>
      <c r="I69" s="116" t="n">
        <v>1</v>
      </c>
      <c r="J69" s="24" t="n"/>
      <c r="K69" s="120" t="n">
        <v>29.33</v>
      </c>
      <c r="L69" s="24" t="inlineStr">
        <is>
          <t>CLOSE</t>
        </is>
      </c>
      <c r="M69" s="24" t="inlineStr">
        <is>
          <t>PE, 16 mm plate (20 mm incl. feet), HACCP white</t>
        </is>
      </c>
      <c r="N69" s="24" t="inlineStr">
        <is>
          <t>2026-09-30</t>
        </is>
      </c>
      <c r="O69" s="2" t="n"/>
      <c r="P69" s="2" t="n"/>
      <c r="Q69" s="2" t="n"/>
      <c r="R69" s="2" t="n"/>
      <c r="S69" s="2" t="n"/>
      <c r="T69" s="2" t="n"/>
      <c r="U69" s="2" t="n"/>
      <c r="V69" s="2" t="n"/>
      <c r="W69" s="2" t="n"/>
      <c r="X69" s="2" t="n"/>
      <c r="Y69" s="2" t="n"/>
      <c r="Z69" s="2" t="n"/>
      <c r="AA69" s="2" t="n"/>
      <c r="AB69" s="2" t="n"/>
      <c r="AC69" s="2" t="n"/>
    </row>
    <row r="70" ht="36" customHeight="1">
      <c r="A70" s="2" t="n"/>
      <c r="B70" s="27" t="inlineStr">
        <is>
          <t>HACCP cutting board PE 600x400x20 mm</t>
        </is>
      </c>
      <c r="C70" s="27" t="inlineStr">
        <is>
          <t>Intergastro</t>
        </is>
      </c>
      <c r="D70" s="27" t="inlineStr">
        <is>
          <t>Schneidbrett Polyethylen weiß mit Saftrille 600 x 400 mm</t>
        </is>
      </c>
      <c r="E70" s="27" t="inlineStr">
        <is>
          <t>Contacto</t>
        </is>
      </c>
      <c r="F70" s="28" t="inlineStr">
        <is>
          <t>https://www.intergastro.de/schneidbrett-polyethylen-weiss-mit-saftrille-600-mm-x-400-mm-159019</t>
        </is>
      </c>
      <c r="G70" s="121" t="n">
        <v>35.05</v>
      </c>
      <c r="H70" s="27" t="inlineStr">
        <is>
          <t>excl.</t>
        </is>
      </c>
      <c r="I70" s="117" t="n">
        <v>1</v>
      </c>
      <c r="J70" s="27" t="n"/>
      <c r="K70" s="121" t="n">
        <v>35.05</v>
      </c>
      <c r="L70" s="27" t="inlineStr">
        <is>
          <t>EXACT</t>
        </is>
      </c>
      <c r="M70" s="27" t="inlineStr">
        <is>
          <t>20 mm thick, with juice groove</t>
        </is>
      </c>
      <c r="N70" s="27" t="inlineStr">
        <is>
          <t>2026-09-30</t>
        </is>
      </c>
      <c r="O70" s="2" t="n"/>
      <c r="P70" s="2" t="n"/>
      <c r="Q70" s="2" t="n"/>
      <c r="R70" s="2" t="n"/>
      <c r="S70" s="2" t="n"/>
      <c r="T70" s="2" t="n"/>
      <c r="U70" s="2" t="n"/>
      <c r="V70" s="2" t="n"/>
      <c r="W70" s="2" t="n"/>
      <c r="X70" s="2" t="n"/>
      <c r="Y70" s="2" t="n"/>
      <c r="Z70" s="2" t="n"/>
      <c r="AA70" s="2" t="n"/>
      <c r="AB70" s="2" t="n"/>
      <c r="AC70" s="2" t="n"/>
    </row>
    <row r="71" ht="36" customHeight="1">
      <c r="A71" s="2" t="n"/>
      <c r="B71" s="24" t="inlineStr">
        <is>
          <t>HACCP cutting board PE 600x400x20 mm</t>
        </is>
      </c>
      <c r="C71" s="24" t="inlineStr">
        <is>
          <t>Nisbets</t>
        </is>
      </c>
      <c r="D71" s="24" t="inlineStr">
        <is>
          <t>Gastro M HDPE Schneidebrett blau 60x40x2cm</t>
        </is>
      </c>
      <c r="E71" s="24" t="inlineStr">
        <is>
          <t>Gastro M</t>
        </is>
      </c>
      <c r="F71" s="25" t="inlineStr">
        <is>
          <t>https://www.nisbets.de/gastro-m-hdpe-schneidebrett-blau/gn348</t>
        </is>
      </c>
      <c r="G71" s="120" t="n">
        <v>57.99</v>
      </c>
      <c r="H71" s="24" t="inlineStr">
        <is>
          <t>excl.</t>
        </is>
      </c>
      <c r="I71" s="116" t="n">
        <v>1</v>
      </c>
      <c r="J71" s="24" t="n"/>
      <c r="K71" s="120" t="n">
        <v>57.99</v>
      </c>
      <c r="L71" s="24" t="inlineStr">
        <is>
          <t>EXACT</t>
        </is>
      </c>
      <c r="M71" s="24" t="inlineStr">
        <is>
          <t>HDPE 600x400x20 mm. Hygiplas 600x450x12 mm HDPE (J017 etc.) 25.49</t>
        </is>
      </c>
      <c r="N71" s="24" t="inlineStr">
        <is>
          <t>2026-09-30</t>
        </is>
      </c>
      <c r="O71" s="2" t="n"/>
      <c r="P71" s="2" t="n"/>
      <c r="Q71" s="2" t="n"/>
      <c r="R71" s="2" t="n"/>
      <c r="S71" s="2" t="n"/>
      <c r="T71" s="2" t="n"/>
      <c r="U71" s="2" t="n"/>
      <c r="V71" s="2" t="n"/>
      <c r="W71" s="2" t="n"/>
      <c r="X71" s="2" t="n"/>
      <c r="Y71" s="2" t="n"/>
      <c r="Z71" s="2" t="n"/>
      <c r="AA71" s="2" t="n"/>
      <c r="AB71" s="2" t="n"/>
      <c r="AC71" s="2" t="n"/>
    </row>
    <row r="72" ht="36" customHeight="1">
      <c r="A72" s="2" t="n"/>
      <c r="B72" s="27" t="inlineStr">
        <is>
          <t>HACCP cutting board PE 300x200x10 mm</t>
        </is>
      </c>
      <c r="C72" s="27" t="inlineStr">
        <is>
          <t>GGM Gastro</t>
        </is>
      </c>
      <c r="D72" s="27" t="inlineStr">
        <is>
          <t>Schneidebrett - 250x400mm - HACCP-Konform - Weiß</t>
        </is>
      </c>
      <c r="E72" s="27" t="inlineStr">
        <is>
          <t>GGM</t>
        </is>
      </c>
      <c r="F72" s="28" t="inlineStr">
        <is>
          <t>https://www.ggmgastro.com/de-de-eur/schneidebrett-250x400mm-haccp-konform-weiss-sbp25w</t>
        </is>
      </c>
      <c r="G72" s="121" t="n">
        <v>15.99</v>
      </c>
      <c r="H72" s="27" t="inlineStr">
        <is>
          <t>excl.</t>
        </is>
      </c>
      <c r="I72" s="117" t="n">
        <v>1</v>
      </c>
      <c r="J72" s="27" t="n"/>
      <c r="K72" s="121" t="n">
        <v>15.99</v>
      </c>
      <c r="L72" s="27" t="inlineStr">
        <is>
          <t>APPROX</t>
        </is>
      </c>
      <c r="M72" s="27" t="inlineStr">
        <is>
          <t>Smallest HACCP board offered: 250x400 mm (vs 300x200x10); thickness not stated</t>
        </is>
      </c>
      <c r="N72" s="27" t="inlineStr">
        <is>
          <t>2026-09-30</t>
        </is>
      </c>
      <c r="O72" s="2" t="n"/>
      <c r="P72" s="2" t="n"/>
      <c r="Q72" s="2" t="n"/>
      <c r="R72" s="2" t="n"/>
      <c r="S72" s="2" t="n"/>
      <c r="T72" s="2" t="n"/>
      <c r="U72" s="2" t="n"/>
      <c r="V72" s="2" t="n"/>
      <c r="W72" s="2" t="n"/>
      <c r="X72" s="2" t="n"/>
      <c r="Y72" s="2" t="n"/>
      <c r="Z72" s="2" t="n"/>
      <c r="AA72" s="2" t="n"/>
      <c r="AB72" s="2" t="n"/>
      <c r="AC72" s="2" t="n"/>
    </row>
    <row r="73" ht="36" customHeight="1">
      <c r="A73" s="2" t="n"/>
      <c r="B73" s="24" t="inlineStr">
        <is>
          <t>HACCP cutting board PE 300x200x10 mm</t>
        </is>
      </c>
      <c r="C73" s="24" t="inlineStr">
        <is>
          <t>GastroHero</t>
        </is>
      </c>
      <c r="D73" s="24" t="inlineStr">
        <is>
          <t>Schneidbrett GN 1/2 - 32,5 x 26,5 x 1,2 cm - HDPE weiß</t>
        </is>
      </c>
      <c r="E73" s="24" t="inlineStr">
        <is>
          <t>Hendi</t>
        </is>
      </c>
      <c r="F73" s="25" t="inlineStr">
        <is>
          <t>https://www.gastro-hero.de/products/schneidbrett-gn-1-2-32-5-x-26-5-x-1-2-cm-hdpe-weiss</t>
        </is>
      </c>
      <c r="G73" s="120" t="n">
        <v>8.09</v>
      </c>
      <c r="H73" s="24" t="inlineStr">
        <is>
          <t>excl.</t>
        </is>
      </c>
      <c r="I73" s="116" t="n">
        <v>1</v>
      </c>
      <c r="J73" s="24" t="n"/>
      <c r="K73" s="120" t="n">
        <v>8.09</v>
      </c>
      <c r="L73" s="24" t="inlineStr">
        <is>
          <t>APPROX</t>
        </is>
      </c>
      <c r="M73" s="24" t="inlineStr">
        <is>
          <t>325x265x12 mm (GN 1/2) vs 300x200x10; no 300x200 board found</t>
        </is>
      </c>
      <c r="N73" s="24" t="inlineStr">
        <is>
          <t>2026-09-30</t>
        </is>
      </c>
      <c r="O73" s="2" t="n"/>
      <c r="P73" s="2" t="n"/>
      <c r="Q73" s="2" t="n"/>
      <c r="R73" s="2" t="n"/>
      <c r="S73" s="2" t="n"/>
      <c r="T73" s="2" t="n"/>
      <c r="U73" s="2" t="n"/>
      <c r="V73" s="2" t="n"/>
      <c r="W73" s="2" t="n"/>
      <c r="X73" s="2" t="n"/>
      <c r="Y73" s="2" t="n"/>
      <c r="Z73" s="2" t="n"/>
      <c r="AA73" s="2" t="n"/>
      <c r="AB73" s="2" t="n"/>
      <c r="AC73" s="2" t="n"/>
    </row>
    <row r="74" ht="36" customHeight="1">
      <c r="A74" s="2" t="n"/>
      <c r="B74" s="27" t="inlineStr">
        <is>
          <t>HACCP cutting board PE 300x200x10 mm</t>
        </is>
      </c>
      <c r="C74" s="27" t="inlineStr">
        <is>
          <t>Gastrodax [substitute]</t>
        </is>
      </c>
      <c r="D74" s="27" t="inlineStr">
        <is>
          <t>Hendi Schneidbrett mit Griff, Weiß, 300x200mm</t>
        </is>
      </c>
      <c r="E74" s="27" t="inlineStr">
        <is>
          <t>Hendi</t>
        </is>
      </c>
      <c r="F74" s="28" t="inlineStr">
        <is>
          <t>https://www.gastrodax.de/hendi-schneidbrett-mit-griff-weiss-300-x-200-mm</t>
        </is>
      </c>
      <c r="G74" s="121" t="n">
        <v>15.76</v>
      </c>
      <c r="H74" s="27" t="inlineStr">
        <is>
          <t>excl.</t>
        </is>
      </c>
      <c r="I74" s="117" t="n">
        <v>1</v>
      </c>
      <c r="J74" s="27" t="n"/>
      <c r="K74" s="121" t="n">
        <v>15.76</v>
      </c>
      <c r="L74" s="27" t="inlineStr">
        <is>
          <t>EXACT</t>
        </is>
      </c>
      <c r="M74" s="27" t="inlineStr">
        <is>
          <t>300x200x10 mm HDPE, with handle</t>
        </is>
      </c>
      <c r="N74" s="27" t="inlineStr">
        <is>
          <t>2026-09-30</t>
        </is>
      </c>
      <c r="O74" s="2" t="n"/>
      <c r="P74" s="2" t="n"/>
      <c r="Q74" s="2" t="n"/>
      <c r="R74" s="2" t="n"/>
      <c r="S74" s="2" t="n"/>
      <c r="T74" s="2" t="n"/>
      <c r="U74" s="2" t="n"/>
      <c r="V74" s="2" t="n"/>
      <c r="W74" s="2" t="n"/>
      <c r="X74" s="2" t="n"/>
      <c r="Y74" s="2" t="n"/>
      <c r="Z74" s="2" t="n"/>
      <c r="AA74" s="2" t="n"/>
      <c r="AB74" s="2" t="n"/>
      <c r="AC74" s="2" t="n"/>
    </row>
    <row r="75" ht="36" customHeight="1">
      <c r="A75" s="2" t="n"/>
      <c r="B75" s="24" t="inlineStr">
        <is>
          <t>HACCP cutting board PE 300x200x10 mm</t>
        </is>
      </c>
      <c r="C75" s="24" t="inlineStr">
        <is>
          <t>Gastroladen.de (Harotec GmbH) [substitute]</t>
        </is>
      </c>
      <c r="D75" s="24" t="inlineStr">
        <is>
          <t>Hygiplas HDPE kleines Schneidebrett weiß 300x225x12mm</t>
        </is>
      </c>
      <c r="E75" s="24" t="inlineStr">
        <is>
          <t>Hygiplas</t>
        </is>
      </c>
      <c r="F75" s="25" t="inlineStr">
        <is>
          <t>https://www.gastroladen.de/2310@GN-HC867/Hygiplas-HDPE-kleines-Schneidebrett-wei%C3%9F-300x-225x12mm.htm</t>
        </is>
      </c>
      <c r="G75" s="120" t="n">
        <v>8.789999999999999</v>
      </c>
      <c r="H75" s="24" t="inlineStr">
        <is>
          <t>incl.</t>
        </is>
      </c>
      <c r="I75" s="116" t="n">
        <v>1</v>
      </c>
      <c r="J75" s="24" t="n"/>
      <c r="K75" s="120" t="n">
        <v>7.39</v>
      </c>
      <c r="L75" s="24" t="inlineStr">
        <is>
          <t>CLOSE</t>
        </is>
      </c>
      <c r="M75" s="24" t="inlineStr">
        <is>
          <t>300x225x12 mm vs 300x200x10</t>
        </is>
      </c>
      <c r="N75" s="24" t="inlineStr">
        <is>
          <t>2026-09-30</t>
        </is>
      </c>
      <c r="O75" s="2" t="n"/>
      <c r="P75" s="2" t="n"/>
      <c r="Q75" s="2" t="n"/>
      <c r="R75" s="2" t="n"/>
      <c r="S75" s="2" t="n"/>
      <c r="T75" s="2" t="n"/>
      <c r="U75" s="2" t="n"/>
      <c r="V75" s="2" t="n"/>
      <c r="W75" s="2" t="n"/>
      <c r="X75" s="2" t="n"/>
      <c r="Y75" s="2" t="n"/>
      <c r="Z75" s="2" t="n"/>
      <c r="AA75" s="2" t="n"/>
      <c r="AB75" s="2" t="n"/>
      <c r="AC75" s="2" t="n"/>
    </row>
    <row r="76" ht="36" customHeight="1">
      <c r="A76" s="2" t="n"/>
      <c r="B76" s="27" t="inlineStr">
        <is>
          <t>HACCP cutting board PE 300x200x10 mm</t>
        </is>
      </c>
      <c r="C76" s="27" t="inlineStr">
        <is>
          <t>Intergastro</t>
        </is>
      </c>
      <c r="D76" s="27" t="inlineStr">
        <is>
          <t>Schneidbrett Polyethylen weiß 300 x 200 mm H 15 mm</t>
        </is>
      </c>
      <c r="E76" s="27" t="inlineStr">
        <is>
          <t>WAS Germany</t>
        </is>
      </c>
      <c r="F76" s="28" t="inlineStr">
        <is>
          <t>https://www.intergastro.de/schneidbrett-polyethylen-weiss-300-mm-x-200-mm-h-15-mm-158986</t>
        </is>
      </c>
      <c r="G76" s="121" t="n">
        <v>8.74</v>
      </c>
      <c r="H76" s="27" t="inlineStr">
        <is>
          <t>excl.</t>
        </is>
      </c>
      <c r="I76" s="117" t="n">
        <v>1</v>
      </c>
      <c r="J76" s="27" t="n"/>
      <c r="K76" s="121" t="n">
        <v>8.74</v>
      </c>
      <c r="L76" s="27" t="inlineStr">
        <is>
          <t>CLOSE</t>
        </is>
      </c>
      <c r="M76" s="27" t="inlineStr">
        <is>
          <t>15 mm thick instead of 10 mm</t>
        </is>
      </c>
      <c r="N76" s="27" t="inlineStr">
        <is>
          <t>2026-09-30</t>
        </is>
      </c>
      <c r="O76" s="2" t="n"/>
      <c r="P76" s="2" t="n"/>
      <c r="Q76" s="2" t="n"/>
      <c r="R76" s="2" t="n"/>
      <c r="S76" s="2" t="n"/>
      <c r="T76" s="2" t="n"/>
      <c r="U76" s="2" t="n"/>
      <c r="V76" s="2" t="n"/>
      <c r="W76" s="2" t="n"/>
      <c r="X76" s="2" t="n"/>
      <c r="Y76" s="2" t="n"/>
      <c r="Z76" s="2" t="n"/>
      <c r="AA76" s="2" t="n"/>
      <c r="AB76" s="2" t="n"/>
      <c r="AC76" s="2" t="n"/>
    </row>
    <row r="77" ht="36" customHeight="1">
      <c r="A77" s="2" t="n"/>
      <c r="B77" s="24" t="inlineStr">
        <is>
          <t>HACCP cutting board PE 300x200x10 mm</t>
        </is>
      </c>
      <c r="C77" s="24" t="inlineStr">
        <is>
          <t>Nisbets</t>
        </is>
      </c>
      <c r="D77" s="24" t="inlineStr">
        <is>
          <t>Hygiplas HDPE kleines Schneidebrett weiß 300x225x12mm</t>
        </is>
      </c>
      <c r="E77" s="24" t="inlineStr">
        <is>
          <t>Hygiplas</t>
        </is>
      </c>
      <c r="F77" s="25" t="inlineStr">
        <is>
          <t>https://www.nisbets.de/hygiplas-hdpe-kleines-schneidebrett-wei-300x-225x12mm/hc867</t>
        </is>
      </c>
      <c r="G77" s="120" t="n">
        <v>4.89</v>
      </c>
      <c r="H77" s="24" t="inlineStr">
        <is>
          <t>excl.</t>
        </is>
      </c>
      <c r="I77" s="116" t="n">
        <v>1</v>
      </c>
      <c r="J77" s="24" t="n"/>
      <c r="K77" s="120" t="n">
        <v>4.89</v>
      </c>
      <c r="L77" s="24" t="inlineStr">
        <is>
          <t>CLOSE</t>
        </is>
      </c>
      <c r="M77" s="24" t="inlineStr">
        <is>
          <t>300x225x12 mm vs 300x200x10; other colours 4.89-6.09</t>
        </is>
      </c>
      <c r="N77" s="24" t="inlineStr">
        <is>
          <t>2026-09-30</t>
        </is>
      </c>
      <c r="O77" s="2" t="n"/>
      <c r="P77" s="2" t="n"/>
      <c r="Q77" s="2" t="n"/>
      <c r="R77" s="2" t="n"/>
      <c r="S77" s="2" t="n"/>
      <c r="T77" s="2" t="n"/>
      <c r="U77" s="2" t="n"/>
      <c r="V77" s="2" t="n"/>
      <c r="W77" s="2" t="n"/>
      <c r="X77" s="2" t="n"/>
      <c r="Y77" s="2" t="n"/>
      <c r="Z77" s="2" t="n"/>
      <c r="AA77" s="2" t="n"/>
      <c r="AB77" s="2" t="n"/>
      <c r="AC77" s="2" t="n"/>
    </row>
    <row r="78" ht="36" customHeight="1">
      <c r="A78" s="2" t="n"/>
      <c r="B78" s="27" t="inlineStr">
        <is>
          <t>Pizza dough box 600x400x100 mm, PP</t>
        </is>
      </c>
      <c r="C78" s="27" t="inlineStr">
        <is>
          <t>ALLPAX</t>
        </is>
      </c>
      <c r="D78" s="27" t="inlineStr">
        <is>
          <t>AmerBox Pizzaballenbox 60 x 40 x 9,5 cm</t>
        </is>
      </c>
      <c r="E78" s="27" t="inlineStr">
        <is>
          <t>AmerBox</t>
        </is>
      </c>
      <c r="F78" s="28" t="inlineStr">
        <is>
          <t>https://www.allpax.de/product_info.php/info/AmerBox-Pizzaballenbox-60-x-40-x-9-5-cm.html</t>
        </is>
      </c>
      <c r="G78" s="121" t="n">
        <v>13.95</v>
      </c>
      <c r="H78" s="27" t="inlineStr">
        <is>
          <t>excl.</t>
        </is>
      </c>
      <c r="I78" s="117" t="n">
        <v>1</v>
      </c>
      <c r="J78" s="27" t="n"/>
      <c r="K78" s="121" t="n">
        <v>13.95</v>
      </c>
      <c r="L78" s="27" t="inlineStr">
        <is>
          <t>CLOSE</t>
        </is>
      </c>
      <c r="M78" s="27" t="inlineStr">
        <is>
          <t>95 mm high and polyethylene (vs 100 mm PP), 18 l</t>
        </is>
      </c>
      <c r="N78" s="27" t="inlineStr">
        <is>
          <t>2026-09-30</t>
        </is>
      </c>
      <c r="O78" s="2" t="n"/>
      <c r="P78" s="2" t="n"/>
      <c r="Q78" s="2" t="n"/>
      <c r="R78" s="2" t="n"/>
      <c r="S78" s="2" t="n"/>
      <c r="T78" s="2" t="n"/>
      <c r="U78" s="2" t="n"/>
      <c r="V78" s="2" t="n"/>
      <c r="W78" s="2" t="n"/>
      <c r="X78" s="2" t="n"/>
      <c r="Y78" s="2" t="n"/>
      <c r="Z78" s="2" t="n"/>
      <c r="AA78" s="2" t="n"/>
      <c r="AB78" s="2" t="n"/>
      <c r="AC78" s="2" t="n"/>
    </row>
    <row r="79" ht="50" customHeight="1">
      <c r="A79" s="2" t="n"/>
      <c r="B79" s="24" t="inlineStr">
        <is>
          <t>Pizza dough box 600x400x100 mm, PP</t>
        </is>
      </c>
      <c r="C79" s="24" t="inlineStr">
        <is>
          <t>GGM Gastro</t>
        </is>
      </c>
      <c r="D79" s="24" t="inlineStr">
        <is>
          <t>9-tlg Teigbehälter-Set - 8 Behälter &amp; 1 Deckel - EN 600x400 - Höhe: 100mm - Polypropylen</t>
        </is>
      </c>
      <c r="E79" s="24" t="inlineStr">
        <is>
          <t>GGM</t>
        </is>
      </c>
      <c r="F79" s="25" t="inlineStr">
        <is>
          <t>https://www.ggmgastro.com/de-de-eur/9-tlg-teigbehaelter-set-8-behaelter-und-1-deckel-en-600x400-hoehe-100mm-polypropylen-weiss-tbpp6410</t>
        </is>
      </c>
      <c r="G79" s="120" t="n">
        <v>73.98999999999999</v>
      </c>
      <c r="H79" s="24" t="inlineStr">
        <is>
          <t>excl.</t>
        </is>
      </c>
      <c r="I79" s="116" t="n">
        <v>8</v>
      </c>
      <c r="J79" s="24" t="inlineStr">
        <is>
          <t>8 boxes + 1 lid</t>
        </is>
      </c>
      <c r="K79" s="120" t="n">
        <v>9.25</v>
      </c>
      <c r="L79" s="24" t="inlineStr">
        <is>
          <t>CLOSE</t>
        </is>
      </c>
      <c r="M79" s="24" t="inlineStr">
        <is>
          <t>Only sold as a set of 8 boxes plus 1 lid; net per box includes a share of the lid</t>
        </is>
      </c>
      <c r="N79" s="24" t="inlineStr">
        <is>
          <t>2026-09-30</t>
        </is>
      </c>
      <c r="O79" s="2" t="n"/>
      <c r="P79" s="2" t="n"/>
      <c r="Q79" s="2" t="n"/>
      <c r="R79" s="2" t="n"/>
      <c r="S79" s="2" t="n"/>
      <c r="T79" s="2" t="n"/>
      <c r="U79" s="2" t="n"/>
      <c r="V79" s="2" t="n"/>
      <c r="W79" s="2" t="n"/>
      <c r="X79" s="2" t="n"/>
      <c r="Y79" s="2" t="n"/>
      <c r="Z79" s="2" t="n"/>
      <c r="AA79" s="2" t="n"/>
      <c r="AB79" s="2" t="n"/>
      <c r="AC79" s="2" t="n"/>
    </row>
    <row r="80" ht="36" customHeight="1">
      <c r="A80" s="2" t="n"/>
      <c r="B80" s="27" t="inlineStr">
        <is>
          <t>Pizza dough box 600x400x100 mm, PP</t>
        </is>
      </c>
      <c r="C80" s="27" t="inlineStr">
        <is>
          <t>GastroHero</t>
        </is>
      </c>
      <c r="D80" s="27" t="inlineStr">
        <is>
          <t>Pizzateigbox 18 l 600x400x95 mm</t>
        </is>
      </c>
      <c r="E80" s="27" t="inlineStr">
        <is>
          <t>Hendi</t>
        </is>
      </c>
      <c r="F80" s="28" t="inlineStr">
        <is>
          <t>https://www.gastro-hero.de/products/pizzateigbox-18-l-600x400x95-mm</t>
        </is>
      </c>
      <c r="G80" s="121" t="n">
        <v>11.89</v>
      </c>
      <c r="H80" s="27" t="inlineStr">
        <is>
          <t>excl.</t>
        </is>
      </c>
      <c r="I80" s="117" t="n">
        <v>1</v>
      </c>
      <c r="J80" s="27" t="n"/>
      <c r="K80" s="121" t="n">
        <v>11.89</v>
      </c>
      <c r="L80" s="27" t="inlineStr">
        <is>
          <t>CLOSE</t>
        </is>
      </c>
      <c r="M80" s="27" t="inlineStr">
        <is>
          <t>95 mm high; material PET (not PP)</t>
        </is>
      </c>
      <c r="N80" s="27" t="inlineStr">
        <is>
          <t>2026-09-30</t>
        </is>
      </c>
      <c r="O80" s="2" t="n"/>
      <c r="P80" s="2" t="n"/>
      <c r="Q80" s="2" t="n"/>
      <c r="R80" s="2" t="n"/>
      <c r="S80" s="2" t="n"/>
      <c r="T80" s="2" t="n"/>
      <c r="U80" s="2" t="n"/>
      <c r="V80" s="2" t="n"/>
      <c r="W80" s="2" t="n"/>
      <c r="X80" s="2" t="n"/>
      <c r="Y80" s="2" t="n"/>
      <c r="Z80" s="2" t="n"/>
      <c r="AA80" s="2" t="n"/>
      <c r="AB80" s="2" t="n"/>
      <c r="AC80" s="2" t="n"/>
    </row>
    <row r="81" ht="36" customHeight="1">
      <c r="A81" s="2" t="n"/>
      <c r="B81" s="24" t="inlineStr">
        <is>
          <t>Pizza dough box 600x400x100 mm, PP</t>
        </is>
      </c>
      <c r="C81" s="24" t="inlineStr">
        <is>
          <t>Gastrodax [substitute]</t>
        </is>
      </c>
      <c r="D81" s="24" t="inlineStr">
        <is>
          <t>Hendi Pizzateigbox 600x400, AmerBox, Kitchen Line, 18L, 600x400x(H)95mm</t>
        </is>
      </c>
      <c r="E81" s="24" t="inlineStr">
        <is>
          <t>Hendi</t>
        </is>
      </c>
      <c r="F81" s="25" t="inlineStr">
        <is>
          <t>https://www.gastrodax.de/hendi-pizzateig-box-kitchen-line-18-l-600-x-400-x-h-95-mm</t>
        </is>
      </c>
      <c r="G81" s="120" t="n">
        <v>21.38</v>
      </c>
      <c r="H81" s="24" t="inlineStr">
        <is>
          <t>excl.</t>
        </is>
      </c>
      <c r="I81" s="116" t="n">
        <v>1</v>
      </c>
      <c r="J81" s="24" t="n"/>
      <c r="K81" s="120" t="n">
        <v>21.38</v>
      </c>
      <c r="L81" s="24" t="inlineStr">
        <is>
          <t>CLOSE</t>
        </is>
      </c>
      <c r="M81" s="24" t="inlineStr">
        <is>
          <t>95 mm instead of 100 mm; material not stated</t>
        </is>
      </c>
      <c r="N81" s="24" t="inlineStr">
        <is>
          <t>2026-09-30</t>
        </is>
      </c>
      <c r="O81" s="2" t="n"/>
      <c r="P81" s="2" t="n"/>
      <c r="Q81" s="2" t="n"/>
      <c r="R81" s="2" t="n"/>
      <c r="S81" s="2" t="n"/>
      <c r="T81" s="2" t="n"/>
      <c r="U81" s="2" t="n"/>
      <c r="V81" s="2" t="n"/>
      <c r="W81" s="2" t="n"/>
      <c r="X81" s="2" t="n"/>
      <c r="Y81" s="2" t="n"/>
      <c r="Z81" s="2" t="n"/>
      <c r="AA81" s="2" t="n"/>
      <c r="AB81" s="2" t="n"/>
      <c r="AC81" s="2" t="n"/>
    </row>
    <row r="82" ht="36" customHeight="1">
      <c r="A82" s="2" t="n"/>
      <c r="B82" s="27" t="inlineStr">
        <is>
          <t>Pizza dough box 600x400x100 mm, PP</t>
        </is>
      </c>
      <c r="C82" s="27" t="inlineStr">
        <is>
          <t>Gastroladen.de (Harotec GmbH) [substitute]</t>
        </is>
      </c>
      <c r="D82" s="27" t="inlineStr">
        <is>
          <t>Gastronoble Stapelbarer Pizzateigbehälter 9,5cm (60x40)</t>
        </is>
      </c>
      <c r="E82" s="27" t="inlineStr">
        <is>
          <t>Gastronoble</t>
        </is>
      </c>
      <c r="F82" s="28" t="inlineStr">
        <is>
          <t>https://www.gastroladen.de/x1090@GN-GN537/Gastronoble-Stapelbarer-Pizzateigbeh%C3%A4lter-9-5cm.htm</t>
        </is>
      </c>
      <c r="G82" s="121" t="n">
        <v>31.9</v>
      </c>
      <c r="H82" s="27" t="inlineStr">
        <is>
          <t>incl.</t>
        </is>
      </c>
      <c r="I82" s="117" t="n">
        <v>1</v>
      </c>
      <c r="J82" s="27" t="n"/>
      <c r="K82" s="121" t="n">
        <v>26.81</v>
      </c>
      <c r="L82" s="27" t="inlineStr">
        <is>
          <t>CLOSE</t>
        </is>
      </c>
      <c r="M82" s="27" t="inlineStr">
        <is>
          <t>95 mm high and polyethylene (vs 100 mm PP)</t>
        </is>
      </c>
      <c r="N82" s="27" t="inlineStr">
        <is>
          <t>2026-09-30</t>
        </is>
      </c>
      <c r="O82" s="2" t="n"/>
      <c r="P82" s="2" t="n"/>
      <c r="Q82" s="2" t="n"/>
      <c r="R82" s="2" t="n"/>
      <c r="S82" s="2" t="n"/>
      <c r="T82" s="2" t="n"/>
      <c r="U82" s="2" t="n"/>
      <c r="V82" s="2" t="n"/>
      <c r="W82" s="2" t="n"/>
      <c r="X82" s="2" t="n"/>
      <c r="Y82" s="2" t="n"/>
      <c r="Z82" s="2" t="n"/>
      <c r="AA82" s="2" t="n"/>
      <c r="AB82" s="2" t="n"/>
      <c r="AC82" s="2" t="n"/>
    </row>
    <row r="83" ht="36" customHeight="1">
      <c r="A83" s="2" t="n"/>
      <c r="B83" s="24" t="inlineStr">
        <is>
          <t>Pizza dough box 600x400x100 mm, PP</t>
        </is>
      </c>
      <c r="C83" s="24" t="inlineStr">
        <is>
          <t>Intergastro</t>
        </is>
      </c>
      <c r="D83" s="24" t="inlineStr">
        <is>
          <t>Pizzaballenbehälter, Polyethylen 600x400x100 mm</t>
        </is>
      </c>
      <c r="E83" s="24" t="inlineStr">
        <is>
          <t>Stalgast</t>
        </is>
      </c>
      <c r="F83" s="25" t="inlineStr">
        <is>
          <t>https://www.intergastro.de/pizzaballenbehaelter-polyethylen-600x400x100-mm-bxtxh-1027185</t>
        </is>
      </c>
      <c r="G83" s="120" t="n">
        <v>21.18</v>
      </c>
      <c r="H83" s="24" t="inlineStr">
        <is>
          <t>excl.</t>
        </is>
      </c>
      <c r="I83" s="116" t="n">
        <v>1</v>
      </c>
      <c r="J83" s="24" t="n"/>
      <c r="K83" s="120" t="n">
        <v>21.18</v>
      </c>
      <c r="L83" s="24" t="inlineStr">
        <is>
          <t>CLOSE</t>
        </is>
      </c>
      <c r="M83" s="24" t="inlineStr">
        <is>
          <t>Polyethylene instead of PP</t>
        </is>
      </c>
      <c r="N83" s="24" t="inlineStr">
        <is>
          <t>2026-09-30</t>
        </is>
      </c>
      <c r="O83" s="2" t="n"/>
      <c r="P83" s="2" t="n"/>
      <c r="Q83" s="2" t="n"/>
      <c r="R83" s="2" t="n"/>
      <c r="S83" s="2" t="n"/>
      <c r="T83" s="2" t="n"/>
      <c r="U83" s="2" t="n"/>
      <c r="V83" s="2" t="n"/>
      <c r="W83" s="2" t="n"/>
      <c r="X83" s="2" t="n"/>
      <c r="Y83" s="2" t="n"/>
      <c r="Z83" s="2" t="n"/>
      <c r="AA83" s="2" t="n"/>
      <c r="AB83" s="2" t="n"/>
      <c r="AC83" s="2" t="n"/>
    </row>
    <row r="84" ht="36" customHeight="1">
      <c r="A84" s="2" t="n"/>
      <c r="B84" s="27" t="inlineStr">
        <is>
          <t>Pizza dough box 600x400x100 mm, PP</t>
        </is>
      </c>
      <c r="C84" s="27" t="inlineStr">
        <is>
          <t>Nisbets</t>
        </is>
      </c>
      <c r="D84" s="27" t="inlineStr">
        <is>
          <t>Stapelbarer Pizzateigbehälter 9,5cm (60x40)</t>
        </is>
      </c>
      <c r="E84" s="27" t="inlineStr">
        <is>
          <t>Gastronoble</t>
        </is>
      </c>
      <c r="F84" s="28" t="inlineStr">
        <is>
          <t>https://www.nisbets.de/stapelbarer-pizzateigbehlter-95mm/gn537</t>
        </is>
      </c>
      <c r="G84" s="121" t="n">
        <v>25.99</v>
      </c>
      <c r="H84" s="27" t="inlineStr">
        <is>
          <t>excl.</t>
        </is>
      </c>
      <c r="I84" s="117" t="n">
        <v>1</v>
      </c>
      <c r="J84" s="27" t="n"/>
      <c r="K84" s="121" t="n">
        <v>25.99</v>
      </c>
      <c r="L84" s="27" t="inlineStr">
        <is>
          <t>CLOSE</t>
        </is>
      </c>
      <c r="M84" s="27" t="inlineStr">
        <is>
          <t>95 mm high and polyethylene (vs 100 mm PP)</t>
        </is>
      </c>
      <c r="N84" s="27" t="inlineStr">
        <is>
          <t>2026-09-30</t>
        </is>
      </c>
      <c r="O84" s="2" t="n"/>
      <c r="P84" s="2" t="n"/>
      <c r="Q84" s="2" t="n"/>
      <c r="R84" s="2" t="n"/>
      <c r="S84" s="2" t="n"/>
      <c r="T84" s="2" t="n"/>
      <c r="U84" s="2" t="n"/>
      <c r="V84" s="2" t="n"/>
      <c r="W84" s="2" t="n"/>
      <c r="X84" s="2" t="n"/>
      <c r="Y84" s="2" t="n"/>
      <c r="Z84" s="2" t="n"/>
      <c r="AA84" s="2" t="n"/>
      <c r="AB84" s="2" t="n"/>
      <c r="AC84" s="2" t="n"/>
    </row>
    <row r="85" ht="36" customHeight="1">
      <c r="A85" s="2" t="n"/>
      <c r="B85" s="24" t="inlineStr">
        <is>
          <t>Lid for 600x400 dough box</t>
        </is>
      </c>
      <c r="C85" s="24" t="inlineStr">
        <is>
          <t>GastroHero</t>
        </is>
      </c>
      <c r="D85" s="24" t="inlineStr">
        <is>
          <t>APS Deckel zu Pizzaballenbehälter</t>
        </is>
      </c>
      <c r="E85" s="24" t="inlineStr">
        <is>
          <t>APS</t>
        </is>
      </c>
      <c r="F85" s="25" t="inlineStr">
        <is>
          <t>https://www.gastro-hero.de/products/aps-deckel-zu-pizzaballenbehaelter-aps82441</t>
        </is>
      </c>
      <c r="G85" s="120" t="n">
        <v>8.69</v>
      </c>
      <c r="H85" s="24" t="inlineStr">
        <is>
          <t>excl.</t>
        </is>
      </c>
      <c r="I85" s="116" t="n">
        <v>1</v>
      </c>
      <c r="J85" s="24" t="n"/>
      <c r="K85" s="120" t="n">
        <v>8.69</v>
      </c>
      <c r="L85" s="24" t="inlineStr">
        <is>
          <t>EXACT</t>
        </is>
      </c>
      <c r="M85" s="24" t="inlineStr">
        <is>
          <t>PE, 600x400x10 mm; min. qty 2</t>
        </is>
      </c>
      <c r="N85" s="24" t="inlineStr">
        <is>
          <t>2026-09-30</t>
        </is>
      </c>
      <c r="O85" s="2" t="n"/>
      <c r="P85" s="2" t="n"/>
      <c r="Q85" s="2" t="n"/>
      <c r="R85" s="2" t="n"/>
      <c r="S85" s="2" t="n"/>
      <c r="T85" s="2" t="n"/>
      <c r="U85" s="2" t="n"/>
      <c r="V85" s="2" t="n"/>
      <c r="W85" s="2" t="n"/>
      <c r="X85" s="2" t="n"/>
      <c r="Y85" s="2" t="n"/>
      <c r="Z85" s="2" t="n"/>
      <c r="AA85" s="2" t="n"/>
      <c r="AB85" s="2" t="n"/>
      <c r="AC85" s="2" t="n"/>
    </row>
    <row r="86" ht="36" customHeight="1">
      <c r="A86" s="2" t="n"/>
      <c r="B86" s="27" t="inlineStr">
        <is>
          <t>Lid for 600x400 dough box</t>
        </is>
      </c>
      <c r="C86" s="27" t="inlineStr">
        <is>
          <t>Gastrodax [substitute]</t>
        </is>
      </c>
      <c r="D86" s="27" t="inlineStr">
        <is>
          <t>Contacto Deckel zu Pizzaballenbehälter 600 x 400 mm</t>
        </is>
      </c>
      <c r="E86" s="27" t="inlineStr">
        <is>
          <t>Contacto</t>
        </is>
      </c>
      <c r="F86" s="28" t="inlineStr">
        <is>
          <t>https://www.gastrodax.de/contacto-deckel-zu-pizzaballenbehaelter-fuer-2510</t>
        </is>
      </c>
      <c r="G86" s="121" t="n">
        <v>8</v>
      </c>
      <c r="H86" s="27" t="inlineStr">
        <is>
          <t>excl.</t>
        </is>
      </c>
      <c r="I86" s="117" t="n">
        <v>1</v>
      </c>
      <c r="J86" s="27" t="n"/>
      <c r="K86" s="121" t="n">
        <v>8</v>
      </c>
      <c r="L86" s="27" t="inlineStr">
        <is>
          <t>EXACT</t>
        </is>
      </c>
      <c r="M86" s="27" t="inlineStr">
        <is>
          <t>HD-polyethylene; sale price, normal 10.00</t>
        </is>
      </c>
      <c r="N86" s="27" t="inlineStr">
        <is>
          <t>2026-09-30</t>
        </is>
      </c>
      <c r="O86" s="2" t="n"/>
      <c r="P86" s="2" t="n"/>
      <c r="Q86" s="2" t="n"/>
      <c r="R86" s="2" t="n"/>
      <c r="S86" s="2" t="n"/>
      <c r="T86" s="2" t="n"/>
      <c r="U86" s="2" t="n"/>
      <c r="V86" s="2" t="n"/>
      <c r="W86" s="2" t="n"/>
      <c r="X86" s="2" t="n"/>
      <c r="Y86" s="2" t="n"/>
      <c r="Z86" s="2" t="n"/>
      <c r="AA86" s="2" t="n"/>
      <c r="AB86" s="2" t="n"/>
      <c r="AC86" s="2" t="n"/>
    </row>
    <row r="87" ht="36" customHeight="1">
      <c r="A87" s="2" t="n"/>
      <c r="B87" s="24" t="inlineStr">
        <is>
          <t>Lid for 600x400 dough box</t>
        </is>
      </c>
      <c r="C87" s="24" t="inlineStr">
        <is>
          <t>Gastroladen.de (Harotec GmbH) [substitute]</t>
        </is>
      </c>
      <c r="D87" s="24" t="inlineStr">
        <is>
          <t>Gastronoble Deckel für stapelbare Pizzateigbehälter 60x40cm</t>
        </is>
      </c>
      <c r="E87" s="24" t="inlineStr">
        <is>
          <t>Gastronoble</t>
        </is>
      </c>
      <c r="F87" s="25" t="inlineStr">
        <is>
          <t>https://www.gastroladen.de/x1090@GN-GN539/Gastronoble-Deckel-f%C3%BCr-stapelbare-Pizzateigbeh%C3%A4lter-60x40cm.htm</t>
        </is>
      </c>
      <c r="G87" s="120" t="n">
        <v>27.19</v>
      </c>
      <c r="H87" s="24" t="inlineStr">
        <is>
          <t>incl.</t>
        </is>
      </c>
      <c r="I87" s="116" t="n">
        <v>1</v>
      </c>
      <c r="J87" s="24" t="n"/>
      <c r="K87" s="120" t="n">
        <v>22.85</v>
      </c>
      <c r="L87" s="24" t="inlineStr">
        <is>
          <t>EXACT</t>
        </is>
      </c>
      <c r="M87" s="24" t="inlineStr">
        <is>
          <t>PE lid</t>
        </is>
      </c>
      <c r="N87" s="24" t="inlineStr">
        <is>
          <t>2026-09-30</t>
        </is>
      </c>
      <c r="O87" s="2" t="n"/>
      <c r="P87" s="2" t="n"/>
      <c r="Q87" s="2" t="n"/>
      <c r="R87" s="2" t="n"/>
      <c r="S87" s="2" t="n"/>
      <c r="T87" s="2" t="n"/>
      <c r="U87" s="2" t="n"/>
      <c r="V87" s="2" t="n"/>
      <c r="W87" s="2" t="n"/>
      <c r="X87" s="2" t="n"/>
      <c r="Y87" s="2" t="n"/>
      <c r="Z87" s="2" t="n"/>
      <c r="AA87" s="2" t="n"/>
      <c r="AB87" s="2" t="n"/>
      <c r="AC87" s="2" t="n"/>
    </row>
    <row r="88" ht="36" customHeight="1">
      <c r="A88" s="2" t="n"/>
      <c r="B88" s="27" t="inlineStr">
        <is>
          <t>Lid for 600x400 dough box</t>
        </is>
      </c>
      <c r="C88" s="27" t="inlineStr">
        <is>
          <t>Intergastro</t>
        </is>
      </c>
      <c r="D88" s="27" t="inlineStr">
        <is>
          <t>Deckel für Pizzaballenbehälter, PP, 60 x 40 x 2 cm</t>
        </is>
      </c>
      <c r="E88" s="27" t="inlineStr">
        <is>
          <t>WAS Germany</t>
        </is>
      </c>
      <c r="F88" s="28" t="inlineStr">
        <is>
          <t>https://www.intergastro.de/deckel-fuer-pizzaballenbehaelter-art-967927-pp-60-x-40-x-2-cm-967928</t>
        </is>
      </c>
      <c r="G88" s="121" t="n">
        <v>7.95</v>
      </c>
      <c r="H88" s="27" t="inlineStr">
        <is>
          <t>excl.</t>
        </is>
      </c>
      <c r="I88" s="117" t="n">
        <v>1</v>
      </c>
      <c r="J88" s="27" t="n"/>
      <c r="K88" s="121" t="n">
        <v>7.95</v>
      </c>
      <c r="L88" s="27" t="inlineStr">
        <is>
          <t>EXACT</t>
        </is>
      </c>
      <c r="M88" s="27" t="n"/>
      <c r="N88" s="27" t="inlineStr">
        <is>
          <t>2026-09-30</t>
        </is>
      </c>
      <c r="O88" s="2" t="n"/>
      <c r="P88" s="2" t="n"/>
      <c r="Q88" s="2" t="n"/>
      <c r="R88" s="2" t="n"/>
      <c r="S88" s="2" t="n"/>
      <c r="T88" s="2" t="n"/>
      <c r="U88" s="2" t="n"/>
      <c r="V88" s="2" t="n"/>
      <c r="W88" s="2" t="n"/>
      <c r="X88" s="2" t="n"/>
      <c r="Y88" s="2" t="n"/>
      <c r="Z88" s="2" t="n"/>
      <c r="AA88" s="2" t="n"/>
      <c r="AB88" s="2" t="n"/>
      <c r="AC88" s="2" t="n"/>
    </row>
    <row r="89" ht="36" customHeight="1">
      <c r="A89" s="2" t="n"/>
      <c r="B89" s="24" t="inlineStr">
        <is>
          <t>Lid for 600x400 dough box</t>
        </is>
      </c>
      <c r="C89" s="24" t="inlineStr">
        <is>
          <t>Nisbets</t>
        </is>
      </c>
      <c r="D89" s="24" t="inlineStr">
        <is>
          <t>Deckel für stapelbare Pizzateigbehälter 60x40cm</t>
        </is>
      </c>
      <c r="E89" s="24" t="inlineStr">
        <is>
          <t>Gastronoble</t>
        </is>
      </c>
      <c r="F89" s="25" t="inlineStr">
        <is>
          <t>https://www.nisbets.de/deckel-fr-stapelbare-pizzateigbehlter-60x40cm/gn539</t>
        </is>
      </c>
      <c r="G89" s="120" t="n">
        <v>16.99</v>
      </c>
      <c r="H89" s="24" t="inlineStr">
        <is>
          <t>excl.</t>
        </is>
      </c>
      <c r="I89" s="116" t="n">
        <v>1</v>
      </c>
      <c r="J89" s="24" t="n"/>
      <c r="K89" s="120" t="n">
        <v>16.99</v>
      </c>
      <c r="L89" s="24" t="inlineStr">
        <is>
          <t>EXACT</t>
        </is>
      </c>
      <c r="M89" s="24" t="inlineStr">
        <is>
          <t>PE</t>
        </is>
      </c>
      <c r="N89" s="24" t="inlineStr">
        <is>
          <t>2026-09-30</t>
        </is>
      </c>
      <c r="O89" s="2" t="n"/>
      <c r="P89" s="2" t="n"/>
      <c r="Q89" s="2" t="n"/>
      <c r="R89" s="2" t="n"/>
      <c r="S89" s="2" t="n"/>
      <c r="T89" s="2" t="n"/>
      <c r="U89" s="2" t="n"/>
      <c r="V89" s="2" t="n"/>
      <c r="W89" s="2" t="n"/>
      <c r="X89" s="2" t="n"/>
      <c r="Y89" s="2" t="n"/>
      <c r="Z89" s="2" t="n"/>
      <c r="AA89" s="2" t="n"/>
      <c r="AB89" s="2" t="n"/>
      <c r="AC89" s="2" t="n"/>
    </row>
    <row r="90" ht="36" customHeight="1">
      <c r="A90" s="2" t="n"/>
      <c r="B90" s="27" t="inlineStr">
        <is>
          <t>Pizza dough box 600x400x75 mm, PE</t>
        </is>
      </c>
      <c r="C90" s="27" t="inlineStr">
        <is>
          <t>ALLPAX</t>
        </is>
      </c>
      <c r="D90" s="27" t="inlineStr">
        <is>
          <t>AmerBox Pizzaballenbox 60 x 40 x 7,5 cm</t>
        </is>
      </c>
      <c r="E90" s="27" t="inlineStr">
        <is>
          <t>AmerBox</t>
        </is>
      </c>
      <c r="F90" s="28" t="inlineStr">
        <is>
          <t>https://www.allpax.de/product_info.php/info/AmerBox-Pizzaballenbox-60-x-40-x-7-5-cm.html</t>
        </is>
      </c>
      <c r="G90" s="121" t="n">
        <v>12.8</v>
      </c>
      <c r="H90" s="27" t="inlineStr">
        <is>
          <t>excl.</t>
        </is>
      </c>
      <c r="I90" s="117" t="n">
        <v>1</v>
      </c>
      <c r="J90" s="27" t="n"/>
      <c r="K90" s="121" t="n">
        <v>12.8</v>
      </c>
      <c r="L90" s="27" t="inlineStr">
        <is>
          <t>EXACT</t>
        </is>
      </c>
      <c r="M90" s="27" t="inlineStr">
        <is>
          <t>Polyethylene, 14 l</t>
        </is>
      </c>
      <c r="N90" s="27" t="inlineStr">
        <is>
          <t>2026-09-30</t>
        </is>
      </c>
      <c r="O90" s="2" t="n"/>
      <c r="P90" s="2" t="n"/>
      <c r="Q90" s="2" t="n"/>
      <c r="R90" s="2" t="n"/>
      <c r="S90" s="2" t="n"/>
      <c r="T90" s="2" t="n"/>
      <c r="U90" s="2" t="n"/>
      <c r="V90" s="2" t="n"/>
      <c r="W90" s="2" t="n"/>
      <c r="X90" s="2" t="n"/>
      <c r="Y90" s="2" t="n"/>
      <c r="Z90" s="2" t="n"/>
      <c r="AA90" s="2" t="n"/>
      <c r="AB90" s="2" t="n"/>
      <c r="AC90" s="2" t="n"/>
    </row>
    <row r="91" ht="36" customHeight="1">
      <c r="A91" s="2" t="n"/>
      <c r="B91" s="24" t="inlineStr">
        <is>
          <t>Pizza dough box 600x400x75 mm, PE</t>
        </is>
      </c>
      <c r="C91" s="24" t="inlineStr">
        <is>
          <t>GGM Gastro</t>
        </is>
      </c>
      <c r="D91" s="24" t="inlineStr">
        <is>
          <t>(8 Stück) Teigbehälter - EN 600x400 - Weiß (70 mm)</t>
        </is>
      </c>
      <c r="E91" s="24" t="inlineStr">
        <is>
          <t>GGM</t>
        </is>
      </c>
      <c r="F91" s="25" t="inlineStr">
        <is>
          <t>https://www.ggmgastro.com/de-de-eur/8-stueck-teigbehaelter-en-600x400-weiss-tbp647</t>
        </is>
      </c>
      <c r="G91" s="120" t="n">
        <v>74.98999999999999</v>
      </c>
      <c r="H91" s="24" t="inlineStr">
        <is>
          <t>excl.</t>
        </is>
      </c>
      <c r="I91" s="116" t="n">
        <v>8</v>
      </c>
      <c r="J91" s="24" t="inlineStr">
        <is>
          <t>set of 8</t>
        </is>
      </c>
      <c r="K91" s="120" t="n">
        <v>9.369999999999999</v>
      </c>
      <c r="L91" s="24" t="inlineStr">
        <is>
          <t>CLOSE</t>
        </is>
      </c>
      <c r="M91" s="24" t="inlineStr">
        <is>
          <t>70 mm high, polypropylene (vs 75 mm PE)</t>
        </is>
      </c>
      <c r="N91" s="24" t="inlineStr">
        <is>
          <t>2026-09-30</t>
        </is>
      </c>
      <c r="O91" s="2" t="n"/>
      <c r="P91" s="2" t="n"/>
      <c r="Q91" s="2" t="n"/>
      <c r="R91" s="2" t="n"/>
      <c r="S91" s="2" t="n"/>
      <c r="T91" s="2" t="n"/>
      <c r="U91" s="2" t="n"/>
      <c r="V91" s="2" t="n"/>
      <c r="W91" s="2" t="n"/>
      <c r="X91" s="2" t="n"/>
      <c r="Y91" s="2" t="n"/>
      <c r="Z91" s="2" t="n"/>
      <c r="AA91" s="2" t="n"/>
      <c r="AB91" s="2" t="n"/>
      <c r="AC91" s="2" t="n"/>
    </row>
    <row r="92" ht="36" customHeight="1">
      <c r="A92" s="2" t="n"/>
      <c r="B92" s="27" t="inlineStr">
        <is>
          <t>Pizza dough box 600x400x75 mm, PE</t>
        </is>
      </c>
      <c r="C92" s="27" t="inlineStr">
        <is>
          <t>GastroHero</t>
        </is>
      </c>
      <c r="D92" s="27" t="inlineStr">
        <is>
          <t>Pizzaballenbehälter, weiß Polyethylen, 60x40x7,5cm</t>
        </is>
      </c>
      <c r="E92" s="27" t="inlineStr">
        <is>
          <t>Contacto</t>
        </is>
      </c>
      <c r="F92" s="28" t="inlineStr">
        <is>
          <t>https://www.gastro-hero.de/products/pizzaballenbehaelter-weiss-polyethylen-60x40x75cm-2510600</t>
        </is>
      </c>
      <c r="G92" s="121" t="n">
        <v>9.99</v>
      </c>
      <c r="H92" s="27" t="inlineStr">
        <is>
          <t>excl.</t>
        </is>
      </c>
      <c r="I92" s="117" t="n">
        <v>1</v>
      </c>
      <c r="J92" s="27" t="n"/>
      <c r="K92" s="121" t="n">
        <v>9.99</v>
      </c>
      <c r="L92" s="27" t="inlineStr">
        <is>
          <t>EXACT</t>
        </is>
      </c>
      <c r="M92" s="27" t="n"/>
      <c r="N92" s="27" t="inlineStr">
        <is>
          <t>2026-09-30</t>
        </is>
      </c>
      <c r="O92" s="2" t="n"/>
      <c r="P92" s="2" t="n"/>
      <c r="Q92" s="2" t="n"/>
      <c r="R92" s="2" t="n"/>
      <c r="S92" s="2" t="n"/>
      <c r="T92" s="2" t="n"/>
      <c r="U92" s="2" t="n"/>
      <c r="V92" s="2" t="n"/>
      <c r="W92" s="2" t="n"/>
      <c r="X92" s="2" t="n"/>
      <c r="Y92" s="2" t="n"/>
      <c r="Z92" s="2" t="n"/>
      <c r="AA92" s="2" t="n"/>
      <c r="AB92" s="2" t="n"/>
      <c r="AC92" s="2" t="n"/>
    </row>
    <row r="93" ht="36" customHeight="1">
      <c r="A93" s="2" t="n"/>
      <c r="B93" s="24" t="inlineStr">
        <is>
          <t>Pizza dough box 600x400x75 mm, PE</t>
        </is>
      </c>
      <c r="C93" s="24" t="inlineStr">
        <is>
          <t>Gastrodax [substitute]</t>
        </is>
      </c>
      <c r="D93" s="24" t="inlineStr">
        <is>
          <t>Contacto Pizzaballenbehälter 60 cm / 40 cm (600x400x75 mm)</t>
        </is>
      </c>
      <c r="E93" s="24" t="inlineStr">
        <is>
          <t>Contacto</t>
        </is>
      </c>
      <c r="F93" s="25" t="inlineStr">
        <is>
          <t>https://www.gastrodax.de/contacto-pizzaballenbehaelter-60-cm-40-cm</t>
        </is>
      </c>
      <c r="G93" s="120" t="n">
        <v>9.880000000000001</v>
      </c>
      <c r="H93" s="24" t="inlineStr">
        <is>
          <t>excl.</t>
        </is>
      </c>
      <c r="I93" s="116" t="n">
        <v>1</v>
      </c>
      <c r="J93" s="24" t="n"/>
      <c r="K93" s="120" t="n">
        <v>9.880000000000001</v>
      </c>
      <c r="L93" s="24" t="inlineStr">
        <is>
          <t>CLOSE</t>
        </is>
      </c>
      <c r="M93" s="24" t="inlineStr">
        <is>
          <t>Polypropylene instead of PE; sale price, normal 12.35. Hendi 600x400x75 (material not stated) 19.43</t>
        </is>
      </c>
      <c r="N93" s="24" t="inlineStr">
        <is>
          <t>2026-09-30</t>
        </is>
      </c>
      <c r="O93" s="2" t="n"/>
      <c r="P93" s="2" t="n"/>
      <c r="Q93" s="2" t="n"/>
      <c r="R93" s="2" t="n"/>
      <c r="S93" s="2" t="n"/>
      <c r="T93" s="2" t="n"/>
      <c r="U93" s="2" t="n"/>
      <c r="V93" s="2" t="n"/>
      <c r="W93" s="2" t="n"/>
      <c r="X93" s="2" t="n"/>
      <c r="Y93" s="2" t="n"/>
      <c r="Z93" s="2" t="n"/>
      <c r="AA93" s="2" t="n"/>
      <c r="AB93" s="2" t="n"/>
      <c r="AC93" s="2" t="n"/>
    </row>
    <row r="94" ht="36" customHeight="1">
      <c r="A94" s="2" t="n"/>
      <c r="B94" s="27" t="inlineStr">
        <is>
          <t>Pizza dough box 600x400x75 mm, PE</t>
        </is>
      </c>
      <c r="C94" s="27" t="inlineStr">
        <is>
          <t>Gastroladen.de (Harotec GmbH) [substitute]</t>
        </is>
      </c>
      <c r="D94" s="27" t="inlineStr">
        <is>
          <t>Gastronoble Stapelbarer Pizzateigbehälter 7,5cm (60x40)</t>
        </is>
      </c>
      <c r="E94" s="27" t="inlineStr">
        <is>
          <t>Gastronoble</t>
        </is>
      </c>
      <c r="F94" s="28" t="inlineStr">
        <is>
          <t>https://www.gastroladen.de/x1090@GN-GN536/Gastronoble-Stapelbarer-Pizzateigbeh%C3%A4lter-7-5cm.htm</t>
        </is>
      </c>
      <c r="G94" s="121" t="n">
        <v>31.9</v>
      </c>
      <c r="H94" s="27" t="inlineStr">
        <is>
          <t>incl.</t>
        </is>
      </c>
      <c r="I94" s="117" t="n">
        <v>1</v>
      </c>
      <c r="J94" s="27" t="n"/>
      <c r="K94" s="121" t="n">
        <v>26.81</v>
      </c>
      <c r="L94" s="27" t="inlineStr">
        <is>
          <t>EXACT</t>
        </is>
      </c>
      <c r="M94" s="27" t="inlineStr">
        <is>
          <t>PE</t>
        </is>
      </c>
      <c r="N94" s="27" t="inlineStr">
        <is>
          <t>2026-09-30</t>
        </is>
      </c>
      <c r="O94" s="2" t="n"/>
      <c r="P94" s="2" t="n"/>
      <c r="Q94" s="2" t="n"/>
      <c r="R94" s="2" t="n"/>
      <c r="S94" s="2" t="n"/>
      <c r="T94" s="2" t="n"/>
      <c r="U94" s="2" t="n"/>
      <c r="V94" s="2" t="n"/>
      <c r="W94" s="2" t="n"/>
      <c r="X94" s="2" t="n"/>
      <c r="Y94" s="2" t="n"/>
      <c r="Z94" s="2" t="n"/>
      <c r="AA94" s="2" t="n"/>
      <c r="AB94" s="2" t="n"/>
      <c r="AC94" s="2" t="n"/>
    </row>
    <row r="95" ht="36" customHeight="1">
      <c r="A95" s="2" t="n"/>
      <c r="B95" s="24" t="inlineStr">
        <is>
          <t>Pizza dough box 600x400x75 mm, PE</t>
        </is>
      </c>
      <c r="C95" s="24" t="inlineStr">
        <is>
          <t>Intergastro</t>
        </is>
      </c>
      <c r="D95" s="24" t="inlineStr">
        <is>
          <t>Teigbehälter / Pizzaballenbehälter 14 ltr 600 x 400 mm H 75 mm (Polyethylen)</t>
        </is>
      </c>
      <c r="E95" s="24" t="inlineStr">
        <is>
          <t>APS</t>
        </is>
      </c>
      <c r="F95" s="25" t="inlineStr">
        <is>
          <t>https://www.intergastro.de/teigbehaelter-pizzaballenbehaelter-14-ltr-600-mm-x-400-mm-h-75-mm-985534</t>
        </is>
      </c>
      <c r="G95" s="120" t="n">
        <v>9.970000000000001</v>
      </c>
      <c r="H95" s="24" t="inlineStr">
        <is>
          <t>excl.</t>
        </is>
      </c>
      <c r="I95" s="116" t="n">
        <v>1</v>
      </c>
      <c r="J95" s="24" t="n"/>
      <c r="K95" s="120" t="n">
        <v>9.970000000000001</v>
      </c>
      <c r="L95" s="24" t="inlineStr">
        <is>
          <t>EXACT</t>
        </is>
      </c>
      <c r="M95" s="24" t="n"/>
      <c r="N95" s="24" t="inlineStr">
        <is>
          <t>2026-09-30</t>
        </is>
      </c>
      <c r="O95" s="2" t="n"/>
      <c r="P95" s="2" t="n"/>
      <c r="Q95" s="2" t="n"/>
      <c r="R95" s="2" t="n"/>
      <c r="S95" s="2" t="n"/>
      <c r="T95" s="2" t="n"/>
      <c r="U95" s="2" t="n"/>
      <c r="V95" s="2" t="n"/>
      <c r="W95" s="2" t="n"/>
      <c r="X95" s="2" t="n"/>
      <c r="Y95" s="2" t="n"/>
      <c r="Z95" s="2" t="n"/>
      <c r="AA95" s="2" t="n"/>
      <c r="AB95" s="2" t="n"/>
      <c r="AC95" s="2" t="n"/>
    </row>
    <row r="96" ht="36" customHeight="1">
      <c r="A96" s="2" t="n"/>
      <c r="B96" s="27" t="inlineStr">
        <is>
          <t>Pizza dough box 600x400x75 mm, PE</t>
        </is>
      </c>
      <c r="C96" s="27" t="inlineStr">
        <is>
          <t>Nisbets</t>
        </is>
      </c>
      <c r="D96" s="27" t="inlineStr">
        <is>
          <t>Stapelbehälter 60x40x7,5cm</t>
        </is>
      </c>
      <c r="E96" s="27" t="inlineStr">
        <is>
          <t>Gastronoble</t>
        </is>
      </c>
      <c r="F96" s="28" t="inlineStr">
        <is>
          <t>https://www.nisbets.de/stapelbarer-pizzateigbehlter-75mm/gn536</t>
        </is>
      </c>
      <c r="G96" s="121" t="n">
        <v>25.99</v>
      </c>
      <c r="H96" s="27" t="inlineStr">
        <is>
          <t>excl.</t>
        </is>
      </c>
      <c r="I96" s="117" t="n">
        <v>1</v>
      </c>
      <c r="J96" s="27" t="n"/>
      <c r="K96" s="121" t="n">
        <v>25.99</v>
      </c>
      <c r="L96" s="27" t="inlineStr">
        <is>
          <t>EXACT</t>
        </is>
      </c>
      <c r="M96" s="27" t="inlineStr">
        <is>
          <t>Polyethylene</t>
        </is>
      </c>
      <c r="N96" s="27" t="inlineStr">
        <is>
          <t>2026-09-30</t>
        </is>
      </c>
      <c r="O96" s="2" t="n"/>
      <c r="P96" s="2" t="n"/>
      <c r="Q96" s="2" t="n"/>
      <c r="R96" s="2" t="n"/>
      <c r="S96" s="2" t="n"/>
      <c r="T96" s="2" t="n"/>
      <c r="U96" s="2" t="n"/>
      <c r="V96" s="2" t="n"/>
      <c r="W96" s="2" t="n"/>
      <c r="X96" s="2" t="n"/>
      <c r="Y96" s="2" t="n"/>
      <c r="Z96" s="2" t="n"/>
      <c r="AA96" s="2" t="n"/>
      <c r="AB96" s="2" t="n"/>
      <c r="AC96" s="2" t="n"/>
    </row>
    <row r="97" ht="36" customHeight="1">
      <c r="A97" s="2" t="n"/>
      <c r="B97" s="24" t="inlineStr">
        <is>
          <t>Front-loading insulated thermobox for GN 1/1 (~80-90 l)</t>
        </is>
      </c>
      <c r="C97" s="24" t="inlineStr">
        <is>
          <t>ALLPAX</t>
        </is>
      </c>
      <c r="D97" s="24" t="inlineStr">
        <is>
          <t>Hendi Thermobox für GN 1/1</t>
        </is>
      </c>
      <c r="E97" s="24" t="inlineStr">
        <is>
          <t>Hendi</t>
        </is>
      </c>
      <c r="F97" s="25" t="inlineStr">
        <is>
          <t>https://www.allpax.de/product_info.php/info/Hendi-Thermobox-fuer-GN-1-1.html</t>
        </is>
      </c>
      <c r="G97" s="120" t="n">
        <v>284</v>
      </c>
      <c r="H97" s="24" t="inlineStr">
        <is>
          <t>excl.</t>
        </is>
      </c>
      <c r="I97" s="116" t="n">
        <v>1</v>
      </c>
      <c r="J97" s="24" t="n"/>
      <c r="K97" s="120" t="n">
        <v>284</v>
      </c>
      <c r="L97" s="24" t="inlineStr">
        <is>
          <t>CLOSE</t>
        </is>
      </c>
      <c r="M97" s="24" t="inlineStr">
        <is>
          <t>Front-loading LDPE box with rails, 477x680x620 mm; inner 335x533x590 mm (~105 l, above 80-90 l)</t>
        </is>
      </c>
      <c r="N97" s="24" t="inlineStr">
        <is>
          <t>2026-09-30</t>
        </is>
      </c>
      <c r="O97" s="2" t="n"/>
      <c r="P97" s="2" t="n"/>
      <c r="Q97" s="2" t="n"/>
      <c r="R97" s="2" t="n"/>
      <c r="S97" s="2" t="n"/>
      <c r="T97" s="2" t="n"/>
      <c r="U97" s="2" t="n"/>
      <c r="V97" s="2" t="n"/>
      <c r="W97" s="2" t="n"/>
      <c r="X97" s="2" t="n"/>
      <c r="Y97" s="2" t="n"/>
      <c r="Z97" s="2" t="n"/>
      <c r="AA97" s="2" t="n"/>
      <c r="AB97" s="2" t="n"/>
      <c r="AC97" s="2" t="n"/>
    </row>
    <row r="98" ht="36" customHeight="1">
      <c r="A98" s="2" t="n"/>
      <c r="B98" s="27" t="inlineStr">
        <is>
          <t>Front-loading insulated thermobox for GN 1/1 (~80-90 l)</t>
        </is>
      </c>
      <c r="C98" s="27" t="inlineStr">
        <is>
          <t>GGM Gastro</t>
        </is>
      </c>
      <c r="D98" s="27" t="inlineStr">
        <is>
          <t>Porter - Frontlader - 83 Liter - für 12x GN 1/1</t>
        </is>
      </c>
      <c r="E98" s="27" t="inlineStr">
        <is>
          <t>GGM</t>
        </is>
      </c>
      <c r="F98" s="28" t="inlineStr">
        <is>
          <t>https://www.ggmgastro.com/de-de-eur/porter-frontlader-83-liter-fuer-12x-gn-1-1-plb-300</t>
        </is>
      </c>
      <c r="G98" s="121" t="n">
        <v>274.99</v>
      </c>
      <c r="H98" s="27" t="inlineStr">
        <is>
          <t>excl.</t>
        </is>
      </c>
      <c r="I98" s="117" t="n">
        <v>1</v>
      </c>
      <c r="J98" s="27" t="n"/>
      <c r="K98" s="121" t="n">
        <v>274.99</v>
      </c>
      <c r="L98" s="27" t="inlineStr">
        <is>
          <t>EXACT</t>
        </is>
      </c>
      <c r="M98" s="27" t="inlineStr">
        <is>
          <t>PP, 83 l. Cheaper PU 'Thermobox Frontlader 92 l' (tpbe92): 115.99 net</t>
        </is>
      </c>
      <c r="N98" s="27" t="inlineStr">
        <is>
          <t>2026-09-30</t>
        </is>
      </c>
      <c r="O98" s="2" t="n"/>
      <c r="P98" s="2" t="n"/>
      <c r="Q98" s="2" t="n"/>
      <c r="R98" s="2" t="n"/>
      <c r="S98" s="2" t="n"/>
      <c r="T98" s="2" t="n"/>
      <c r="U98" s="2" t="n"/>
      <c r="V98" s="2" t="n"/>
      <c r="W98" s="2" t="n"/>
      <c r="X98" s="2" t="n"/>
      <c r="Y98" s="2" t="n"/>
      <c r="Z98" s="2" t="n"/>
      <c r="AA98" s="2" t="n"/>
      <c r="AB98" s="2" t="n"/>
      <c r="AC98" s="2" t="n"/>
    </row>
    <row r="99" ht="36" customHeight="1">
      <c r="A99" s="2" t="n"/>
      <c r="B99" s="24" t="inlineStr">
        <is>
          <t>Front-loading insulated thermobox for GN 1/1 (~80-90 l)</t>
        </is>
      </c>
      <c r="C99" s="24" t="inlineStr">
        <is>
          <t>GastroHero</t>
        </is>
      </c>
      <c r="D99" s="24" t="inlineStr">
        <is>
          <t>Thermobox ECO GN 1/1 - Frontlader (90 l)</t>
        </is>
      </c>
      <c r="E99" s="24" t="inlineStr">
        <is>
          <t>GastroHero</t>
        </is>
      </c>
      <c r="F99" s="25" t="inlineStr">
        <is>
          <t>https://www.gastro-hero.de/products/thermobox-eco-gn-1-1-frontlader-thbe90</t>
        </is>
      </c>
      <c r="G99" s="120" t="n">
        <v>169.9</v>
      </c>
      <c r="H99" s="24" t="inlineStr">
        <is>
          <t>excl.</t>
        </is>
      </c>
      <c r="I99" s="116" t="n">
        <v>1</v>
      </c>
      <c r="J99" s="24" t="n"/>
      <c r="K99" s="120" t="n">
        <v>169.9</v>
      </c>
      <c r="L99" s="24" t="inlineStr">
        <is>
          <t>EXACT</t>
        </is>
      </c>
      <c r="M99" s="24" t="inlineStr">
        <is>
          <t>90 l; sale price (normal 349.00 net)</t>
        </is>
      </c>
      <c r="N99" s="24" t="inlineStr">
        <is>
          <t>2026-09-30</t>
        </is>
      </c>
      <c r="O99" s="2" t="n"/>
      <c r="P99" s="2" t="n"/>
      <c r="Q99" s="2" t="n"/>
      <c r="R99" s="2" t="n"/>
      <c r="S99" s="2" t="n"/>
      <c r="T99" s="2" t="n"/>
      <c r="U99" s="2" t="n"/>
      <c r="V99" s="2" t="n"/>
      <c r="W99" s="2" t="n"/>
      <c r="X99" s="2" t="n"/>
      <c r="Y99" s="2" t="n"/>
      <c r="Z99" s="2" t="n"/>
      <c r="AA99" s="2" t="n"/>
      <c r="AB99" s="2" t="n"/>
      <c r="AC99" s="2" t="n"/>
    </row>
    <row r="100" ht="36" customHeight="1">
      <c r="A100" s="2" t="n"/>
      <c r="B100" s="27" t="inlineStr">
        <is>
          <t>Front-loading insulated thermobox for GN 1/1 (~80-90 l)</t>
        </is>
      </c>
      <c r="C100" s="27" t="inlineStr">
        <is>
          <t>Gastrodax [substitute]</t>
        </is>
      </c>
      <c r="D100" s="27" t="inlineStr">
        <is>
          <t>Contacto Thermobox GN 1/1 Frontlader, 12 Auflageschienen</t>
        </is>
      </c>
      <c r="E100" s="27" t="inlineStr">
        <is>
          <t>Contacto</t>
        </is>
      </c>
      <c r="F100" s="28" t="inlineStr">
        <is>
          <t>https://www.gastrodax.de/contacto-thermobox-gn-1-1-1</t>
        </is>
      </c>
      <c r="G100" s="121" t="n">
        <v>229.14</v>
      </c>
      <c r="H100" s="27" t="inlineStr">
        <is>
          <t>excl.</t>
        </is>
      </c>
      <c r="I100" s="117" t="n">
        <v>1</v>
      </c>
      <c r="J100" s="27" t="n"/>
      <c r="K100" s="121" t="n">
        <v>229.14</v>
      </c>
      <c r="L100" s="27" t="inlineStr">
        <is>
          <t>CLOSE</t>
        </is>
      </c>
      <c r="M100" s="27" t="inlineStr">
        <is>
          <t>Front loader GN 1/1, 495x635x630 mm outside; volume not stated; sale price, normal 342.00</t>
        </is>
      </c>
      <c r="N100" s="27" t="inlineStr">
        <is>
          <t>2026-09-30</t>
        </is>
      </c>
      <c r="O100" s="2" t="n"/>
      <c r="P100" s="2" t="n"/>
      <c r="Q100" s="2" t="n"/>
      <c r="R100" s="2" t="n"/>
      <c r="S100" s="2" t="n"/>
      <c r="T100" s="2" t="n"/>
      <c r="U100" s="2" t="n"/>
      <c r="V100" s="2" t="n"/>
      <c r="W100" s="2" t="n"/>
      <c r="X100" s="2" t="n"/>
      <c r="Y100" s="2" t="n"/>
      <c r="Z100" s="2" t="n"/>
      <c r="AA100" s="2" t="n"/>
      <c r="AB100" s="2" t="n"/>
      <c r="AC100" s="2" t="n"/>
    </row>
    <row r="101" ht="36" customHeight="1">
      <c r="A101" s="2" t="n"/>
      <c r="B101" s="24" t="inlineStr">
        <is>
          <t>Front-loading insulated thermobox for GN 1/1 (~80-90 l)</t>
        </is>
      </c>
      <c r="C101" s="24" t="inlineStr">
        <is>
          <t>Gastroladen.de (Harotec GmbH) [substitute]</t>
        </is>
      </c>
      <c r="D101" s="24" t="inlineStr">
        <is>
          <t>Cambro isolierter Frontlader Lebensmitteltransportbehälter 86L</t>
        </is>
      </c>
      <c r="E101" s="24" t="inlineStr">
        <is>
          <t>Cambro</t>
        </is>
      </c>
      <c r="F101" s="25" t="inlineStr">
        <is>
          <t>https://www.gastroladen.de/0860@GN-DW565/Cambro-isolierter-Frontlader-Lebensmitteltransportbeh%C3%A4lter-86L.htm</t>
        </is>
      </c>
      <c r="G101" s="120" t="n">
        <v>324.9</v>
      </c>
      <c r="H101" s="24" t="inlineStr">
        <is>
          <t>incl.</t>
        </is>
      </c>
      <c r="I101" s="116" t="n">
        <v>1</v>
      </c>
      <c r="J101" s="24" t="n"/>
      <c r="K101" s="120" t="n">
        <v>273.03</v>
      </c>
      <c r="L101" s="24" t="inlineStr">
        <is>
          <t>EXACT</t>
        </is>
      </c>
      <c r="M101" s="24" t="inlineStr">
        <is>
          <t>For 4 x GN 1/1 100 mm; bulky item</t>
        </is>
      </c>
      <c r="N101" s="24" t="inlineStr">
        <is>
          <t>2026-09-30</t>
        </is>
      </c>
      <c r="O101" s="2" t="n"/>
      <c r="P101" s="2" t="n"/>
      <c r="Q101" s="2" t="n"/>
      <c r="R101" s="2" t="n"/>
      <c r="S101" s="2" t="n"/>
      <c r="T101" s="2" t="n"/>
      <c r="U101" s="2" t="n"/>
      <c r="V101" s="2" t="n"/>
      <c r="W101" s="2" t="n"/>
      <c r="X101" s="2" t="n"/>
      <c r="Y101" s="2" t="n"/>
      <c r="Z101" s="2" t="n"/>
      <c r="AA101" s="2" t="n"/>
      <c r="AB101" s="2" t="n"/>
      <c r="AC101" s="2" t="n"/>
    </row>
    <row r="102" ht="36" customHeight="1">
      <c r="A102" s="2" t="n"/>
      <c r="B102" s="27" t="inlineStr">
        <is>
          <t>Front-loading insulated thermobox for GN 1/1 (~80-90 l)</t>
        </is>
      </c>
      <c r="C102" s="27" t="inlineStr">
        <is>
          <t>Intergastro</t>
        </is>
      </c>
      <c r="D102" s="27" t="inlineStr">
        <is>
          <t>Box COMBI schwarz, 12 Einschübe, 83 ltr, 630 x 500 x 580 mm</t>
        </is>
      </c>
      <c r="E102" s="27" t="inlineStr">
        <is>
          <t>Thermohauser</t>
        </is>
      </c>
      <c r="F102" s="28" t="inlineStr">
        <is>
          <t>https://www.intergastro.de/box-combi-schwarz-12-einschuebe-83-ltr-630-mm-x-500-mm-h-580-mm-305715</t>
        </is>
      </c>
      <c r="G102" s="121" t="n">
        <v>265.95</v>
      </c>
      <c r="H102" s="27" t="inlineStr">
        <is>
          <t>excl.</t>
        </is>
      </c>
      <c r="I102" s="117" t="n">
        <v>1</v>
      </c>
      <c r="J102" s="27" t="n"/>
      <c r="K102" s="121" t="n">
        <v>265.95</v>
      </c>
      <c r="L102" s="27" t="inlineStr">
        <is>
          <t>EXACT</t>
        </is>
      </c>
      <c r="M102" s="27" t="inlineStr">
        <is>
          <t>Front-loader category; also Schneider Front-Box GN 1/1 91 l at 218.07 net</t>
        </is>
      </c>
      <c r="N102" s="27" t="inlineStr">
        <is>
          <t>2026-09-30</t>
        </is>
      </c>
      <c r="O102" s="2" t="n"/>
      <c r="P102" s="2" t="n"/>
      <c r="Q102" s="2" t="n"/>
      <c r="R102" s="2" t="n"/>
      <c r="S102" s="2" t="n"/>
      <c r="T102" s="2" t="n"/>
      <c r="U102" s="2" t="n"/>
      <c r="V102" s="2" t="n"/>
      <c r="W102" s="2" t="n"/>
      <c r="X102" s="2" t="n"/>
      <c r="Y102" s="2" t="n"/>
      <c r="Z102" s="2" t="n"/>
      <c r="AA102" s="2" t="n"/>
      <c r="AB102" s="2" t="n"/>
      <c r="AC102" s="2" t="n"/>
    </row>
    <row r="103" ht="36" customHeight="1">
      <c r="A103" s="2" t="n"/>
      <c r="B103" s="24" t="inlineStr">
        <is>
          <t>Front-loading insulated thermobox for GN 1/1 (~80-90 l)</t>
        </is>
      </c>
      <c r="C103" s="24" t="inlineStr">
        <is>
          <t>Nisbets</t>
        </is>
      </c>
      <c r="D103" s="24" t="inlineStr">
        <is>
          <t>Cambro isolierter Frontlader Lebensmitteltransportbehälter 86Ltr</t>
        </is>
      </c>
      <c r="E103" s="24" t="inlineStr">
        <is>
          <t>Cambro</t>
        </is>
      </c>
      <c r="F103" s="25" t="inlineStr">
        <is>
          <t>https://www.nisbets.de/cambro-isolierter-frontlader-lebensmitteltransportbehaelter-86ltr/dw565</t>
        </is>
      </c>
      <c r="G103" s="120" t="n">
        <v>239.99</v>
      </c>
      <c r="H103" s="24" t="inlineStr">
        <is>
          <t>excl.</t>
        </is>
      </c>
      <c r="I103" s="116" t="n">
        <v>1</v>
      </c>
      <c r="J103" s="24" t="n"/>
      <c r="K103" s="120" t="n">
        <v>239.99</v>
      </c>
      <c r="L103" s="24" t="inlineStr">
        <is>
          <t>EXACT</t>
        </is>
      </c>
      <c r="M103" s="24" t="inlineStr">
        <is>
          <t>For 4 x GN 1/1 100 mm, PP; out of stock; UVP 264.99. Thermo Future 93 l front-loader (DL990) 209.99</t>
        </is>
      </c>
      <c r="N103" s="24" t="inlineStr">
        <is>
          <t>2026-09-30</t>
        </is>
      </c>
      <c r="O103" s="2" t="n"/>
      <c r="P103" s="2" t="n"/>
      <c r="Q103" s="2" t="n"/>
      <c r="R103" s="2" t="n"/>
      <c r="S103" s="2" t="n"/>
      <c r="T103" s="2" t="n"/>
      <c r="U103" s="2" t="n"/>
      <c r="V103" s="2" t="n"/>
      <c r="W103" s="2" t="n"/>
      <c r="X103" s="2" t="n"/>
      <c r="Y103" s="2" t="n"/>
      <c r="Z103" s="2" t="n"/>
      <c r="AA103" s="2" t="n"/>
      <c r="AB103" s="2" t="n"/>
      <c r="AC103" s="2" t="n"/>
    </row>
    <row r="104" ht="36" customHeight="1">
      <c r="A104" s="2" t="n"/>
      <c r="B104" s="27" t="inlineStr">
        <is>
          <t>Service tray approx. 370x530 mm, ABS/PP</t>
        </is>
      </c>
      <c r="C104" s="27" t="inlineStr">
        <is>
          <t>ALLPAX</t>
        </is>
      </c>
      <c r="D104" s="27" t="inlineStr">
        <is>
          <t>EN Tablett, Serie Tray 97, 53x37 cm</t>
        </is>
      </c>
      <c r="E104" s="27" t="n"/>
      <c r="F104" s="28" t="inlineStr">
        <is>
          <t>https://www.allpax.de/product_info.php/info/EN-Tablett.html</t>
        </is>
      </c>
      <c r="G104" s="121" t="n">
        <v>19.22</v>
      </c>
      <c r="H104" s="27" t="inlineStr">
        <is>
          <t>excl.</t>
        </is>
      </c>
      <c r="I104" s="117" t="n">
        <v>1</v>
      </c>
      <c r="J104" s="27" t="n"/>
      <c r="K104" s="121" t="n">
        <v>19.22</v>
      </c>
      <c r="L104" s="27" t="inlineStr">
        <is>
          <t>APPROX</t>
        </is>
      </c>
      <c r="M104" s="27" t="inlineStr">
        <is>
          <t>Right size but fibreglass-reinforced polyester, not ABS/PP</t>
        </is>
      </c>
      <c r="N104" s="27" t="inlineStr">
        <is>
          <t>2026-09-30</t>
        </is>
      </c>
      <c r="O104" s="2" t="n"/>
      <c r="P104" s="2" t="n"/>
      <c r="Q104" s="2" t="n"/>
      <c r="R104" s="2" t="n"/>
      <c r="S104" s="2" t="n"/>
      <c r="T104" s="2" t="n"/>
      <c r="U104" s="2" t="n"/>
      <c r="V104" s="2" t="n"/>
      <c r="W104" s="2" t="n"/>
      <c r="X104" s="2" t="n"/>
      <c r="Y104" s="2" t="n"/>
      <c r="Z104" s="2" t="n"/>
      <c r="AA104" s="2" t="n"/>
      <c r="AB104" s="2" t="n"/>
      <c r="AC104" s="2" t="n"/>
    </row>
    <row r="105" ht="36" customHeight="1">
      <c r="A105" s="2" t="n"/>
      <c r="B105" s="24" t="inlineStr">
        <is>
          <t>Service tray approx. 370x530 mm, ABS/PP</t>
        </is>
      </c>
      <c r="C105" s="24" t="inlineStr">
        <is>
          <t>GGM Gastro</t>
        </is>
      </c>
      <c r="D105" s="24" t="inlineStr">
        <is>
          <t>(6 Stück) FAST FOOD Tablett - GN 1/1 - Polypropylen - Höhe 20mm - Schwarz</t>
        </is>
      </c>
      <c r="E105" s="24" t="inlineStr">
        <is>
          <t>GGM</t>
        </is>
      </c>
      <c r="F105" s="25" t="inlineStr">
        <is>
          <t>https://www.ggmgastro.com/de-de-eur/6-stueck-fast-food-tablett-gn-1-1-polypropylen-hoehe-20mm-schwarz-00553-6</t>
        </is>
      </c>
      <c r="G105" s="120" t="n">
        <v>34.99</v>
      </c>
      <c r="H105" s="24" t="inlineStr">
        <is>
          <t>excl.</t>
        </is>
      </c>
      <c r="I105" s="116" t="n">
        <v>6</v>
      </c>
      <c r="J105" s="24" t="inlineStr">
        <is>
          <t>set of 6</t>
        </is>
      </c>
      <c r="K105" s="120" t="n">
        <v>5.83</v>
      </c>
      <c r="L105" s="24" t="inlineStr">
        <is>
          <t>APPROX</t>
        </is>
      </c>
      <c r="M105" s="24" t="inlineStr">
        <is>
          <t>PP but GN 1/1 size (530x325), not 530x370</t>
        </is>
      </c>
      <c r="N105" s="24" t="inlineStr">
        <is>
          <t>2026-09-30</t>
        </is>
      </c>
      <c r="O105" s="2" t="n"/>
      <c r="P105" s="2" t="n"/>
      <c r="Q105" s="2" t="n"/>
      <c r="R105" s="2" t="n"/>
      <c r="S105" s="2" t="n"/>
      <c r="T105" s="2" t="n"/>
      <c r="U105" s="2" t="n"/>
      <c r="V105" s="2" t="n"/>
      <c r="W105" s="2" t="n"/>
      <c r="X105" s="2" t="n"/>
      <c r="Y105" s="2" t="n"/>
      <c r="Z105" s="2" t="n"/>
      <c r="AA105" s="2" t="n"/>
      <c r="AB105" s="2" t="n"/>
      <c r="AC105" s="2" t="n"/>
    </row>
    <row r="106" ht="36" customHeight="1">
      <c r="A106" s="2" t="n"/>
      <c r="B106" s="27" t="inlineStr">
        <is>
          <t>Service tray approx. 370x530 mm, ABS/PP</t>
        </is>
      </c>
      <c r="C106" s="27" t="inlineStr">
        <is>
          <t>GastroHero</t>
        </is>
      </c>
      <c r="D106" s="27" t="inlineStr">
        <is>
          <t>WAS Germany Tablett PP - GN 1/1, lichtgrau</t>
        </is>
      </c>
      <c r="E106" s="27" t="inlineStr">
        <is>
          <t>WAS Germany</t>
        </is>
      </c>
      <c r="F106" s="28" t="inlineStr">
        <is>
          <t>https://www.gastro-hero.de/products/was-germany-tablett-pp-gn-11-lichtgrau-9283530</t>
        </is>
      </c>
      <c r="G106" s="121" t="n">
        <v>6.59</v>
      </c>
      <c r="H106" s="27" t="inlineStr">
        <is>
          <t>excl.</t>
        </is>
      </c>
      <c r="I106" s="117" t="n">
        <v>1</v>
      </c>
      <c r="J106" s="27" t="n"/>
      <c r="K106" s="121" t="n">
        <v>6.59</v>
      </c>
      <c r="L106" s="27" t="inlineStr">
        <is>
          <t>APPROX</t>
        </is>
      </c>
      <c r="M106" s="27" t="inlineStr">
        <is>
          <t>PP but GN 1/1 size (530x325), not 370x530</t>
        </is>
      </c>
      <c r="N106" s="27" t="inlineStr">
        <is>
          <t>2026-09-30</t>
        </is>
      </c>
      <c r="O106" s="2" t="n"/>
      <c r="P106" s="2" t="n"/>
      <c r="Q106" s="2" t="n"/>
      <c r="R106" s="2" t="n"/>
      <c r="S106" s="2" t="n"/>
      <c r="T106" s="2" t="n"/>
      <c r="U106" s="2" t="n"/>
      <c r="V106" s="2" t="n"/>
      <c r="W106" s="2" t="n"/>
      <c r="X106" s="2" t="n"/>
      <c r="Y106" s="2" t="n"/>
      <c r="Z106" s="2" t="n"/>
      <c r="AA106" s="2" t="n"/>
      <c r="AB106" s="2" t="n"/>
      <c r="AC106" s="2" t="n"/>
    </row>
    <row r="107" ht="36" customHeight="1">
      <c r="A107" s="2" t="n"/>
      <c r="B107" s="24" t="inlineStr">
        <is>
          <t>Service tray approx. 370x530 mm, ABS/PP</t>
        </is>
      </c>
      <c r="C107" s="24" t="inlineStr">
        <is>
          <t>Gastrodax [substitute]</t>
        </is>
      </c>
      <c r="D107" s="24" t="inlineStr">
        <is>
          <t>Hendi Serviertablett, rechteckig, Euronorm, 370x530mm</t>
        </is>
      </c>
      <c r="E107" s="24" t="inlineStr">
        <is>
          <t>Hendi</t>
        </is>
      </c>
      <c r="F107" s="25" t="inlineStr">
        <is>
          <t>https://www.gastrodax.de/hendi-serviertablett-rechteckig-euronorm-370-x-530-mm</t>
        </is>
      </c>
      <c r="G107" s="120" t="n">
        <v>15.25</v>
      </c>
      <c r="H107" s="24" t="inlineStr">
        <is>
          <t>excl.</t>
        </is>
      </c>
      <c r="I107" s="116" t="n">
        <v>1</v>
      </c>
      <c r="J107" s="24" t="n"/>
      <c r="K107" s="120" t="n">
        <v>15.25</v>
      </c>
      <c r="L107" s="24" t="inlineStr">
        <is>
          <t>CLOSE</t>
        </is>
      </c>
      <c r="M107" s="24" t="inlineStr">
        <is>
          <t>Exact size; material not stated on page</t>
        </is>
      </c>
      <c r="N107" s="24" t="inlineStr">
        <is>
          <t>2026-09-30</t>
        </is>
      </c>
      <c r="O107" s="2" t="n"/>
      <c r="P107" s="2" t="n"/>
      <c r="Q107" s="2" t="n"/>
      <c r="R107" s="2" t="n"/>
      <c r="S107" s="2" t="n"/>
      <c r="T107" s="2" t="n"/>
      <c r="U107" s="2" t="n"/>
      <c r="V107" s="2" t="n"/>
      <c r="W107" s="2" t="n"/>
      <c r="X107" s="2" t="n"/>
      <c r="Y107" s="2" t="n"/>
      <c r="Z107" s="2" t="n"/>
      <c r="AA107" s="2" t="n"/>
      <c r="AB107" s="2" t="n"/>
      <c r="AC107" s="2" t="n"/>
    </row>
    <row r="108" ht="36" customHeight="1">
      <c r="A108" s="2" t="n"/>
      <c r="B108" s="27" t="inlineStr">
        <is>
          <t>Service tray approx. 370x530 mm, ABS/PP</t>
        </is>
      </c>
      <c r="C108" s="27" t="inlineStr">
        <is>
          <t>Gastroladen.de (Harotec GmbH) [substitute]</t>
        </is>
      </c>
      <c r="D108" s="27" t="inlineStr">
        <is>
          <t>Kristallon Serviertablett antirutsch 51 x 38cm</t>
        </is>
      </c>
      <c r="E108" s="27" t="inlineStr">
        <is>
          <t>Kristallon</t>
        </is>
      </c>
      <c r="F108" s="28" t="inlineStr">
        <is>
          <t>https://www.gastroladen.de/G16801@GN-C560/Kristallon-Serviertablett-antirutsch-51-x-38cm.htm</t>
        </is>
      </c>
      <c r="G108" s="121" t="n">
        <v>8.890000000000001</v>
      </c>
      <c r="H108" s="27" t="inlineStr">
        <is>
          <t>incl.</t>
        </is>
      </c>
      <c r="I108" s="117" t="n">
        <v>1</v>
      </c>
      <c r="J108" s="27" t="n"/>
      <c r="K108" s="121" t="n">
        <v>7.47</v>
      </c>
      <c r="L108" s="27" t="inlineStr">
        <is>
          <t>CLOSE</t>
        </is>
      </c>
      <c r="M108" s="27" t="inlineStr">
        <is>
          <t>510x380 mm, plastic (type not specified), non-slip</t>
        </is>
      </c>
      <c r="N108" s="27" t="inlineStr">
        <is>
          <t>2026-09-30</t>
        </is>
      </c>
      <c r="O108" s="2" t="n"/>
      <c r="P108" s="2" t="n"/>
      <c r="Q108" s="2" t="n"/>
      <c r="R108" s="2" t="n"/>
      <c r="S108" s="2" t="n"/>
      <c r="T108" s="2" t="n"/>
      <c r="U108" s="2" t="n"/>
      <c r="V108" s="2" t="n"/>
      <c r="W108" s="2" t="n"/>
      <c r="X108" s="2" t="n"/>
      <c r="Y108" s="2" t="n"/>
      <c r="Z108" s="2" t="n"/>
      <c r="AA108" s="2" t="n"/>
      <c r="AB108" s="2" t="n"/>
      <c r="AC108" s="2" t="n"/>
    </row>
    <row r="109" ht="36" customHeight="1">
      <c r="A109" s="2" t="n"/>
      <c r="B109" s="24" t="inlineStr">
        <is>
          <t>Service tray approx. 370x530 mm, ABS/PP</t>
        </is>
      </c>
      <c r="C109" s="24" t="inlineStr">
        <is>
          <t>Intergastro</t>
        </is>
      </c>
      <c r="D109" s="24" t="inlineStr">
        <is>
          <t>Tablett Polyester titanfarben rechteckig 530 x 370 mm</t>
        </is>
      </c>
      <c r="E109" s="24" t="inlineStr">
        <is>
          <t>Cambro</t>
        </is>
      </c>
      <c r="F109" s="25" t="inlineStr">
        <is>
          <t>https://www.intergastro.de/tablett-polyester-titanfarben-rechteckig-530-mm-x-370-mm-396106</t>
        </is>
      </c>
      <c r="G109" s="120" t="n">
        <v>18.19</v>
      </c>
      <c r="H109" s="24" t="inlineStr">
        <is>
          <t>excl.</t>
        </is>
      </c>
      <c r="I109" s="116" t="n">
        <v>1</v>
      </c>
      <c r="J109" s="24" t="n"/>
      <c r="K109" s="120" t="n">
        <v>18.19</v>
      </c>
      <c r="L109" s="24" t="inlineStr">
        <is>
          <t>APPROX</t>
        </is>
      </c>
      <c r="M109" s="24" t="inlineStr">
        <is>
          <t>Right size but polyester/fibreglass, not ABS/PP; no ABS/PP tray of this size found</t>
        </is>
      </c>
      <c r="N109" s="24" t="inlineStr">
        <is>
          <t>2026-09-30</t>
        </is>
      </c>
      <c r="O109" s="2" t="n"/>
      <c r="P109" s="2" t="n"/>
      <c r="Q109" s="2" t="n"/>
      <c r="R109" s="2" t="n"/>
      <c r="S109" s="2" t="n"/>
      <c r="T109" s="2" t="n"/>
      <c r="U109" s="2" t="n"/>
      <c r="V109" s="2" t="n"/>
      <c r="W109" s="2" t="n"/>
      <c r="X109" s="2" t="n"/>
      <c r="Y109" s="2" t="n"/>
      <c r="Z109" s="2" t="n"/>
      <c r="AA109" s="2" t="n"/>
      <c r="AB109" s="2" t="n"/>
      <c r="AC109" s="2" t="n"/>
    </row>
    <row r="110" ht="36" customHeight="1">
      <c r="A110" s="2" t="n"/>
      <c r="B110" s="27" t="inlineStr">
        <is>
          <t>Service tray approx. 370x530 mm, ABS/PP</t>
        </is>
      </c>
      <c r="C110" s="27" t="inlineStr">
        <is>
          <t>Nisbets</t>
        </is>
      </c>
      <c r="D110" s="27" t="inlineStr">
        <is>
          <t>Olympia Kristallon Serviertablett antirutsch 51 x 38cm</t>
        </is>
      </c>
      <c r="E110" s="27" t="inlineStr">
        <is>
          <t>Olympia Kristallon</t>
        </is>
      </c>
      <c r="F110" s="28" t="inlineStr">
        <is>
          <t>https://www.nisbets.de/kristallon-anti-rutsch-serviertablett-rechteckig-51cm/c560</t>
        </is>
      </c>
      <c r="G110" s="121" t="n">
        <v>5.09</v>
      </c>
      <c r="H110" s="27" t="inlineStr">
        <is>
          <t>excl.</t>
        </is>
      </c>
      <c r="I110" s="117" t="n">
        <v>1</v>
      </c>
      <c r="J110" s="27" t="n"/>
      <c r="K110" s="121" t="n">
        <v>5.09</v>
      </c>
      <c r="L110" s="27" t="inlineStr">
        <is>
          <t>CLOSE</t>
        </is>
      </c>
      <c r="M110" s="27" t="inlineStr">
        <is>
          <t>510x380 mm, plastic (type not specified), non-slip; 4.49 each from 3 pcs</t>
        </is>
      </c>
      <c r="N110" s="27" t="inlineStr">
        <is>
          <t>2026-09-30</t>
        </is>
      </c>
      <c r="O110" s="2" t="n"/>
      <c r="P110" s="2" t="n"/>
      <c r="Q110" s="2" t="n"/>
      <c r="R110" s="2" t="n"/>
      <c r="S110" s="2" t="n"/>
      <c r="T110" s="2" t="n"/>
      <c r="U110" s="2" t="n"/>
      <c r="V110" s="2" t="n"/>
      <c r="W110" s="2" t="n"/>
      <c r="X110" s="2" t="n"/>
      <c r="Y110" s="2" t="n"/>
      <c r="Z110" s="2" t="n"/>
      <c r="AA110" s="2" t="n"/>
      <c r="AB110" s="2" t="n"/>
      <c r="AC110" s="2" t="n"/>
    </row>
    <row r="111" ht="36" customHeight="1">
      <c r="A111" s="2" t="n"/>
      <c r="B111" s="24" t="inlineStr">
        <is>
          <t>Insulated thermo tray with lid, 5-6 compartments</t>
        </is>
      </c>
      <c r="C111" s="24" t="inlineStr">
        <is>
          <t>ALLPAX</t>
        </is>
      </c>
      <c r="D111" s="24" t="inlineStr">
        <is>
          <t>Thermo-Tablett rechteckig 5-teilig 430x290x(H)150 mm</t>
        </is>
      </c>
      <c r="E111" s="24" t="inlineStr">
        <is>
          <t>Hendi</t>
        </is>
      </c>
      <c r="F111" s="25" t="inlineStr">
        <is>
          <t>https://www.allpax.de/product_info.php/info/Thermo-Tablett-rechteckig.html</t>
        </is>
      </c>
      <c r="G111" s="120" t="n">
        <v>36.09</v>
      </c>
      <c r="H111" s="24" t="inlineStr">
        <is>
          <t>excl.</t>
        </is>
      </c>
      <c r="I111" s="116" t="n">
        <v>1</v>
      </c>
      <c r="J111" s="24" t="n"/>
      <c r="K111" s="120" t="n">
        <v>36.09</v>
      </c>
      <c r="L111" s="24" t="inlineStr">
        <is>
          <t>CLOSE</t>
        </is>
      </c>
      <c r="M111" s="24" t="inlineStr">
        <is>
          <t>5-piece set (ABS base, stainless tray, transparent hood, 2 cooling packs); 5 parts rather than 5 compartments</t>
        </is>
      </c>
      <c r="N111" s="24" t="inlineStr">
        <is>
          <t>2026-09-30</t>
        </is>
      </c>
      <c r="O111" s="2" t="n"/>
      <c r="P111" s="2" t="n"/>
      <c r="Q111" s="2" t="n"/>
      <c r="R111" s="2" t="n"/>
      <c r="S111" s="2" t="n"/>
      <c r="T111" s="2" t="n"/>
      <c r="U111" s="2" t="n"/>
      <c r="V111" s="2" t="n"/>
      <c r="W111" s="2" t="n"/>
      <c r="X111" s="2" t="n"/>
      <c r="Y111" s="2" t="n"/>
      <c r="Z111" s="2" t="n"/>
      <c r="AA111" s="2" t="n"/>
      <c r="AB111" s="2" t="n"/>
      <c r="AC111" s="2" t="n"/>
    </row>
    <row r="112" ht="36" customHeight="1">
      <c r="A112" s="2" t="n"/>
      <c r="B112" s="27" t="inlineStr">
        <is>
          <t>Insulated thermo tray with lid, 5-6 compartments</t>
        </is>
      </c>
      <c r="C112" s="27" t="inlineStr">
        <is>
          <t>GastroHero</t>
        </is>
      </c>
      <c r="D112" s="27" t="inlineStr">
        <is>
          <t>APS Thermo-Set 5-tlg. ca. Ø 38 cm, Höhe 24 cm</t>
        </is>
      </c>
      <c r="E112" s="27" t="inlineStr">
        <is>
          <t>APS</t>
        </is>
      </c>
      <c r="F112" s="28" t="inlineStr">
        <is>
          <t>https://www.gastro-hero.de/products/aps-thermo-set-5-tlg-ca-38-cm-hoehe-24-cm-aps09082</t>
        </is>
      </c>
      <c r="G112" s="121" t="n">
        <v>44.9</v>
      </c>
      <c r="H112" s="27" t="inlineStr">
        <is>
          <t>excl.</t>
        </is>
      </c>
      <c r="I112" s="117" t="n">
        <v>1</v>
      </c>
      <c r="J112" s="27" t="n"/>
      <c r="K112" s="121" t="n">
        <v>44.9</v>
      </c>
      <c r="L112" s="27" t="inlineStr">
        <is>
          <t>APPROX</t>
        </is>
      </c>
      <c r="M112" s="27" t="inlineStr">
        <is>
          <t>Round 5-piece set (stainless bowl, tray, roll-top hood, 2 cooling packs); not a compartment tray; min. qty 2</t>
        </is>
      </c>
      <c r="N112" s="27" t="inlineStr">
        <is>
          <t>2026-09-30</t>
        </is>
      </c>
      <c r="O112" s="2" t="n"/>
      <c r="P112" s="2" t="n"/>
      <c r="Q112" s="2" t="n"/>
      <c r="R112" s="2" t="n"/>
      <c r="S112" s="2" t="n"/>
      <c r="T112" s="2" t="n"/>
      <c r="U112" s="2" t="n"/>
      <c r="V112" s="2" t="n"/>
      <c r="W112" s="2" t="n"/>
      <c r="X112" s="2" t="n"/>
      <c r="Y112" s="2" t="n"/>
      <c r="Z112" s="2" t="n"/>
      <c r="AA112" s="2" t="n"/>
      <c r="AB112" s="2" t="n"/>
      <c r="AC112" s="2" t="n"/>
    </row>
    <row r="113" ht="36" customHeight="1">
      <c r="A113" s="2" t="n"/>
      <c r="B113" s="24" t="inlineStr">
        <is>
          <t>Insulated thermo tray with lid, 5-6 compartments</t>
        </is>
      </c>
      <c r="C113" s="24" t="inlineStr">
        <is>
          <t>Gastrodax [substitute]</t>
        </is>
      </c>
      <c r="D113" s="24" t="inlineStr">
        <is>
          <t>APS Thermo Tablett Set rechteckig (5-teilig)</t>
        </is>
      </c>
      <c r="E113" s="24" t="inlineStr">
        <is>
          <t>APS</t>
        </is>
      </c>
      <c r="F113" s="25" t="inlineStr">
        <is>
          <t>https://www.gastrodax.de/aps-thermo-tablett-set-rechteckig</t>
        </is>
      </c>
      <c r="G113" s="120" t="n">
        <v>26.19</v>
      </c>
      <c r="H113" s="24" t="inlineStr">
        <is>
          <t>excl.</t>
        </is>
      </c>
      <c r="I113" s="116" t="n">
        <v>1</v>
      </c>
      <c r="J113" s="24" t="n"/>
      <c r="K113" s="120" t="n">
        <v>26.19</v>
      </c>
      <c r="L113" s="24" t="inlineStr">
        <is>
          <t>CLOSE</t>
        </is>
      </c>
      <c r="M113" s="24" t="inlineStr">
        <is>
          <t>5-piece set: insulated plastic base, stainless tray, PS lid, 2 cooling packs; 430x290x140 mm; 5 parts rather than 5 compartments</t>
        </is>
      </c>
      <c r="N113" s="24" t="inlineStr">
        <is>
          <t>2026-09-30</t>
        </is>
      </c>
      <c r="O113" s="2" t="n"/>
      <c r="P113" s="2" t="n"/>
      <c r="Q113" s="2" t="n"/>
      <c r="R113" s="2" t="n"/>
      <c r="S113" s="2" t="n"/>
      <c r="T113" s="2" t="n"/>
      <c r="U113" s="2" t="n"/>
      <c r="V113" s="2" t="n"/>
      <c r="W113" s="2" t="n"/>
      <c r="X113" s="2" t="n"/>
      <c r="Y113" s="2" t="n"/>
      <c r="Z113" s="2" t="n"/>
      <c r="AA113" s="2" t="n"/>
      <c r="AB113" s="2" t="n"/>
      <c r="AC113" s="2" t="n"/>
    </row>
    <row r="114" ht="50" customHeight="1">
      <c r="A114" s="2" t="n"/>
      <c r="B114" s="27" t="inlineStr">
        <is>
          <t>Insulated thermo tray with lid, 5-6 compartments</t>
        </is>
      </c>
      <c r="C114" s="27" t="inlineStr">
        <is>
          <t>Gastroladen.de (Harotec GmbH) [substitute]</t>
        </is>
      </c>
      <c r="D114" s="27" t="inlineStr">
        <is>
          <t>Cambro Tablotherm Isolierte Schale mit Porzellantellern 37 x 53 x 10,5 cm</t>
        </is>
      </c>
      <c r="E114" s="27" t="inlineStr">
        <is>
          <t>Cambro</t>
        </is>
      </c>
      <c r="F114" s="28" t="inlineStr">
        <is>
          <t>https://www.gastroladen.de/0860@GN-CJ645/Cambro-Tablotherm-Isolierte-Schale-mit-Porzellantellern-37-x-53-x-10-5-cm.htm</t>
        </is>
      </c>
      <c r="G114" s="121" t="n">
        <v>254.9</v>
      </c>
      <c r="H114" s="27" t="inlineStr">
        <is>
          <t>incl.</t>
        </is>
      </c>
      <c r="I114" s="117" t="n">
        <v>1</v>
      </c>
      <c r="J114" s="27" t="n"/>
      <c r="K114" s="121" t="n">
        <v>214.2</v>
      </c>
      <c r="L114" s="27" t="inlineStr">
        <is>
          <t>APPROX</t>
        </is>
      </c>
      <c r="M114" s="27" t="inlineStr">
        <is>
          <t>Insulated tray with porcelain 2-compartment plate + 3 bowls with lids; not a simple 5-6 compartment thermo tray</t>
        </is>
      </c>
      <c r="N114" s="27" t="inlineStr">
        <is>
          <t>2026-09-30</t>
        </is>
      </c>
      <c r="O114" s="2" t="n"/>
      <c r="P114" s="2" t="n"/>
      <c r="Q114" s="2" t="n"/>
      <c r="R114" s="2" t="n"/>
      <c r="S114" s="2" t="n"/>
      <c r="T114" s="2" t="n"/>
      <c r="U114" s="2" t="n"/>
      <c r="V114" s="2" t="n"/>
      <c r="W114" s="2" t="n"/>
      <c r="X114" s="2" t="n"/>
      <c r="Y114" s="2" t="n"/>
      <c r="Z114" s="2" t="n"/>
      <c r="AA114" s="2" t="n"/>
      <c r="AB114" s="2" t="n"/>
      <c r="AC114" s="2" t="n"/>
    </row>
    <row r="115" ht="36" customHeight="1">
      <c r="A115" s="2" t="n"/>
      <c r="B115" s="24" t="inlineStr">
        <is>
          <t>Insulated thermo tray with lid, 5-6 compartments</t>
        </is>
      </c>
      <c r="C115" s="24" t="inlineStr">
        <is>
          <t>Intergastro</t>
        </is>
      </c>
      <c r="D115" s="24" t="inlineStr">
        <is>
          <t>Tablett TABLOTHERM EURONORM isoliert mit Geschirr, Deckel, Pellet</t>
        </is>
      </c>
      <c r="E115" s="24" t="inlineStr">
        <is>
          <t>Cambro</t>
        </is>
      </c>
      <c r="F115" s="25" t="inlineStr">
        <is>
          <t>https://www.intergastro.de/tablett-tablotherm-euronorm-isoliert-mit-geschirr-deckel-pellet-325159</t>
        </is>
      </c>
      <c r="G115" s="120" t="n">
        <v>176.33</v>
      </c>
      <c r="H115" s="24" t="inlineStr">
        <is>
          <t>excl.</t>
        </is>
      </c>
      <c r="I115" s="116" t="n">
        <v>1</v>
      </c>
      <c r="J115" s="24" t="n"/>
      <c r="K115" s="120" t="n">
        <v>176.33</v>
      </c>
      <c r="L115" s="24" t="inlineStr">
        <is>
          <t>APPROX</t>
        </is>
      </c>
      <c r="M115" s="24" t="inlineStr">
        <is>
          <t>Insulated PP tray system incl. dishes, lid and heat pellet; not a simple 5-6 compartment thermo tray</t>
        </is>
      </c>
      <c r="N115" s="24" t="inlineStr">
        <is>
          <t>2026-09-30</t>
        </is>
      </c>
      <c r="O115" s="2" t="n"/>
      <c r="P115" s="2" t="n"/>
      <c r="Q115" s="2" t="n"/>
      <c r="R115" s="2" t="n"/>
      <c r="S115" s="2" t="n"/>
      <c r="T115" s="2" t="n"/>
      <c r="U115" s="2" t="n"/>
      <c r="V115" s="2" t="n"/>
      <c r="W115" s="2" t="n"/>
      <c r="X115" s="2" t="n"/>
      <c r="Y115" s="2" t="n"/>
      <c r="Z115" s="2" t="n"/>
      <c r="AA115" s="2" t="n"/>
      <c r="AB115" s="2" t="n"/>
      <c r="AC115" s="2" t="n"/>
    </row>
    <row r="116" ht="36" customHeight="1">
      <c r="A116" s="2" t="n"/>
      <c r="B116" s="27" t="inlineStr">
        <is>
          <t>Insulated thermo tray with lid, 5-6 compartments</t>
        </is>
      </c>
      <c r="C116" s="27" t="inlineStr">
        <is>
          <t>Nisbets</t>
        </is>
      </c>
      <c r="D116" s="27" t="inlineStr">
        <is>
          <t>Cambro Tablotherm Isolierte Schale mit Porzellantellern 37 x 53 x 10,5 cm</t>
        </is>
      </c>
      <c r="E116" s="27" t="inlineStr">
        <is>
          <t>Cambro</t>
        </is>
      </c>
      <c r="F116" s="28" t="inlineStr">
        <is>
          <t>https://www.nisbets.de/cambro-tablotherm-isolierte-schale-mit-porzellantellern-37-x-53-x-105-cm/cj645</t>
        </is>
      </c>
      <c r="G116" s="121" t="n">
        <v>177.99</v>
      </c>
      <c r="H116" s="27" t="inlineStr">
        <is>
          <t>excl.</t>
        </is>
      </c>
      <c r="I116" s="117" t="n">
        <v>1</v>
      </c>
      <c r="J116" s="27" t="n"/>
      <c r="K116" s="121" t="n">
        <v>177.99</v>
      </c>
      <c r="L116" s="27" t="inlineStr">
        <is>
          <t>APPROX</t>
        </is>
      </c>
      <c r="M116" s="27" t="inlineStr">
        <is>
          <t>Insulated tray with 2-compartment porcelain plate + 3 bowls with lids; not a simple 5-6 compartment thermo tray; 2-3 weeks delivery</t>
        </is>
      </c>
      <c r="N116" s="27" t="inlineStr">
        <is>
          <t>2026-09-30</t>
        </is>
      </c>
      <c r="O116" s="2" t="n"/>
      <c r="P116" s="2" t="n"/>
      <c r="Q116" s="2" t="n"/>
      <c r="R116" s="2" t="n"/>
      <c r="S116" s="2" t="n"/>
      <c r="T116" s="2" t="n"/>
      <c r="U116" s="2" t="n"/>
      <c r="V116" s="2" t="n"/>
      <c r="W116" s="2" t="n"/>
      <c r="X116" s="2" t="n"/>
      <c r="Y116" s="2" t="n"/>
      <c r="Z116" s="2" t="n"/>
      <c r="AA116" s="2" t="n"/>
      <c r="AB116" s="2" t="n"/>
      <c r="AC116" s="2" t="n"/>
    </row>
    <row r="117" ht="31" customHeight="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row>
    <row r="118" ht="31"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row>
    <row r="119" ht="31" customHeight="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row>
    <row r="120" ht="31" customHeight="1">
      <c r="A120" s="2" t="n"/>
      <c r="B120" s="7" t="inlineStr">
        <is>
          <t>Competitors</t>
        </is>
      </c>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row>
    <row r="121" ht="31" customHeight="1">
      <c r="A121" s="2" t="n"/>
      <c r="B121" s="16" t="inlineStr">
        <is>
          <t>Name</t>
        </is>
      </c>
      <c r="C121" s="17" t="inlineStr">
        <is>
          <t>URL</t>
        </is>
      </c>
      <c r="D121" s="17" t="inlineStr">
        <is>
          <t>Type</t>
        </is>
      </c>
      <c r="E121" s="17" t="inlineStr">
        <is>
          <t>B2B / B2C focus</t>
        </is>
      </c>
      <c r="F121" s="17" t="inlineStr">
        <is>
          <t>Prices shown</t>
        </is>
      </c>
      <c r="G121" s="17" t="inlineStr">
        <is>
          <t>Shipping to DE</t>
        </is>
      </c>
      <c r="H121" s="17" t="inlineStr">
        <is>
          <t>Min. order</t>
        </is>
      </c>
      <c r="I121" s="18" t="inlineStr">
        <is>
          <t>Notes</t>
        </is>
      </c>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row>
    <row r="122" ht="162" customHeight="1">
      <c r="A122" s="2" t="n"/>
      <c r="B122" s="24" t="inlineStr">
        <is>
          <t>Intergastro</t>
        </is>
      </c>
      <c r="C122" s="25" t="inlineStr">
        <is>
          <t>https://www.intergastro.de</t>
        </is>
      </c>
      <c r="D122" s="24" t="inlineStr">
        <is>
          <t>pan-EU</t>
        </is>
      </c>
      <c r="E122" s="24" t="inlineStr">
        <is>
          <t>B2B</t>
        </is>
      </c>
      <c r="F122" s="24" t="inlineStr">
        <is>
          <t>excl. VAT (net shown first; gross incl. 19% MwSt also shown)</t>
        </is>
      </c>
      <c r="G122" s="24" t="inlineStr">
        <is>
          <t>Germany: flat 8.95 EUR net per order regardless of volume/weight (parcel up to ~30 kg, larger by freight); island surcharge 12.50 EUR; express +18.00 EUR. Austria (from AT shop): parcels up to 31.5 kg 8.95 EUR net</t>
        </is>
      </c>
      <c r="H122" s="24" t="inlineStr">
        <is>
          <t>not shown</t>
        </is>
      </c>
      <c r="I122" s="24" t="inlineStr">
        <is>
          <t>German gastro supplier (Dortmund, since 1952); business customers only. Tiered quantity prices; single-unit price recorded. Same net prices as on intergastro.at.</t>
        </is>
      </c>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row>
    <row r="123" ht="344" customHeight="1">
      <c r="A123" s="2" t="n"/>
      <c r="B123" s="27" t="inlineStr">
        <is>
          <t>GGM Gastro</t>
        </is>
      </c>
      <c r="C123" s="28" t="inlineStr">
        <is>
          <t>https://www.ggmgastro.com/de-de-eur</t>
        </is>
      </c>
      <c r="D123" s="27" t="inlineStr">
        <is>
          <t>pan-EU</t>
        </is>
      </c>
      <c r="E123" s="27" t="inlineStr">
        <is>
          <t>B2B</t>
        </is>
      </c>
      <c r="F123" s="27" t="inlineStr">
        <is>
          <t>excl. VAT (net shown; gross at 19% also given, e.g. 44.99 net / 53.54 gross)</t>
        </is>
      </c>
      <c r="G123" s="27" t="inlineStr">
        <is>
          <t>Free delivery ('Kostenloser Versand', prices 'inkl. Lieferung') from 30 EUR order value, mainland only; island surcharges extra</t>
        </is>
      </c>
      <c r="H123" s="27" t="inlineStr">
        <is>
          <t>not shown; smallwares mostly sold in sets of 6, 8 or 12</t>
        </is>
      </c>
      <c r="I123" s="27" t="inlineStr">
        <is>
          <t>German pan-EU gastro supplier (GGM Gastro International, Ochtrup). On-screen prices load via JavaScript, but each product page's HTML carries schema.org price data for the de-de storefront (net and gross); those were recorded. Product URLs from GGM's public sitemap. B2B only. German prices are 2-15 EUR lower than on the Austrian storefront. Checked with a headless browser: the rendered on-screen price matches the recorded value (e.g. 44.99 net for the 6-pack GN 1/1 PC).</t>
        </is>
      </c>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row>
    <row r="124" ht="190" customHeight="1">
      <c r="A124" s="2" t="n"/>
      <c r="B124" s="24" t="inlineStr">
        <is>
          <t>GastroHero</t>
        </is>
      </c>
      <c r="C124" s="25" t="inlineStr">
        <is>
          <t>https://www.gastro-hero.de</t>
        </is>
      </c>
      <c r="D124" s="24" t="inlineStr">
        <is>
          <t>pan-EU</t>
        </is>
      </c>
      <c r="E124" s="24" t="inlineStr">
        <is>
          <t>B2B</t>
        </is>
      </c>
      <c r="F124" s="24" t="inlineStr">
        <is>
          <t>excl. VAT (site: 'Alle Preise sind Stückpreise und verstehen sich netto zzgl. MwSt.'; gross incl. 19% shown more prominently)</t>
        </is>
      </c>
      <c r="G124" s="24" t="inlineStr">
        <is>
          <t>Germany: free from 350 EUR net order value; below that 7.90 EUR net shipping</t>
        </is>
      </c>
      <c r="H124" s="24" t="inlineStr">
        <is>
          <t>No order minimum, but many small items have a minimum quantity per item (2, 4, 8 or 12 pcs)</t>
        </is>
      </c>
      <c r="I124" s="24" t="inlineStr">
        <is>
          <t>Hamburg-based gastro webshop (Shopify). Listings load via JavaScript; products located via the public sitemap and read from server-rendered product pages. Business customers only. German net prices differ from the Austrian storefront (mostly lower).</t>
        </is>
      </c>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row>
    <row r="125" ht="204" customHeight="1">
      <c r="A125" s="2" t="n"/>
      <c r="B125" s="27" t="inlineStr">
        <is>
          <t>ALLPAX</t>
        </is>
      </c>
      <c r="C125" s="28" t="inlineStr">
        <is>
          <t>https://www.allpax.de</t>
        </is>
      </c>
      <c r="D125" s="27" t="inlineStr">
        <is>
          <t>pan-EU</t>
        </is>
      </c>
      <c r="E125" s="27" t="inlineStr">
        <is>
          <t>B2B + B2C</t>
        </is>
      </c>
      <c r="F125" s="27" t="inlineStr">
        <is>
          <t>excl. VAT ('Steuerhinweis: zzgl. MwSt.')</t>
        </is>
      </c>
      <c r="G125" s="27" t="inlineStr">
        <is>
          <t>Germany: per shipping table (/ShippingInfo) parcel rates of about 0.00-5.87 EUR (DHL Inland / DPD) depending on article; freight rates shown separately; exact cost in cart</t>
        </is>
      </c>
      <c r="H125" s="27" t="inlineStr">
        <is>
          <t>not shown</t>
        </is>
      </c>
      <c r="I125" s="27" t="inlineStr">
        <is>
          <t>German packaging &amp; catering supplies retailer (ALLPAX GmbH &amp; Co. KG, Emden) - Hendi, Bartscher, APS, AmerBox ranges. Same net prices as allpax.at. Variant-selector pages (PP GN containers, PP lids) show a default-variant price only, so those items were not recorded.</t>
        </is>
      </c>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row>
    <row r="126" ht="204" customHeight="1">
      <c r="A126" s="2" t="n"/>
      <c r="B126" s="24" t="inlineStr">
        <is>
          <t>Gastroladen.de (Harotec GmbH) [substitute]</t>
        </is>
      </c>
      <c r="C126" s="25" t="inlineStr">
        <is>
          <t>https://www.gastroladen.de</t>
        </is>
      </c>
      <c r="D126" s="24" t="inlineStr">
        <is>
          <t>pan-EU</t>
        </is>
      </c>
      <c r="E126" s="24" t="inlineStr">
        <is>
          <t>B2B + B2C</t>
        </is>
      </c>
      <c r="F126" s="24" t="inlineStr">
        <is>
          <t>incl. VAT ('alle Preise inkl. Mehrwertsteuer', 19% for DE)</t>
        </is>
      </c>
      <c r="G126" s="24" t="inlineStr">
        <is>
          <t>Germany: parcel and freight 7.95 EUR (all brands except Bartscher &amp; Saro), free from 1,199 EUR; Bartscher/Saro by weight from 8.35 EUR (0-10 kg). Incl. VAT</t>
        </is>
      </c>
      <c r="H126" s="24" t="inlineStr">
        <is>
          <t>not shown</t>
        </is>
      </c>
      <c r="I126" s="24" t="inlineStr">
        <is>
          <t>SUBSTITUTE - added because LUSINI (incl. VEGA/PULSIVA) and METRO block access. German seller (Harotec GmbH), mostly Nisbets range (Vogue, Cambro, Hygiplas, Gastronoble) plus Bartscher. Same shop as gastroladen.at; DE gross prices are the AT gross prices recalculated at 19%.</t>
        </is>
      </c>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row>
    <row r="127" ht="260" customHeight="1">
      <c r="A127" s="2" t="n"/>
      <c r="B127" s="27" t="inlineStr">
        <is>
          <t>Nisbets</t>
        </is>
      </c>
      <c r="C127" s="28" t="inlineStr">
        <is>
          <t>https://www.nisbets.de</t>
        </is>
      </c>
      <c r="D127" s="27" t="inlineStr">
        <is>
          <t>pan-EU</t>
        </is>
      </c>
      <c r="E127" s="27" t="inlineStr">
        <is>
          <t>B2B + B2C</t>
        </is>
      </c>
      <c r="F127" s="27" t="inlineStr">
        <is>
          <t>excl. VAT by default ('Zzgl. MwSt.'; toggle to incl. VAT available)</t>
        </is>
      </c>
      <c r="G127" s="27" t="inlineStr">
        <is>
          <t>Germany: free for orders over 100 EUR net; under 100 EUR net 9.95 EUR net (standard, 2-4 working days)</t>
        </is>
      </c>
      <c r="H127" s="27" t="inlineStr">
        <is>
          <t>none stated</t>
        </is>
      </c>
      <c r="I127" s="27" t="inlineStr">
        <is>
          <t>Pan-EU gastro supplier (Nisbets; Vogue, Hygiplas, Cambro, Araven, Olympia ranges). Site is behind a Cloudflare check that blocks plain scripts; read with a headless Chromium browser (normal browsing, no bypass techniques). Many items show a reduced 'Web Preis' vs UVP; web price recorded. Some items have quantity tiers - single-unit (1+) price recorded.</t>
        </is>
      </c>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row>
    <row r="128" ht="218" customHeight="1">
      <c r="A128" s="2" t="n"/>
      <c r="B128" s="24" t="inlineStr">
        <is>
          <t>Gastrodax [substitute]</t>
        </is>
      </c>
      <c r="C128" s="25" t="inlineStr">
        <is>
          <t>https://www.gastrodax.de</t>
        </is>
      </c>
      <c r="D128" s="24" t="inlineStr">
        <is>
          <t>pan-EU</t>
        </is>
      </c>
      <c r="E128" s="24" t="inlineStr">
        <is>
          <t>B2B + B2C</t>
        </is>
      </c>
      <c r="F128" s="24" t="inlineStr">
        <is>
          <t>excl. VAT ('zzgl. 19% MwSt.')</t>
        </is>
      </c>
      <c r="G128" s="24" t="inlineStr">
        <is>
          <t>Germany (and Austria): free from 99 EUR (incl. VAT) order value; below that 9.95 EUR (incl. VAT) flat; freight items by forwarder</t>
        </is>
      </c>
      <c r="H128" s="24" t="inlineStr">
        <is>
          <t>none stated</t>
        </is>
      </c>
      <c r="I128" s="24" t="inlineStr">
        <is>
          <t>SUBSTITUTE - added because LUSINI (incl. VEGA/PULSIVA) and METRO block access. German gastro webshop (40,000+ items: Hendi, Contacto, WAS, APS, Rieber). Many Contacto items on 20% 'Sonderangebot' - sale price recorded, normal price in notes. Prices read on gastrodax.de on 2026-09-30.</t>
        </is>
      </c>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row>
    <row r="129" ht="31" customHeight="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row>
    <row r="130" ht="31"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row>
    <row r="131" ht="31" customHeight="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row>
    <row r="132" ht="31" customHeight="1">
      <c r="A132" s="2" t="n"/>
      <c r="B132" s="7" t="inlineStr">
        <is>
          <t>Summary</t>
        </is>
      </c>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row>
    <row r="133" ht="31" customHeight="1">
      <c r="A133" s="2" t="n"/>
      <c r="B133" s="16" t="inlineStr">
        <is>
          <t>Basket item</t>
        </is>
      </c>
      <c r="C133" s="17" t="inlineStr">
        <is>
          <t>Min net/pc EUR</t>
        </is>
      </c>
      <c r="D133" s="17" t="inlineStr">
        <is>
          <t>Median net/pc EUR</t>
        </is>
      </c>
      <c r="E133" s="17" t="inlineStr">
        <is>
          <t>Max net/pc EUR</t>
        </is>
      </c>
      <c r="F133" s="18" t="inlineStr">
        <is>
          <t>Competitors with price</t>
        </is>
      </c>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row>
    <row r="134" ht="36" customHeight="1">
      <c r="A134" s="2" t="n"/>
      <c r="B134" s="24" t="inlineStr">
        <is>
          <t>GN 1/1 polycarbonate container, 65 mm deep</t>
        </is>
      </c>
      <c r="C134" s="120" t="n">
        <v>7.26</v>
      </c>
      <c r="D134" s="120" t="n">
        <v>12.24</v>
      </c>
      <c r="E134" s="120" t="n">
        <v>22.43</v>
      </c>
      <c r="F134" s="24" t="inlineStr">
        <is>
          <t>GGM Gastro, GastroHero, Gastrodax [substitute], Gastroladen.de (Harotec GmbH) [substitute], Intergastro, Nisbets</t>
        </is>
      </c>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row>
    <row r="135" ht="36" customHeight="1">
      <c r="A135" s="2" t="n"/>
      <c r="B135" s="27" t="inlineStr">
        <is>
          <t>GN 1/2 polycarbonate container, 150 mm deep</t>
        </is>
      </c>
      <c r="C135" s="121" t="n">
        <v>5.82</v>
      </c>
      <c r="D135" s="121" t="n">
        <v>9.039999999999999</v>
      </c>
      <c r="E135" s="121" t="n">
        <v>18.75</v>
      </c>
      <c r="F135" s="27" t="inlineStr">
        <is>
          <t>ALLPAX, GastroHero, Gastrodax [substitute], Gastroladen.de (Harotec GmbH) [substitute], Intergastro, Nisbets</t>
        </is>
      </c>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row>
    <row r="136" ht="36" customHeight="1">
      <c r="A136" s="2" t="n"/>
      <c r="B136" s="24" t="inlineStr">
        <is>
          <t>GN 1/3 polypropylene container, 100 mm deep</t>
        </is>
      </c>
      <c r="C136" s="120" t="n">
        <v>3.17</v>
      </c>
      <c r="D136" s="120" t="n">
        <v>7.94</v>
      </c>
      <c r="E136" s="120" t="n">
        <v>18.6</v>
      </c>
      <c r="F136" s="24" t="inlineStr">
        <is>
          <t>GGM Gastro, GastroHero, Gastrodax [substitute], Gastroladen.de (Harotec GmbH) [substitute], Intergastro, Nisbets</t>
        </is>
      </c>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row>
    <row r="137" ht="36" customHeight="1">
      <c r="A137" s="2" t="n"/>
      <c r="B137" s="27" t="inlineStr">
        <is>
          <t>GN 1/1 polypropylene lid</t>
        </is>
      </c>
      <c r="C137" s="121" t="n">
        <v>2.33</v>
      </c>
      <c r="D137" s="121" t="n">
        <v>6.39</v>
      </c>
      <c r="E137" s="121" t="n">
        <v>16.66</v>
      </c>
      <c r="F137" s="27" t="inlineStr">
        <is>
          <t>GGM Gastro, GastroHero, Gastrodax [substitute], Gastroladen.de (Harotec GmbH) [substitute], Intergastro, Nisbets</t>
        </is>
      </c>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row>
    <row r="138" ht="50" customHeight="1">
      <c r="A138" s="2" t="n"/>
      <c r="B138" s="24" t="inlineStr">
        <is>
          <t>Squeeze bottle 500 ml, PP, single tip</t>
        </is>
      </c>
      <c r="C138" s="120" t="n">
        <v>1.42</v>
      </c>
      <c r="D138" s="120" t="n">
        <v>2.32</v>
      </c>
      <c r="E138" s="120" t="n">
        <v>4</v>
      </c>
      <c r="F138" s="24" t="inlineStr">
        <is>
          <t>ALLPAX, GGM Gastro, GastroHero, Gastrodax [substitute], Gastroladen.de (Harotec GmbH) [substitute], Intergastro, Nisbets</t>
        </is>
      </c>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row>
    <row r="139" ht="36" customHeight="1">
      <c r="A139" s="2" t="n"/>
      <c r="B139" s="27" t="inlineStr">
        <is>
          <t>Squeeze bottle 1000 ml, PP, single tip</t>
        </is>
      </c>
      <c r="C139" s="121" t="n">
        <v>1.79</v>
      </c>
      <c r="D139" s="121" t="n">
        <v>2.35</v>
      </c>
      <c r="E139" s="121" t="n">
        <v>5.33</v>
      </c>
      <c r="F139" s="27" t="inlineStr">
        <is>
          <t>GGM Gastro, GastroHero, Gastrodax [substitute], Gastroladen.de (Harotec GmbH) [substitute], Intergastro, Nisbets</t>
        </is>
      </c>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row>
    <row r="140" ht="31" customHeight="1">
      <c r="A140" s="2" t="n"/>
      <c r="B140" s="24" t="inlineStr">
        <is>
          <t>Squeeze bottle 500 ml, triple tip</t>
        </is>
      </c>
      <c r="C140" s="24" t="n"/>
      <c r="D140" s="24" t="n"/>
      <c r="E140" s="24" t="n"/>
      <c r="F140" s="24"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row>
    <row r="141" ht="50" customHeight="1">
      <c r="A141" s="2" t="n"/>
      <c r="B141" s="27" t="inlineStr">
        <is>
          <t>Ketchup/sauce pump dispenser with stand</t>
        </is>
      </c>
      <c r="C141" s="121" t="n">
        <v>18.09</v>
      </c>
      <c r="D141" s="121" t="n">
        <v>27.49</v>
      </c>
      <c r="E141" s="121" t="n">
        <v>93.66</v>
      </c>
      <c r="F141" s="27" t="inlineStr">
        <is>
          <t>ALLPAX, GGM Gastro, GastroHero, Gastrodax [substitute], Gastroladen.de (Harotec GmbH) [substitute], Intergastro, Nisbets</t>
        </is>
      </c>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row>
    <row r="142" ht="50" customHeight="1">
      <c r="A142" s="2" t="n"/>
      <c r="B142" s="24" t="inlineStr">
        <is>
          <t>HACCP cutting board PE 530x325x20 mm (GN 1/1)</t>
        </is>
      </c>
      <c r="C142" s="120" t="n">
        <v>17.29</v>
      </c>
      <c r="D142" s="120" t="n">
        <v>23.49</v>
      </c>
      <c r="E142" s="120" t="n">
        <v>31.04</v>
      </c>
      <c r="F142" s="24" t="inlineStr">
        <is>
          <t>ALLPAX, GGM Gastro, GastroHero, Gastrodax [substitute], Gastroladen.de (Harotec GmbH) [substitute], Intergastro, Nisbets</t>
        </is>
      </c>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row>
    <row r="143" ht="50" customHeight="1">
      <c r="A143" s="2" t="n"/>
      <c r="B143" s="27" t="inlineStr">
        <is>
          <t>HACCP cutting board PE 600x400x20 mm</t>
        </is>
      </c>
      <c r="C143" s="121" t="n">
        <v>28.49</v>
      </c>
      <c r="D143" s="121" t="n">
        <v>35.05</v>
      </c>
      <c r="E143" s="121" t="n">
        <v>57.99</v>
      </c>
      <c r="F143" s="27" t="inlineStr">
        <is>
          <t>ALLPAX, GGM Gastro, GastroHero, Gastrodax [substitute], Gastroladen.de (Harotec GmbH) [substitute], Intergastro, Nisbets</t>
        </is>
      </c>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row>
    <row r="144" ht="36" customHeight="1">
      <c r="A144" s="2" t="n"/>
      <c r="B144" s="24" t="inlineStr">
        <is>
          <t>HACCP cutting board PE 300x200x10 mm</t>
        </is>
      </c>
      <c r="C144" s="120" t="n">
        <v>4.89</v>
      </c>
      <c r="D144" s="120" t="n">
        <v>8.06</v>
      </c>
      <c r="E144" s="120" t="n">
        <v>15.76</v>
      </c>
      <c r="F144" s="24" t="inlineStr">
        <is>
          <t>Gastrodax [substitute], Gastroladen.de (Harotec GmbH) [substitute], Intergastro, Nisbets</t>
        </is>
      </c>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row>
    <row r="145" ht="50" customHeight="1">
      <c r="A145" s="2" t="n"/>
      <c r="B145" s="27" t="inlineStr">
        <is>
          <t>Pizza dough box 600x400x100 mm, PP</t>
        </is>
      </c>
      <c r="C145" s="121" t="n">
        <v>9.25</v>
      </c>
      <c r="D145" s="121" t="n">
        <v>21.18</v>
      </c>
      <c r="E145" s="121" t="n">
        <v>26.81</v>
      </c>
      <c r="F145" s="27" t="inlineStr">
        <is>
          <t>ALLPAX, GGM Gastro, GastroHero, Gastrodax [substitute], Gastroladen.de (Harotec GmbH) [substitute], Intergastro, Nisbets</t>
        </is>
      </c>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row>
    <row r="146" ht="36" customHeight="1">
      <c r="A146" s="2" t="n"/>
      <c r="B146" s="24" t="inlineStr">
        <is>
          <t>Lid for 600x400 dough box</t>
        </is>
      </c>
      <c r="C146" s="120" t="n">
        <v>7.95</v>
      </c>
      <c r="D146" s="120" t="n">
        <v>8.69</v>
      </c>
      <c r="E146" s="120" t="n">
        <v>22.85</v>
      </c>
      <c r="F146" s="24" t="inlineStr">
        <is>
          <t>GastroHero, Gastrodax [substitute], Gastroladen.de (Harotec GmbH) [substitute], Intergastro, Nisbets</t>
        </is>
      </c>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row>
    <row r="147" ht="50" customHeight="1">
      <c r="A147" s="2" t="n"/>
      <c r="B147" s="27" t="inlineStr">
        <is>
          <t>Pizza dough box 600x400x75 mm, PE</t>
        </is>
      </c>
      <c r="C147" s="121" t="n">
        <v>9.369999999999999</v>
      </c>
      <c r="D147" s="121" t="n">
        <v>9.99</v>
      </c>
      <c r="E147" s="121" t="n">
        <v>26.81</v>
      </c>
      <c r="F147" s="27" t="inlineStr">
        <is>
          <t>ALLPAX, GGM Gastro, GastroHero, Gastrodax [substitute], Gastroladen.de (Harotec GmbH) [substitute], Intergastro, Nisbets</t>
        </is>
      </c>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row>
    <row r="148" ht="50" customHeight="1">
      <c r="A148" s="2" t="n"/>
      <c r="B148" s="24" t="inlineStr">
        <is>
          <t>Front-loading insulated thermobox for GN 1/1 (~80-90 l)</t>
        </is>
      </c>
      <c r="C148" s="120" t="n">
        <v>169.9</v>
      </c>
      <c r="D148" s="120" t="n">
        <v>265.95</v>
      </c>
      <c r="E148" s="120" t="n">
        <v>284</v>
      </c>
      <c r="F148" s="24" t="inlineStr">
        <is>
          <t>ALLPAX, GGM Gastro, GastroHero, Gastrodax [substitute], Gastroladen.de (Harotec GmbH) [substitute], Intergastro, Nisbets</t>
        </is>
      </c>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row>
    <row r="149" ht="36" customHeight="1">
      <c r="A149" s="2" t="n"/>
      <c r="B149" s="27" t="inlineStr">
        <is>
          <t>Service tray approx. 370x530 mm, ABS/PP</t>
        </is>
      </c>
      <c r="C149" s="121" t="n">
        <v>5.09</v>
      </c>
      <c r="D149" s="121" t="n">
        <v>7.47</v>
      </c>
      <c r="E149" s="121" t="n">
        <v>15.25</v>
      </c>
      <c r="F149" s="27" t="inlineStr">
        <is>
          <t>Gastrodax [substitute], Gastroladen.de (Harotec GmbH) [substitute], Nisbets</t>
        </is>
      </c>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row>
    <row r="150" ht="36" customHeight="1">
      <c r="A150" s="2" t="n"/>
      <c r="B150" s="24" t="inlineStr">
        <is>
          <t>Insulated thermo tray with lid, 5-6 compartments</t>
        </is>
      </c>
      <c r="C150" s="120" t="n">
        <v>26.19</v>
      </c>
      <c r="D150" s="120" t="n">
        <v>31.14</v>
      </c>
      <c r="E150" s="120" t="n">
        <v>36.09</v>
      </c>
      <c r="F150" s="24" t="inlineStr">
        <is>
          <t>ALLPAX, Gastrodax [substitute]</t>
        </is>
      </c>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row>
    <row r="151" ht="64" customHeight="1">
      <c r="A151" s="2" t="n"/>
      <c r="B151" s="27" t="inlineStr">
        <is>
          <t>Net price = listed gross / 1.19 (DE standard VAT 19%) when listed incl. VAT; divided by pack size. Only EXACT and CLOSE matches counted.</t>
        </is>
      </c>
      <c r="C151" s="27" t="n"/>
      <c r="D151" s="27" t="n"/>
      <c r="E151" s="27" t="n"/>
      <c r="F151" s="27"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row>
    <row r="152" ht="31"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row>
    <row r="153" ht="31" customHeight="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row>
    <row r="154" ht="31"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row>
    <row r="155" ht="31" customHeight="1">
      <c r="A155" s="2" t="n"/>
      <c r="B155" s="7" t="inlineStr">
        <is>
          <t>Not accessible</t>
        </is>
      </c>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row>
    <row r="156" ht="36" customHeight="1">
      <c r="A156" s="2" t="n"/>
      <c r="B156" s="16" t="inlineStr">
        <is>
          <t>Name</t>
        </is>
      </c>
      <c r="C156" s="17" t="inlineStr">
        <is>
          <t>URL</t>
        </is>
      </c>
      <c r="D156" s="17" t="inlineStr">
        <is>
          <t>Type</t>
        </is>
      </c>
      <c r="E156" s="17" t="inlineStr">
        <is>
          <t>Reason prices not counted</t>
        </is>
      </c>
      <c r="F156" s="18" t="inlineStr">
        <is>
          <t>Notes</t>
        </is>
      </c>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row>
    <row r="157" ht="288" customHeight="1">
      <c r="A157" s="2" t="n"/>
      <c r="B157" s="24" t="inlineStr">
        <is>
          <t>LUSINI Germany (incl. VEGA and PULSIVA)</t>
        </is>
      </c>
      <c r="C157" s="25" t="inlineStr">
        <is>
          <t>https://www.lusini.com/de-de/</t>
        </is>
      </c>
      <c r="D157" s="24" t="inlineStr">
        <is>
          <t>pan-EU</t>
        </is>
      </c>
      <c r="E157" s="24" t="inlineStr">
        <is>
          <t>Blocks automated access: all lusini.com pages (incl. robots.txt) return HTTP 403 to scripts and to the web-fetch tool; no price could be read or verified. Checked 2026-09-30. Re-tested with a headless Chromium browser: the Cloudflare 'Sicherheitsüberprüfung wird durchgeführt' (bot check) page never clears, even after 25 s, so the shop cannot be read without bot-detection evasion (not attempted).</t>
        </is>
      </c>
      <c r="F157" s="24" t="inlineStr">
        <is>
          <t>VEGA and PULSIVA are sold through the LUSINI shop: vega-direct.com redirects to lusini.com/vega, pulsiva.com to lusini.com/pulsiva, pulsiva.de to lusini.com/de-de (vega-direct.de does not resolve). Needs a manual check in a normal browser.</t>
        </is>
      </c>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row>
    <row r="158" ht="344" customHeight="1">
      <c r="A158" s="2" t="n"/>
      <c r="B158" s="27" t="inlineStr">
        <is>
          <t>METRO Germany</t>
        </is>
      </c>
      <c r="C158" s="28" t="inlineStr">
        <is>
          <t>https://www.metro.de/marktplatz</t>
        </is>
      </c>
      <c r="D158" s="27" t="inlineStr">
        <is>
          <t>marketplace</t>
        </is>
      </c>
      <c r="E158" s="27" t="inlineStr">
        <is>
          <t>Blocks automated access: www.metro.de including the METRO Marktplatz returns HTTP 403 to scripts and to the web-fetch tool; produkte.metro.de is a JavaScript-only page with no readable product data; shop.metro.de (customer shop) returned 503 / needs a customer login. Re-tested with a headless Chromium browser: METRO returns an access-denied page ('ARE YOU LOST? Sorry, only our team of experts has access here.') for both the Marktplatz start page and product pages.</t>
        </is>
      </c>
      <c r="F158" s="27" t="inlineStr">
        <is>
          <t>Search-engine snippets show METRO Professional PC GN containers on the METRO Marktplatz (e.g. GN 1/1 100 mm, GN 1/2 150 mm), but the prices could not be confirmed on the site, so none were recorded.</t>
        </is>
      </c>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row>
    <row r="159" ht="31" customHeight="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row>
    <row r="160" ht="31"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row>
    <row r="161" ht="31"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row>
    <row r="162" ht="22"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row>
    <row r="163" ht="22" customHeight="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row>
    <row r="164" ht="22"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row>
    <row r="165" ht="22"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row>
    <row r="166" ht="22"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row>
    <row r="167" ht="22" customHeight="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row>
    <row r="168" ht="22"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row>
    <row r="169" ht="22" customHeight="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row>
    <row r="170" ht="22"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row>
    <row r="171" ht="22" customHeight="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row>
    <row r="172" ht="22"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row>
    <row r="173" ht="22" customHeight="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row>
    <row r="174" ht="22"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row>
    <row r="175" ht="22" customHeight="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row>
    <row r="176" ht="22"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row>
    <row r="177" ht="22" customHeight="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row>
    <row r="178" ht="22"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row>
    <row r="179" ht="22" customHeight="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row>
    <row r="180" ht="22"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row>
    <row r="181" ht="22" customHeight="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row>
    <row r="182" ht="22"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row>
    <row r="183" ht="22" customHeight="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row>
    <row r="184" ht="22"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row>
    <row r="185" ht="22" customHeight="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row>
    <row r="186" ht="22"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row>
    <row r="187" ht="22" customHeight="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row>
    <row r="188" ht="22"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row>
    <row r="189" ht="22" customHeight="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row>
    <row r="190" ht="22"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row>
    <row r="191" ht="22" customHeight="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row>
    <row r="192" ht="22"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row>
    <row r="193" ht="22" customHeight="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row>
    <row r="194" ht="22"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row>
    <row r="195" ht="22" customHeight="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row>
    <row r="196" ht="22"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row>
    <row r="197" ht="22" customHeight="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row>
    <row r="198" ht="22"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row>
    <row r="199" ht="22" customHeight="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row>
    <row r="200" ht="22"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row>
    <row r="201" ht="22" customHeight="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row>
    <row r="202" ht="22"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row>
    <row r="203" ht="22" customHeight="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row>
    <row r="204" ht="22"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row>
    <row r="205" ht="22" customHeight="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row>
    <row r="206" ht="22"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row>
    <row r="207" ht="22" customHeight="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row>
    <row r="208" ht="22"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row>
    <row r="209" ht="22" customHeight="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row>
    <row r="210" ht="22"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row>
    <row r="211" ht="22"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row>
    <row r="212" ht="22"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row>
    <row r="213" ht="22"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row>
    <row r="214" ht="22"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row>
    <row r="215" ht="22" customHeight="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row>
    <row r="216" ht="22"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row>
    <row r="217" ht="22" customHeight="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row>
    <row r="218" ht="22"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row>
    <row r="219" ht="22" customHeight="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row>
    <row r="220" ht="22"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row>
    <row r="221" ht="22" customHeight="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row>
    <row r="222" ht="22" customHeight="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row>
    <row r="223" ht="22" customHeight="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row>
    <row r="224" ht="22" customHeight="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row>
    <row r="225" ht="22" customHeight="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row>
    <row r="226" ht="22" customHeight="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row>
    <row r="227" ht="22" customHeight="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row>
    <row r="228" ht="22" customHeight="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row>
    <row r="229" ht="22" customHeight="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row>
    <row r="230" ht="22" customHeight="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row>
  </sheetData>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1.xml><?xml version="1.0" encoding="utf-8"?>
<worksheet xmlns="http://schemas.openxmlformats.org/spreadsheetml/2006/main">
  <sheetPr>
    <outlinePr summaryBelow="1" summaryRight="1"/>
    <pageSetUpPr/>
  </sheetPr>
  <dimension ref="A1:AC500"/>
  <sheetViews>
    <sheetView showGridLines="0" workbookViewId="0">
      <pane xSplit="2" ySplit="8" topLeftCell="C9" activePane="bottomRight" state="frozen"/>
      <selection activeCell="A1" sqref="A1"/>
    </sheetView>
  </sheetViews>
  <sheetFormatPr baseColWidth="8" defaultRowHeight="15"/>
  <cols>
    <col width="3" customWidth="1" min="1" max="1"/>
    <col width="52" customWidth="1" min="2" max="2"/>
    <col width="27" customWidth="1" min="3" max="3"/>
    <col width="56" customWidth="1" min="4" max="4"/>
    <col width="24" customWidth="1" min="5" max="5"/>
    <col width="70"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80"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s>
  <sheetData>
    <row r="1" ht="22"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ht="28" customHeight="1">
      <c r="A2" s="2" t="n"/>
      <c r="B2" s="3" t="inlineStr">
        <is>
          <t>Czech source extract</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row>
    <row r="3" ht="22" customHeight="1">
      <c r="A3" s="2" t="n"/>
      <c r="B3" s="4" t="inlineStr">
        <is>
          <t>YES Gastro Czech Market Research.xlsx</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row>
    <row r="4" ht="22" customHeight="1">
      <c r="A4" s="2" t="n"/>
      <c r="B4" s="5" t="n"/>
      <c r="C4" s="5" t="n"/>
      <c r="D4" s="5" t="n"/>
      <c r="E4" s="5" t="n"/>
      <c r="F4" s="5" t="n"/>
      <c r="G4" s="5" t="n"/>
      <c r="H4" s="5" t="n"/>
      <c r="I4" s="5" t="n"/>
      <c r="J4" s="5" t="n"/>
      <c r="K4" s="5" t="n"/>
      <c r="L4" s="5" t="n"/>
      <c r="M4" s="5" t="n"/>
      <c r="N4" s="5" t="n"/>
      <c r="O4" s="2" t="n"/>
      <c r="P4" s="2" t="n"/>
      <c r="Q4" s="2" t="n"/>
      <c r="R4" s="2" t="n"/>
      <c r="S4" s="2" t="n"/>
      <c r="T4" s="2" t="n"/>
      <c r="U4" s="2" t="n"/>
      <c r="V4" s="2" t="n"/>
      <c r="W4" s="2" t="n"/>
      <c r="X4" s="2" t="n"/>
      <c r="Y4" s="2" t="n"/>
      <c r="Z4" s="2" t="n"/>
      <c r="AA4" s="2" t="n"/>
      <c r="AB4" s="2" t="n"/>
      <c r="AC4" s="2" t="n"/>
    </row>
    <row r="5" ht="22" customHeight="1">
      <c r="A5" s="2" t="n"/>
      <c r="B5" s="6" t="inlineStr">
        <is>
          <t>Original research values. Item numbers and observation counts removed; source formulas retain their original wording.</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row>
    <row r="6" ht="22" customHeight="1">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row>
    <row r="7" ht="22" customHeight="1">
      <c r="A7" s="2" t="n"/>
      <c r="B7" s="7" t="inlineStr">
        <is>
          <t>Prices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row>
    <row r="8" ht="38" customHeight="1">
      <c r="A8" s="2" t="n"/>
      <c r="B8" s="16" t="inlineStr">
        <is>
          <t>Basket item</t>
        </is>
      </c>
      <c r="C8" s="17" t="inlineStr">
        <is>
          <t>Competitor</t>
        </is>
      </c>
      <c r="D8" s="17" t="inlineStr">
        <is>
          <t>Product name</t>
        </is>
      </c>
      <c r="E8" s="17" t="inlineStr">
        <is>
          <t>Brand</t>
        </is>
      </c>
      <c r="F8" s="17" t="inlineStr">
        <is>
          <t>Product URL</t>
        </is>
      </c>
      <c r="G8" s="17" t="inlineStr">
        <is>
          <t>Listed price</t>
        </is>
      </c>
      <c r="H8" s="17" t="inlineStr">
        <is>
          <t>Currency</t>
        </is>
      </c>
      <c r="I8" s="17" t="inlineStr">
        <is>
          <t>Incl./excl. VAT</t>
        </is>
      </c>
      <c r="J8" s="17" t="inlineStr">
        <is>
          <t>VAT rate used</t>
        </is>
      </c>
      <c r="K8" s="17" t="inlineStr">
        <is>
          <t>Pack size (pcs)</t>
        </is>
      </c>
      <c r="L8" s="17" t="inlineStr">
        <is>
          <t>Price basis (per pack / per piece)</t>
        </is>
      </c>
      <c r="M8" s="17" t="inlineStr">
        <is>
          <t>Net price per piece CZK</t>
        </is>
      </c>
      <c r="N8" s="17" t="inlineStr">
        <is>
          <t>Match quality</t>
        </is>
      </c>
      <c r="O8" s="17" t="inlineStr">
        <is>
          <t>Notes</t>
        </is>
      </c>
      <c r="P8" s="17" t="inlineStr">
        <is>
          <t>Date checked</t>
        </is>
      </c>
      <c r="Q8" s="17" t="inlineStr">
        <is>
          <t>Competitor counted?</t>
        </is>
      </c>
      <c r="R8" s="17" t="inlineStr">
        <is>
          <t>Used in Summary?</t>
        </is>
      </c>
      <c r="S8" s="17" t="inlineStr">
        <is>
          <t>Net price per piece CZK (saved value)</t>
        </is>
      </c>
      <c r="T8" s="17" t="inlineStr">
        <is>
          <t>Competitor counted? (saved value)</t>
        </is>
      </c>
      <c r="U8" s="18" t="inlineStr">
        <is>
          <t>Used in Summary? (saved value)</t>
        </is>
      </c>
      <c r="V8" s="2" t="n"/>
      <c r="W8" s="2" t="n"/>
      <c r="X8" s="2" t="n"/>
      <c r="Y8" s="2" t="n"/>
      <c r="Z8" s="2" t="n"/>
      <c r="AA8" s="2" t="n"/>
      <c r="AB8" s="2" t="n"/>
      <c r="AC8" s="2" t="n"/>
    </row>
    <row r="9" ht="78" customHeight="1">
      <c r="A9" s="2" t="n"/>
      <c r="B9" s="24" t="inlineStr">
        <is>
          <t>GN 1/1 polycarbonate container, 65 mm deep</t>
        </is>
      </c>
      <c r="C9" s="24" t="inlineStr">
        <is>
          <t>GGM Gastro (CZ storefront)</t>
        </is>
      </c>
      <c r="D9" s="24" t="inlineStr">
        <is>
          <t>(6 ks) Gastronádoba GN GN 1/1 - polykarbonát - čirá - Výška: 65 mm</t>
        </is>
      </c>
      <c r="E9" s="24" t="inlineStr">
        <is>
          <t>GGM</t>
        </is>
      </c>
      <c r="F9" s="25" t="inlineStr">
        <is>
          <t>https://www.ggmgastro.com/cs-cz-czk/6-ks-gastronadoba-gn-gn-1-1-polykarbonat-cira-vyska-65-mm-gpcp1165</t>
        </is>
      </c>
      <c r="G9" s="98" t="n">
        <v>1143.69</v>
      </c>
      <c r="H9" s="24" t="inlineStr">
        <is>
          <t>CZK</t>
        </is>
      </c>
      <c r="I9" s="24" t="inlineStr">
        <is>
          <t>excl.</t>
        </is>
      </c>
      <c r="J9" s="122" t="n">
        <v>0.19</v>
      </c>
      <c r="K9" s="116" t="n">
        <v>6</v>
      </c>
      <c r="L9" s="24" t="inlineStr">
        <is>
          <t>per pack</t>
        </is>
      </c>
      <c r="M9" s="36" t="inlineStr">
        <is>
          <t>=IF(OR(G2="",J2="",K2=""),"",ROUND(IF(I2="incl.",G2/(1+J2),G2)/IF(L2="per pack",K2,1),2))</t>
        </is>
      </c>
      <c r="N9" s="24" t="inlineStr">
        <is>
          <t>EXACT</t>
        </is>
      </c>
      <c r="O9" s="24" t="inlineStr">
        <is>
          <t>Net CZK price as displayed; page footnote: "* čistá cena | hrubá cena vč. 19% DPH" (German VAT 19% used on the CZ storefront). SKU GPCP1165, pack of 6; gross 1,360.99 CZK; delivery 5-6 weeks.</t>
        </is>
      </c>
      <c r="P9" s="24" t="inlineStr">
        <is>
          <t>2026-09-30</t>
        </is>
      </c>
      <c r="Q9" s="36" t="inlineStr">
        <is>
          <t>=IFERROR(INDEX(Competitors!$N$2:$N$50,MATCH(C2,Competitors!$A$2:$A$50,0)),"no")</t>
        </is>
      </c>
      <c r="R9" s="36" t="inlineStr">
        <is>
          <t>=IF(AND(Q2="yes",OR(N2="EXACT",N2="CLOSE"),ISNUMBER(M2)),"yes","no")</t>
        </is>
      </c>
      <c r="S9" s="24" t="n"/>
      <c r="T9" s="24" t="n"/>
      <c r="U9" s="24" t="n"/>
      <c r="V9" s="2" t="n"/>
      <c r="W9" s="2" t="n"/>
      <c r="X9" s="2" t="n"/>
      <c r="Y9" s="2" t="n"/>
      <c r="Z9" s="2" t="n"/>
      <c r="AA9" s="2" t="n"/>
      <c r="AB9" s="2" t="n"/>
      <c r="AC9" s="2" t="n"/>
    </row>
    <row r="10" ht="78" customHeight="1">
      <c r="A10" s="2" t="n"/>
      <c r="B10" s="27" t="inlineStr">
        <is>
          <t>GN 1/1 polycarbonate container, 65 mm deep</t>
        </is>
      </c>
      <c r="C10" s="27" t="inlineStr">
        <is>
          <t>Gastro Novotný</t>
        </is>
      </c>
      <c r="D10" s="27" t="inlineStr">
        <is>
          <t>Gastronádoba PC 1/1 100</t>
        </is>
      </c>
      <c r="E10" s="27" t="n"/>
      <c r="F10" s="28" t="inlineStr">
        <is>
          <t>https://eshop.gastronovotny.cz/gastronadoba-pc-1-1-100--0835126/</t>
        </is>
      </c>
      <c r="G10" s="102" t="n">
        <v>289</v>
      </c>
      <c r="H10" s="27" t="inlineStr">
        <is>
          <t>CZK</t>
        </is>
      </c>
      <c r="I10" s="27" t="inlineStr">
        <is>
          <t>excl.</t>
        </is>
      </c>
      <c r="J10" s="123" t="n">
        <v>0.21</v>
      </c>
      <c r="K10" s="117" t="n">
        <v>1</v>
      </c>
      <c r="L10" s="27" t="inlineStr">
        <is>
          <t>per piece</t>
        </is>
      </c>
      <c r="M10" s="38" t="inlineStr">
        <is>
          <t>=IF(OR(G3="",J3="",K3=""),"",ROUND(IF(I3="incl.",G3/(1+J3),G3)/IF(L3="per pack",K3,1),2))</t>
        </is>
      </c>
      <c r="N10" s="27" t="inlineStr">
        <is>
          <t>APPROX</t>
        </is>
      </c>
      <c r="O10" s="27" t="inlineStr">
        <is>
          <t>Polycarbonate GN 1/1 but 100 mm deep (no 65 mm PC listed; PC range 1/1 = 100 and 200 mm only). 349.69 CZK incl. VAT. Availability "Na dotaz".</t>
        </is>
      </c>
      <c r="P10" s="27" t="inlineStr">
        <is>
          <t>2026-09-30</t>
        </is>
      </c>
      <c r="Q10" s="38" t="inlineStr">
        <is>
          <t>=IFERROR(INDEX(Competitors!$N$2:$N$50,MATCH(C3,Competitors!$A$2:$A$50,0)),"no")</t>
        </is>
      </c>
      <c r="R10" s="38" t="inlineStr">
        <is>
          <t>=IF(AND(Q3="yes",OR(N3="EXACT",N3="CLOSE"),ISNUMBER(M3)),"yes","no")</t>
        </is>
      </c>
      <c r="S10" s="27" t="n"/>
      <c r="T10" s="27" t="n"/>
      <c r="U10" s="27" t="n"/>
      <c r="V10" s="2" t="n"/>
      <c r="W10" s="2" t="n"/>
      <c r="X10" s="2" t="n"/>
      <c r="Y10" s="2" t="n"/>
      <c r="Z10" s="2" t="n"/>
      <c r="AA10" s="2" t="n"/>
      <c r="AB10" s="2" t="n"/>
      <c r="AC10" s="2" t="n"/>
    </row>
    <row r="11" ht="78" customHeight="1">
      <c r="A11" s="2" t="n"/>
      <c r="B11" s="24" t="inlineStr">
        <is>
          <t>GN 1/1 polycarbonate container, 65 mm deep</t>
        </is>
      </c>
      <c r="C11" s="24" t="inlineStr">
        <is>
          <t>Gastromania</t>
        </is>
      </c>
      <c r="D11" s="24" t="inlineStr">
        <is>
          <t>Gastronádoba z polykarbonátu GN 1/1 65 mm | HENDI, Profi Line</t>
        </is>
      </c>
      <c r="E11" s="24" t="inlineStr">
        <is>
          <t>Hendi</t>
        </is>
      </c>
      <c r="F11" s="25" t="inlineStr">
        <is>
          <t>https://www.gastromania.cz/gastronadoby-polykarbonatove/gastronadoba-z-polykarbonatu-gn-1-1-65-mm-hendi-profi-line</t>
        </is>
      </c>
      <c r="G11" s="98" t="n">
        <v>262</v>
      </c>
      <c r="H11" s="24" t="inlineStr">
        <is>
          <t>CZK</t>
        </is>
      </c>
      <c r="I11" s="24" t="inlineStr">
        <is>
          <t>excl.</t>
        </is>
      </c>
      <c r="J11" s="122" t="n">
        <v>0.21</v>
      </c>
      <c r="K11" s="116" t="n">
        <v>1</v>
      </c>
      <c r="L11" s="24" t="inlineStr">
        <is>
          <t>per piece</t>
        </is>
      </c>
      <c r="M11" s="36" t="inlineStr">
        <is>
          <t>=IF(OR(G4="",J4="",K4=""),"",ROUND(IF(I4="incl.",G4/(1+J4),G4)/IF(L4="per pack",K4,1),2))</t>
        </is>
      </c>
      <c r="N11" s="24" t="inlineStr">
        <is>
          <t>EXACT</t>
        </is>
      </c>
      <c r="O11" s="24" t="inlineStr">
        <is>
          <t>PC, 9 l. Current price 262 CZK excl. / 317 incl. is an "Outlet" discount from 368 excl. / 445 incl. (30-day low shown 445). Regular-priced alternative: Stalgast Bufet PC GN 1/1 65 mm 286 excl. / 346 incl.</t>
        </is>
      </c>
      <c r="P11" s="24" t="inlineStr">
        <is>
          <t>2026-09-30</t>
        </is>
      </c>
      <c r="Q11" s="36" t="inlineStr">
        <is>
          <t>=IFERROR(INDEX(Competitors!$N$2:$N$50,MATCH(C4,Competitors!$A$2:$A$50,0)),"no")</t>
        </is>
      </c>
      <c r="R11" s="36" t="inlineStr">
        <is>
          <t>=IF(AND(Q4="yes",OR(N4="EXACT",N4="CLOSE"),ISNUMBER(M4)),"yes","no")</t>
        </is>
      </c>
      <c r="S11" s="24" t="n"/>
      <c r="T11" s="24" t="n"/>
      <c r="U11" s="24" t="n"/>
      <c r="V11" s="2" t="n"/>
      <c r="W11" s="2" t="n"/>
      <c r="X11" s="2" t="n"/>
      <c r="Y11" s="2" t="n"/>
      <c r="Z11" s="2" t="n"/>
      <c r="AA11" s="2" t="n"/>
      <c r="AB11" s="2" t="n"/>
      <c r="AC11" s="2" t="n"/>
    </row>
    <row r="12" ht="78" customHeight="1">
      <c r="A12" s="2" t="n"/>
      <c r="B12" s="27" t="inlineStr">
        <is>
          <t>GN 1/1 polycarbonate container, 65 mm deep</t>
        </is>
      </c>
      <c r="C12" s="27" t="inlineStr">
        <is>
          <t>Gastrozone</t>
        </is>
      </c>
      <c r="D12" s="27" t="inlineStr">
        <is>
          <t>ARAVEN Gastronádoba GN 1/1, polykarbonát, hloubka: 65 mm, objem: 8,6 L</t>
        </is>
      </c>
      <c r="E12" s="27" t="inlineStr">
        <is>
          <t>Araven</t>
        </is>
      </c>
      <c r="F12" s="28" t="inlineStr">
        <is>
          <t>https://www.gastrozone.cz/araven-gn-box-1-1-polykarbonat-hloubka-65-mm-objem-8-6-l.html</t>
        </is>
      </c>
      <c r="G12" s="102" t="n">
        <v>502</v>
      </c>
      <c r="H12" s="27" t="inlineStr">
        <is>
          <t>CZK</t>
        </is>
      </c>
      <c r="I12" s="27" t="inlineStr">
        <is>
          <t>incl.</t>
        </is>
      </c>
      <c r="J12" s="123" t="n">
        <v>0.21</v>
      </c>
      <c r="K12" s="117" t="n">
        <v>1</v>
      </c>
      <c r="L12" s="27" t="inlineStr">
        <is>
          <t>per piece</t>
        </is>
      </c>
      <c r="M12" s="38" t="inlineStr">
        <is>
          <t>=IF(OR(G5="",J5="",K5=""),"",ROUND(IF(I5="incl.",G5/(1+J5),G5)/IF(L5="per pack",K5,1),2))</t>
        </is>
      </c>
      <c r="N12" s="27" t="inlineStr">
        <is>
          <t>EXACT</t>
        </is>
      </c>
      <c r="O12" s="27" t="inlineStr">
        <is>
          <t>414.88 CZK bez DPH; availability "Na objednávku (3-5 týdnů)". In-stock alternative: ARAVEN PC GN 1/1 65 mm with integrated label 601 CZK.</t>
        </is>
      </c>
      <c r="P12" s="27" t="inlineStr">
        <is>
          <t>2026-09-30</t>
        </is>
      </c>
      <c r="Q12" s="38" t="inlineStr">
        <is>
          <t>=IFERROR(INDEX(Competitors!$N$2:$N$50,MATCH(C5,Competitors!$A$2:$A$50,0)),"no")</t>
        </is>
      </c>
      <c r="R12" s="38" t="inlineStr">
        <is>
          <t>=IF(AND(Q5="yes",OR(N5="EXACT",N5="CLOSE"),ISNUMBER(M5)),"yes","no")</t>
        </is>
      </c>
      <c r="S12" s="27" t="n"/>
      <c r="T12" s="27" t="n"/>
      <c r="U12" s="27" t="n"/>
      <c r="V12" s="2" t="n"/>
      <c r="W12" s="2" t="n"/>
      <c r="X12" s="2" t="n"/>
      <c r="Y12" s="2" t="n"/>
      <c r="Z12" s="2" t="n"/>
      <c r="AA12" s="2" t="n"/>
      <c r="AB12" s="2" t="n"/>
      <c r="AC12" s="2" t="n"/>
    </row>
    <row r="13" ht="78" customHeight="1">
      <c r="A13" s="2" t="n"/>
      <c r="B13" s="24" t="inlineStr">
        <is>
          <t>GN 1/1 polycarbonate container, 65 mm deep</t>
        </is>
      </c>
      <c r="C13" s="24" t="inlineStr">
        <is>
          <t>TOMGAST</t>
        </is>
      </c>
      <c r="D13" s="24" t="inlineStr">
        <is>
          <t>Gastronádoba polykarbonátová GN 1/1 65 mm</t>
        </is>
      </c>
      <c r="E13" s="24" t="inlineStr">
        <is>
          <t>Cambro</t>
        </is>
      </c>
      <c r="F13" s="25" t="inlineStr">
        <is>
          <t>https://www.tomgast.cz/gastronadoba-polykarbonatova-gn-1-1-65-mm/</t>
        </is>
      </c>
      <c r="G13" s="98" t="n">
        <v>401</v>
      </c>
      <c r="H13" s="24" t="inlineStr">
        <is>
          <t>CZK</t>
        </is>
      </c>
      <c r="I13" s="24" t="inlineStr">
        <is>
          <t>incl.</t>
        </is>
      </c>
      <c r="J13" s="122" t="n">
        <v>0.21</v>
      </c>
      <c r="K13" s="116" t="n">
        <v>1</v>
      </c>
      <c r="L13" s="24" t="inlineStr">
        <is>
          <t>per piece</t>
        </is>
      </c>
      <c r="M13" s="36" t="inlineStr">
        <is>
          <t>=IF(OR(G6="",J6="",K6=""),"",ROUND(IF(I6="incl.",G6/(1+J6),G6)/IF(L6="per pack",K6,1),2))</t>
        </is>
      </c>
      <c r="N13" s="24" t="inlineStr">
        <is>
          <t>EXACT</t>
        </is>
      </c>
      <c r="O13" s="24" t="inlineStr">
        <is>
          <t>Code R-M211065; site shows 331 CZK bez DPH; in stock</t>
        </is>
      </c>
      <c r="P13" s="24" t="inlineStr">
        <is>
          <t>2026-09-30</t>
        </is>
      </c>
      <c r="Q13" s="36" t="inlineStr">
        <is>
          <t>=IFERROR(INDEX(Competitors!$N$2:$N$50,MATCH(C6,Competitors!$A$2:$A$50,0)),"no")</t>
        </is>
      </c>
      <c r="R13" s="36" t="inlineStr">
        <is>
          <t>=IF(AND(Q6="yes",OR(N6="EXACT",N6="CLOSE"),ISNUMBER(M6)),"yes","no")</t>
        </is>
      </c>
      <c r="S13" s="24" t="n"/>
      <c r="T13" s="24" t="n"/>
      <c r="U13" s="24" t="n"/>
      <c r="V13" s="2" t="n"/>
      <c r="W13" s="2" t="n"/>
      <c r="X13" s="2" t="n"/>
      <c r="Y13" s="2" t="n"/>
      <c r="Z13" s="2" t="n"/>
      <c r="AA13" s="2" t="n"/>
      <c r="AB13" s="2" t="n"/>
      <c r="AC13" s="2" t="n"/>
    </row>
    <row r="14" ht="78" customHeight="1">
      <c r="A14" s="2" t="n"/>
      <c r="B14" s="27" t="inlineStr">
        <is>
          <t>GN 1/2 polycarbonate container, 150 mm deep</t>
        </is>
      </c>
      <c r="C14" s="27" t="inlineStr">
        <is>
          <t>GGM Gastro (CZ storefront)</t>
        </is>
      </c>
      <c r="D14" s="27" t="inlineStr">
        <is>
          <t>(6 ks) CAMBRO Camview – kopolymerové nádoby GN 1/2 – průhledné – výška: 150 mm – bez BPA</t>
        </is>
      </c>
      <c r="E14" s="27" t="inlineStr">
        <is>
          <t>Cambro</t>
        </is>
      </c>
      <c r="F14" s="28" t="inlineStr">
        <is>
          <t>https://www.ggmgastro.com/cs-cz-czk/6-ks-cambro-camview-r-kopolymerove-nadoby-gn-1-2-pruhledne-vyska-150-mm-bez-bpa-26cv135</t>
        </is>
      </c>
      <c r="G14" s="102" t="n">
        <v>1460.1</v>
      </c>
      <c r="H14" s="27" t="inlineStr">
        <is>
          <t>CZK</t>
        </is>
      </c>
      <c r="I14" s="27" t="inlineStr">
        <is>
          <t>excl.</t>
        </is>
      </c>
      <c r="J14" s="123" t="n">
        <v>0.19</v>
      </c>
      <c r="K14" s="117" t="n">
        <v>6</v>
      </c>
      <c r="L14" s="27" t="inlineStr">
        <is>
          <t>per pack</t>
        </is>
      </c>
      <c r="M14" s="38" t="inlineStr">
        <is>
          <t>=IF(OR(G7="",J7="",K7=""),"",ROUND(IF(I7="incl.",G7/(1+J7),G7)/IF(L7="per pack",K7,1),2))</t>
        </is>
      </c>
      <c r="N14" s="27" t="inlineStr">
        <is>
          <t>CLOSE</t>
        </is>
      </c>
      <c r="O14" s="27" t="inlineStr">
        <is>
          <t>Net CZK price as displayed; page footnote: "* čistá cena | hrubá cena vč. 19% DPH" (German VAT 19% used on the CZ storefront). SKU 26CV135, pack of 6; copolymer (Camview), not polycarbonate - no clear PC GN 1/2 150 mm listed. Gross 1,737.52 CZK; in stock 3-5 days.</t>
        </is>
      </c>
      <c r="P14" s="27" t="inlineStr">
        <is>
          <t>2026-09-30</t>
        </is>
      </c>
      <c r="Q14" s="38" t="inlineStr">
        <is>
          <t>=IFERROR(INDEX(Competitors!$N$2:$N$50,MATCH(C7,Competitors!$A$2:$A$50,0)),"no")</t>
        </is>
      </c>
      <c r="R14" s="38" t="inlineStr">
        <is>
          <t>=IF(AND(Q7="yes",OR(N7="EXACT",N7="CLOSE"),ISNUMBER(M7)),"yes","no")</t>
        </is>
      </c>
      <c r="S14" s="27" t="n"/>
      <c r="T14" s="27" t="n"/>
      <c r="U14" s="27" t="n"/>
      <c r="V14" s="2" t="n"/>
      <c r="W14" s="2" t="n"/>
      <c r="X14" s="2" t="n"/>
      <c r="Y14" s="2" t="n"/>
      <c r="Z14" s="2" t="n"/>
      <c r="AA14" s="2" t="n"/>
      <c r="AB14" s="2" t="n"/>
      <c r="AC14" s="2" t="n"/>
    </row>
    <row r="15" ht="78" customHeight="1">
      <c r="A15" s="2" t="n"/>
      <c r="B15" s="24" t="inlineStr">
        <is>
          <t>GN 1/2 polycarbonate container, 150 mm deep</t>
        </is>
      </c>
      <c r="C15" s="24" t="inlineStr">
        <is>
          <t>Gastro Novotný</t>
        </is>
      </c>
      <c r="D15" s="24" t="inlineStr">
        <is>
          <t>Gastronádoba PC 1/2 150</t>
        </is>
      </c>
      <c r="E15" s="24" t="n"/>
      <c r="F15" s="25" t="inlineStr">
        <is>
          <t>https://eshop.gastronovotny.cz/gastronadoba-pc-1-2-150--0835123/</t>
        </is>
      </c>
      <c r="G15" s="98" t="n">
        <v>270</v>
      </c>
      <c r="H15" s="24" t="inlineStr">
        <is>
          <t>CZK</t>
        </is>
      </c>
      <c r="I15" s="24" t="inlineStr">
        <is>
          <t>excl.</t>
        </is>
      </c>
      <c r="J15" s="122" t="n">
        <v>0.21</v>
      </c>
      <c r="K15" s="116" t="n">
        <v>1</v>
      </c>
      <c r="L15" s="24" t="inlineStr">
        <is>
          <t>per piece</t>
        </is>
      </c>
      <c r="M15" s="36" t="inlineStr">
        <is>
          <t>=IF(OR(G8="",J8="",K8=""),"",ROUND(IF(I8="incl.",G8/(1+J8),G8)/IF(L8="per pack",K8,1),2))</t>
        </is>
      </c>
      <c r="N15" s="24" t="inlineStr">
        <is>
          <t>EXACT</t>
        </is>
      </c>
      <c r="O15" s="24" t="inlineStr">
        <is>
          <t>Code 0835123; 326.70 CZK incl. VAT; availability "Na dotaz"</t>
        </is>
      </c>
      <c r="P15" s="24" t="inlineStr">
        <is>
          <t>2026-09-30</t>
        </is>
      </c>
      <c r="Q15" s="36" t="inlineStr">
        <is>
          <t>=IFERROR(INDEX(Competitors!$N$2:$N$50,MATCH(C8,Competitors!$A$2:$A$50,0)),"no")</t>
        </is>
      </c>
      <c r="R15" s="36" t="inlineStr">
        <is>
          <t>=IF(AND(Q8="yes",OR(N8="EXACT",N8="CLOSE"),ISNUMBER(M8)),"yes","no")</t>
        </is>
      </c>
      <c r="S15" s="24" t="n"/>
      <c r="T15" s="24" t="n"/>
      <c r="U15" s="24" t="n"/>
      <c r="V15" s="2" t="n"/>
      <c r="W15" s="2" t="n"/>
      <c r="X15" s="2" t="n"/>
      <c r="Y15" s="2" t="n"/>
      <c r="Z15" s="2" t="n"/>
      <c r="AA15" s="2" t="n"/>
      <c r="AB15" s="2" t="n"/>
      <c r="AC15" s="2" t="n"/>
    </row>
    <row r="16" ht="78" customHeight="1">
      <c r="A16" s="2" t="n"/>
      <c r="B16" s="27" t="inlineStr">
        <is>
          <t>GN 1/2 polycarbonate container, 150 mm deep</t>
        </is>
      </c>
      <c r="C16" s="27" t="inlineStr">
        <is>
          <t>Gastromania</t>
        </is>
      </c>
      <c r="D16" s="27" t="inlineStr">
        <is>
          <t>Gastronádoba GN 1/2 polykarbonátová 150 mm | REDFOX, GNP-1/2-150</t>
        </is>
      </c>
      <c r="E16" s="27" t="inlineStr">
        <is>
          <t>Redfox</t>
        </is>
      </c>
      <c r="F16" s="28" t="inlineStr">
        <is>
          <t>https://www.gastromania.cz/kuchynsky-inventar/gastronadoba-gn-1-2-polykarbonatova-150-mm-redfox-gnp-1-2-150</t>
        </is>
      </c>
      <c r="G16" s="102" t="n">
        <v>239</v>
      </c>
      <c r="H16" s="27" t="inlineStr">
        <is>
          <t>CZK</t>
        </is>
      </c>
      <c r="I16" s="27" t="inlineStr">
        <is>
          <t>excl.</t>
        </is>
      </c>
      <c r="J16" s="123" t="n">
        <v>0.21</v>
      </c>
      <c r="K16" s="117" t="n">
        <v>1</v>
      </c>
      <c r="L16" s="27" t="inlineStr">
        <is>
          <t>per piece</t>
        </is>
      </c>
      <c r="M16" s="38" t="inlineStr">
        <is>
          <t>=IF(OR(G9="",J9="",K9=""),"",ROUND(IF(I9="incl.",G9/(1+J9),G9)/IF(L9="per pack",K9,1),2))</t>
        </is>
      </c>
      <c r="N16" s="27" t="inlineStr">
        <is>
          <t>EXACT</t>
        </is>
      </c>
      <c r="O16" s="27" t="inlineStr">
        <is>
          <t>PC, 9.2 l; 289 CZK incl.; availability 5 days. (APS 82116 at 132 excl. is named polycarbonate but its parameters say polypropylene - conflicting, not used.)</t>
        </is>
      </c>
      <c r="P16" s="27" t="inlineStr">
        <is>
          <t>2026-09-30</t>
        </is>
      </c>
      <c r="Q16" s="38" t="inlineStr">
        <is>
          <t>=IFERROR(INDEX(Competitors!$N$2:$N$50,MATCH(C9,Competitors!$A$2:$A$50,0)),"no")</t>
        </is>
      </c>
      <c r="R16" s="38" t="inlineStr">
        <is>
          <t>=IF(AND(Q9="yes",OR(N9="EXACT",N9="CLOSE"),ISNUMBER(M9)),"yes","no")</t>
        </is>
      </c>
      <c r="S16" s="27" t="n"/>
      <c r="T16" s="27" t="n"/>
      <c r="U16" s="27" t="n"/>
      <c r="V16" s="2" t="n"/>
      <c r="W16" s="2" t="n"/>
      <c r="X16" s="2" t="n"/>
      <c r="Y16" s="2" t="n"/>
      <c r="Z16" s="2" t="n"/>
      <c r="AA16" s="2" t="n"/>
      <c r="AB16" s="2" t="n"/>
      <c r="AC16" s="2" t="n"/>
    </row>
    <row r="17" ht="78" customHeight="1">
      <c r="A17" s="2" t="n"/>
      <c r="B17" s="24" t="inlineStr">
        <is>
          <t>GN 1/2 polycarbonate container, 150 mm deep</t>
        </is>
      </c>
      <c r="C17" s="24" t="inlineStr">
        <is>
          <t>Gastrozone</t>
        </is>
      </c>
      <c r="D17" s="24" t="inlineStr">
        <is>
          <t>ARAVEN Gastronádoba GN 1/2, polykarbonát, Hloubka: 150 mm, Objem: 8 L</t>
        </is>
      </c>
      <c r="E17" s="24" t="inlineStr">
        <is>
          <t>Araven</t>
        </is>
      </c>
      <c r="F17" s="25" t="inlineStr">
        <is>
          <t>https://www.gastrozone.cz/araven-gn-nadoba-1-2-polykarbonat-hloubka-150-mm-objem-8-l.html</t>
        </is>
      </c>
      <c r="G17" s="98" t="n">
        <v>464</v>
      </c>
      <c r="H17" s="24" t="inlineStr">
        <is>
          <t>CZK</t>
        </is>
      </c>
      <c r="I17" s="24" t="inlineStr">
        <is>
          <t>incl.</t>
        </is>
      </c>
      <c r="J17" s="122" t="n">
        <v>0.21</v>
      </c>
      <c r="K17" s="116" t="n">
        <v>1</v>
      </c>
      <c r="L17" s="24" t="inlineStr">
        <is>
          <t>per piece</t>
        </is>
      </c>
      <c r="M17" s="36" t="inlineStr">
        <is>
          <t>=IF(OR(G10="",J10="",K10=""),"",ROUND(IF(I10="incl.",G10/(1+J10),G10)/IF(L10="per pack",K10,1),2))</t>
        </is>
      </c>
      <c r="N17" s="24" t="inlineStr">
        <is>
          <t>EXACT</t>
        </is>
      </c>
      <c r="O17" s="24" t="inlineStr">
        <is>
          <t>383.47 CZK bez DPH; to order 3-5 weeks. In-stock alternative: Pujadas GN 1/2 PC 150 mm 630 CZK.</t>
        </is>
      </c>
      <c r="P17" s="24" t="inlineStr">
        <is>
          <t>2026-09-30</t>
        </is>
      </c>
      <c r="Q17" s="36" t="inlineStr">
        <is>
          <t>=IFERROR(INDEX(Competitors!$N$2:$N$50,MATCH(C10,Competitors!$A$2:$A$50,0)),"no")</t>
        </is>
      </c>
      <c r="R17" s="36" t="inlineStr">
        <is>
          <t>=IF(AND(Q10="yes",OR(N10="EXACT",N10="CLOSE"),ISNUMBER(M10)),"yes","no")</t>
        </is>
      </c>
      <c r="S17" s="24" t="n"/>
      <c r="T17" s="24" t="n"/>
      <c r="U17" s="24" t="n"/>
      <c r="V17" s="2" t="n"/>
      <c r="W17" s="2" t="n"/>
      <c r="X17" s="2" t="n"/>
      <c r="Y17" s="2" t="n"/>
      <c r="Z17" s="2" t="n"/>
      <c r="AA17" s="2" t="n"/>
      <c r="AB17" s="2" t="n"/>
      <c r="AC17" s="2" t="n"/>
    </row>
    <row r="18" ht="78" customHeight="1">
      <c r="A18" s="2" t="n"/>
      <c r="B18" s="27" t="inlineStr">
        <is>
          <t>GN 1/2 polycarbonate container, 150 mm deep</t>
        </is>
      </c>
      <c r="C18" s="27" t="inlineStr">
        <is>
          <t>TOMGAST</t>
        </is>
      </c>
      <c r="D18" s="27" t="inlineStr">
        <is>
          <t>Gastronádoba polykarbonátová GN 1/2 150 mm</t>
        </is>
      </c>
      <c r="E18" s="27" t="inlineStr">
        <is>
          <t>Cambro</t>
        </is>
      </c>
      <c r="F18" s="28" t="inlineStr">
        <is>
          <t>https://www.tomgast.cz/gastronadoba-polykarbonatova-gn-1-2-150-mm-2/</t>
        </is>
      </c>
      <c r="G18" s="102" t="n">
        <v>356</v>
      </c>
      <c r="H18" s="27" t="inlineStr">
        <is>
          <t>CZK</t>
        </is>
      </c>
      <c r="I18" s="27" t="inlineStr">
        <is>
          <t>incl.</t>
        </is>
      </c>
      <c r="J18" s="123" t="n">
        <v>0.21</v>
      </c>
      <c r="K18" s="117" t="n">
        <v>1</v>
      </c>
      <c r="L18" s="27" t="inlineStr">
        <is>
          <t>per piece</t>
        </is>
      </c>
      <c r="M18" s="38" t="inlineStr">
        <is>
          <t>=IF(OR(G11="",J11="",K11=""),"",ROUND(IF(I11="incl.",G11/(1+J11),G11)/IF(L11="per pack",K11,1),2))</t>
        </is>
      </c>
      <c r="N18" s="27" t="inlineStr">
        <is>
          <t>EXACT</t>
        </is>
      </c>
      <c r="O18" s="27" t="inlineStr">
        <is>
          <t>Code R-M212150; 294 CZK bez DPH; in stock</t>
        </is>
      </c>
      <c r="P18" s="27" t="inlineStr">
        <is>
          <t>2026-09-30</t>
        </is>
      </c>
      <c r="Q18" s="38" t="inlineStr">
        <is>
          <t>=IFERROR(INDEX(Competitors!$N$2:$N$50,MATCH(C11,Competitors!$A$2:$A$50,0)),"no")</t>
        </is>
      </c>
      <c r="R18" s="38" t="inlineStr">
        <is>
          <t>=IF(AND(Q11="yes",OR(N11="EXACT",N11="CLOSE"),ISNUMBER(M11)),"yes","no")</t>
        </is>
      </c>
      <c r="S18" s="27" t="n"/>
      <c r="T18" s="27" t="n"/>
      <c r="U18" s="27" t="n"/>
      <c r="V18" s="2" t="n"/>
      <c r="W18" s="2" t="n"/>
      <c r="X18" s="2" t="n"/>
      <c r="Y18" s="2" t="n"/>
      <c r="Z18" s="2" t="n"/>
      <c r="AA18" s="2" t="n"/>
      <c r="AB18" s="2" t="n"/>
      <c r="AC18" s="2" t="n"/>
    </row>
    <row r="19" ht="78" customHeight="1">
      <c r="A19" s="2" t="n"/>
      <c r="B19" s="24" t="inlineStr">
        <is>
          <t>GN 1/3 polypropylene container, 100 mm deep</t>
        </is>
      </c>
      <c r="C19" s="24" t="inlineStr">
        <is>
          <t>GGM Gastro (CZ storefront)</t>
        </is>
      </c>
      <c r="D19" s="24" t="inlineStr">
        <is>
          <t>(12 ks) Gastronádoba polypropylen GN 1/3 - Mléčná - Výška: 100 mm</t>
        </is>
      </c>
      <c r="E19" s="24" t="inlineStr">
        <is>
          <t>GGM</t>
        </is>
      </c>
      <c r="F19" s="25" t="inlineStr">
        <is>
          <t>https://www.ggmgastro.com/cs-cz-czk/12-ks-gastronadoba-polypropylen-gn-1-3-mlecna-vyska-100-mm-gpp13100</t>
        </is>
      </c>
      <c r="G19" s="98" t="n">
        <v>973.3200000000001</v>
      </c>
      <c r="H19" s="24" t="inlineStr">
        <is>
          <t>CZK</t>
        </is>
      </c>
      <c r="I19" s="24" t="inlineStr">
        <is>
          <t>excl.</t>
        </is>
      </c>
      <c r="J19" s="122" t="n">
        <v>0.19</v>
      </c>
      <c r="K19" s="116" t="n">
        <v>12</v>
      </c>
      <c r="L19" s="24" t="inlineStr">
        <is>
          <t>per pack</t>
        </is>
      </c>
      <c r="M19" s="36" t="inlineStr">
        <is>
          <t>=IF(OR(G12="",J12="",K12=""),"",ROUND(IF(I12="incl.",G12/(1+J12),G12)/IF(L12="per pack",K12,1),2))</t>
        </is>
      </c>
      <c r="N19" s="24" t="inlineStr">
        <is>
          <t>EXACT</t>
        </is>
      </c>
      <c r="O19" s="24" t="inlineStr">
        <is>
          <t>Net CZK price as displayed; page footnote: "* čistá cena | hrubá cena vč. 19% DPH" (German VAT 19% used on the CZ storefront). SKU GPP13100, pack of 12 (3.6 l); gross 1,158.25 CZK. A 6-pack SKU GPP13100#6 is listed at 4,040.03 CZK net (anomalous, ~8x the per-piece price) - not used.</t>
        </is>
      </c>
      <c r="P19" s="24" t="inlineStr">
        <is>
          <t>2026-09-30</t>
        </is>
      </c>
      <c r="Q19" s="36" t="inlineStr">
        <is>
          <t>=IFERROR(INDEX(Competitors!$N$2:$N$50,MATCH(C12,Competitors!$A$2:$A$50,0)),"no")</t>
        </is>
      </c>
      <c r="R19" s="36" t="inlineStr">
        <is>
          <t>=IF(AND(Q12="yes",OR(N12="EXACT",N12="CLOSE"),ISNUMBER(M12)),"yes","no")</t>
        </is>
      </c>
      <c r="S19" s="24" t="n"/>
      <c r="T19" s="24" t="n"/>
      <c r="U19" s="24" t="n"/>
      <c r="V19" s="2" t="n"/>
      <c r="W19" s="2" t="n"/>
      <c r="X19" s="2" t="n"/>
      <c r="Y19" s="2" t="n"/>
      <c r="Z19" s="2" t="n"/>
      <c r="AA19" s="2" t="n"/>
      <c r="AB19" s="2" t="n"/>
      <c r="AC19" s="2" t="n"/>
    </row>
    <row r="20" ht="78" customHeight="1">
      <c r="A20" s="2" t="n"/>
      <c r="B20" s="27" t="inlineStr">
        <is>
          <t>GN 1/3 polypropylene container, 100 mm deep</t>
        </is>
      </c>
      <c r="C20" s="27" t="inlineStr">
        <is>
          <t>Gastro Novotný</t>
        </is>
      </c>
      <c r="D20" s="27" t="inlineStr">
        <is>
          <t>Gastronádoba 1/3 100 polypropylen</t>
        </is>
      </c>
      <c r="E20" s="27" t="n"/>
      <c r="F20" s="28" t="inlineStr">
        <is>
          <t>https://eshop.gastronovotny.cz/gastronadoba-1-3-100-polypropylen-/</t>
        </is>
      </c>
      <c r="G20" s="102" t="n">
        <v>100</v>
      </c>
      <c r="H20" s="27" t="inlineStr">
        <is>
          <t>CZK</t>
        </is>
      </c>
      <c r="I20" s="27" t="inlineStr">
        <is>
          <t>excl.</t>
        </is>
      </c>
      <c r="J20" s="123" t="n">
        <v>0.21</v>
      </c>
      <c r="K20" s="117" t="n">
        <v>1</v>
      </c>
      <c r="L20" s="27" t="inlineStr">
        <is>
          <t>per piece</t>
        </is>
      </c>
      <c r="M20" s="38" t="inlineStr">
        <is>
          <t>=IF(OR(G13="",J13="",K13=""),"",ROUND(IF(I13="incl.",G13/(1+J13),G13)/IF(L13="per pack",K13,1),2))</t>
        </is>
      </c>
      <c r="N20" s="27" t="inlineStr">
        <is>
          <t>EXACT</t>
        </is>
      </c>
      <c r="O20" s="27" t="inlineStr">
        <is>
          <t>Code 1814707-10; 325x180x100 mm, 3.6 l; 121 CZK incl. VAT; in stock</t>
        </is>
      </c>
      <c r="P20" s="27" t="inlineStr">
        <is>
          <t>2026-09-30</t>
        </is>
      </c>
      <c r="Q20" s="38" t="inlineStr">
        <is>
          <t>=IFERROR(INDEX(Competitors!$N$2:$N$50,MATCH(C13,Competitors!$A$2:$A$50,0)),"no")</t>
        </is>
      </c>
      <c r="R20" s="38" t="inlineStr">
        <is>
          <t>=IF(AND(Q13="yes",OR(N13="EXACT",N13="CLOSE"),ISNUMBER(M13)),"yes","no")</t>
        </is>
      </c>
      <c r="S20" s="27" t="n"/>
      <c r="T20" s="27" t="n"/>
      <c r="U20" s="27" t="n"/>
      <c r="V20" s="2" t="n"/>
      <c r="W20" s="2" t="n"/>
      <c r="X20" s="2" t="n"/>
      <c r="Y20" s="2" t="n"/>
      <c r="Z20" s="2" t="n"/>
      <c r="AA20" s="2" t="n"/>
      <c r="AB20" s="2" t="n"/>
      <c r="AC20" s="2" t="n"/>
    </row>
    <row r="21" ht="78" customHeight="1">
      <c r="A21" s="2" t="n"/>
      <c r="B21" s="24" t="inlineStr">
        <is>
          <t>GN 1/3 polypropylene container, 100 mm deep</t>
        </is>
      </c>
      <c r="C21" s="24" t="inlineStr">
        <is>
          <t>Gastromania</t>
        </is>
      </c>
      <c r="D21" s="24" t="inlineStr">
        <is>
          <t>Gastronádoba GN 1/3 - 100 polypropylenová | REDFOX, GNPP 1/3-100</t>
        </is>
      </c>
      <c r="E21" s="24" t="inlineStr">
        <is>
          <t>Redfox</t>
        </is>
      </c>
      <c r="F21" s="25" t="inlineStr">
        <is>
          <t>https://www.gastromania.cz/gastronadoby-polypropylenove/gastronadoba-gn-1-3-100-polypropylenova-redfox-gnpp-1-3-100</t>
        </is>
      </c>
      <c r="G21" s="98" t="n">
        <v>99</v>
      </c>
      <c r="H21" s="24" t="inlineStr">
        <is>
          <t>CZK</t>
        </is>
      </c>
      <c r="I21" s="24" t="inlineStr">
        <is>
          <t>excl.</t>
        </is>
      </c>
      <c r="J21" s="122" t="n">
        <v>0.21</v>
      </c>
      <c r="K21" s="116" t="n">
        <v>1</v>
      </c>
      <c r="L21" s="24" t="inlineStr">
        <is>
          <t>per piece</t>
        </is>
      </c>
      <c r="M21" s="36" t="inlineStr">
        <is>
          <t>=IF(OR(G14="",J14="",K14=""),"",ROUND(IF(I14="incl.",G14/(1+J14),G14)/IF(L14="per pack",K14,1),2))</t>
        </is>
      </c>
      <c r="N21" s="24" t="inlineStr">
        <is>
          <t>EXACT</t>
        </is>
      </c>
      <c r="O21" s="24" t="inlineStr">
        <is>
          <t>PP, 4 l; 120 CZK incl.; availability 5 days; new item.</t>
        </is>
      </c>
      <c r="P21" s="24" t="inlineStr">
        <is>
          <t>2026-09-30</t>
        </is>
      </c>
      <c r="Q21" s="36" t="inlineStr">
        <is>
          <t>=IFERROR(INDEX(Competitors!$N$2:$N$50,MATCH(C14,Competitors!$A$2:$A$50,0)),"no")</t>
        </is>
      </c>
      <c r="R21" s="36" t="inlineStr">
        <is>
          <t>=IF(AND(Q14="yes",OR(N14="EXACT",N14="CLOSE"),ISNUMBER(M14)),"yes","no")</t>
        </is>
      </c>
      <c r="S21" s="24" t="n"/>
      <c r="T21" s="24" t="n"/>
      <c r="U21" s="24" t="n"/>
      <c r="V21" s="2" t="n"/>
      <c r="W21" s="2" t="n"/>
      <c r="X21" s="2" t="n"/>
      <c r="Y21" s="2" t="n"/>
      <c r="Z21" s="2" t="n"/>
      <c r="AA21" s="2" t="n"/>
      <c r="AB21" s="2" t="n"/>
      <c r="AC21" s="2" t="n"/>
    </row>
    <row r="22" ht="78" customHeight="1">
      <c r="A22" s="2" t="n"/>
      <c r="B22" s="27" t="inlineStr">
        <is>
          <t>GN 1/3 polypropylene container, 100 mm deep</t>
        </is>
      </c>
      <c r="C22" s="27" t="inlineStr">
        <is>
          <t>Gastrozone</t>
        </is>
      </c>
      <c r="D22" s="27" t="inlineStr">
        <is>
          <t>APS GN-nádoba polypropylen, GN 1/3, objem: 3,60 litru, hloubka: 100 mm</t>
        </is>
      </c>
      <c r="E22" s="27" t="inlineStr">
        <is>
          <t>APS</t>
        </is>
      </c>
      <c r="F22" s="28" t="inlineStr">
        <is>
          <t>https://www.gastrozone.cz/aps-gn-nadoba-z-polypropylenu-gn-1-3-objem-3-60-litru-hloubka-100-mm.html</t>
        </is>
      </c>
      <c r="G22" s="102" t="n">
        <v>180</v>
      </c>
      <c r="H22" s="27" t="inlineStr">
        <is>
          <t>CZK</t>
        </is>
      </c>
      <c r="I22" s="27" t="inlineStr">
        <is>
          <t>incl.</t>
        </is>
      </c>
      <c r="J22" s="123" t="n">
        <v>0.21</v>
      </c>
      <c r="K22" s="117" t="n">
        <v>1</v>
      </c>
      <c r="L22" s="27" t="inlineStr">
        <is>
          <t>per piece</t>
        </is>
      </c>
      <c r="M22" s="38" t="inlineStr">
        <is>
          <t>=IF(OR(G15="",J15="",K15=""),"",ROUND(IF(I15="incl.",G15/(1+J15),G15)/IF(L15="per pack",K15,1),2))</t>
        </is>
      </c>
      <c r="N22" s="27" t="inlineStr">
        <is>
          <t>EXACT</t>
        </is>
      </c>
      <c r="O22" s="27" t="inlineStr">
        <is>
          <t>148.76 CZK bez DPH; to order 3-5 weeks. In-stock alternative: Pujadas GN 1/3 PP 100 mm 196 CZK.</t>
        </is>
      </c>
      <c r="P22" s="27" t="inlineStr">
        <is>
          <t>2026-09-30</t>
        </is>
      </c>
      <c r="Q22" s="38" t="inlineStr">
        <is>
          <t>=IFERROR(INDEX(Competitors!$N$2:$N$50,MATCH(C15,Competitors!$A$2:$A$50,0)),"no")</t>
        </is>
      </c>
      <c r="R22" s="38" t="inlineStr">
        <is>
          <t>=IF(AND(Q15="yes",OR(N15="EXACT",N15="CLOSE"),ISNUMBER(M15)),"yes","no")</t>
        </is>
      </c>
      <c r="S22" s="27" t="n"/>
      <c r="T22" s="27" t="n"/>
      <c r="U22" s="27" t="n"/>
      <c r="V22" s="2" t="n"/>
      <c r="W22" s="2" t="n"/>
      <c r="X22" s="2" t="n"/>
      <c r="Y22" s="2" t="n"/>
      <c r="Z22" s="2" t="n"/>
      <c r="AA22" s="2" t="n"/>
      <c r="AB22" s="2" t="n"/>
      <c r="AC22" s="2" t="n"/>
    </row>
    <row r="23" ht="78" customHeight="1">
      <c r="A23" s="2" t="n"/>
      <c r="B23" s="24" t="inlineStr">
        <is>
          <t>GN 1/3 polypropylene container, 100 mm deep</t>
        </is>
      </c>
      <c r="C23" s="24" t="inlineStr">
        <is>
          <t>TOMGAST</t>
        </is>
      </c>
      <c r="D23" s="24" t="inlineStr">
        <is>
          <t>Gastronádoba polypropylenová GN 1/3 100 mm</t>
        </is>
      </c>
      <c r="E23" s="24" t="inlineStr">
        <is>
          <t>Cambro</t>
        </is>
      </c>
      <c r="F23" s="25" t="inlineStr">
        <is>
          <t>https://www.tomgast.cz/gastronadoba-polypropylenova-gn-1-3-100-mm-2/</t>
        </is>
      </c>
      <c r="G23" s="98" t="n">
        <v>143</v>
      </c>
      <c r="H23" s="24" t="inlineStr">
        <is>
          <t>CZK</t>
        </is>
      </c>
      <c r="I23" s="24" t="inlineStr">
        <is>
          <t>incl.</t>
        </is>
      </c>
      <c r="J23" s="122" t="n">
        <v>0.21</v>
      </c>
      <c r="K23" s="116" t="n">
        <v>1</v>
      </c>
      <c r="L23" s="24" t="inlineStr">
        <is>
          <t>per piece</t>
        </is>
      </c>
      <c r="M23" s="36" t="inlineStr">
        <is>
          <t>=IF(OR(G16="",J16="",K16=""),"",ROUND(IF(I16="incl.",G16/(1+J16),G16)/IF(L16="per pack",K16,1),2))</t>
        </is>
      </c>
      <c r="N23" s="24" t="inlineStr">
        <is>
          <t>EXACT</t>
        </is>
      </c>
      <c r="O23" s="24" t="inlineStr">
        <is>
          <t>Code R-MP13100; 118 CZK bez DPH; in stock</t>
        </is>
      </c>
      <c r="P23" s="24" t="inlineStr">
        <is>
          <t>2026-09-30</t>
        </is>
      </c>
      <c r="Q23" s="36" t="inlineStr">
        <is>
          <t>=IFERROR(INDEX(Competitors!$N$2:$N$50,MATCH(C16,Competitors!$A$2:$A$50,0)),"no")</t>
        </is>
      </c>
      <c r="R23" s="36" t="inlineStr">
        <is>
          <t>=IF(AND(Q16="yes",OR(N16="EXACT",N16="CLOSE"),ISNUMBER(M16)),"yes","no")</t>
        </is>
      </c>
      <c r="S23" s="24" t="n"/>
      <c r="T23" s="24" t="n"/>
      <c r="U23" s="24" t="n"/>
      <c r="V23" s="2" t="n"/>
      <c r="W23" s="2" t="n"/>
      <c r="X23" s="2" t="n"/>
      <c r="Y23" s="2" t="n"/>
      <c r="Z23" s="2" t="n"/>
      <c r="AA23" s="2" t="n"/>
      <c r="AB23" s="2" t="n"/>
      <c r="AC23" s="2" t="n"/>
    </row>
    <row r="24" ht="92" customHeight="1">
      <c r="A24" s="2" t="n"/>
      <c r="B24" s="27" t="inlineStr">
        <is>
          <t>GN 1/1 polypropylene lid</t>
        </is>
      </c>
      <c r="C24" s="27" t="inlineStr">
        <is>
          <t>GGM Gastro (CZ storefront)</t>
        </is>
      </c>
      <c r="D24" s="27" t="inlineStr">
        <is>
          <t>(6 kusů) CAMBRO SafeTrak - Polypropylenové víko GN 1/1 - červené</t>
        </is>
      </c>
      <c r="E24" s="27" t="inlineStr">
        <is>
          <t>Cambro</t>
        </is>
      </c>
      <c r="F24" s="28" t="inlineStr">
        <is>
          <t>https://www.ggmgastro.com/cs-cz-czk/6-kusu-cambro-safetrak-polypropylenove-viko-gn-1-1-cervene-10ppcwsc544</t>
        </is>
      </c>
      <c r="G24" s="102" t="n">
        <v>802.9400000000001</v>
      </c>
      <c r="H24" s="27" t="inlineStr">
        <is>
          <t>CZK</t>
        </is>
      </c>
      <c r="I24" s="27" t="inlineStr">
        <is>
          <t>excl.</t>
        </is>
      </c>
      <c r="J24" s="123" t="n">
        <v>0.19</v>
      </c>
      <c r="K24" s="117" t="n">
        <v>6</v>
      </c>
      <c r="L24" s="27" t="inlineStr">
        <is>
          <t>per pack</t>
        </is>
      </c>
      <c r="M24" s="38" t="inlineStr">
        <is>
          <t>=IF(OR(G17="",J17="",K17=""),"",ROUND(IF(I17="incl.",G17/(1+J17),G17)/IF(L17="per pack",K17,1),2))</t>
        </is>
      </c>
      <c r="N24" s="27" t="inlineStr">
        <is>
          <t>EXACT</t>
        </is>
      </c>
      <c r="O24" s="27" t="inlineStr">
        <is>
          <t>Net CZK price as displayed; page footnote: "* čistá cena | hrubá cena vč. 19% DPH" (German VAT 19% used on the CZ storefront). SKU 10PPCWSC544, PP, pack of 6; gross 955.50 CZK; in stock. GGM own-brand PP lid GPPL11-12 (717.76 CZK) has conflicting pack size (title 12 pcs, specs 6 pcs) and is available only from 19.10.2026 - not used.</t>
        </is>
      </c>
      <c r="P24" s="27" t="inlineStr">
        <is>
          <t>2026-09-30</t>
        </is>
      </c>
      <c r="Q24" s="38" t="inlineStr">
        <is>
          <t>=IFERROR(INDEX(Competitors!$N$2:$N$50,MATCH(C17,Competitors!$A$2:$A$50,0)),"no")</t>
        </is>
      </c>
      <c r="R24" s="38" t="inlineStr">
        <is>
          <t>=IF(AND(Q17="yes",OR(N17="EXACT",N17="CLOSE"),ISNUMBER(M17)),"yes","no")</t>
        </is>
      </c>
      <c r="S24" s="27" t="n"/>
      <c r="T24" s="27" t="n"/>
      <c r="U24" s="27" t="n"/>
      <c r="V24" s="2" t="n"/>
      <c r="W24" s="2" t="n"/>
      <c r="X24" s="2" t="n"/>
      <c r="Y24" s="2" t="n"/>
      <c r="Z24" s="2" t="n"/>
      <c r="AA24" s="2" t="n"/>
      <c r="AB24" s="2" t="n"/>
      <c r="AC24" s="2" t="n"/>
    </row>
    <row r="25" ht="78" customHeight="1">
      <c r="A25" s="2" t="n"/>
      <c r="B25" s="24" t="inlineStr">
        <is>
          <t>GN 1/1 polypropylene lid</t>
        </is>
      </c>
      <c r="C25" s="24" t="inlineStr">
        <is>
          <t>Gastro Novotný</t>
        </is>
      </c>
      <c r="D25" s="24" t="inlineStr">
        <is>
          <t>Víko 1/1 polypropylen barevné</t>
        </is>
      </c>
      <c r="E25" s="24" t="n"/>
      <c r="F25" s="25" t="inlineStr">
        <is>
          <t>https://eshop.gastronovotny.cz/viko-1-1-polypropylen-barevne--1814722-11/</t>
        </is>
      </c>
      <c r="G25" s="98" t="n">
        <v>105</v>
      </c>
      <c r="H25" s="24" t="inlineStr">
        <is>
          <t>CZK</t>
        </is>
      </c>
      <c r="I25" s="24" t="inlineStr">
        <is>
          <t>excl.</t>
        </is>
      </c>
      <c r="J25" s="122" t="n">
        <v>0.21</v>
      </c>
      <c r="K25" s="116" t="n">
        <v>1</v>
      </c>
      <c r="L25" s="24" t="inlineStr">
        <is>
          <t>per piece</t>
        </is>
      </c>
      <c r="M25" s="36" t="inlineStr">
        <is>
          <t>=IF(OR(G18="",J18="",K18=""),"",ROUND(IF(I18="incl.",G18/(1+J18),G18)/IF(L18="per pack",K18,1),2))</t>
        </is>
      </c>
      <c r="N25" s="24" t="inlineStr">
        <is>
          <t>EXACT</t>
        </is>
      </c>
      <c r="O25" s="24" t="inlineStr">
        <is>
          <t>Code 1814722-11; PP lid 530x325 mm, coloured; 127.05 CZK incl. VAT. Alternative: Víko 1/1 polypropylen PIAZZA 119.01 CZK excl.</t>
        </is>
      </c>
      <c r="P25" s="24" t="inlineStr">
        <is>
          <t>2026-09-30</t>
        </is>
      </c>
      <c r="Q25" s="36" t="inlineStr">
        <is>
          <t>=IFERROR(INDEX(Competitors!$N$2:$N$50,MATCH(C18,Competitors!$A$2:$A$50,0)),"no")</t>
        </is>
      </c>
      <c r="R25" s="36" t="inlineStr">
        <is>
          <t>=IF(AND(Q18="yes",OR(N18="EXACT",N18="CLOSE"),ISNUMBER(M18)),"yes","no")</t>
        </is>
      </c>
      <c r="S25" s="24" t="n"/>
      <c r="T25" s="24" t="n"/>
      <c r="U25" s="24" t="n"/>
      <c r="V25" s="2" t="n"/>
      <c r="W25" s="2" t="n"/>
      <c r="X25" s="2" t="n"/>
      <c r="Y25" s="2" t="n"/>
      <c r="Z25" s="2" t="n"/>
      <c r="AA25" s="2" t="n"/>
      <c r="AB25" s="2" t="n"/>
      <c r="AC25" s="2" t="n"/>
    </row>
    <row r="26" ht="78" customHeight="1">
      <c r="A26" s="2" t="n"/>
      <c r="B26" s="27" t="inlineStr">
        <is>
          <t>GN 1/1 polypropylene lid</t>
        </is>
      </c>
      <c r="C26" s="27" t="inlineStr">
        <is>
          <t>Gastromania</t>
        </is>
      </c>
      <c r="D26" s="27" t="inlineStr">
        <is>
          <t>Víko na nádobu GN 1/1 | APS, 82101</t>
        </is>
      </c>
      <c r="E26" s="27" t="inlineStr">
        <is>
          <t>APS</t>
        </is>
      </c>
      <c r="F26" s="28" t="inlineStr">
        <is>
          <t>https://www.gastromania.cz/vika-gn-polypropylenove/viko-na-nadobu-gn-1-1-aps-82101</t>
        </is>
      </c>
      <c r="G26" s="102" t="n">
        <v>97</v>
      </c>
      <c r="H26" s="27" t="inlineStr">
        <is>
          <t>CZK</t>
        </is>
      </c>
      <c r="I26" s="27" t="inlineStr">
        <is>
          <t>excl.</t>
        </is>
      </c>
      <c r="J26" s="123" t="n">
        <v>0.21</v>
      </c>
      <c r="K26" s="117" t="n">
        <v>1</v>
      </c>
      <c r="L26" s="27" t="inlineStr">
        <is>
          <t>per piece</t>
        </is>
      </c>
      <c r="M26" s="38" t="inlineStr">
        <is>
          <t>=IF(OR(G19="",J19="",K19=""),"",ROUND(IF(I19="incl.",G19/(1+J19),G19)/IF(L19="per pack",K19,1),2))</t>
        </is>
      </c>
      <c r="N26" s="27" t="inlineStr">
        <is>
          <t>EXACT</t>
        </is>
      </c>
      <c r="O26" s="27" t="inlineStr">
        <is>
          <t>PP lid 530x325; 117 CZK incl. Discounted from 190 excl. / 230 incl. (30-day low 207); availability 21 days. Regular-priced alternative: Redfox VPP 1/1 99 excl. / 120 incl.</t>
        </is>
      </c>
      <c r="P26" s="27" t="inlineStr">
        <is>
          <t>2026-09-30</t>
        </is>
      </c>
      <c r="Q26" s="38" t="inlineStr">
        <is>
          <t>=IFERROR(INDEX(Competitors!$N$2:$N$50,MATCH(C19,Competitors!$A$2:$A$50,0)),"no")</t>
        </is>
      </c>
      <c r="R26" s="38" t="inlineStr">
        <is>
          <t>=IF(AND(Q19="yes",OR(N19="EXACT",N19="CLOSE"),ISNUMBER(M19)),"yes","no")</t>
        </is>
      </c>
      <c r="S26" s="27" t="n"/>
      <c r="T26" s="27" t="n"/>
      <c r="U26" s="27" t="n"/>
      <c r="V26" s="2" t="n"/>
      <c r="W26" s="2" t="n"/>
      <c r="X26" s="2" t="n"/>
      <c r="Y26" s="2" t="n"/>
      <c r="Z26" s="2" t="n"/>
      <c r="AA26" s="2" t="n"/>
      <c r="AB26" s="2" t="n"/>
      <c r="AC26" s="2" t="n"/>
    </row>
    <row r="27" ht="78" customHeight="1">
      <c r="A27" s="2" t="n"/>
      <c r="B27" s="24" t="inlineStr">
        <is>
          <t>GN 1/1 polypropylene lid</t>
        </is>
      </c>
      <c r="C27" s="24" t="inlineStr">
        <is>
          <t>Gastrozone</t>
        </is>
      </c>
      <c r="D27" s="24" t="inlineStr">
        <is>
          <t>víko na gastronádobu GN 1/1 polypropylen Pujadas</t>
        </is>
      </c>
      <c r="E27" s="24" t="inlineStr">
        <is>
          <t>Vollrath Pujadas</t>
        </is>
      </c>
      <c r="F27" s="25" t="inlineStr">
        <is>
          <t>https://www.gastrozone.cz/viko-na-gastronadobu-gn-1-1-polypropylen-pujadas.html</t>
        </is>
      </c>
      <c r="G27" s="98" t="n">
        <v>350</v>
      </c>
      <c r="H27" s="24" t="inlineStr">
        <is>
          <t>CZK</t>
        </is>
      </c>
      <c r="I27" s="24" t="inlineStr">
        <is>
          <t>incl.</t>
        </is>
      </c>
      <c r="J27" s="122" t="n">
        <v>0.21</v>
      </c>
      <c r="K27" s="116" t="n">
        <v>1</v>
      </c>
      <c r="L27" s="24" t="inlineStr">
        <is>
          <t>per piece</t>
        </is>
      </c>
      <c r="M27" s="36" t="inlineStr">
        <is>
          <t>=IF(OR(G20="",J20="",K20=""),"",ROUND(IF(I20="incl.",G20/(1+J20),G20)/IF(L20="per pack",K20,1),2))</t>
        </is>
      </c>
      <c r="N27" s="24" t="inlineStr">
        <is>
          <t>EXACT</t>
        </is>
      </c>
      <c r="O27" s="24" t="inlineStr">
        <is>
          <t>289.26 CZK bez DPH; in stock</t>
        </is>
      </c>
      <c r="P27" s="24" t="inlineStr">
        <is>
          <t>2026-09-30</t>
        </is>
      </c>
      <c r="Q27" s="36" t="inlineStr">
        <is>
          <t>=IFERROR(INDEX(Competitors!$N$2:$N$50,MATCH(C20,Competitors!$A$2:$A$50,0)),"no")</t>
        </is>
      </c>
      <c r="R27" s="36" t="inlineStr">
        <is>
          <t>=IF(AND(Q20="yes",OR(N20="EXACT",N20="CLOSE"),ISNUMBER(M20)),"yes","no")</t>
        </is>
      </c>
      <c r="S27" s="24" t="n"/>
      <c r="T27" s="24" t="n"/>
      <c r="U27" s="24" t="n"/>
      <c r="V27" s="2" t="n"/>
      <c r="W27" s="2" t="n"/>
      <c r="X27" s="2" t="n"/>
      <c r="Y27" s="2" t="n"/>
      <c r="Z27" s="2" t="n"/>
      <c r="AA27" s="2" t="n"/>
      <c r="AB27" s="2" t="n"/>
      <c r="AC27" s="2" t="n"/>
    </row>
    <row r="28" ht="78" customHeight="1">
      <c r="A28" s="2" t="n"/>
      <c r="B28" s="27" t="inlineStr">
        <is>
          <t>GN 1/1 polypropylene lid</t>
        </is>
      </c>
      <c r="C28" s="27" t="inlineStr">
        <is>
          <t>TOMGAST</t>
        </is>
      </c>
      <c r="D28" s="27" t="inlineStr">
        <is>
          <t>Těsnící víko pro gastronádobu GN 1/1</t>
        </is>
      </c>
      <c r="E28" s="27" t="inlineStr">
        <is>
          <t>Cambro</t>
        </is>
      </c>
      <c r="F28" s="28" t="inlineStr">
        <is>
          <t>https://www.tomgast.cz/tesnici-viko-pro-gastronadobu-gn-1-1/</t>
        </is>
      </c>
      <c r="G28" s="102" t="n">
        <v>204</v>
      </c>
      <c r="H28" s="27" t="inlineStr">
        <is>
          <t>CZK</t>
        </is>
      </c>
      <c r="I28" s="27" t="inlineStr">
        <is>
          <t>incl.</t>
        </is>
      </c>
      <c r="J28" s="123" t="n">
        <v>0.21</v>
      </c>
      <c r="K28" s="117" t="n">
        <v>1</v>
      </c>
      <c r="L28" s="27" t="inlineStr">
        <is>
          <t>per piece</t>
        </is>
      </c>
      <c r="M28" s="38" t="inlineStr">
        <is>
          <t>=IF(OR(G21="",J21="",K21=""),"",ROUND(IF(I21="incl.",G21/(1+J21),G21)/IF(L21="per pack",K21,1),2))</t>
        </is>
      </c>
      <c r="N28" s="27" t="inlineStr">
        <is>
          <t>CLOSE</t>
        </is>
      </c>
      <c r="O28" s="27" t="inlineStr">
        <is>
          <t>Code R-MP11001 (seal cover for PC and PP containers). Product page states material "polykarbonát", not polypropylene - material differs/unclear. Page text "Cena uvedena za 1 kus/6 ks v balení": price read as per piece. 169 CZK bez DPH. No PP GN 1/1 lid found.</t>
        </is>
      </c>
      <c r="P28" s="27" t="inlineStr">
        <is>
          <t>2026-09-30</t>
        </is>
      </c>
      <c r="Q28" s="38" t="inlineStr">
        <is>
          <t>=IFERROR(INDEX(Competitors!$N$2:$N$50,MATCH(C21,Competitors!$A$2:$A$50,0)),"no")</t>
        </is>
      </c>
      <c r="R28" s="38" t="inlineStr">
        <is>
          <t>=IF(AND(Q21="yes",OR(N21="EXACT",N21="CLOSE"),ISNUMBER(M21)),"yes","no")</t>
        </is>
      </c>
      <c r="S28" s="27" t="n"/>
      <c r="T28" s="27" t="n"/>
      <c r="U28" s="27" t="n"/>
      <c r="V28" s="2" t="n"/>
      <c r="W28" s="2" t="n"/>
      <c r="X28" s="2" t="n"/>
      <c r="Y28" s="2" t="n"/>
      <c r="Z28" s="2" t="n"/>
      <c r="AA28" s="2" t="n"/>
      <c r="AB28" s="2" t="n"/>
      <c r="AC28" s="2" t="n"/>
    </row>
    <row r="29" ht="78" customHeight="1">
      <c r="A29" s="2" t="n"/>
      <c r="B29" s="24" t="inlineStr">
        <is>
          <t>Squeeze bottle 500 ml, polypropylene, single tip</t>
        </is>
      </c>
      <c r="C29" s="24" t="inlineStr">
        <is>
          <t>GGM Gastro (CZ storefront)</t>
        </is>
      </c>
      <c r="D29" s="24" t="inlineStr">
        <is>
          <t>(12 ks) Stlačovací lahev na omáčky se středovou membránou - 473 ml</t>
        </is>
      </c>
      <c r="E29" s="24" t="inlineStr">
        <is>
          <t>GGM</t>
        </is>
      </c>
      <c r="F29" s="25" t="inlineStr">
        <is>
          <t>https://www.ggmgastro.com/cs-cz-czk/12-ks-stlacovaci-lahev-na-omacky-se-stredovou-membranou-473-ml-ffo-002</t>
        </is>
      </c>
      <c r="G29" s="98" t="n">
        <v>1241.05</v>
      </c>
      <c r="H29" s="24" t="inlineStr">
        <is>
          <t>CZK</t>
        </is>
      </c>
      <c r="I29" s="24" t="inlineStr">
        <is>
          <t>excl.</t>
        </is>
      </c>
      <c r="J29" s="122" t="n">
        <v>0.19</v>
      </c>
      <c r="K29" s="116" t="n">
        <v>12</v>
      </c>
      <c r="L29" s="24" t="inlineStr">
        <is>
          <t>per pack</t>
        </is>
      </c>
      <c r="M29" s="36" t="inlineStr">
        <is>
          <t>=IF(OR(G22="",J22="",K22=""),"",ROUND(IF(I22="incl.",G22/(1+J22),G22)/IF(L22="per pack",K22,1),2))</t>
        </is>
      </c>
      <c r="N29" s="24" t="inlineStr">
        <is>
          <t>CLOSE</t>
        </is>
      </c>
      <c r="O29" s="24" t="inlineStr">
        <is>
          <t>Net CZK price as displayed; page footnote: "* čistá cena | hrubá cena vč. 19% DPH" (German VAT 19% used on the CZ storefront). SKU FFO-002, 473 ml, pack of 12, valve (membrane) nozzle; material NOT stated (flagged). Gross 1,476.85 CZK. 3-pack version with screw cap FFO-007: 486.54 CZK.</t>
        </is>
      </c>
      <c r="P29" s="24" t="inlineStr">
        <is>
          <t>2026-09-30</t>
        </is>
      </c>
      <c r="Q29" s="36" t="inlineStr">
        <is>
          <t>=IFERROR(INDEX(Competitors!$N$2:$N$50,MATCH(C22,Competitors!$A$2:$A$50,0)),"no")</t>
        </is>
      </c>
      <c r="R29" s="36" t="inlineStr">
        <is>
          <t>=IF(AND(Q22="yes",OR(N22="EXACT",N22="CLOSE"),ISNUMBER(M22)),"yes","no")</t>
        </is>
      </c>
      <c r="S29" s="24" t="n"/>
      <c r="T29" s="24" t="n"/>
      <c r="U29" s="24" t="n"/>
      <c r="V29" s="2" t="n"/>
      <c r="W29" s="2" t="n"/>
      <c r="X29" s="2" t="n"/>
      <c r="Y29" s="2" t="n"/>
      <c r="Z29" s="2" t="n"/>
      <c r="AA29" s="2" t="n"/>
      <c r="AB29" s="2" t="n"/>
      <c r="AC29" s="2" t="n"/>
    </row>
    <row r="30" ht="78" customHeight="1">
      <c r="A30" s="2" t="n"/>
      <c r="B30" s="27" t="inlineStr">
        <is>
          <t>Squeeze bottle 500 ml, polypropylene, single tip</t>
        </is>
      </c>
      <c r="C30" s="27" t="inlineStr">
        <is>
          <t>Gastro Novotný</t>
        </is>
      </c>
      <c r="D30" s="27" t="inlineStr">
        <is>
          <t>Láhev plastová dávkovací čirá 354ml</t>
        </is>
      </c>
      <c r="E30" s="27" t="n"/>
      <c r="F30" s="28" t="inlineStr">
        <is>
          <t>https://eshop.gastronovotny.cz/lahev-plastova-davkovaci-cira-354ml--255046026/</t>
        </is>
      </c>
      <c r="G30" s="102" t="n">
        <v>29</v>
      </c>
      <c r="H30" s="27" t="inlineStr">
        <is>
          <t>CZK</t>
        </is>
      </c>
      <c r="I30" s="27" t="inlineStr">
        <is>
          <t>excl.</t>
        </is>
      </c>
      <c r="J30" s="123" t="n">
        <v>0.21</v>
      </c>
      <c r="K30" s="117" t="n">
        <v>1</v>
      </c>
      <c r="L30" s="27" t="inlineStr">
        <is>
          <t>per piece</t>
        </is>
      </c>
      <c r="M30" s="38" t="inlineStr">
        <is>
          <t>=IF(OR(G23="",J23="",K23=""),"",ROUND(IF(I23="incl.",G23/(1+J23),G23)/IF(L23="per pack",K23,1),2))</t>
        </is>
      </c>
      <c r="N30" s="27" t="inlineStr">
        <is>
          <t>APPROX</t>
        </is>
      </c>
      <c r="O30" s="27" t="inlineStr">
        <is>
          <t>354 ml instead of 500 ml; plastic type not stated. 35.09 CZK incl. VAT. Red variant same price. Largest squeeze bottle is a 708 ml "zdobící" (decorating) bottle, 39 CZK excl.</t>
        </is>
      </c>
      <c r="P30" s="27" t="inlineStr">
        <is>
          <t>2026-09-30</t>
        </is>
      </c>
      <c r="Q30" s="38" t="inlineStr">
        <is>
          <t>=IFERROR(INDEX(Competitors!$N$2:$N$50,MATCH(C23,Competitors!$A$2:$A$50,0)),"no")</t>
        </is>
      </c>
      <c r="R30" s="38" t="inlineStr">
        <is>
          <t>=IF(AND(Q23="yes",OR(N23="EXACT",N23="CLOSE"),ISNUMBER(M23)),"yes","no")</t>
        </is>
      </c>
      <c r="S30" s="27" t="n"/>
      <c r="T30" s="27" t="n"/>
      <c r="U30" s="27" t="n"/>
      <c r="V30" s="2" t="n"/>
      <c r="W30" s="2" t="n"/>
      <c r="X30" s="2" t="n"/>
      <c r="Y30" s="2" t="n"/>
      <c r="Z30" s="2" t="n"/>
      <c r="AA30" s="2" t="n"/>
      <c r="AB30" s="2" t="n"/>
      <c r="AC30" s="2" t="n"/>
    </row>
    <row r="31" ht="78" customHeight="1">
      <c r="A31" s="2" t="n"/>
      <c r="B31" s="24" t="inlineStr">
        <is>
          <t>Squeeze bottle 500 ml, polypropylene, single tip</t>
        </is>
      </c>
      <c r="C31" s="24" t="inlineStr">
        <is>
          <t>Gastromania</t>
        </is>
      </c>
      <c r="D31" s="24" t="inlineStr">
        <is>
          <t>Láhev na omáčky, 0,475 ml | NEUMARKER, FIFO</t>
        </is>
      </c>
      <c r="E31" s="24" t="inlineStr">
        <is>
          <t>Neumarker</t>
        </is>
      </c>
      <c r="F31" s="25" t="inlineStr">
        <is>
          <t>https://www.gastromania.cz/davkovace-omacek/lahev-na-omacky-0-475-ml-neumarker-fifo</t>
        </is>
      </c>
      <c r="G31" s="98" t="n">
        <v>352</v>
      </c>
      <c r="H31" s="24" t="inlineStr">
        <is>
          <t>CZK</t>
        </is>
      </c>
      <c r="I31" s="24" t="inlineStr">
        <is>
          <t>excl.</t>
        </is>
      </c>
      <c r="J31" s="122" t="n">
        <v>0.21</v>
      </c>
      <c r="K31" s="116" t="n">
        <v>1</v>
      </c>
      <c r="L31" s="24" t="inlineStr">
        <is>
          <t>per piece</t>
        </is>
      </c>
      <c r="M31" s="36" t="inlineStr">
        <is>
          <t>=IF(OR(G24="",J24="",K24=""),"",ROUND(IF(I24="incl.",G24/(1+J24),G24)/IF(L24="per pack",K24,1),2))</t>
        </is>
      </c>
      <c r="N31" s="24" t="inlineStr">
        <is>
          <t>CLOSE</t>
        </is>
      </c>
      <c r="O31" s="24" t="inlineStr">
        <is>
          <t>475 ml FIFO squeeze bottle (refilled from the bottom); material NOT stated (flagged). 425 CZK incl.; discounted from 370 excl.; availability 40 days. Standard PE bottles only in 350/400/700 ml (e.g. Tomgast 400 ml PE 48 excl.).</t>
        </is>
      </c>
      <c r="P31" s="24" t="inlineStr">
        <is>
          <t>2026-09-30</t>
        </is>
      </c>
      <c r="Q31" s="36" t="inlineStr">
        <is>
          <t>=IFERROR(INDEX(Competitors!$N$2:$N$50,MATCH(C24,Competitors!$A$2:$A$50,0)),"no")</t>
        </is>
      </c>
      <c r="R31" s="36" t="inlineStr">
        <is>
          <t>=IF(AND(Q24="yes",OR(N24="EXACT",N24="CLOSE"),ISNUMBER(M24)),"yes","no")</t>
        </is>
      </c>
      <c r="S31" s="24" t="n"/>
      <c r="T31" s="24" t="n"/>
      <c r="U31" s="24" t="n"/>
      <c r="V31" s="2" t="n"/>
      <c r="W31" s="2" t="n"/>
      <c r="X31" s="2" t="n"/>
      <c r="Y31" s="2" t="n"/>
      <c r="Z31" s="2" t="n"/>
      <c r="AA31" s="2" t="n"/>
      <c r="AB31" s="2" t="n"/>
      <c r="AC31" s="2" t="n"/>
    </row>
    <row r="32" ht="78" customHeight="1">
      <c r="A32" s="2" t="n"/>
      <c r="B32" s="27" t="inlineStr">
        <is>
          <t>Squeeze bottle 500 ml, polypropylene, single tip</t>
        </is>
      </c>
      <c r="C32" s="27" t="inlineStr">
        <is>
          <t>Gastrozone</t>
        </is>
      </c>
      <c r="D32" s="27" t="inlineStr">
        <is>
          <t>Dávkovací mačkací láhev Schneider 500 ml</t>
        </is>
      </c>
      <c r="E32" s="27" t="inlineStr">
        <is>
          <t>Schneider</t>
        </is>
      </c>
      <c r="F32" s="28" t="inlineStr">
        <is>
          <t>https://www.gastrozone.cz/lahev-mackaci-s-uzaviranim-0-5-l-odolna-od-40c-do-95c-transparentni-pro-styk-s-potravinama-schneider-10134.html</t>
        </is>
      </c>
      <c r="G32" s="102" t="n">
        <v>313</v>
      </c>
      <c r="H32" s="27" t="inlineStr">
        <is>
          <t>CZK</t>
        </is>
      </c>
      <c r="I32" s="27" t="inlineStr">
        <is>
          <t>incl.</t>
        </is>
      </c>
      <c r="J32" s="123" t="n">
        <v>0.21</v>
      </c>
      <c r="K32" s="117" t="n">
        <v>1</v>
      </c>
      <c r="L32" s="27" t="inlineStr">
        <is>
          <t>per piece</t>
        </is>
      </c>
      <c r="M32" s="38" t="inlineStr">
        <is>
          <t>=IF(OR(G25="",J25="",K25=""),"",ROUND(IF(I25="incl.",G25/(1+J25),G25)/IF(L25="per pack",K25,1),2))</t>
        </is>
      </c>
      <c r="N32" s="27" t="inlineStr">
        <is>
          <t>CLOSE</t>
        </is>
      </c>
      <c r="O32" s="27" t="inlineStr">
        <is>
          <t>500 ml, single nozzle with closure; material polyethylene (not PP). 259 CZK bez DPH. Cheaper non-500 ml options exist (Hendi 0.35/0.7 l from 67 CZK).</t>
        </is>
      </c>
      <c r="P32" s="27" t="inlineStr">
        <is>
          <t>2026-09-30</t>
        </is>
      </c>
      <c r="Q32" s="38" t="inlineStr">
        <is>
          <t>=IFERROR(INDEX(Competitors!$N$2:$N$50,MATCH(C25,Competitors!$A$2:$A$50,0)),"no")</t>
        </is>
      </c>
      <c r="R32" s="38" t="inlineStr">
        <is>
          <t>=IF(AND(Q25="yes",OR(N25="EXACT",N25="CLOSE"),ISNUMBER(M25)),"yes","no")</t>
        </is>
      </c>
      <c r="S32" s="27" t="n"/>
      <c r="T32" s="27" t="n"/>
      <c r="U32" s="27" t="n"/>
      <c r="V32" s="2" t="n"/>
      <c r="W32" s="2" t="n"/>
      <c r="X32" s="2" t="n"/>
      <c r="Y32" s="2" t="n"/>
      <c r="Z32" s="2" t="n"/>
      <c r="AA32" s="2" t="n"/>
      <c r="AB32" s="2" t="n"/>
      <c r="AC32" s="2" t="n"/>
    </row>
    <row r="33" ht="78" customHeight="1">
      <c r="A33" s="2" t="n"/>
      <c r="B33" s="24" t="inlineStr">
        <is>
          <t>Squeeze bottle 500 ml, polypropylene, single tip</t>
        </is>
      </c>
      <c r="C33" s="24" t="inlineStr">
        <is>
          <t>TOMGAST</t>
        </is>
      </c>
      <c r="D33" s="24" t="inlineStr">
        <is>
          <t>Dávkovač na omáčky 400 ml</t>
        </is>
      </c>
      <c r="E33" s="24" t="inlineStr">
        <is>
          <t>Laco</t>
        </is>
      </c>
      <c r="F33" s="25" t="inlineStr">
        <is>
          <t>https://www.tomgast.cz/davkovac-na-omacky-400-ml/</t>
        </is>
      </c>
      <c r="G33" s="98" t="n">
        <v>58</v>
      </c>
      <c r="H33" s="24" t="inlineStr">
        <is>
          <t>CZK</t>
        </is>
      </c>
      <c r="I33" s="24" t="inlineStr">
        <is>
          <t>incl.</t>
        </is>
      </c>
      <c r="J33" s="122" t="n">
        <v>0.21</v>
      </c>
      <c r="K33" s="116" t="n">
        <v>1</v>
      </c>
      <c r="L33" s="24" t="inlineStr">
        <is>
          <t>per piece</t>
        </is>
      </c>
      <c r="M33" s="36" t="inlineStr">
        <is>
          <t>=IF(OR(G26="",J26="",K26=""),"",ROUND(IF(I26="incl.",G26/(1+J26),G26)/IF(L26="per pack",K26,1),2))</t>
        </is>
      </c>
      <c r="N33" s="24" t="inlineStr">
        <is>
          <t>APPROX</t>
        </is>
      </c>
      <c r="O33" s="24" t="inlineStr">
        <is>
          <t>400 ml instead of 500 ml AND polyethylene instead of PP. 48 CZK bez DPH. No 500 ml bottle listed (sizes 250/360/400/700/720/1025 ml).</t>
        </is>
      </c>
      <c r="P33" s="24" t="inlineStr">
        <is>
          <t>2026-09-30</t>
        </is>
      </c>
      <c r="Q33" s="36" t="inlineStr">
        <is>
          <t>=IFERROR(INDEX(Competitors!$N$2:$N$50,MATCH(C26,Competitors!$A$2:$A$50,0)),"no")</t>
        </is>
      </c>
      <c r="R33" s="36" t="inlineStr">
        <is>
          <t>=IF(AND(Q26="yes",OR(N26="EXACT",N26="CLOSE"),ISNUMBER(M26)),"yes","no")</t>
        </is>
      </c>
      <c r="S33" s="24" t="n"/>
      <c r="T33" s="24" t="n"/>
      <c r="U33" s="24" t="n"/>
      <c r="V33" s="2" t="n"/>
      <c r="W33" s="2" t="n"/>
      <c r="X33" s="2" t="n"/>
      <c r="Y33" s="2" t="n"/>
      <c r="Z33" s="2" t="n"/>
      <c r="AA33" s="2" t="n"/>
      <c r="AB33" s="2" t="n"/>
      <c r="AC33" s="2" t="n"/>
    </row>
    <row r="34" ht="78" customHeight="1">
      <c r="A34" s="2" t="n"/>
      <c r="B34" s="27" t="inlineStr">
        <is>
          <t>Squeeze bottle 1000 ml, polypropylene, single tip</t>
        </is>
      </c>
      <c r="C34" s="27" t="inlineStr">
        <is>
          <t>GGM Gastro (CZ storefront)</t>
        </is>
      </c>
      <c r="D34" s="27" t="inlineStr">
        <is>
          <t>(6 ks) Stlačovací lahev na omáčky se středovou membránou - 946 ml - se šroubovacím uzávěrem a uzavírací čepičkou</t>
        </is>
      </c>
      <c r="E34" s="27" t="inlineStr">
        <is>
          <t>GGM</t>
        </is>
      </c>
      <c r="F34" s="28" t="inlineStr">
        <is>
          <t>https://www.ggmgastro.com/cs-cz-czk/6-ks-stlacovaci-lahev-na-omacky-se-stredovou-membranou-946-ml-se-sroubovacim-uzaverem-a-uzaviraci-cepickou-ffo-005</t>
        </is>
      </c>
      <c r="G34" s="102" t="n">
        <v>851.62</v>
      </c>
      <c r="H34" s="27" t="inlineStr">
        <is>
          <t>CZK</t>
        </is>
      </c>
      <c r="I34" s="27" t="inlineStr">
        <is>
          <t>excl.</t>
        </is>
      </c>
      <c r="J34" s="123" t="n">
        <v>0.19</v>
      </c>
      <c r="K34" s="117" t="n">
        <v>6</v>
      </c>
      <c r="L34" s="27" t="inlineStr">
        <is>
          <t>per pack</t>
        </is>
      </c>
      <c r="M34" s="38" t="inlineStr">
        <is>
          <t>=IF(OR(G27="",J27="",K27=""),"",ROUND(IF(I27="incl.",G27/(1+J27),G27)/IF(L27="per pack",K27,1),2))</t>
        </is>
      </c>
      <c r="N34" s="27" t="inlineStr">
        <is>
          <t>CLOSE</t>
        </is>
      </c>
      <c r="O34" s="27" t="inlineStr">
        <is>
          <t>Net CZK price as displayed; page footnote: "* čistá cena | hrubá cena vč. 19% DPH" (German VAT 19% used on the CZ storefront). SKU FFO-005, 946 ml, pack of 6; material NOT stated (flagged). Gross 1,013.43 CZK. (APS 1,020 ml PE 6-pack 93259#6 shown as not available for the selected delivery country.)</t>
        </is>
      </c>
      <c r="P34" s="27" t="inlineStr">
        <is>
          <t>2026-09-30</t>
        </is>
      </c>
      <c r="Q34" s="38" t="inlineStr">
        <is>
          <t>=IFERROR(INDEX(Competitors!$N$2:$N$50,MATCH(C27,Competitors!$A$2:$A$50,0)),"no")</t>
        </is>
      </c>
      <c r="R34" s="38" t="inlineStr">
        <is>
          <t>=IF(AND(Q27="yes",OR(N27="EXACT",N27="CLOSE"),ISNUMBER(M27)),"yes","no")</t>
        </is>
      </c>
      <c r="S34" s="27" t="n"/>
      <c r="T34" s="27" t="n"/>
      <c r="U34" s="27" t="n"/>
      <c r="V34" s="2" t="n"/>
      <c r="W34" s="2" t="n"/>
      <c r="X34" s="2" t="n"/>
      <c r="Y34" s="2" t="n"/>
      <c r="Z34" s="2" t="n"/>
      <c r="AA34" s="2" t="n"/>
      <c r="AB34" s="2" t="n"/>
      <c r="AC34" s="2" t="n"/>
    </row>
    <row r="35" ht="78" customHeight="1">
      <c r="A35" s="2" t="n"/>
      <c r="B35" s="24" t="inlineStr">
        <is>
          <t>Squeeze bottle 1000 ml, polypropylene, single tip</t>
        </is>
      </c>
      <c r="C35" s="24" t="inlineStr">
        <is>
          <t>Gastromania</t>
        </is>
      </c>
      <c r="D35" s="24" t="inlineStr">
        <is>
          <t>Zásobník na omáčku 1,025 l, bílý | APS, 93259</t>
        </is>
      </c>
      <c r="E35" s="24" t="inlineStr">
        <is>
          <t>APS</t>
        </is>
      </c>
      <c r="F35" s="25" t="inlineStr">
        <is>
          <t>https://www.gastromania.cz/davkovace-omacek/zasobnik-na-omacku-1-025-l-bily-aps-93259</t>
        </is>
      </c>
      <c r="G35" s="98" t="n">
        <v>73</v>
      </c>
      <c r="H35" s="24" t="inlineStr">
        <is>
          <t>CZK</t>
        </is>
      </c>
      <c r="I35" s="24" t="inlineStr">
        <is>
          <t>excl.</t>
        </is>
      </c>
      <c r="J35" s="122" t="n">
        <v>0.21</v>
      </c>
      <c r="K35" s="116" t="n">
        <v>1</v>
      </c>
      <c r="L35" s="24" t="inlineStr">
        <is>
          <t>per piece</t>
        </is>
      </c>
      <c r="M35" s="36" t="inlineStr">
        <is>
          <t>=IF(OR(G28="",J28="",K28=""),"",ROUND(IF(I28="incl.",G28/(1+J28),G28)/IF(L28="per pack",K28,1),2))</t>
        </is>
      </c>
      <c r="N35" s="24" t="inlineStr">
        <is>
          <t>CLOSE</t>
        </is>
      </c>
      <c r="O35" s="24" t="inlineStr">
        <is>
          <t>1.025 l squeeze bottle with screw cap; polyethylene, not PP. 88 CZK incl.; discounted from 77 excl.; in stock.</t>
        </is>
      </c>
      <c r="P35" s="24" t="inlineStr">
        <is>
          <t>2026-09-30</t>
        </is>
      </c>
      <c r="Q35" s="36" t="inlineStr">
        <is>
          <t>=IFERROR(INDEX(Competitors!$N$2:$N$50,MATCH(C28,Competitors!$A$2:$A$50,0)),"no")</t>
        </is>
      </c>
      <c r="R35" s="36" t="inlineStr">
        <is>
          <t>=IF(AND(Q28="yes",OR(N28="EXACT",N28="CLOSE"),ISNUMBER(M28)),"yes","no")</t>
        </is>
      </c>
      <c r="S35" s="24" t="n"/>
      <c r="T35" s="24" t="n"/>
      <c r="U35" s="24" t="n"/>
      <c r="V35" s="2" t="n"/>
      <c r="W35" s="2" t="n"/>
      <c r="X35" s="2" t="n"/>
      <c r="Y35" s="2" t="n"/>
      <c r="Z35" s="2" t="n"/>
      <c r="AA35" s="2" t="n"/>
      <c r="AB35" s="2" t="n"/>
      <c r="AC35" s="2" t="n"/>
    </row>
    <row r="36" ht="78" customHeight="1">
      <c r="A36" s="2" t="n"/>
      <c r="B36" s="27" t="inlineStr">
        <is>
          <t>Squeeze bottle 1000 ml, polypropylene, single tip</t>
        </is>
      </c>
      <c r="C36" s="27" t="inlineStr">
        <is>
          <t>Gastrozone</t>
        </is>
      </c>
      <c r="D36" s="27" t="inlineStr">
        <is>
          <t>Dávkovací mačkací láhev Schneider 1000 ml, transparentní</t>
        </is>
      </c>
      <c r="E36" s="27" t="inlineStr">
        <is>
          <t>Schneider</t>
        </is>
      </c>
      <c r="F36" s="28" t="inlineStr">
        <is>
          <t>https://www.gastrozone.cz/schneider-davkovaci-mackaci-lahev-1000-ml-transparentni.html</t>
        </is>
      </c>
      <c r="G36" s="102" t="n">
        <v>446</v>
      </c>
      <c r="H36" s="27" t="inlineStr">
        <is>
          <t>CZK</t>
        </is>
      </c>
      <c r="I36" s="27" t="inlineStr">
        <is>
          <t>incl.</t>
        </is>
      </c>
      <c r="J36" s="123" t="n">
        <v>0.21</v>
      </c>
      <c r="K36" s="117" t="n">
        <v>1</v>
      </c>
      <c r="L36" s="27" t="inlineStr">
        <is>
          <t>per piece</t>
        </is>
      </c>
      <c r="M36" s="38" t="inlineStr">
        <is>
          <t>=IF(OR(G29="",J29="",K29=""),"",ROUND(IF(I29="incl.",G29/(1+J29),G29)/IF(L29="per pack",K29,1),2))</t>
        </is>
      </c>
      <c r="N36" s="27" t="inlineStr">
        <is>
          <t>CLOSE</t>
        </is>
      </c>
      <c r="O36" s="27" t="inlineStr">
        <is>
          <t>1000 ml; material polyethylene (not PP). 369 CZK bez DPH.</t>
        </is>
      </c>
      <c r="P36" s="27" t="inlineStr">
        <is>
          <t>2026-09-30</t>
        </is>
      </c>
      <c r="Q36" s="38" t="inlineStr">
        <is>
          <t>=IFERROR(INDEX(Competitors!$N$2:$N$50,MATCH(C29,Competitors!$A$2:$A$50,0)),"no")</t>
        </is>
      </c>
      <c r="R36" s="38" t="inlineStr">
        <is>
          <t>=IF(AND(Q29="yes",OR(N29="EXACT",N29="CLOSE"),ISNUMBER(M29)),"yes","no")</t>
        </is>
      </c>
      <c r="S36" s="27" t="n"/>
      <c r="T36" s="27" t="n"/>
      <c r="U36" s="27" t="n"/>
      <c r="V36" s="2" t="n"/>
      <c r="W36" s="2" t="n"/>
      <c r="X36" s="2" t="n"/>
      <c r="Y36" s="2" t="n"/>
      <c r="Z36" s="2" t="n"/>
      <c r="AA36" s="2" t="n"/>
      <c r="AB36" s="2" t="n"/>
      <c r="AC36" s="2" t="n"/>
    </row>
    <row r="37" ht="78" customHeight="1">
      <c r="A37" s="2" t="n"/>
      <c r="B37" s="24" t="inlineStr">
        <is>
          <t>Squeeze bottle 1000 ml, polypropylene, single tip</t>
        </is>
      </c>
      <c r="C37" s="24" t="inlineStr">
        <is>
          <t>TOMGAST</t>
        </is>
      </c>
      <c r="D37" s="24" t="inlineStr">
        <is>
          <t>Dávkovač na omáčky 1025 ml, žlutý</t>
        </is>
      </c>
      <c r="E37" s="24" t="inlineStr">
        <is>
          <t>TOMGAST</t>
        </is>
      </c>
      <c r="F37" s="25" t="inlineStr">
        <is>
          <t>https://www.tomgast.cz/davkovac-na-omacky-1025-ml--zluty/</t>
        </is>
      </c>
      <c r="G37" s="98" t="n">
        <v>48</v>
      </c>
      <c r="H37" s="24" t="inlineStr">
        <is>
          <t>CZK</t>
        </is>
      </c>
      <c r="I37" s="24" t="inlineStr">
        <is>
          <t>incl.</t>
        </is>
      </c>
      <c r="J37" s="122" t="n">
        <v>0.21</v>
      </c>
      <c r="K37" s="116" t="n">
        <v>1</v>
      </c>
      <c r="L37" s="24" t="inlineStr">
        <is>
          <t>per piece</t>
        </is>
      </c>
      <c r="M37" s="36" t="inlineStr">
        <is>
          <t>=IF(OR(G30="",J30="",K30=""),"",ROUND(IF(I30="incl.",G30/(1+J30),G30)/IF(L30="per pack",K30,1),2))</t>
        </is>
      </c>
      <c r="N37" s="24" t="inlineStr">
        <is>
          <t>CLOSE</t>
        </is>
      </c>
      <c r="O37" s="24" t="inlineStr">
        <is>
          <t>1025 ml; material only "plast" (plastic type not stated - flagged); single thin nozzle. 40 CZK bez DPH. Transparent/red variants same price but awaiting stock.</t>
        </is>
      </c>
      <c r="P37" s="24" t="inlineStr">
        <is>
          <t>2026-09-30</t>
        </is>
      </c>
      <c r="Q37" s="36" t="inlineStr">
        <is>
          <t>=IFERROR(INDEX(Competitors!$N$2:$N$50,MATCH(C30,Competitors!$A$2:$A$50,0)),"no")</t>
        </is>
      </c>
      <c r="R37" s="36" t="inlineStr">
        <is>
          <t>=IF(AND(Q30="yes",OR(N30="EXACT",N30="CLOSE"),ISNUMBER(M30)),"yes","no")</t>
        </is>
      </c>
      <c r="S37" s="24" t="n"/>
      <c r="T37" s="24" t="n"/>
      <c r="U37" s="24" t="n"/>
      <c r="V37" s="2" t="n"/>
      <c r="W37" s="2" t="n"/>
      <c r="X37" s="2" t="n"/>
      <c r="Y37" s="2" t="n"/>
      <c r="Z37" s="2" t="n"/>
      <c r="AA37" s="2" t="n"/>
      <c r="AB37" s="2" t="n"/>
      <c r="AC37" s="2" t="n"/>
    </row>
    <row r="38" ht="78" customHeight="1">
      <c r="A38" s="2" t="n"/>
      <c r="B38" s="27" t="inlineStr">
        <is>
          <t>Squeeze bottle 500 ml with triple tip</t>
        </is>
      </c>
      <c r="C38" s="27" t="inlineStr">
        <is>
          <t>Gastrozone</t>
        </is>
      </c>
      <c r="D38" s="27" t="inlineStr">
        <is>
          <t>ARAVEN Mačkací láhev, LDPE, průměr: 80 mm, výška: 253 mm, objem: 0,75 L, 3 trysky</t>
        </is>
      </c>
      <c r="E38" s="27" t="inlineStr">
        <is>
          <t>Araven</t>
        </is>
      </c>
      <c r="F38" s="28" t="inlineStr">
        <is>
          <t>https://www.gastrozone.cz/araven-lahvicka-na-stlaceni-ldpe-o-80-mm-vyska-253-mm-objem-0-75-l-3-trysky.html</t>
        </is>
      </c>
      <c r="G38" s="102" t="n">
        <v>156</v>
      </c>
      <c r="H38" s="27" t="inlineStr">
        <is>
          <t>CZK</t>
        </is>
      </c>
      <c r="I38" s="27" t="inlineStr">
        <is>
          <t>incl.</t>
        </is>
      </c>
      <c r="J38" s="123" t="n">
        <v>0.21</v>
      </c>
      <c r="K38" s="117" t="n">
        <v>1</v>
      </c>
      <c r="L38" s="27" t="inlineStr">
        <is>
          <t>per piece</t>
        </is>
      </c>
      <c r="M38" s="38" t="inlineStr">
        <is>
          <t>=IF(OR(G31="",J31="",K31=""),"",ROUND(IF(I31="incl.",G31/(1+J31),G31)/IF(L31="per pack",K31,1),2))</t>
        </is>
      </c>
      <c r="N38" s="27" t="inlineStr">
        <is>
          <t>APPROX</t>
        </is>
      </c>
      <c r="O38" s="27" t="inlineStr">
        <is>
          <t>Triple-tip squeeze bottle but 750 ml (not 500 ml); LDPE. 129 CZK bez DPH.</t>
        </is>
      </c>
      <c r="P38" s="27" t="inlineStr">
        <is>
          <t>2026-09-30</t>
        </is>
      </c>
      <c r="Q38" s="38" t="inlineStr">
        <is>
          <t>=IFERROR(INDEX(Competitors!$N$2:$N$50,MATCH(C31,Competitors!$A$2:$A$50,0)),"no")</t>
        </is>
      </c>
      <c r="R38" s="38" t="inlineStr">
        <is>
          <t>=IF(AND(Q31="yes",OR(N31="EXACT",N31="CLOSE"),ISNUMBER(M31)),"yes","no")</t>
        </is>
      </c>
      <c r="S38" s="27" t="n"/>
      <c r="T38" s="27" t="n"/>
      <c r="U38" s="27" t="n"/>
      <c r="V38" s="2" t="n"/>
      <c r="W38" s="2" t="n"/>
      <c r="X38" s="2" t="n"/>
      <c r="Y38" s="2" t="n"/>
      <c r="Z38" s="2" t="n"/>
      <c r="AA38" s="2" t="n"/>
      <c r="AB38" s="2" t="n"/>
      <c r="AC38" s="2" t="n"/>
    </row>
    <row r="39" ht="78" customHeight="1">
      <c r="A39" s="2" t="n"/>
      <c r="B39" s="24" t="inlineStr">
        <is>
          <t>Ketchup/sauce pump dispenser with stand</t>
        </is>
      </c>
      <c r="C39" s="24" t="inlineStr">
        <is>
          <t>GGM Gastro (CZ storefront)</t>
        </is>
      </c>
      <c r="D39" s="24" t="inlineStr">
        <is>
          <t>Dávkovač omáčky - 2 L - Vč. nerezového podstavce</t>
        </is>
      </c>
      <c r="E39" s="24" t="inlineStr">
        <is>
          <t>GGM</t>
        </is>
      </c>
      <c r="F39" s="25" t="inlineStr">
        <is>
          <t>https://www.ggmgastro.com/cs-cz-czk/davkovac-omacky-2-l-vc-nerezoveho-podstavce-ssh12</t>
        </is>
      </c>
      <c r="G39" s="98" t="n">
        <v>997.66</v>
      </c>
      <c r="H39" s="24" t="inlineStr">
        <is>
          <t>CZK</t>
        </is>
      </c>
      <c r="I39" s="24" t="inlineStr">
        <is>
          <t>excl.</t>
        </is>
      </c>
      <c r="J39" s="122" t="n">
        <v>0.19</v>
      </c>
      <c r="K39" s="116" t="n">
        <v>1</v>
      </c>
      <c r="L39" s="24" t="inlineStr">
        <is>
          <t>per piece</t>
        </is>
      </c>
      <c r="M39" s="36" t="inlineStr">
        <is>
          <t>=IF(OR(G32="",J32="",K32=""),"",ROUND(IF(I32="incl.",G32/(1+J32),G32)/IF(L32="per pack",K32,1),2))</t>
        </is>
      </c>
      <c r="N39" s="24" t="inlineStr">
        <is>
          <t>EXACT</t>
        </is>
      </c>
      <c r="O39" s="24" t="inlineStr">
        <is>
          <t>Net CZK price as displayed; page footnote: "* čistá cena | hrubá cena vč. 19% DPH" (German VAT 19% used on the CZ storefront). SKU SSH12: PP container with portion pump (30 ml adjustable) on stainless-steel stand. Gross 1,187.22 CZK. Stand-less pump dispenser KSP2 2 l: 681.25 CZK.</t>
        </is>
      </c>
      <c r="P39" s="24" t="inlineStr">
        <is>
          <t>2026-09-30</t>
        </is>
      </c>
      <c r="Q39" s="36" t="inlineStr">
        <is>
          <t>=IFERROR(INDEX(Competitors!$N$2:$N$50,MATCH(C32,Competitors!$A$2:$A$50,0)),"no")</t>
        </is>
      </c>
      <c r="R39" s="36" t="inlineStr">
        <is>
          <t>=IF(AND(Q32="yes",OR(N32="EXACT",N32="CLOSE"),ISNUMBER(M32)),"yes","no")</t>
        </is>
      </c>
      <c r="S39" s="24" t="n"/>
      <c r="T39" s="24" t="n"/>
      <c r="U39" s="24" t="n"/>
      <c r="V39" s="2" t="n"/>
      <c r="W39" s="2" t="n"/>
      <c r="X39" s="2" t="n"/>
      <c r="Y39" s="2" t="n"/>
      <c r="Z39" s="2" t="n"/>
      <c r="AA39" s="2" t="n"/>
      <c r="AB39" s="2" t="n"/>
      <c r="AC39" s="2" t="n"/>
    </row>
    <row r="40" ht="78" customHeight="1">
      <c r="A40" s="2" t="n"/>
      <c r="B40" s="27" t="inlineStr">
        <is>
          <t>Ketchup/sauce pump dispenser with stand</t>
        </is>
      </c>
      <c r="C40" s="27" t="inlineStr">
        <is>
          <t>Gastromania</t>
        </is>
      </c>
      <c r="D40" s="27" t="inlineStr">
        <is>
          <t>Dávkovač na omáčky s pumpičkou 2,5 l, červený | HENDI, 203521</t>
        </is>
      </c>
      <c r="E40" s="27" t="inlineStr">
        <is>
          <t>Hendi</t>
        </is>
      </c>
      <c r="F40" s="28" t="inlineStr">
        <is>
          <t>https://www.gastromania.cz/davkovace-omacek/davkovac-na-omacky-s-pumpickou-2-5-l-cerveny-hendi-203521</t>
        </is>
      </c>
      <c r="G40" s="102" t="n">
        <v>636</v>
      </c>
      <c r="H40" s="27" t="inlineStr">
        <is>
          <t>CZK</t>
        </is>
      </c>
      <c r="I40" s="27" t="inlineStr">
        <is>
          <t>excl.</t>
        </is>
      </c>
      <c r="J40" s="123" t="n">
        <v>0.21</v>
      </c>
      <c r="K40" s="117" t="n">
        <v>1</v>
      </c>
      <c r="L40" s="27" t="inlineStr">
        <is>
          <t>per piece</t>
        </is>
      </c>
      <c r="M40" s="38" t="inlineStr">
        <is>
          <t>=IF(OR(G33="",J33="",K33=""),"",ROUND(IF(I33="incl.",G33/(1+J33),G33)/IF(L33="per pack",K33,1),2))</t>
        </is>
      </c>
      <c r="N40" s="27" t="inlineStr">
        <is>
          <t>CLOSE</t>
        </is>
      </c>
      <c r="O40" s="27" t="inlineStr">
        <is>
          <t>Free-standing pump dispenser: ABS housing, PP inner container and removable pump, 2.5 l, 20 ml dose; separate stand not mentioned. 770 CZK incl.; in stock.</t>
        </is>
      </c>
      <c r="P40" s="27" t="inlineStr">
        <is>
          <t>2026-09-30</t>
        </is>
      </c>
      <c r="Q40" s="38" t="inlineStr">
        <is>
          <t>=IFERROR(INDEX(Competitors!$N$2:$N$50,MATCH(C33,Competitors!$A$2:$A$50,0)),"no")</t>
        </is>
      </c>
      <c r="R40" s="38" t="inlineStr">
        <is>
          <t>=IF(AND(Q33="yes",OR(N33="EXACT",N33="CLOSE"),ISNUMBER(M33)),"yes","no")</t>
        </is>
      </c>
      <c r="S40" s="27" t="n"/>
      <c r="T40" s="27" t="n"/>
      <c r="U40" s="27" t="n"/>
      <c r="V40" s="2" t="n"/>
      <c r="W40" s="2" t="n"/>
      <c r="X40" s="2" t="n"/>
      <c r="Y40" s="2" t="n"/>
      <c r="Z40" s="2" t="n"/>
      <c r="AA40" s="2" t="n"/>
      <c r="AB40" s="2" t="n"/>
      <c r="AC40" s="2" t="n"/>
    </row>
    <row r="41" ht="78" customHeight="1">
      <c r="A41" s="2" t="n"/>
      <c r="B41" s="24" t="inlineStr">
        <is>
          <t>Ketchup/sauce pump dispenser with stand</t>
        </is>
      </c>
      <c r="C41" s="24" t="inlineStr">
        <is>
          <t>Gastrozone</t>
        </is>
      </c>
      <c r="D41" s="24" t="inlineStr">
        <is>
          <t>Dávkovač omáčky Contacto 3 l</t>
        </is>
      </c>
      <c r="E41" s="24" t="inlineStr">
        <is>
          <t>Contacto</t>
        </is>
      </c>
      <c r="F41" s="25" t="inlineStr">
        <is>
          <t>https://www.gastrozone.cz/contacto-davkovac-omacky-3-l.html</t>
        </is>
      </c>
      <c r="G41" s="98" t="n">
        <v>1446</v>
      </c>
      <c r="H41" s="24" t="inlineStr">
        <is>
          <t>CZK</t>
        </is>
      </c>
      <c r="I41" s="24" t="inlineStr">
        <is>
          <t>incl.</t>
        </is>
      </c>
      <c r="J41" s="122" t="n">
        <v>0.21</v>
      </c>
      <c r="K41" s="116" t="n">
        <v>1</v>
      </c>
      <c r="L41" s="24" t="inlineStr">
        <is>
          <t>per piece</t>
        </is>
      </c>
      <c r="M41" s="36" t="inlineStr">
        <is>
          <t>=IF(OR(G34="",J34="",K34=""),"",ROUND(IF(I34="incl.",G34/(1+J34),G34)/IF(L34="per pack",K34,1),2))</t>
        </is>
      </c>
      <c r="N41" s="24" t="inlineStr">
        <is>
          <t>CLOSE</t>
        </is>
      </c>
      <c r="O41" s="24" t="inlineStr">
        <is>
          <t>Countertop pump dispenser for ketchup/mustard, white PE, ~30 ml portion, sliding cover, removable pump; free-standing unit - separate stand not mentioned. 1,195 CZK bez DPH.</t>
        </is>
      </c>
      <c r="P41" s="24" t="inlineStr">
        <is>
          <t>2026-09-30</t>
        </is>
      </c>
      <c r="Q41" s="36" t="inlineStr">
        <is>
          <t>=IFERROR(INDEX(Competitors!$N$2:$N$50,MATCH(C34,Competitors!$A$2:$A$50,0)),"no")</t>
        </is>
      </c>
      <c r="R41" s="36" t="inlineStr">
        <is>
          <t>=IF(AND(Q34="yes",OR(N34="EXACT",N34="CLOSE"),ISNUMBER(M34)),"yes","no")</t>
        </is>
      </c>
      <c r="S41" s="24" t="n"/>
      <c r="T41" s="24" t="n"/>
      <c r="U41" s="24" t="n"/>
      <c r="V41" s="2" t="n"/>
      <c r="W41" s="2" t="n"/>
      <c r="X41" s="2" t="n"/>
      <c r="Y41" s="2" t="n"/>
      <c r="Z41" s="2" t="n"/>
      <c r="AA41" s="2" t="n"/>
      <c r="AB41" s="2" t="n"/>
      <c r="AC41" s="2" t="n"/>
    </row>
    <row r="42" ht="78" customHeight="1">
      <c r="A42" s="2" t="n"/>
      <c r="B42" s="27" t="inlineStr">
        <is>
          <t>Ketchup/sauce pump dispenser with stand</t>
        </is>
      </c>
      <c r="C42" s="27" t="inlineStr">
        <is>
          <t>TOMGAST</t>
        </is>
      </c>
      <c r="D42" s="27" t="inlineStr">
        <is>
          <t>Dávkovač 1,5 l</t>
        </is>
      </c>
      <c r="E42" s="27" t="inlineStr">
        <is>
          <t>TOMGAST</t>
        </is>
      </c>
      <c r="F42" s="28" t="inlineStr">
        <is>
          <t>https://www.tomgast.cz/davkovac-1-5-l/</t>
        </is>
      </c>
      <c r="G42" s="102" t="n">
        <v>877</v>
      </c>
      <c r="H42" s="27" t="inlineStr">
        <is>
          <t>CZK</t>
        </is>
      </c>
      <c r="I42" s="27" t="inlineStr">
        <is>
          <t>incl.</t>
        </is>
      </c>
      <c r="J42" s="123" t="n">
        <v>0.21</v>
      </c>
      <c r="K42" s="117" t="n">
        <v>1</v>
      </c>
      <c r="L42" s="27" t="inlineStr">
        <is>
          <t>per piece</t>
        </is>
      </c>
      <c r="M42" s="38" t="inlineStr">
        <is>
          <t>=IF(OR(G35="",J35="",K35=""),"",ROUND(IF(I35="incl.",G35/(1+J35),G35)/IF(L35="per pack",K35,1),2))</t>
        </is>
      </c>
      <c r="N42" s="27" t="inlineStr">
        <is>
          <t>APPROX</t>
        </is>
      </c>
      <c r="O42" s="27" t="inlineStr">
        <is>
          <t>Push-button portion dispenser (30 ml dose), polyethylene, 1.5 l; no stand/base mentioned - not a pump-on-stand unit. 725 CZK bez DPH.</t>
        </is>
      </c>
      <c r="P42" s="27" t="inlineStr">
        <is>
          <t>2026-09-30</t>
        </is>
      </c>
      <c r="Q42" s="38" t="inlineStr">
        <is>
          <t>=IFERROR(INDEX(Competitors!$N$2:$N$50,MATCH(C35,Competitors!$A$2:$A$50,0)),"no")</t>
        </is>
      </c>
      <c r="R42" s="38" t="inlineStr">
        <is>
          <t>=IF(AND(Q35="yes",OR(N35="EXACT",N35="CLOSE"),ISNUMBER(M35)),"yes","no")</t>
        </is>
      </c>
      <c r="S42" s="27" t="n"/>
      <c r="T42" s="27" t="n"/>
      <c r="U42" s="27" t="n"/>
      <c r="V42" s="2" t="n"/>
      <c r="W42" s="2" t="n"/>
      <c r="X42" s="2" t="n"/>
      <c r="Y42" s="2" t="n"/>
      <c r="Z42" s="2" t="n"/>
      <c r="AA42" s="2" t="n"/>
      <c r="AB42" s="2" t="n"/>
      <c r="AC42" s="2" t="n"/>
    </row>
    <row r="43" ht="78" customHeight="1">
      <c r="A43" s="2" t="n"/>
      <c r="B43" s="24" t="inlineStr">
        <is>
          <t>HACCP PE cutting board 530 x 325 x 20 mm (GN 1/1)</t>
        </is>
      </c>
      <c r="C43" s="24" t="inlineStr">
        <is>
          <t>GGM Gastro (CZ storefront)</t>
        </is>
      </c>
      <c r="D43" s="24" t="inlineStr">
        <is>
          <t>Krájecí deska - 325x530 mm - Dle HACCP - Bílá</t>
        </is>
      </c>
      <c r="E43" s="24" t="inlineStr">
        <is>
          <t>GGM</t>
        </is>
      </c>
      <c r="F43" s="25" t="inlineStr">
        <is>
          <t>https://www.ggmgastro.com/cs-cz-czk/krajeci-deska-325x530-mm-dle-haccp-bila-sbp53w</t>
        </is>
      </c>
      <c r="G43" s="98" t="n">
        <v>632.5700000000001</v>
      </c>
      <c r="H43" s="24" t="inlineStr">
        <is>
          <t>CZK</t>
        </is>
      </c>
      <c r="I43" s="24" t="inlineStr">
        <is>
          <t>excl.</t>
        </is>
      </c>
      <c r="J43" s="122" t="n">
        <v>0.19</v>
      </c>
      <c r="K43" s="116" t="n">
        <v>1</v>
      </c>
      <c r="L43" s="24" t="inlineStr">
        <is>
          <t>per piece</t>
        </is>
      </c>
      <c r="M43" s="36" t="inlineStr">
        <is>
          <t>=IF(OR(G36="",J36="",K36=""),"",ROUND(IF(I36="incl.",G36/(1+J36),G36)/IF(L36="per pack",K36,1),2))</t>
        </is>
      </c>
      <c r="N43" s="24" t="inlineStr">
        <is>
          <t>EXACT</t>
        </is>
      </c>
      <c r="O43" s="24" t="inlineStr">
        <is>
          <t>Net CZK price as displayed; page footnote: "* čistá cena | hrubá cena vč. 19% DPH" (German VAT 19% used on the CZ storefront). SKU SBP53W, PE, 325 x 530 x 20 mm, HACCP colours (same price red etc.). Gross 752.76 CZK.</t>
        </is>
      </c>
      <c r="P43" s="24" t="inlineStr">
        <is>
          <t>2026-09-30</t>
        </is>
      </c>
      <c r="Q43" s="36" t="inlineStr">
        <is>
          <t>=IFERROR(INDEX(Competitors!$N$2:$N$50,MATCH(C36,Competitors!$A$2:$A$50,0)),"no")</t>
        </is>
      </c>
      <c r="R43" s="36" t="inlineStr">
        <is>
          <t>=IF(AND(Q36="yes",OR(N36="EXACT",N36="CLOSE"),ISNUMBER(M36)),"yes","no")</t>
        </is>
      </c>
      <c r="S43" s="24" t="n"/>
      <c r="T43" s="24" t="n"/>
      <c r="U43" s="24" t="n"/>
      <c r="V43" s="2" t="n"/>
      <c r="W43" s="2" t="n"/>
      <c r="X43" s="2" t="n"/>
      <c r="Y43" s="2" t="n"/>
      <c r="Z43" s="2" t="n"/>
      <c r="AA43" s="2" t="n"/>
      <c r="AB43" s="2" t="n"/>
      <c r="AC43" s="2" t="n"/>
    </row>
    <row r="44" ht="78" customHeight="1">
      <c r="A44" s="2" t="n"/>
      <c r="B44" s="27" t="inlineStr">
        <is>
          <t>HACCP PE cutting board 530 x 325 x 20 mm (GN 1/1)</t>
        </is>
      </c>
      <c r="C44" s="27" t="inlineStr">
        <is>
          <t>Gastro Novotný</t>
        </is>
      </c>
      <c r="D44" s="27" t="inlineStr">
        <is>
          <t>Deska polyethylen GN 1/1 53x32,5x2cm nožičky, PE-HD červená</t>
        </is>
      </c>
      <c r="E44" s="27" t="n"/>
      <c r="F44" s="28" t="inlineStr">
        <is>
          <t>https://eshop.gastronovotny.cz/deska-polyethylen-gn-1-1--53x32-5x2cm--nozicky-pe-hd--cervena/</t>
        </is>
      </c>
      <c r="G44" s="102" t="n">
        <v>1090</v>
      </c>
      <c r="H44" s="27" t="inlineStr">
        <is>
          <t>CZK</t>
        </is>
      </c>
      <c r="I44" s="27" t="inlineStr">
        <is>
          <t>excl.</t>
        </is>
      </c>
      <c r="J44" s="123" t="n">
        <v>0.21</v>
      </c>
      <c r="K44" s="117" t="n">
        <v>1</v>
      </c>
      <c r="L44" s="27" t="inlineStr">
        <is>
          <t>per piece</t>
        </is>
      </c>
      <c r="M44" s="38" t="inlineStr">
        <is>
          <t>=IF(OR(G37="",J37="",K37=""),"",ROUND(IF(I37="incl.",G37/(1+J37),G37)/IF(L37="per pack",K37,1),2))</t>
        </is>
      </c>
      <c r="N44" s="27" t="inlineStr">
        <is>
          <t>EXACT</t>
        </is>
      </c>
      <c r="O44" s="27" t="inlineStr">
        <is>
          <t>HDPE, feet, colours white/yellow/red/blue/green/brown/black; 1,318.90 CZK incl. VAT; availability "Na dotaz" (some colours 3-6 weeks)</t>
        </is>
      </c>
      <c r="P44" s="27" t="inlineStr">
        <is>
          <t>2026-09-30</t>
        </is>
      </c>
      <c r="Q44" s="38" t="inlineStr">
        <is>
          <t>=IFERROR(INDEX(Competitors!$N$2:$N$50,MATCH(C37,Competitors!$A$2:$A$50,0)),"no")</t>
        </is>
      </c>
      <c r="R44" s="38" t="inlineStr">
        <is>
          <t>=IF(AND(Q37="yes",OR(N37="EXACT",N37="CLOSE"),ISNUMBER(M37)),"yes","no")</t>
        </is>
      </c>
      <c r="S44" s="27" t="n"/>
      <c r="T44" s="27" t="n"/>
      <c r="U44" s="27" t="n"/>
      <c r="V44" s="2" t="n"/>
      <c r="W44" s="2" t="n"/>
      <c r="X44" s="2" t="n"/>
      <c r="Y44" s="2" t="n"/>
      <c r="Z44" s="2" t="n"/>
      <c r="AA44" s="2" t="n"/>
      <c r="AB44" s="2" t="n"/>
      <c r="AC44" s="2" t="n"/>
    </row>
    <row r="45" ht="78" customHeight="1">
      <c r="A45" s="2" t="n"/>
      <c r="B45" s="24" t="inlineStr">
        <is>
          <t>HACCP PE cutting board 530 x 325 x 20 mm (GN 1/1)</t>
        </is>
      </c>
      <c r="C45" s="24" t="inlineStr">
        <is>
          <t>Gastromania</t>
        </is>
      </c>
      <c r="D45" s="24" t="inlineStr">
        <is>
          <t>Deska na krájení HACCP 530x325x25 mm, červená | CONTACTO, 1524/539</t>
        </is>
      </c>
      <c r="E45" s="24" t="inlineStr">
        <is>
          <t>Contacto</t>
        </is>
      </c>
      <c r="F45" s="25" t="inlineStr">
        <is>
          <t>https://www.gastromania.cz/plastove-krajeci-desky-haccp/deska-na-krajeni-haccp-530x325x25-mm-cervena-contacto-1524-539</t>
        </is>
      </c>
      <c r="G45" s="98" t="n">
        <v>1172</v>
      </c>
      <c r="H45" s="24" t="inlineStr">
        <is>
          <t>CZK</t>
        </is>
      </c>
      <c r="I45" s="24" t="inlineStr">
        <is>
          <t>excl.</t>
        </is>
      </c>
      <c r="J45" s="122" t="n">
        <v>0.21</v>
      </c>
      <c r="K45" s="116" t="n">
        <v>1</v>
      </c>
      <c r="L45" s="24" t="inlineStr">
        <is>
          <t>per piece</t>
        </is>
      </c>
      <c r="M45" s="36" t="inlineStr">
        <is>
          <t>=IF(OR(G38="",J38="",K38=""),"",ROUND(IF(I38="incl.",G38/(1+J38),G38)/IF(L38="per pack",K38,1),2))</t>
        </is>
      </c>
      <c r="N45" s="24" t="inlineStr">
        <is>
          <t>CLOSE</t>
        </is>
      </c>
      <c r="O45" s="24" t="inlineStr">
        <is>
          <t>PE, HACCP colours, anti-slip feet; 25 mm thick (no 20 mm PE GN 1/1 board found). 1,418 CZK incl.; availability 30 days. Thinner options: Hendi 530x325x15 (PE/PP conflicting) 523 excl.; Hendi 10 mm 297 excl.</t>
        </is>
      </c>
      <c r="P45" s="24" t="inlineStr">
        <is>
          <t>2026-09-30</t>
        </is>
      </c>
      <c r="Q45" s="36" t="inlineStr">
        <is>
          <t>=IFERROR(INDEX(Competitors!$N$2:$N$50,MATCH(C38,Competitors!$A$2:$A$50,0)),"no")</t>
        </is>
      </c>
      <c r="R45" s="36" t="inlineStr">
        <is>
          <t>=IF(AND(Q38="yes",OR(N38="EXACT",N38="CLOSE"),ISNUMBER(M38)),"yes","no")</t>
        </is>
      </c>
      <c r="S45" s="24" t="n"/>
      <c r="T45" s="24" t="n"/>
      <c r="U45" s="24" t="n"/>
      <c r="V45" s="2" t="n"/>
      <c r="W45" s="2" t="n"/>
      <c r="X45" s="2" t="n"/>
      <c r="Y45" s="2" t="n"/>
      <c r="Z45" s="2" t="n"/>
      <c r="AA45" s="2" t="n"/>
      <c r="AB45" s="2" t="n"/>
      <c r="AC45" s="2" t="n"/>
    </row>
    <row r="46" ht="78" customHeight="1">
      <c r="A46" s="2" t="n"/>
      <c r="B46" s="27" t="inlineStr">
        <is>
          <t>HACCP PE cutting board 530 x 325 x 20 mm (GN 1/1)</t>
        </is>
      </c>
      <c r="C46" s="27" t="inlineStr">
        <is>
          <t>Gastrozone</t>
        </is>
      </c>
      <c r="D46" s="27" t="inlineStr">
        <is>
          <t>Prkénko krájecí plastové 53x32,5x2 cm GN 1/1, s drážkou, červené</t>
        </is>
      </c>
      <c r="E46" s="27" t="inlineStr">
        <is>
          <t>Gastro</t>
        </is>
      </c>
      <c r="F46" s="28" t="inlineStr">
        <is>
          <t>https://www.gastrozone.cz/gastro-prkenko-krajeci-plastove-53x32-5x2-cm-gn-1-1-s-drazkou-cervene.html</t>
        </is>
      </c>
      <c r="G46" s="102" t="n">
        <v>1531</v>
      </c>
      <c r="H46" s="27" t="inlineStr">
        <is>
          <t>CZK</t>
        </is>
      </c>
      <c r="I46" s="27" t="inlineStr">
        <is>
          <t>incl.</t>
        </is>
      </c>
      <c r="J46" s="123" t="n">
        <v>0.21</v>
      </c>
      <c r="K46" s="117" t="n">
        <v>1</v>
      </c>
      <c r="L46" s="27" t="inlineStr">
        <is>
          <t>per piece</t>
        </is>
      </c>
      <c r="M46" s="38" t="inlineStr">
        <is>
          <t>=IF(OR(G39="",J39="",K39=""),"",ROUND(IF(I39="incl.",G39/(1+J39),G39)/IF(L39="per pack",K39,1),2))</t>
        </is>
      </c>
      <c r="N46" s="27" t="inlineStr">
        <is>
          <t>CLOSE</t>
        </is>
      </c>
      <c r="O46" s="27" t="inlineStr">
        <is>
          <t>530 x 325 x 20 mm, HACCP colours; material only "plast" (plastic type not stated - flagged); has juice groove and rubber feet. 1,265 CZK bez DPH.</t>
        </is>
      </c>
      <c r="P46" s="27" t="inlineStr">
        <is>
          <t>2026-09-30</t>
        </is>
      </c>
      <c r="Q46" s="38" t="inlineStr">
        <is>
          <t>=IFERROR(INDEX(Competitors!$N$2:$N$50,MATCH(C39,Competitors!$A$2:$A$50,0)),"no")</t>
        </is>
      </c>
      <c r="R46" s="38" t="inlineStr">
        <is>
          <t>=IF(AND(Q39="yes",OR(N39="EXACT",N39="CLOSE"),ISNUMBER(M39)),"yes","no")</t>
        </is>
      </c>
      <c r="S46" s="27" t="n"/>
      <c r="T46" s="27" t="n"/>
      <c r="U46" s="27" t="n"/>
      <c r="V46" s="2" t="n"/>
      <c r="W46" s="2" t="n"/>
      <c r="X46" s="2" t="n"/>
      <c r="Y46" s="2" t="n"/>
      <c r="Z46" s="2" t="n"/>
      <c r="AA46" s="2" t="n"/>
      <c r="AB46" s="2" t="n"/>
      <c r="AC46" s="2" t="n"/>
    </row>
    <row r="47" ht="78" customHeight="1">
      <c r="A47" s="2" t="n"/>
      <c r="B47" s="24" t="inlineStr">
        <is>
          <t>HACCP PE cutting board 530 x 325 x 20 mm (GN 1/1)</t>
        </is>
      </c>
      <c r="C47" s="24" t="inlineStr">
        <is>
          <t>TOMGAST</t>
        </is>
      </c>
      <c r="D47" s="24" t="inlineStr">
        <is>
          <t>Deska 500 × 325 × 20 mm, červená</t>
        </is>
      </c>
      <c r="E47" s="24" t="inlineStr">
        <is>
          <t>TOMGAST</t>
        </is>
      </c>
      <c r="F47" s="25" t="inlineStr">
        <is>
          <t>https://www.tomgast.cz/deska-500--325--20-mm--cervena/</t>
        </is>
      </c>
      <c r="G47" s="98" t="n">
        <v>1016</v>
      </c>
      <c r="H47" s="24" t="inlineStr">
        <is>
          <t>CZK</t>
        </is>
      </c>
      <c r="I47" s="24" t="inlineStr">
        <is>
          <t>incl.</t>
        </is>
      </c>
      <c r="J47" s="122" t="n">
        <v>0.21</v>
      </c>
      <c r="K47" s="116" t="n">
        <v>1</v>
      </c>
      <c r="L47" s="24" t="inlineStr">
        <is>
          <t>per piece</t>
        </is>
      </c>
      <c r="M47" s="36" t="inlineStr">
        <is>
          <t>=IF(OR(G40="",J40="",K40=""),"",ROUND(IF(I40="incl.",G40/(1+J40),G40)/IF(L40="per pack",K40,1),2))</t>
        </is>
      </c>
      <c r="N47" s="24" t="inlineStr">
        <is>
          <t>APPROX</t>
        </is>
      </c>
      <c r="O47" s="24" t="inlineStr">
        <is>
          <t>PE, colour range (white/red/blue/green/yellow/brown), anti-slip feet; 500 mm long, not GN 1/1 530 mm. 840 CZK bez DPH. No 530 x 325 PE board listed.</t>
        </is>
      </c>
      <c r="P47" s="24" t="inlineStr">
        <is>
          <t>2026-09-30</t>
        </is>
      </c>
      <c r="Q47" s="36" t="inlineStr">
        <is>
          <t>=IFERROR(INDEX(Competitors!$N$2:$N$50,MATCH(C40,Competitors!$A$2:$A$50,0)),"no")</t>
        </is>
      </c>
      <c r="R47" s="36" t="inlineStr">
        <is>
          <t>=IF(AND(Q40="yes",OR(N40="EXACT",N40="CLOSE"),ISNUMBER(M40)),"yes","no")</t>
        </is>
      </c>
      <c r="S47" s="24" t="n"/>
      <c r="T47" s="24" t="n"/>
      <c r="U47" s="24" t="n"/>
      <c r="V47" s="2" t="n"/>
      <c r="W47" s="2" t="n"/>
      <c r="X47" s="2" t="n"/>
      <c r="Y47" s="2" t="n"/>
      <c r="Z47" s="2" t="n"/>
      <c r="AA47" s="2" t="n"/>
      <c r="AB47" s="2" t="n"/>
      <c r="AC47" s="2" t="n"/>
    </row>
    <row r="48" ht="78" customHeight="1">
      <c r="A48" s="2" t="n"/>
      <c r="B48" s="27" t="inlineStr">
        <is>
          <t>HACCP PE cutting board 600 x 400 x 20 mm</t>
        </is>
      </c>
      <c r="C48" s="27" t="inlineStr">
        <is>
          <t>GGM Gastro (CZ storefront)</t>
        </is>
      </c>
      <c r="D48" s="27" t="inlineStr">
        <is>
          <t>Krájecí deska - EN 600x400 - Dle HACCP - Bílá</t>
        </is>
      </c>
      <c r="E48" s="27" t="inlineStr">
        <is>
          <t>GGM</t>
        </is>
      </c>
      <c r="F48" s="28" t="inlineStr">
        <is>
          <t>https://www.ggmgastro.com/cs-cz-czk/krajeci-deska-en-600x400-dle-haccp-bila-sbp46w</t>
        </is>
      </c>
      <c r="G48" s="102" t="n">
        <v>717.76</v>
      </c>
      <c r="H48" s="27" t="inlineStr">
        <is>
          <t>CZK</t>
        </is>
      </c>
      <c r="I48" s="27" t="inlineStr">
        <is>
          <t>excl.</t>
        </is>
      </c>
      <c r="J48" s="123" t="n">
        <v>0.19</v>
      </c>
      <c r="K48" s="117" t="n">
        <v>1</v>
      </c>
      <c r="L48" s="27" t="inlineStr">
        <is>
          <t>per piece</t>
        </is>
      </c>
      <c r="M48" s="38" t="inlineStr">
        <is>
          <t>=IF(OR(G41="",J41="",K41=""),"",ROUND(IF(I41="incl.",G41/(1+J41),G41)/IF(L41="per pack",K41,1),2))</t>
        </is>
      </c>
      <c r="N48" s="27" t="inlineStr">
        <is>
          <t>EXACT</t>
        </is>
      </c>
      <c r="O48" s="27" t="inlineStr">
        <is>
          <t>Net CZK price as displayed; page footnote: "* čistá cena | hrubá cena vč. 19% DPH" (German VAT 19% used on the CZ storefront). SKU SBP46W, PE, 600 x 400 x 20 mm, HACCP colours. Gross 854.13 CZK.</t>
        </is>
      </c>
      <c r="P48" s="27" t="inlineStr">
        <is>
          <t>2026-09-30</t>
        </is>
      </c>
      <c r="Q48" s="38" t="inlineStr">
        <is>
          <t>=IFERROR(INDEX(Competitors!$N$2:$N$50,MATCH(C41,Competitors!$A$2:$A$50,0)),"no")</t>
        </is>
      </c>
      <c r="R48" s="38" t="inlineStr">
        <is>
          <t>=IF(AND(Q41="yes",OR(N41="EXACT",N41="CLOSE"),ISNUMBER(M41)),"yes","no")</t>
        </is>
      </c>
      <c r="S48" s="27" t="n"/>
      <c r="T48" s="27" t="n"/>
      <c r="U48" s="27" t="n"/>
      <c r="V48" s="2" t="n"/>
      <c r="W48" s="2" t="n"/>
      <c r="X48" s="2" t="n"/>
      <c r="Y48" s="2" t="n"/>
      <c r="Z48" s="2" t="n"/>
      <c r="AA48" s="2" t="n"/>
      <c r="AB48" s="2" t="n"/>
      <c r="AC48" s="2" t="n"/>
    </row>
    <row r="49" ht="78" customHeight="1">
      <c r="A49" s="2" t="n"/>
      <c r="B49" s="24" t="inlineStr">
        <is>
          <t>HACCP PE cutting board 600 x 400 x 20 mm</t>
        </is>
      </c>
      <c r="C49" s="24" t="inlineStr">
        <is>
          <t>Gastro Novotný</t>
        </is>
      </c>
      <c r="D49" s="24" t="inlineStr">
        <is>
          <t>Deska polyethylen 60x40x2cm nožičky PE-HD -bílá</t>
        </is>
      </c>
      <c r="E49" s="24" t="n"/>
      <c r="F49" s="25" t="inlineStr">
        <is>
          <t>https://eshop.gastronovotny.cz/deska-polyethylen-60x40x2cm-nozicky-pe-hd-bila/</t>
        </is>
      </c>
      <c r="G49" s="98" t="n">
        <v>1350</v>
      </c>
      <c r="H49" s="24" t="inlineStr">
        <is>
          <t>CZK</t>
        </is>
      </c>
      <c r="I49" s="24" t="inlineStr">
        <is>
          <t>excl.</t>
        </is>
      </c>
      <c r="J49" s="122" t="n">
        <v>0.21</v>
      </c>
      <c r="K49" s="116" t="n">
        <v>1</v>
      </c>
      <c r="L49" s="24" t="inlineStr">
        <is>
          <t>per piece</t>
        </is>
      </c>
      <c r="M49" s="36" t="inlineStr">
        <is>
          <t>=IF(OR(G42="",J42="",K42=""),"",ROUND(IF(I42="incl.",G42/(1+J42),G42)/IF(L42="per pack",K42,1),2))</t>
        </is>
      </c>
      <c r="N49" s="24" t="inlineStr">
        <is>
          <t>EXACT</t>
        </is>
      </c>
      <c r="O49" s="24" t="inlineStr">
        <is>
          <t>HDPE, feet; colour range (white/yellow/red/green/brown/black); white is the lowest-priced colour; 1,633.50 CZK incl. VAT; white on order 3-6 weeks (red 1,460 CZK excl., in stock).</t>
        </is>
      </c>
      <c r="P49" s="24" t="inlineStr">
        <is>
          <t>2026-09-30</t>
        </is>
      </c>
      <c r="Q49" s="36" t="inlineStr">
        <is>
          <t>=IFERROR(INDEX(Competitors!$N$2:$N$50,MATCH(C42,Competitors!$A$2:$A$50,0)),"no")</t>
        </is>
      </c>
      <c r="R49" s="36" t="inlineStr">
        <is>
          <t>=IF(AND(Q42="yes",OR(N42="EXACT",N42="CLOSE"),ISNUMBER(M42)),"yes","no")</t>
        </is>
      </c>
      <c r="S49" s="24" t="n"/>
      <c r="T49" s="24" t="n"/>
      <c r="U49" s="24" t="n"/>
      <c r="V49" s="2" t="n"/>
      <c r="W49" s="2" t="n"/>
      <c r="X49" s="2" t="n"/>
      <c r="Y49" s="2" t="n"/>
      <c r="Z49" s="2" t="n"/>
      <c r="AA49" s="2" t="n"/>
      <c r="AB49" s="2" t="n"/>
      <c r="AC49" s="2" t="n"/>
    </row>
    <row r="50" ht="78" customHeight="1">
      <c r="A50" s="2" t="n"/>
      <c r="B50" s="27" t="inlineStr">
        <is>
          <t>HACCP PE cutting board 600 x 400 x 20 mm</t>
        </is>
      </c>
      <c r="C50" s="27" t="inlineStr">
        <is>
          <t>Gastromania</t>
        </is>
      </c>
      <c r="D50" s="27" t="inlineStr">
        <is>
          <t>Krájecí deska 600x400x20 mm, červená | YATO, YG-02180</t>
        </is>
      </c>
      <c r="E50" s="27" t="inlineStr">
        <is>
          <t>Yato</t>
        </is>
      </c>
      <c r="F50" s="28" t="inlineStr">
        <is>
          <t>https://www.gastromania.cz/plastove-krajeci-desky-haccp/krajeci-deska-600x400x20-mm-cervena-yato-yg-02180</t>
        </is>
      </c>
      <c r="G50" s="102" t="n">
        <v>574</v>
      </c>
      <c r="H50" s="27" t="inlineStr">
        <is>
          <t>CZK</t>
        </is>
      </c>
      <c r="I50" s="27" t="inlineStr">
        <is>
          <t>excl.</t>
        </is>
      </c>
      <c r="J50" s="123" t="n">
        <v>0.21</v>
      </c>
      <c r="K50" s="117" t="n">
        <v>1</v>
      </c>
      <c r="L50" s="27" t="inlineStr">
        <is>
          <t>per piece</t>
        </is>
      </c>
      <c r="M50" s="38" t="inlineStr">
        <is>
          <t>=IF(OR(G43="",J43="",K43=""),"",ROUND(IF(I43="incl.",G43/(1+J43),G43)/IF(L43="per pack",K43,1),2))</t>
        </is>
      </c>
      <c r="N50" s="27" t="inlineStr">
        <is>
          <t>EXACT</t>
        </is>
      </c>
      <c r="O50" s="27" t="inlineStr">
        <is>
          <t>PE, 20 mm, HACCP colours (white/red/blue/green/yellow/brown); 695 CZK incl.; availability 5 days.</t>
        </is>
      </c>
      <c r="P50" s="27" t="inlineStr">
        <is>
          <t>2026-09-30</t>
        </is>
      </c>
      <c r="Q50" s="38" t="inlineStr">
        <is>
          <t>=IFERROR(INDEX(Competitors!$N$2:$N$50,MATCH(C43,Competitors!$A$2:$A$50,0)),"no")</t>
        </is>
      </c>
      <c r="R50" s="38" t="inlineStr">
        <is>
          <t>=IF(AND(Q43="yes",OR(N43="EXACT",N43="CLOSE"),ISNUMBER(M43)),"yes","no")</t>
        </is>
      </c>
      <c r="S50" s="27" t="n"/>
      <c r="T50" s="27" t="n"/>
      <c r="U50" s="27" t="n"/>
      <c r="V50" s="2" t="n"/>
      <c r="W50" s="2" t="n"/>
      <c r="X50" s="2" t="n"/>
      <c r="Y50" s="2" t="n"/>
      <c r="Z50" s="2" t="n"/>
      <c r="AA50" s="2" t="n"/>
      <c r="AB50" s="2" t="n"/>
      <c r="AC50" s="2" t="n"/>
    </row>
    <row r="51" ht="78" customHeight="1">
      <c r="A51" s="2" t="n"/>
      <c r="B51" s="24" t="inlineStr">
        <is>
          <t>HACCP PE cutting board 600 x 400 x 20 mm</t>
        </is>
      </c>
      <c r="C51" s="24" t="inlineStr">
        <is>
          <t>Gastrozone</t>
        </is>
      </c>
      <c r="D51" s="24" t="inlineStr">
        <is>
          <t>Prkénko krájecí plastové 60x40x3 cm, s drážkou, červené</t>
        </is>
      </c>
      <c r="E51" s="24" t="inlineStr">
        <is>
          <t>Gastro</t>
        </is>
      </c>
      <c r="F51" s="25" t="inlineStr">
        <is>
          <t>https://www.gastrozone.cz/gastro-prkenko-krajeci-plastove-60x40x3-cm-s-drazkou-cervene.html</t>
        </is>
      </c>
      <c r="G51" s="98" t="n">
        <v>2225</v>
      </c>
      <c r="H51" s="24" t="inlineStr">
        <is>
          <t>CZK</t>
        </is>
      </c>
      <c r="I51" s="24" t="inlineStr">
        <is>
          <t>incl.</t>
        </is>
      </c>
      <c r="J51" s="122" t="n">
        <v>0.21</v>
      </c>
      <c r="K51" s="116" t="n">
        <v>1</v>
      </c>
      <c r="L51" s="24" t="inlineStr">
        <is>
          <t>per piece</t>
        </is>
      </c>
      <c r="M51" s="36" t="inlineStr">
        <is>
          <t>=IF(OR(G44="",J44="",K44=""),"",ROUND(IF(I44="incl.",G44/(1+J44),G44)/IF(L44="per pack",K44,1),2))</t>
        </is>
      </c>
      <c r="N51" s="24" t="inlineStr">
        <is>
          <t>CLOSE</t>
        </is>
      </c>
      <c r="O51" s="24" t="inlineStr">
        <is>
          <t>600 x 400 but 30 mm thick (no 20 mm version); material only "plast" (flagged); HACCP colours; white 2,003 CZK. 1,839 CZK bez DPH.</t>
        </is>
      </c>
      <c r="P51" s="24" t="inlineStr">
        <is>
          <t>2026-09-30</t>
        </is>
      </c>
      <c r="Q51" s="36" t="inlineStr">
        <is>
          <t>=IFERROR(INDEX(Competitors!$N$2:$N$50,MATCH(C44,Competitors!$A$2:$A$50,0)),"no")</t>
        </is>
      </c>
      <c r="R51" s="36" t="inlineStr">
        <is>
          <t>=IF(AND(Q44="yes",OR(N44="EXACT",N44="CLOSE"),ISNUMBER(M44)),"yes","no")</t>
        </is>
      </c>
      <c r="S51" s="24" t="n"/>
      <c r="T51" s="24" t="n"/>
      <c r="U51" s="24" t="n"/>
      <c r="V51" s="2" t="n"/>
      <c r="W51" s="2" t="n"/>
      <c r="X51" s="2" t="n"/>
      <c r="Y51" s="2" t="n"/>
      <c r="Z51" s="2" t="n"/>
      <c r="AA51" s="2" t="n"/>
      <c r="AB51" s="2" t="n"/>
      <c r="AC51" s="2" t="n"/>
    </row>
    <row r="52" ht="78" customHeight="1">
      <c r="A52" s="2" t="n"/>
      <c r="B52" s="27" t="inlineStr">
        <is>
          <t>HACCP PE cutting board 600 x 400 x 20 mm</t>
        </is>
      </c>
      <c r="C52" s="27" t="inlineStr">
        <is>
          <t>TOMGAST</t>
        </is>
      </c>
      <c r="D52" s="27" t="inlineStr">
        <is>
          <t>Deska 600 × 400 × 20 mm, červená</t>
        </is>
      </c>
      <c r="E52" s="27" t="inlineStr">
        <is>
          <t>TOMGAST</t>
        </is>
      </c>
      <c r="F52" s="28" t="inlineStr">
        <is>
          <t>https://www.tomgast.cz/deska-600--400--20-mm--cervena/</t>
        </is>
      </c>
      <c r="G52" s="102" t="n">
        <v>1440</v>
      </c>
      <c r="H52" s="27" t="inlineStr">
        <is>
          <t>CZK</t>
        </is>
      </c>
      <c r="I52" s="27" t="inlineStr">
        <is>
          <t>incl.</t>
        </is>
      </c>
      <c r="J52" s="123" t="n">
        <v>0.21</v>
      </c>
      <c r="K52" s="117" t="n">
        <v>1</v>
      </c>
      <c r="L52" s="27" t="inlineStr">
        <is>
          <t>per piece</t>
        </is>
      </c>
      <c r="M52" s="38" t="inlineStr">
        <is>
          <t>=IF(OR(G45="",J45="",K45=""),"",ROUND(IF(I45="incl.",G45/(1+J45),G45)/IF(L45="per pack",K45,1),2))</t>
        </is>
      </c>
      <c r="N52" s="27" t="inlineStr">
        <is>
          <t>EXACT</t>
        </is>
      </c>
      <c r="O52" s="27" t="inlineStr">
        <is>
          <t>PE, colours white/red/blue/green/yellow/brown; 1,190 CZK bez DPH</t>
        </is>
      </c>
      <c r="P52" s="27" t="inlineStr">
        <is>
          <t>2026-09-30</t>
        </is>
      </c>
      <c r="Q52" s="38" t="inlineStr">
        <is>
          <t>=IFERROR(INDEX(Competitors!$N$2:$N$50,MATCH(C45,Competitors!$A$2:$A$50,0)),"no")</t>
        </is>
      </c>
      <c r="R52" s="38" t="inlineStr">
        <is>
          <t>=IF(AND(Q45="yes",OR(N45="EXACT",N45="CLOSE"),ISNUMBER(M45)),"yes","no")</t>
        </is>
      </c>
      <c r="S52" s="27" t="n"/>
      <c r="T52" s="27" t="n"/>
      <c r="U52" s="27" t="n"/>
      <c r="V52" s="2" t="n"/>
      <c r="W52" s="2" t="n"/>
      <c r="X52" s="2" t="n"/>
      <c r="Y52" s="2" t="n"/>
      <c r="Z52" s="2" t="n"/>
      <c r="AA52" s="2" t="n"/>
      <c r="AB52" s="2" t="n"/>
      <c r="AC52" s="2" t="n"/>
    </row>
    <row r="53" ht="78" customHeight="1">
      <c r="A53" s="2" t="n"/>
      <c r="B53" s="24" t="inlineStr">
        <is>
          <t>HACCP PE cutting board 300 x 200 x 10 mm</t>
        </is>
      </c>
      <c r="C53" s="24" t="inlineStr">
        <is>
          <t>GGM Gastro (CZ storefront)</t>
        </is>
      </c>
      <c r="D53" s="24" t="inlineStr">
        <is>
          <t>Krájecí deska - EN 250x400 - Dle HACCP - Bílá</t>
        </is>
      </c>
      <c r="E53" s="24" t="inlineStr">
        <is>
          <t>GGM</t>
        </is>
      </c>
      <c r="F53" s="25" t="inlineStr">
        <is>
          <t>https://www.ggmgastro.com/cs-cz-czk/krajeci-deska-en-250x400-dle-haccp-bila-sbp25w</t>
        </is>
      </c>
      <c r="G53" s="98" t="n">
        <v>437.86</v>
      </c>
      <c r="H53" s="24" t="inlineStr">
        <is>
          <t>CZK</t>
        </is>
      </c>
      <c r="I53" s="24" t="inlineStr">
        <is>
          <t>excl.</t>
        </is>
      </c>
      <c r="J53" s="122" t="n">
        <v>0.19</v>
      </c>
      <c r="K53" s="116" t="n">
        <v>1</v>
      </c>
      <c r="L53" s="24" t="inlineStr">
        <is>
          <t>per piece</t>
        </is>
      </c>
      <c r="M53" s="36" t="inlineStr">
        <is>
          <t>=IF(OR(G46="",J46="",K46=""),"",ROUND(IF(I46="incl.",G46/(1+J46),G46)/IF(L46="per pack",K46,1),2))</t>
        </is>
      </c>
      <c r="N53" s="24" t="inlineStr">
        <is>
          <t>APPROX</t>
        </is>
      </c>
      <c r="O53" s="24" t="inlineStr">
        <is>
          <t>Net CZK price as displayed; page footnote: "* čistá cena | hrubá cena vč. 19% DPH" (German VAT 19% used on the CZ storefront). Smallest HACCP board: 250 x 400 x 20 mm PE (vs 300 x 200 x 10). Gross 521.05 CZK.</t>
        </is>
      </c>
      <c r="P53" s="24" t="inlineStr">
        <is>
          <t>2026-09-30</t>
        </is>
      </c>
      <c r="Q53" s="36" t="inlineStr">
        <is>
          <t>=IFERROR(INDEX(Competitors!$N$2:$N$50,MATCH(C46,Competitors!$A$2:$A$50,0)),"no")</t>
        </is>
      </c>
      <c r="R53" s="36" t="inlineStr">
        <is>
          <t>=IF(AND(Q46="yes",OR(N46="EXACT",N46="CLOSE"),ISNUMBER(M46)),"yes","no")</t>
        </is>
      </c>
      <c r="S53" s="24" t="n"/>
      <c r="T53" s="24" t="n"/>
      <c r="U53" s="24" t="n"/>
      <c r="V53" s="2" t="n"/>
      <c r="W53" s="2" t="n"/>
      <c r="X53" s="2" t="n"/>
      <c r="Y53" s="2" t="n"/>
      <c r="Z53" s="2" t="n"/>
      <c r="AA53" s="2" t="n"/>
      <c r="AB53" s="2" t="n"/>
      <c r="AC53" s="2" t="n"/>
    </row>
    <row r="54" ht="78" customHeight="1">
      <c r="A54" s="2" t="n"/>
      <c r="B54" s="27" t="inlineStr">
        <is>
          <t>HACCP PE cutting board 300 x 200 x 10 mm</t>
        </is>
      </c>
      <c r="C54" s="27" t="inlineStr">
        <is>
          <t>Gastromania</t>
        </is>
      </c>
      <c r="D54" s="27" t="inlineStr">
        <is>
          <t>Prkénko na krájení s úchytem 30x20x1 cm, černé | HENDI, 826485</t>
        </is>
      </c>
      <c r="E54" s="27" t="inlineStr">
        <is>
          <t>Hendi</t>
        </is>
      </c>
      <c r="F54" s="28" t="inlineStr">
        <is>
          <t>https://www.gastromania.cz/plastove-krajeci-desky-haccp/prkenko-na-krajeni-s-uchytem-30x20x1-cm-cerne-hendi-826485</t>
        </is>
      </c>
      <c r="G54" s="102" t="n">
        <v>159</v>
      </c>
      <c r="H54" s="27" t="inlineStr">
        <is>
          <t>CZK</t>
        </is>
      </c>
      <c r="I54" s="27" t="inlineStr">
        <is>
          <t>excl.</t>
        </is>
      </c>
      <c r="J54" s="123" t="n">
        <v>0.21</v>
      </c>
      <c r="K54" s="117" t="n">
        <v>1</v>
      </c>
      <c r="L54" s="27" t="inlineStr">
        <is>
          <t>per piece</t>
        </is>
      </c>
      <c r="M54" s="38" t="inlineStr">
        <is>
          <t>=IF(OR(G47="",J47="",K47=""),"",ROUND(IF(I47="incl.",G47/(1+J47),G47)/IF(L47="per pack",K47,1),2))</t>
        </is>
      </c>
      <c r="N54" s="27" t="inlineStr">
        <is>
          <t>CLOSE</t>
        </is>
      </c>
      <c r="O54" s="27" t="inlineStr">
        <is>
          <t>HDPE 300 x 200 x 10 mm with handle; black only (not HACCP colour set). 192 CZK incl. Parameter list says "cena za: sadu" (price per set) while title/description describe one board - unit unclear, treated as 1 piece.</t>
        </is>
      </c>
      <c r="P54" s="27" t="inlineStr">
        <is>
          <t>2026-09-30</t>
        </is>
      </c>
      <c r="Q54" s="38" t="inlineStr">
        <is>
          <t>=IFERROR(INDEX(Competitors!$N$2:$N$50,MATCH(C47,Competitors!$A$2:$A$50,0)),"no")</t>
        </is>
      </c>
      <c r="R54" s="38" t="inlineStr">
        <is>
          <t>=IF(AND(Q47="yes",OR(N47="EXACT",N47="CLOSE"),ISNUMBER(M47)),"yes","no")</t>
        </is>
      </c>
      <c r="S54" s="27" t="n"/>
      <c r="T54" s="27" t="n"/>
      <c r="U54" s="27" t="n"/>
      <c r="V54" s="2" t="n"/>
      <c r="W54" s="2" t="n"/>
      <c r="X54" s="2" t="n"/>
      <c r="Y54" s="2" t="n"/>
      <c r="Z54" s="2" t="n"/>
      <c r="AA54" s="2" t="n"/>
      <c r="AB54" s="2" t="n"/>
      <c r="AC54" s="2" t="n"/>
    </row>
    <row r="55" ht="78" customHeight="1">
      <c r="A55" s="2" t="n"/>
      <c r="B55" s="24" t="inlineStr">
        <is>
          <t>HACCP PE cutting board 300 x 200 x 10 mm</t>
        </is>
      </c>
      <c r="C55" s="24" t="inlineStr">
        <is>
          <t>Gastrozone</t>
        </is>
      </c>
      <c r="D55" s="24" t="inlineStr">
        <is>
          <t>Krájecí prkénko HENDI s rukojetí, 300 × 200 mm, bílé</t>
        </is>
      </c>
      <c r="E55" s="24" t="inlineStr">
        <is>
          <t>Hendi</t>
        </is>
      </c>
      <c r="F55" s="25" t="inlineStr">
        <is>
          <t>https://www.gastrozone.cz/viceucelove-krajeci-prkenko-s-rukojeti-hendi-bila-300x200mm-obdelnikove.html</t>
        </is>
      </c>
      <c r="G55" s="98" t="n">
        <v>183</v>
      </c>
      <c r="H55" s="24" t="inlineStr">
        <is>
          <t>CZK</t>
        </is>
      </c>
      <c r="I55" s="24" t="inlineStr">
        <is>
          <t>incl.</t>
        </is>
      </c>
      <c r="J55" s="122" t="n">
        <v>0.21</v>
      </c>
      <c r="K55" s="116" t="n">
        <v>1</v>
      </c>
      <c r="L55" s="24" t="inlineStr">
        <is>
          <t>per piece</t>
        </is>
      </c>
      <c r="M55" s="36" t="inlineStr">
        <is>
          <t>=IF(OR(G48="",J48="",K48=""),"",ROUND(IF(I48="incl.",G48/(1+J48),G48)/IF(L48="per pack",K48,1),2))</t>
        </is>
      </c>
      <c r="N55" s="24" t="inlineStr">
        <is>
          <t>CLOSE</t>
        </is>
      </c>
      <c r="O55" s="24" t="inlineStr">
        <is>
          <t>HDPE 300 x 200 x 10 mm with integrated handle; only white/black (no full HACCP colour set). 151 CZK bez DPH.</t>
        </is>
      </c>
      <c r="P55" s="24" t="inlineStr">
        <is>
          <t>2026-09-30</t>
        </is>
      </c>
      <c r="Q55" s="36" t="inlineStr">
        <is>
          <t>=IFERROR(INDEX(Competitors!$N$2:$N$50,MATCH(C48,Competitors!$A$2:$A$50,0)),"no")</t>
        </is>
      </c>
      <c r="R55" s="36" t="inlineStr">
        <is>
          <t>=IF(AND(Q48="yes",OR(N48="EXACT",N48="CLOSE"),ISNUMBER(M48)),"yes","no")</t>
        </is>
      </c>
      <c r="S55" s="24" t="n"/>
      <c r="T55" s="24" t="n"/>
      <c r="U55" s="24" t="n"/>
      <c r="V55" s="2" t="n"/>
      <c r="W55" s="2" t="n"/>
      <c r="X55" s="2" t="n"/>
      <c r="Y55" s="2" t="n"/>
      <c r="Z55" s="2" t="n"/>
      <c r="AA55" s="2" t="n"/>
      <c r="AB55" s="2" t="n"/>
      <c r="AC55" s="2" t="n"/>
    </row>
    <row r="56" ht="78" customHeight="1">
      <c r="A56" s="2" t="n"/>
      <c r="B56" s="27" t="inlineStr">
        <is>
          <t>HACCP PE cutting board 300 x 200 x 10 mm</t>
        </is>
      </c>
      <c r="C56" s="27" t="inlineStr">
        <is>
          <t>TOMGAST</t>
        </is>
      </c>
      <c r="D56" s="27" t="inlineStr">
        <is>
          <t>Deska krájecí 20 × 30 × 1,2 cm</t>
        </is>
      </c>
      <c r="E56" s="27" t="inlineStr">
        <is>
          <t>TOMGAST</t>
        </is>
      </c>
      <c r="F56" s="28" t="inlineStr">
        <is>
          <t>https://www.tomgast.cz/deska-krajeci-20--30--1-2-cm/</t>
        </is>
      </c>
      <c r="G56" s="102" t="n">
        <v>115</v>
      </c>
      <c r="H56" s="27" t="inlineStr">
        <is>
          <t>CZK</t>
        </is>
      </c>
      <c r="I56" s="27" t="inlineStr">
        <is>
          <t>incl.</t>
        </is>
      </c>
      <c r="J56" s="123" t="n">
        <v>0.21</v>
      </c>
      <c r="K56" s="117" t="n">
        <v>1</v>
      </c>
      <c r="L56" s="27" t="inlineStr">
        <is>
          <t>per piece</t>
        </is>
      </c>
      <c r="M56" s="38" t="inlineStr">
        <is>
          <t>=IF(OR(G49="",J49="",K49=""),"",ROUND(IF(I49="incl.",G49/(1+J49),G49)/IF(L49="per pack",K49,1),2))</t>
        </is>
      </c>
      <c r="N56" s="27" t="inlineStr">
        <is>
          <t>CLOSE</t>
        </is>
      </c>
      <c r="O56" s="27" t="inlineStr">
        <is>
          <t>PE 300 x 200 mm but 12 mm thick; white only (no colour range). 95 CZK bez DPH.</t>
        </is>
      </c>
      <c r="P56" s="27" t="inlineStr">
        <is>
          <t>2026-09-30</t>
        </is>
      </c>
      <c r="Q56" s="38" t="inlineStr">
        <is>
          <t>=IFERROR(INDEX(Competitors!$N$2:$N$50,MATCH(C49,Competitors!$A$2:$A$50,0)),"no")</t>
        </is>
      </c>
      <c r="R56" s="38" t="inlineStr">
        <is>
          <t>=IF(AND(Q49="yes",OR(N49="EXACT",N49="CLOSE"),ISNUMBER(M49)),"yes","no")</t>
        </is>
      </c>
      <c r="S56" s="27" t="n"/>
      <c r="T56" s="27" t="n"/>
      <c r="U56" s="27" t="n"/>
      <c r="V56" s="2" t="n"/>
      <c r="W56" s="2" t="n"/>
      <c r="X56" s="2" t="n"/>
      <c r="Y56" s="2" t="n"/>
      <c r="Z56" s="2" t="n"/>
      <c r="AA56" s="2" t="n"/>
      <c r="AB56" s="2" t="n"/>
      <c r="AC56" s="2" t="n"/>
    </row>
    <row r="57" ht="78" customHeight="1">
      <c r="A57" s="2" t="n"/>
      <c r="B57" s="24" t="inlineStr">
        <is>
          <t>Pizza dough proofing box 600 x 400 x 100 mm, polypropylene</t>
        </is>
      </c>
      <c r="C57" s="24" t="inlineStr">
        <is>
          <t>GGM Gastro (CZ storefront)</t>
        </is>
      </c>
      <c r="D57" s="24" t="inlineStr">
        <is>
          <t>(9 tlg) Přepravka na těsto-set - 8 nádob &amp; 1 víko - EN 600x400 - Výška: 100 mm - Polypropylen - bílá</t>
        </is>
      </c>
      <c r="E57" s="24" t="inlineStr">
        <is>
          <t>GGM</t>
        </is>
      </c>
      <c r="F57" s="25" t="inlineStr">
        <is>
          <t>https://www.ggmgastro.com/cs-cz-czk/9-tlg-prepravka-na-testo-set-8-nadob-und-1-viko-en-600x400-vyska-100-mm-polypropylen-bila-tbpp6410</t>
        </is>
      </c>
      <c r="G57" s="98" t="n">
        <v>2044.23</v>
      </c>
      <c r="H57" s="24" t="inlineStr">
        <is>
          <t>CZK</t>
        </is>
      </c>
      <c r="I57" s="24" t="inlineStr">
        <is>
          <t>excl.</t>
        </is>
      </c>
      <c r="J57" s="122" t="n">
        <v>0.19</v>
      </c>
      <c r="K57" s="116" t="n">
        <v>8</v>
      </c>
      <c r="L57" s="24" t="inlineStr">
        <is>
          <t>per pack</t>
        </is>
      </c>
      <c r="M57" s="36" t="inlineStr">
        <is>
          <t>=IF(OR(G50="",J50="",K50=""),"",ROUND(IF(I50="incl.",G50/(1+J50),G50)/IF(L50="per pack",K50,1),2))</t>
        </is>
      </c>
      <c r="N57" s="24" t="inlineStr">
        <is>
          <t>CLOSE</t>
        </is>
      </c>
      <c r="O57" s="24" t="inlineStr">
        <is>
          <t>Net CZK price as displayed; page footnote: "* čistá cena | hrubá cena vč. 19% DPH" (German VAT 19% used on the CZ storefront). SKU TBPP6410: set of 8 PP boxes 600x400x100 + 1 lid (not sold singly); per-piece value = set price / 8 boxes and therefore includes the lid - flagged. Gross 2,432.63 CZK.</t>
        </is>
      </c>
      <c r="P57" s="24" t="inlineStr">
        <is>
          <t>2026-09-30</t>
        </is>
      </c>
      <c r="Q57" s="36" t="inlineStr">
        <is>
          <t>=IFERROR(INDEX(Competitors!$N$2:$N$50,MATCH(C50,Competitors!$A$2:$A$50,0)),"no")</t>
        </is>
      </c>
      <c r="R57" s="36" t="inlineStr">
        <is>
          <t>=IF(AND(Q50="yes",OR(N50="EXACT",N50="CLOSE"),ISNUMBER(M50)),"yes","no")</t>
        </is>
      </c>
      <c r="S57" s="24" t="n"/>
      <c r="T57" s="24" t="n"/>
      <c r="U57" s="24" t="n"/>
      <c r="V57" s="2" t="n"/>
      <c r="W57" s="2" t="n"/>
      <c r="X57" s="2" t="n"/>
      <c r="Y57" s="2" t="n"/>
      <c r="Z57" s="2" t="n"/>
      <c r="AA57" s="2" t="n"/>
      <c r="AB57" s="2" t="n"/>
      <c r="AC57" s="2" t="n"/>
    </row>
    <row r="58" ht="78" customHeight="1">
      <c r="A58" s="2" t="n"/>
      <c r="B58" s="27" t="inlineStr">
        <is>
          <t>Pizza dough proofing box 600 x 400 x 100 mm, polypropylene</t>
        </is>
      </c>
      <c r="C58" s="27" t="inlineStr">
        <is>
          <t>Gastro Novotný</t>
        </is>
      </c>
      <c r="D58" s="27" t="inlineStr">
        <is>
          <t>Přepravka na pizzu 60x40x9cm</t>
        </is>
      </c>
      <c r="E58" s="27" t="n"/>
      <c r="F58" s="28" t="inlineStr">
        <is>
          <t>https://eshop.gastronovotny.cz/prepravka-na-pizzu-60x40x9cm--1841762-09/</t>
        </is>
      </c>
      <c r="G58" s="102" t="n">
        <v>390</v>
      </c>
      <c r="H58" s="27" t="inlineStr">
        <is>
          <t>CZK</t>
        </is>
      </c>
      <c r="I58" s="27" t="inlineStr">
        <is>
          <t>excl.</t>
        </is>
      </c>
      <c r="J58" s="123" t="n">
        <v>0.21</v>
      </c>
      <c r="K58" s="117" t="n">
        <v>1</v>
      </c>
      <c r="L58" s="27" t="inlineStr">
        <is>
          <t>per piece</t>
        </is>
      </c>
      <c r="M58" s="38" t="inlineStr">
        <is>
          <t>=IF(OR(G51="",J51="",K51=""),"",ROUND(IF(I51="incl.",G51/(1+J51),G51)/IF(L51="per pack",K51,1),2))</t>
        </is>
      </c>
      <c r="N58" s="27" t="inlineStr">
        <is>
          <t>CLOSE</t>
        </is>
      </c>
      <c r="O58" s="27" t="inlineStr">
        <is>
          <t>600 x 400 x 90 mm (not 100 mm); material NOT stated on page (flagged). 471.90 CZK incl. VAT. Availability "Na dotaz". No lid listed.</t>
        </is>
      </c>
      <c r="P58" s="27" t="inlineStr">
        <is>
          <t>2026-09-30</t>
        </is>
      </c>
      <c r="Q58" s="38" t="inlineStr">
        <is>
          <t>=IFERROR(INDEX(Competitors!$N$2:$N$50,MATCH(C51,Competitors!$A$2:$A$50,0)),"no")</t>
        </is>
      </c>
      <c r="R58" s="38" t="inlineStr">
        <is>
          <t>=IF(AND(Q51="yes",OR(N51="EXACT",N51="CLOSE"),ISNUMBER(M51)),"yes","no")</t>
        </is>
      </c>
      <c r="S58" s="27" t="n"/>
      <c r="T58" s="27" t="n"/>
      <c r="U58" s="27" t="n"/>
      <c r="V58" s="2" t="n"/>
      <c r="W58" s="2" t="n"/>
      <c r="X58" s="2" t="n"/>
      <c r="Y58" s="2" t="n"/>
      <c r="Z58" s="2" t="n"/>
      <c r="AA58" s="2" t="n"/>
      <c r="AB58" s="2" t="n"/>
      <c r="AC58" s="2" t="n"/>
    </row>
    <row r="59" ht="78" customHeight="1">
      <c r="A59" s="2" t="n"/>
      <c r="B59" s="24" t="inlineStr">
        <is>
          <t>Pizza dough proofing box 600 x 400 x 100 mm, polypropylene</t>
        </is>
      </c>
      <c r="C59" s="24" t="inlineStr">
        <is>
          <t>Gastromania</t>
        </is>
      </c>
      <c r="D59" s="24" t="inlineStr">
        <is>
          <t>Nádoba na těsto na pizzu, polyetylenová, 600x400x100 mm | STALGAST, 563410</t>
        </is>
      </c>
      <c r="E59" s="24" t="inlineStr">
        <is>
          <t>Stalgast</t>
        </is>
      </c>
      <c r="F59" s="25" t="inlineStr">
        <is>
          <t>https://www.gastromania.cz/kose-na-pizza-testo/nadoba-na-testo-na-pizzu-polyetylenova-600x400x100-mm-stalgast-563410</t>
        </is>
      </c>
      <c r="G59" s="98" t="n">
        <v>463</v>
      </c>
      <c r="H59" s="24" t="inlineStr">
        <is>
          <t>CZK</t>
        </is>
      </c>
      <c r="I59" s="24" t="inlineStr">
        <is>
          <t>excl.</t>
        </is>
      </c>
      <c r="J59" s="122" t="n">
        <v>0.21</v>
      </c>
      <c r="K59" s="116" t="n">
        <v>1</v>
      </c>
      <c r="L59" s="24" t="inlineStr">
        <is>
          <t>per piece</t>
        </is>
      </c>
      <c r="M59" s="36" t="inlineStr">
        <is>
          <t>=IF(OR(G52="",J52="",K52=""),"",ROUND(IF(I52="incl.",G52/(1+J52),G52)/IF(L52="per pack",K52,1),2))</t>
        </is>
      </c>
      <c r="N59" s="24" t="inlineStr">
        <is>
          <t>CLOSE</t>
        </is>
      </c>
      <c r="O59" s="24" t="inlineStr">
        <is>
          <t>600 x 400 x 100 mm; material conflicting: title says polyethylene, parameters say polypropylene (flagged). 560 CZK incl.; in stock.</t>
        </is>
      </c>
      <c r="P59" s="24" t="inlineStr">
        <is>
          <t>2026-09-30</t>
        </is>
      </c>
      <c r="Q59" s="36" t="inlineStr">
        <is>
          <t>=IFERROR(INDEX(Competitors!$N$2:$N$50,MATCH(C52,Competitors!$A$2:$A$50,0)),"no")</t>
        </is>
      </c>
      <c r="R59" s="36" t="inlineStr">
        <is>
          <t>=IF(AND(Q52="yes",OR(N52="EXACT",N52="CLOSE"),ISNUMBER(M52)),"yes","no")</t>
        </is>
      </c>
      <c r="S59" s="24" t="n"/>
      <c r="T59" s="24" t="n"/>
      <c r="U59" s="24" t="n"/>
      <c r="V59" s="2" t="n"/>
      <c r="W59" s="2" t="n"/>
      <c r="X59" s="2" t="n"/>
      <c r="Y59" s="2" t="n"/>
      <c r="Z59" s="2" t="n"/>
      <c r="AA59" s="2" t="n"/>
      <c r="AB59" s="2" t="n"/>
      <c r="AC59" s="2" t="n"/>
    </row>
    <row r="60" ht="78" customHeight="1">
      <c r="A60" s="2" t="n"/>
      <c r="B60" s="27" t="inlineStr">
        <is>
          <t>Pizza dough proofing box 600 x 400 x 100 mm, polypropylene</t>
        </is>
      </c>
      <c r="C60" s="27" t="inlineStr">
        <is>
          <t>Gastrozone</t>
        </is>
      </c>
      <c r="D60" s="27" t="inlineStr">
        <is>
          <t>Araven Pizzabox na těsto PP, polypropylen, výška: 100 mm, délka: 600 mm, šířka: 400 mm</t>
        </is>
      </c>
      <c r="E60" s="27" t="inlineStr">
        <is>
          <t>Araven</t>
        </is>
      </c>
      <c r="F60" s="28" t="inlineStr">
        <is>
          <t>https://www.gastrozone.cz/araven-pizzabox-pp-vyska-100-mm-delka-600-mm-sirka-400-mm.html</t>
        </is>
      </c>
      <c r="G60" s="102" t="n">
        <v>546</v>
      </c>
      <c r="H60" s="27" t="inlineStr">
        <is>
          <t>CZK</t>
        </is>
      </c>
      <c r="I60" s="27" t="inlineStr">
        <is>
          <t>incl.</t>
        </is>
      </c>
      <c r="J60" s="123" t="n">
        <v>0.21</v>
      </c>
      <c r="K60" s="117" t="n">
        <v>1</v>
      </c>
      <c r="L60" s="27" t="inlineStr">
        <is>
          <t>per piece</t>
        </is>
      </c>
      <c r="M60" s="38" t="inlineStr">
        <is>
          <t>=IF(OR(G53="",J53="",K53=""),"",ROUND(IF(I53="incl.",G53/(1+J53),G53)/IF(L53="per pack",K53,1),2))</t>
        </is>
      </c>
      <c r="N60" s="27" t="inlineStr">
        <is>
          <t>EXACT</t>
        </is>
      </c>
      <c r="O60" s="27" t="inlineStr">
        <is>
          <t>451 CZK bez DPH</t>
        </is>
      </c>
      <c r="P60" s="27" t="inlineStr">
        <is>
          <t>2026-09-30</t>
        </is>
      </c>
      <c r="Q60" s="38" t="inlineStr">
        <is>
          <t>=IFERROR(INDEX(Competitors!$N$2:$N$50,MATCH(C53,Competitors!$A$2:$A$50,0)),"no")</t>
        </is>
      </c>
      <c r="R60" s="38" t="inlineStr">
        <is>
          <t>=IF(AND(Q53="yes",OR(N53="EXACT",N53="CLOSE"),ISNUMBER(M53)),"yes","no")</t>
        </is>
      </c>
      <c r="S60" s="27" t="n"/>
      <c r="T60" s="27" t="n"/>
      <c r="U60" s="27" t="n"/>
      <c r="V60" s="2" t="n"/>
      <c r="W60" s="2" t="n"/>
      <c r="X60" s="2" t="n"/>
      <c r="Y60" s="2" t="n"/>
      <c r="Z60" s="2" t="n"/>
      <c r="AA60" s="2" t="n"/>
      <c r="AB60" s="2" t="n"/>
      <c r="AC60" s="2" t="n"/>
    </row>
    <row r="61" ht="78" customHeight="1">
      <c r="A61" s="2" t="n"/>
      <c r="B61" s="24" t="inlineStr">
        <is>
          <t>Pizza dough proofing box 600 x 400 x 100 mm, polypropylene</t>
        </is>
      </c>
      <c r="C61" s="24" t="inlineStr">
        <is>
          <t>TOMGAST</t>
        </is>
      </c>
      <c r="D61" s="24" t="inlineStr">
        <is>
          <t>Přepravka na pizzu 60 × 40 × 7,5 cm</t>
        </is>
      </c>
      <c r="E61" s="24" t="inlineStr">
        <is>
          <t>TOMGAST</t>
        </is>
      </c>
      <c r="F61" s="25" t="inlineStr">
        <is>
          <t>https://www.tomgast.cz/prepravka-na-pizzu-60--40--7-5-cm/</t>
        </is>
      </c>
      <c r="G61" s="98" t="n">
        <v>339</v>
      </c>
      <c r="H61" s="24" t="inlineStr">
        <is>
          <t>CZK</t>
        </is>
      </c>
      <c r="I61" s="24" t="inlineStr">
        <is>
          <t>incl.</t>
        </is>
      </c>
      <c r="J61" s="122" t="n">
        <v>0.21</v>
      </c>
      <c r="K61" s="116" t="n">
        <v>1</v>
      </c>
      <c r="L61" s="24" t="inlineStr">
        <is>
          <t>per piece</t>
        </is>
      </c>
      <c r="M61" s="36" t="inlineStr">
        <is>
          <t>=IF(OR(G54="",J54="",K54=""),"",ROUND(IF(I54="incl.",G54/(1+J54),G54)/IF(L54="per pack",K54,1),2))</t>
        </is>
      </c>
      <c r="N61" s="24" t="inlineStr">
        <is>
          <t>APPROX</t>
        </is>
      </c>
      <c r="O61" s="24" t="inlineStr">
        <is>
          <t>PP dough box but 75 mm deep, not 100 mm (15 l). Parameter table inconsistently says 60 x 40 x 2 cm. 280 CZK bez DPH. Lid sold separately.</t>
        </is>
      </c>
      <c r="P61" s="24" t="inlineStr">
        <is>
          <t>2026-09-30</t>
        </is>
      </c>
      <c r="Q61" s="36" t="inlineStr">
        <is>
          <t>=IFERROR(INDEX(Competitors!$N$2:$N$50,MATCH(C54,Competitors!$A$2:$A$50,0)),"no")</t>
        </is>
      </c>
      <c r="R61" s="36" t="inlineStr">
        <is>
          <t>=IF(AND(Q54="yes",OR(N54="EXACT",N54="CLOSE"),ISNUMBER(M54)),"yes","no")</t>
        </is>
      </c>
      <c r="S61" s="24" t="n"/>
      <c r="T61" s="24" t="n"/>
      <c r="U61" s="24" t="n"/>
      <c r="V61" s="2" t="n"/>
      <c r="W61" s="2" t="n"/>
      <c r="X61" s="2" t="n"/>
      <c r="Y61" s="2" t="n"/>
      <c r="Z61" s="2" t="n"/>
      <c r="AA61" s="2" t="n"/>
      <c r="AB61" s="2" t="n"/>
      <c r="AC61" s="2" t="n"/>
    </row>
    <row r="62" ht="78" customHeight="1">
      <c r="A62" s="2" t="n"/>
      <c r="B62" s="27" t="inlineStr">
        <is>
          <t>Lid for 600 x 400 mm dough box</t>
        </is>
      </c>
      <c r="C62" s="27" t="inlineStr">
        <is>
          <t>Gastromania</t>
        </is>
      </c>
      <c r="D62" s="27" t="inlineStr">
        <is>
          <t>Víko k přepravce na pizzu 60x40 cm | TOM-GAST, ZT-6040-1</t>
        </is>
      </c>
      <c r="E62" s="27" t="inlineStr">
        <is>
          <t>TOMGAST</t>
        </is>
      </c>
      <c r="F62" s="28" t="inlineStr">
        <is>
          <t>https://www.gastromania.cz/vika-na-kose-na-testo/viko-k-prepravce-na-pizzu-60x40-cm-tom-gast-zt-6040-1</t>
        </is>
      </c>
      <c r="G62" s="102" t="n">
        <v>195</v>
      </c>
      <c r="H62" s="27" t="inlineStr">
        <is>
          <t>CZK</t>
        </is>
      </c>
      <c r="I62" s="27" t="inlineStr">
        <is>
          <t>excl.</t>
        </is>
      </c>
      <c r="J62" s="123" t="n">
        <v>0.21</v>
      </c>
      <c r="K62" s="117" t="n">
        <v>1</v>
      </c>
      <c r="L62" s="27" t="inlineStr">
        <is>
          <t>per piece</t>
        </is>
      </c>
      <c r="M62" s="38" t="inlineStr">
        <is>
          <t>=IF(OR(G55="",J55="",K55=""),"",ROUND(IF(I55="incl.",G55/(1+J55),G55)/IF(L55="per pack",K55,1),2))</t>
        </is>
      </c>
      <c r="N62" s="27" t="inlineStr">
        <is>
          <t>EXACT</t>
        </is>
      </c>
      <c r="O62" s="27" t="inlineStr">
        <is>
          <t>Lid for 600x400 dough box; 236 CZK incl. (same item/price as tomgast.cz).</t>
        </is>
      </c>
      <c r="P62" s="27" t="inlineStr">
        <is>
          <t>2026-09-30</t>
        </is>
      </c>
      <c r="Q62" s="38" t="inlineStr">
        <is>
          <t>=IFERROR(INDEX(Competitors!$N$2:$N$50,MATCH(C55,Competitors!$A$2:$A$50,0)),"no")</t>
        </is>
      </c>
      <c r="R62" s="38" t="inlineStr">
        <is>
          <t>=IF(AND(Q55="yes",OR(N55="EXACT",N55="CLOSE"),ISNUMBER(M55)),"yes","no")</t>
        </is>
      </c>
      <c r="S62" s="27" t="n"/>
      <c r="T62" s="27" t="n"/>
      <c r="U62" s="27" t="n"/>
      <c r="V62" s="2" t="n"/>
      <c r="W62" s="2" t="n"/>
      <c r="X62" s="2" t="n"/>
      <c r="Y62" s="2" t="n"/>
      <c r="Z62" s="2" t="n"/>
      <c r="AA62" s="2" t="n"/>
      <c r="AB62" s="2" t="n"/>
      <c r="AC62" s="2" t="n"/>
    </row>
    <row r="63" ht="78" customHeight="1">
      <c r="A63" s="2" t="n"/>
      <c r="B63" s="24" t="inlineStr">
        <is>
          <t>Lid for 600 x 400 mm dough box</t>
        </is>
      </c>
      <c r="C63" s="24" t="inlineStr">
        <is>
          <t>Gastrozone</t>
        </is>
      </c>
      <c r="D63" s="24" t="inlineStr">
        <is>
          <t>Araven Víko na pizzabox na těsto PP, polypropylen, délka: 600 mm, šířka: 400 mm</t>
        </is>
      </c>
      <c r="E63" s="24" t="inlineStr">
        <is>
          <t>Araven</t>
        </is>
      </c>
      <c r="F63" s="25" t="inlineStr">
        <is>
          <t>https://www.gastrozone.cz/araven-viko-k-pizzove-krabici-z-pp-delka-600-mm-sirka-400-mm.html</t>
        </is>
      </c>
      <c r="G63" s="98" t="n">
        <v>324</v>
      </c>
      <c r="H63" s="24" t="inlineStr">
        <is>
          <t>CZK</t>
        </is>
      </c>
      <c r="I63" s="24" t="inlineStr">
        <is>
          <t>incl.</t>
        </is>
      </c>
      <c r="J63" s="122" t="n">
        <v>0.21</v>
      </c>
      <c r="K63" s="116" t="n">
        <v>1</v>
      </c>
      <c r="L63" s="24" t="inlineStr">
        <is>
          <t>per piece</t>
        </is>
      </c>
      <c r="M63" s="36" t="inlineStr">
        <is>
          <t>=IF(OR(G56="",J56="",K56=""),"",ROUND(IF(I56="incl.",G56/(1+J56),G56)/IF(L56="per pack",K56,1),2))</t>
        </is>
      </c>
      <c r="N63" s="24" t="inlineStr">
        <is>
          <t>EXACT</t>
        </is>
      </c>
      <c r="O63" s="24" t="inlineStr">
        <is>
          <t>268 CZK bez DPH. Cheaper AmerBox 600x400 lid 228 CZK.</t>
        </is>
      </c>
      <c r="P63" s="24" t="inlineStr">
        <is>
          <t>2026-09-30</t>
        </is>
      </c>
      <c r="Q63" s="36" t="inlineStr">
        <is>
          <t>=IFERROR(INDEX(Competitors!$N$2:$N$50,MATCH(C56,Competitors!$A$2:$A$50,0)),"no")</t>
        </is>
      </c>
      <c r="R63" s="36" t="inlineStr">
        <is>
          <t>=IF(AND(Q56="yes",OR(N56="EXACT",N56="CLOSE"),ISNUMBER(M56)),"yes","no")</t>
        </is>
      </c>
      <c r="S63" s="24" t="n"/>
      <c r="T63" s="24" t="n"/>
      <c r="U63" s="24" t="n"/>
      <c r="V63" s="2" t="n"/>
      <c r="W63" s="2" t="n"/>
      <c r="X63" s="2" t="n"/>
      <c r="Y63" s="2" t="n"/>
      <c r="Z63" s="2" t="n"/>
      <c r="AA63" s="2" t="n"/>
      <c r="AB63" s="2" t="n"/>
      <c r="AC63" s="2" t="n"/>
    </row>
    <row r="64" ht="78" customHeight="1">
      <c r="A64" s="2" t="n"/>
      <c r="B64" s="27" t="inlineStr">
        <is>
          <t>Lid for 600 x 400 mm dough box</t>
        </is>
      </c>
      <c r="C64" s="27" t="inlineStr">
        <is>
          <t>TOMGAST</t>
        </is>
      </c>
      <c r="D64" s="27" t="inlineStr">
        <is>
          <t>Víko k přepravce na pizzu 60 × 40 cm</t>
        </is>
      </c>
      <c r="E64" s="27" t="inlineStr">
        <is>
          <t>TOMGAST</t>
        </is>
      </c>
      <c r="F64" s="28" t="inlineStr">
        <is>
          <t>https://www.tomgast.cz/viko-k-prepravce-na-pizzu-60--40-cm/</t>
        </is>
      </c>
      <c r="G64" s="102" t="n">
        <v>236</v>
      </c>
      <c r="H64" s="27" t="inlineStr">
        <is>
          <t>CZK</t>
        </is>
      </c>
      <c r="I64" s="27" t="inlineStr">
        <is>
          <t>incl.</t>
        </is>
      </c>
      <c r="J64" s="123" t="n">
        <v>0.21</v>
      </c>
      <c r="K64" s="117" t="n">
        <v>1</v>
      </c>
      <c r="L64" s="27" t="inlineStr">
        <is>
          <t>per piece</t>
        </is>
      </c>
      <c r="M64" s="38" t="inlineStr">
        <is>
          <t>=IF(OR(G57="",J57="",K57=""),"",ROUND(IF(I57="incl.",G57/(1+J57),G57)/IF(L57="per pack",K57,1),2))</t>
        </is>
      </c>
      <c r="N64" s="27" t="inlineStr">
        <is>
          <t>EXACT</t>
        </is>
      </c>
      <c r="O64" s="27" t="inlineStr">
        <is>
          <t>Lid for ZT-6040 dough box; material "plast". 195 CZK bez DPH.</t>
        </is>
      </c>
      <c r="P64" s="27" t="inlineStr">
        <is>
          <t>2026-09-30</t>
        </is>
      </c>
      <c r="Q64" s="38" t="inlineStr">
        <is>
          <t>=IFERROR(INDEX(Competitors!$N$2:$N$50,MATCH(C57,Competitors!$A$2:$A$50,0)),"no")</t>
        </is>
      </c>
      <c r="R64" s="38" t="inlineStr">
        <is>
          <t>=IF(AND(Q57="yes",OR(N57="EXACT",N57="CLOSE"),ISNUMBER(M57)),"yes","no")</t>
        </is>
      </c>
      <c r="S64" s="27" t="n"/>
      <c r="T64" s="27" t="n"/>
      <c r="U64" s="27" t="n"/>
      <c r="V64" s="2" t="n"/>
      <c r="W64" s="2" t="n"/>
      <c r="X64" s="2" t="n"/>
      <c r="Y64" s="2" t="n"/>
      <c r="Z64" s="2" t="n"/>
      <c r="AA64" s="2" t="n"/>
      <c r="AB64" s="2" t="n"/>
      <c r="AC64" s="2" t="n"/>
    </row>
    <row r="65" ht="78" customHeight="1">
      <c r="A65" s="2" t="n"/>
      <c r="B65" s="24" t="inlineStr">
        <is>
          <t>Pizza dough proofing box 600 x 400 x 75 mm, polyethylene</t>
        </is>
      </c>
      <c r="C65" s="24" t="inlineStr">
        <is>
          <t>GGM Gastro (CZ storefront)</t>
        </is>
      </c>
      <c r="D65" s="24" t="inlineStr">
        <is>
          <t>(9 tlg) Přepravka na těsto-set - 8 nádob &amp; 1 víko - EN 600x400 - Výška: 75 mm - Polypropylen - bílá</t>
        </is>
      </c>
      <c r="E65" s="24" t="inlineStr">
        <is>
          <t>GGM</t>
        </is>
      </c>
      <c r="F65" s="25" t="inlineStr">
        <is>
          <t>https://www.ggmgastro.com/cs-cz-czk/9-tlg-prepravka-na-testo-set-8-nadob-und-1-viko-en-600x400-vyska-75-mm-polypropylen-bila-tbpp647</t>
        </is>
      </c>
      <c r="G65" s="98" t="n">
        <v>1752.16</v>
      </c>
      <c r="H65" s="24" t="inlineStr">
        <is>
          <t>CZK</t>
        </is>
      </c>
      <c r="I65" s="24" t="inlineStr">
        <is>
          <t>excl.</t>
        </is>
      </c>
      <c r="J65" s="122" t="n">
        <v>0.19</v>
      </c>
      <c r="K65" s="116" t="n">
        <v>8</v>
      </c>
      <c r="L65" s="24" t="inlineStr">
        <is>
          <t>per pack</t>
        </is>
      </c>
      <c r="M65" s="36" t="inlineStr">
        <is>
          <t>=IF(OR(G58="",J58="",K58=""),"",ROUND(IF(I58="incl.",G58/(1+J58),G58)/IF(L58="per pack",K58,1),2))</t>
        </is>
      </c>
      <c r="N65" s="24" t="inlineStr">
        <is>
          <t>CLOSE</t>
        </is>
      </c>
      <c r="O65" s="24" t="inlineStr">
        <is>
          <t>Net CZK price as displayed; page footnote: "* čistá cena | hrubá cena vč. 19% DPH" (German VAT 19% used on the CZ storefront). SKU TBPP647: set of 8 boxes 600x400x75 + 1 lid; polypropylene, not polyethylene; per-piece = set / 8 (includes lid) - flagged. Gross 2,085.07 CZK. Alternative 8-pack TBP647 (70 mm, no lid) 1,873.86 CZK.</t>
        </is>
      </c>
      <c r="P65" s="24" t="inlineStr">
        <is>
          <t>2026-09-30</t>
        </is>
      </c>
      <c r="Q65" s="36" t="inlineStr">
        <is>
          <t>=IFERROR(INDEX(Competitors!$N$2:$N$50,MATCH(C58,Competitors!$A$2:$A$50,0)),"no")</t>
        </is>
      </c>
      <c r="R65" s="36" t="inlineStr">
        <is>
          <t>=IF(AND(Q58="yes",OR(N58="EXACT",N58="CLOSE"),ISNUMBER(M58)),"yes","no")</t>
        </is>
      </c>
      <c r="S65" s="24" t="n"/>
      <c r="T65" s="24" t="n"/>
      <c r="U65" s="24" t="n"/>
      <c r="V65" s="2" t="n"/>
      <c r="W65" s="2" t="n"/>
      <c r="X65" s="2" t="n"/>
      <c r="Y65" s="2" t="n"/>
      <c r="Z65" s="2" t="n"/>
      <c r="AA65" s="2" t="n"/>
      <c r="AB65" s="2" t="n"/>
      <c r="AC65" s="2" t="n"/>
    </row>
    <row r="66" ht="78" customHeight="1">
      <c r="A66" s="2" t="n"/>
      <c r="B66" s="27" t="inlineStr">
        <is>
          <t>Pizza dough proofing box 600 x 400 x 75 mm, polyethylene</t>
        </is>
      </c>
      <c r="C66" s="27" t="inlineStr">
        <is>
          <t>Gastro Novotný</t>
        </is>
      </c>
      <c r="D66" s="27" t="inlineStr">
        <is>
          <t>Přepravka na pizzu 60x40x9cm</t>
        </is>
      </c>
      <c r="E66" s="27" t="n"/>
      <c r="F66" s="28" t="inlineStr">
        <is>
          <t>https://eshop.gastronovotny.cz/prepravka-na-pizzu-60x40x9cm--1841762-09/</t>
        </is>
      </c>
      <c r="G66" s="102" t="n">
        <v>390</v>
      </c>
      <c r="H66" s="27" t="inlineStr">
        <is>
          <t>CZK</t>
        </is>
      </c>
      <c r="I66" s="27" t="inlineStr">
        <is>
          <t>excl.</t>
        </is>
      </c>
      <c r="J66" s="123" t="n">
        <v>0.21</v>
      </c>
      <c r="K66" s="117" t="n">
        <v>1</v>
      </c>
      <c r="L66" s="27" t="inlineStr">
        <is>
          <t>per piece</t>
        </is>
      </c>
      <c r="M66" s="38" t="inlineStr">
        <is>
          <t>=IF(OR(G59="",J59="",K59=""),"",ROUND(IF(I59="incl.",G59/(1+J59),G59)/IF(L59="per pack",K59,1),2))</t>
        </is>
      </c>
      <c r="N66" s="27" t="inlineStr">
        <is>
          <t>APPROX</t>
        </is>
      </c>
      <c r="O66" s="27" t="inlineStr">
        <is>
          <t>90 mm deep instead of 75 mm and material not stated. 471.90 CZK incl. VAT.</t>
        </is>
      </c>
      <c r="P66" s="27" t="inlineStr">
        <is>
          <t>2026-09-30</t>
        </is>
      </c>
      <c r="Q66" s="38" t="inlineStr">
        <is>
          <t>=IFERROR(INDEX(Competitors!$N$2:$N$50,MATCH(C59,Competitors!$A$2:$A$50,0)),"no")</t>
        </is>
      </c>
      <c r="R66" s="38" t="inlineStr">
        <is>
          <t>=IF(AND(Q59="yes",OR(N59="EXACT",N59="CLOSE"),ISNUMBER(M59)),"yes","no")</t>
        </is>
      </c>
      <c r="S66" s="27" t="n"/>
      <c r="T66" s="27" t="n"/>
      <c r="U66" s="27" t="n"/>
      <c r="V66" s="2" t="n"/>
      <c r="W66" s="2" t="n"/>
      <c r="X66" s="2" t="n"/>
      <c r="Y66" s="2" t="n"/>
      <c r="Z66" s="2" t="n"/>
      <c r="AA66" s="2" t="n"/>
      <c r="AB66" s="2" t="n"/>
      <c r="AC66" s="2" t="n"/>
    </row>
    <row r="67" ht="78" customHeight="1">
      <c r="A67" s="2" t="n"/>
      <c r="B67" s="24" t="inlineStr">
        <is>
          <t>Pizza dough proofing box 600 x 400 x 75 mm, polyethylene</t>
        </is>
      </c>
      <c r="C67" s="24" t="inlineStr">
        <is>
          <t>Gastromania</t>
        </is>
      </c>
      <c r="D67" s="24" t="inlineStr">
        <is>
          <t>Nádoba na pizza těsto 600x400x75 mm | CONTACTO, 2510/600</t>
        </is>
      </c>
      <c r="E67" s="24" t="inlineStr">
        <is>
          <t>Contacto</t>
        </is>
      </c>
      <c r="F67" s="25" t="inlineStr">
        <is>
          <t>https://www.gastromania.cz/kose-na-pizza-testo/nadoba-na-pizza-testo-600x400x75-mm-contacto-2510-600</t>
        </is>
      </c>
      <c r="G67" s="98" t="n">
        <v>391</v>
      </c>
      <c r="H67" s="24" t="inlineStr">
        <is>
          <t>CZK</t>
        </is>
      </c>
      <c r="I67" s="24" t="inlineStr">
        <is>
          <t>excl.</t>
        </is>
      </c>
      <c r="J67" s="122" t="n">
        <v>0.21</v>
      </c>
      <c r="K67" s="116" t="n">
        <v>1</v>
      </c>
      <c r="L67" s="24" t="inlineStr">
        <is>
          <t>per piece</t>
        </is>
      </c>
      <c r="M67" s="36" t="inlineStr">
        <is>
          <t>=IF(OR(G60="",J60="",K60=""),"",ROUND(IF(I60="incl.",G60/(1+J60),G60)/IF(L60="per pack",K60,1),2))</t>
        </is>
      </c>
      <c r="N67" s="24" t="inlineStr">
        <is>
          <t>EXACT</t>
        </is>
      </c>
      <c r="O67" s="24" t="inlineStr">
        <is>
          <t>PE, 600 x 400 x 75 mm; 473 CZK incl.; discounted from 434 excl. / 526 incl.; availability 30 days.</t>
        </is>
      </c>
      <c r="P67" s="24" t="inlineStr">
        <is>
          <t>2026-09-30</t>
        </is>
      </c>
      <c r="Q67" s="36" t="inlineStr">
        <is>
          <t>=IFERROR(INDEX(Competitors!$N$2:$N$50,MATCH(C60,Competitors!$A$2:$A$50,0)),"no")</t>
        </is>
      </c>
      <c r="R67" s="36" t="inlineStr">
        <is>
          <t>=IF(AND(Q60="yes",OR(N60="EXACT",N60="CLOSE"),ISNUMBER(M60)),"yes","no")</t>
        </is>
      </c>
      <c r="S67" s="24" t="n"/>
      <c r="T67" s="24" t="n"/>
      <c r="U67" s="24" t="n"/>
      <c r="V67" s="2" t="n"/>
      <c r="W67" s="2" t="n"/>
      <c r="X67" s="2" t="n"/>
      <c r="Y67" s="2" t="n"/>
      <c r="Z67" s="2" t="n"/>
      <c r="AA67" s="2" t="n"/>
      <c r="AB67" s="2" t="n"/>
      <c r="AC67" s="2" t="n"/>
    </row>
    <row r="68" ht="78" customHeight="1">
      <c r="A68" s="2" t="n"/>
      <c r="B68" s="27" t="inlineStr">
        <is>
          <t>Pizza dough proofing box 600 x 400 x 75 mm, polyethylene</t>
        </is>
      </c>
      <c r="C68" s="27" t="inlineStr">
        <is>
          <t>Gastrozone</t>
        </is>
      </c>
      <c r="D68" s="27" t="inlineStr">
        <is>
          <t>Nádoba AmerBox Kitchen Line na pizza těsto, 600 × 400 mm, 14 l</t>
        </is>
      </c>
      <c r="E68" s="27" t="inlineStr">
        <is>
          <t>AmerBox (Hendi)</t>
        </is>
      </c>
      <c r="F68" s="28" t="inlineStr">
        <is>
          <t>https://www.gastrozone.cz/nadoba-na-pizza-testo-600x400-amerbox-kitchen-line-14l-600x400x-h-75mm.html</t>
        </is>
      </c>
      <c r="G68" s="102" t="n">
        <v>285</v>
      </c>
      <c r="H68" s="27" t="inlineStr">
        <is>
          <t>CZK</t>
        </is>
      </c>
      <c r="I68" s="27" t="inlineStr">
        <is>
          <t>incl.</t>
        </is>
      </c>
      <c r="J68" s="123" t="n">
        <v>0.21</v>
      </c>
      <c r="K68" s="117" t="n">
        <v>1</v>
      </c>
      <c r="L68" s="27" t="inlineStr">
        <is>
          <t>per piece</t>
        </is>
      </c>
      <c r="M68" s="38" t="inlineStr">
        <is>
          <t>=IF(OR(G61="",J61="",K61=""),"",ROUND(IF(I61="incl.",G61/(1+J61),G61)/IF(L61="per pack",K61,1),2))</t>
        </is>
      </c>
      <c r="N68" s="27" t="inlineStr">
        <is>
          <t>CLOSE</t>
        </is>
      </c>
      <c r="O68" s="27" t="inlineStr">
        <is>
          <t>600 x 400 x 75 mm, 14 l, but PET (polyethylene terephthalate), not PE. 236 CZK bez DPH.</t>
        </is>
      </c>
      <c r="P68" s="27" t="inlineStr">
        <is>
          <t>2026-09-30</t>
        </is>
      </c>
      <c r="Q68" s="38" t="inlineStr">
        <is>
          <t>=IFERROR(INDEX(Competitors!$N$2:$N$50,MATCH(C61,Competitors!$A$2:$A$50,0)),"no")</t>
        </is>
      </c>
      <c r="R68" s="38" t="inlineStr">
        <is>
          <t>=IF(AND(Q61="yes",OR(N61="EXACT",N61="CLOSE"),ISNUMBER(M61)),"yes","no")</t>
        </is>
      </c>
      <c r="S68" s="27" t="n"/>
      <c r="T68" s="27" t="n"/>
      <c r="U68" s="27" t="n"/>
      <c r="V68" s="2" t="n"/>
      <c r="W68" s="2" t="n"/>
      <c r="X68" s="2" t="n"/>
      <c r="Y68" s="2" t="n"/>
      <c r="Z68" s="2" t="n"/>
      <c r="AA68" s="2" t="n"/>
      <c r="AB68" s="2" t="n"/>
      <c r="AC68" s="2" t="n"/>
    </row>
    <row r="69" ht="78" customHeight="1">
      <c r="A69" s="2" t="n"/>
      <c r="B69" s="24" t="inlineStr">
        <is>
          <t>Pizza dough proofing box 600 x 400 x 75 mm, polyethylene</t>
        </is>
      </c>
      <c r="C69" s="24" t="inlineStr">
        <is>
          <t>TOMGAST</t>
        </is>
      </c>
      <c r="D69" s="24" t="inlineStr">
        <is>
          <t>Přepravka na pizzu 60 × 40 × 7,5 cm</t>
        </is>
      </c>
      <c r="E69" s="24" t="inlineStr">
        <is>
          <t>TOMGAST</t>
        </is>
      </c>
      <c r="F69" s="25" t="inlineStr">
        <is>
          <t>https://www.tomgast.cz/prepravka-na-pizzu-60--40--7-5-cm/</t>
        </is>
      </c>
      <c r="G69" s="98" t="n">
        <v>339</v>
      </c>
      <c r="H69" s="24" t="inlineStr">
        <is>
          <t>CZK</t>
        </is>
      </c>
      <c r="I69" s="24" t="inlineStr">
        <is>
          <t>incl.</t>
        </is>
      </c>
      <c r="J69" s="122" t="n">
        <v>0.21</v>
      </c>
      <c r="K69" s="116" t="n">
        <v>1</v>
      </c>
      <c r="L69" s="24" t="inlineStr">
        <is>
          <t>per piece</t>
        </is>
      </c>
      <c r="M69" s="36" t="inlineStr">
        <is>
          <t>=IF(OR(G62="",J62="",K62=""),"",ROUND(IF(I62="incl.",G62/(1+J62),G62)/IF(L62="per pack",K62,1),2))</t>
        </is>
      </c>
      <c r="N69" s="24" t="inlineStr">
        <is>
          <t>CLOSE</t>
        </is>
      </c>
      <c r="O69" s="24" t="inlineStr">
        <is>
          <t>600 x 400 x 75 mm but polypropylene, not polyethylene. 280 CZK bez DPH.</t>
        </is>
      </c>
      <c r="P69" s="24" t="inlineStr">
        <is>
          <t>2026-09-30</t>
        </is>
      </c>
      <c r="Q69" s="36" t="inlineStr">
        <is>
          <t>=IFERROR(INDEX(Competitors!$N$2:$N$50,MATCH(C62,Competitors!$A$2:$A$50,0)),"no")</t>
        </is>
      </c>
      <c r="R69" s="36" t="inlineStr">
        <is>
          <t>=IF(AND(Q62="yes",OR(N62="EXACT",N62="CLOSE"),ISNUMBER(M62)),"yes","no")</t>
        </is>
      </c>
      <c r="S69" s="24" t="n"/>
      <c r="T69" s="24" t="n"/>
      <c r="U69" s="24" t="n"/>
      <c r="V69" s="2" t="n"/>
      <c r="W69" s="2" t="n"/>
      <c r="X69" s="2" t="n"/>
      <c r="Y69" s="2" t="n"/>
      <c r="Z69" s="2" t="n"/>
      <c r="AA69" s="2" t="n"/>
      <c r="AB69" s="2" t="n"/>
      <c r="AC69" s="2" t="n"/>
    </row>
    <row r="70" ht="78" customHeight="1">
      <c r="A70" s="2" t="n"/>
      <c r="B70" s="27" t="inlineStr">
        <is>
          <t>Front-loading insulated thermobox for GN 1/1, approx. 80-90 l</t>
        </is>
      </c>
      <c r="C70" s="27" t="inlineStr">
        <is>
          <t>GGM Gastro (CZ storefront)</t>
        </is>
      </c>
      <c r="D70" s="27" t="inlineStr">
        <is>
          <t>CAMBRO | CAM GOBOX - Termobox - Frontloader s předním plněním GN 1/1 - černý</t>
        </is>
      </c>
      <c r="E70" s="27" t="inlineStr">
        <is>
          <t>Cambro</t>
        </is>
      </c>
      <c r="F70" s="28" t="inlineStr">
        <is>
          <t>https://www.ggmgastro.com/cs-cz-czk/cambro-cam-gobox-r-termobox-frontloader-s-prednim-plnenim-gn-1-1-cerny-epp400110</t>
        </is>
      </c>
      <c r="G70" s="102" t="n">
        <v>4088.71</v>
      </c>
      <c r="H70" s="27" t="inlineStr">
        <is>
          <t>CZK</t>
        </is>
      </c>
      <c r="I70" s="27" t="inlineStr">
        <is>
          <t>excl.</t>
        </is>
      </c>
      <c r="J70" s="123" t="n">
        <v>0.19</v>
      </c>
      <c r="K70" s="117" t="n">
        <v>1</v>
      </c>
      <c r="L70" s="27" t="inlineStr">
        <is>
          <t>per piece</t>
        </is>
      </c>
      <c r="M70" s="38" t="inlineStr">
        <is>
          <t>=IF(OR(G63="",J63="",K63=""),"",ROUND(IF(I63="incl.",G63/(1+J63),G63)/IF(L63="per pack",K63,1),2))</t>
        </is>
      </c>
      <c r="N70" s="27" t="inlineStr">
        <is>
          <t>EXACT</t>
        </is>
      </c>
      <c r="O70" s="27" t="inlineStr">
        <is>
          <t>Net CZK price as displayed; page footnote: "* čistá cena | hrubá cena vč. 19% DPH" (German VAT 19% used on the CZ storefront). SKU EPP400110, EPP, 86 l, front loading. Gross 4,865.56 CZK; in stock 3-5 days. Alternative Porter PLB-300 83 l: 6,936.37 CZK.</t>
        </is>
      </c>
      <c r="P70" s="27" t="inlineStr">
        <is>
          <t>2026-09-30</t>
        </is>
      </c>
      <c r="Q70" s="38" t="inlineStr">
        <is>
          <t>=IFERROR(INDEX(Competitors!$N$2:$N$50,MATCH(C63,Competitors!$A$2:$A$50,0)),"no")</t>
        </is>
      </c>
      <c r="R70" s="38" t="inlineStr">
        <is>
          <t>=IF(AND(Q63="yes",OR(N63="EXACT",N63="CLOSE"),ISNUMBER(M63)),"yes","no")</t>
        </is>
      </c>
      <c r="S70" s="27" t="n"/>
      <c r="T70" s="27" t="n"/>
      <c r="U70" s="27" t="n"/>
      <c r="V70" s="2" t="n"/>
      <c r="W70" s="2" t="n"/>
      <c r="X70" s="2" t="n"/>
      <c r="Y70" s="2" t="n"/>
      <c r="Z70" s="2" t="n"/>
      <c r="AA70" s="2" t="n"/>
      <c r="AB70" s="2" t="n"/>
      <c r="AC70" s="2" t="n"/>
    </row>
    <row r="71" ht="78" customHeight="1">
      <c r="A71" s="2" t="n"/>
      <c r="B71" s="24" t="inlineStr">
        <is>
          <t>Front-loading insulated thermobox for GN 1/1, approx. 80-90 l</t>
        </is>
      </c>
      <c r="C71" s="24" t="inlineStr">
        <is>
          <t>Gastro Novotný</t>
        </is>
      </c>
      <c r="D71" s="24" t="inlineStr">
        <is>
          <t>Termoport přední plnění 6xGN1/1 65</t>
        </is>
      </c>
      <c r="E71" s="24" t="inlineStr">
        <is>
          <t>Thermo Case P-600M</t>
        </is>
      </c>
      <c r="F71" s="25" t="inlineStr">
        <is>
          <t>https://eshop.gastronovotny.cz/termoport-predni-plneni-6xgn1-1-65--403191201/</t>
        </is>
      </c>
      <c r="G71" s="98" t="n">
        <v>5900</v>
      </c>
      <c r="H71" s="24" t="inlineStr">
        <is>
          <t>CZK</t>
        </is>
      </c>
      <c r="I71" s="24" t="inlineStr">
        <is>
          <t>excl.</t>
        </is>
      </c>
      <c r="J71" s="122" t="n">
        <v>0.21</v>
      </c>
      <c r="K71" s="116" t="n">
        <v>1</v>
      </c>
      <c r="L71" s="24" t="inlineStr">
        <is>
          <t>per piece</t>
        </is>
      </c>
      <c r="M71" s="36" t="inlineStr">
        <is>
          <t>=IF(OR(G64="",J64="",K64=""),"",ROUND(IF(I64="incl.",G64/(1+J64),G64)/IF(L64="per pack",K64,1),2))</t>
        </is>
      </c>
      <c r="N71" s="24" t="inlineStr">
        <is>
          <t>CLOSE</t>
        </is>
      </c>
      <c r="O71" s="24" t="inlineStr">
        <is>
          <t>Front-loading, polypropylene, holds 6 x GN 1/1 65 mm; volume in litres NOT stated (flagged). 7,139 CZK incl. VAT. Availability "Na dotaz". Alternative: Termoport GN 1/1 Front 20-TERMOP-F 7,089.26 CZK excl. (smaller: 3 x GN 1/1 65).</t>
        </is>
      </c>
      <c r="P71" s="24" t="inlineStr">
        <is>
          <t>2026-09-30</t>
        </is>
      </c>
      <c r="Q71" s="36" t="inlineStr">
        <is>
          <t>=IFERROR(INDEX(Competitors!$N$2:$N$50,MATCH(C64,Competitors!$A$2:$A$50,0)),"no")</t>
        </is>
      </c>
      <c r="R71" s="36" t="inlineStr">
        <is>
          <t>=IF(AND(Q64="yes",OR(N64="EXACT",N64="CLOSE"),ISNUMBER(M64)),"yes","no")</t>
        </is>
      </c>
      <c r="S71" s="24" t="n"/>
      <c r="T71" s="24" t="n"/>
      <c r="U71" s="24" t="n"/>
      <c r="V71" s="2" t="n"/>
      <c r="W71" s="2" t="n"/>
      <c r="X71" s="2" t="n"/>
      <c r="Y71" s="2" t="n"/>
      <c r="Z71" s="2" t="n"/>
      <c r="AA71" s="2" t="n"/>
      <c r="AB71" s="2" t="n"/>
      <c r="AC71" s="2" t="n"/>
    </row>
    <row r="72" ht="78" customHeight="1">
      <c r="A72" s="2" t="n"/>
      <c r="B72" s="27" t="inlineStr">
        <is>
          <t>Front-loading insulated thermobox for GN 1/1, approx. 80-90 l</t>
        </is>
      </c>
      <c r="C72" s="27" t="inlineStr">
        <is>
          <t>Gastromania</t>
        </is>
      </c>
      <c r="D72" s="27" t="inlineStr">
        <is>
          <t>Termobox s předním plněním pro GN | CAMBRO, R-EPP400</t>
        </is>
      </c>
      <c r="E72" s="27" t="inlineStr">
        <is>
          <t>Cambro</t>
        </is>
      </c>
      <c r="F72" s="28" t="inlineStr">
        <is>
          <t>https://www.gastromania.cz/termoizolacni/termobox-s-prednim-plnenim-pro-gn-cambro-r-epp400</t>
        </is>
      </c>
      <c r="G72" s="102" t="n">
        <v>5706</v>
      </c>
      <c r="H72" s="27" t="inlineStr">
        <is>
          <t>CZK</t>
        </is>
      </c>
      <c r="I72" s="27" t="inlineStr">
        <is>
          <t>excl.</t>
        </is>
      </c>
      <c r="J72" s="123" t="n">
        <v>0.21</v>
      </c>
      <c r="K72" s="117" t="n">
        <v>1</v>
      </c>
      <c r="L72" s="27" t="inlineStr">
        <is>
          <t>per piece</t>
        </is>
      </c>
      <c r="M72" s="38" t="inlineStr">
        <is>
          <t>=IF(OR(G65="",J65="",K65=""),"",ROUND(IF(I65="incl.",G65/(1+J65),G65)/IF(L65="per pack",K65,1),2))</t>
        </is>
      </c>
      <c r="N72" s="27" t="inlineStr">
        <is>
          <t>EXACT</t>
        </is>
      </c>
      <c r="O72" s="27" t="inlineStr">
        <is>
          <t>Same Cambro EPP400 front-loader (86 l) as TOMGAST, same price; 6,904 CZK incl.; in stock.</t>
        </is>
      </c>
      <c r="P72" s="27" t="inlineStr">
        <is>
          <t>2026-09-30</t>
        </is>
      </c>
      <c r="Q72" s="38" t="inlineStr">
        <is>
          <t>=IFERROR(INDEX(Competitors!$N$2:$N$50,MATCH(C65,Competitors!$A$2:$A$50,0)),"no")</t>
        </is>
      </c>
      <c r="R72" s="38" t="inlineStr">
        <is>
          <t>=IF(AND(Q65="yes",OR(N65="EXACT",N65="CLOSE"),ISNUMBER(M65)),"yes","no")</t>
        </is>
      </c>
      <c r="S72" s="27" t="n"/>
      <c r="T72" s="27" t="n"/>
      <c r="U72" s="27" t="n"/>
      <c r="V72" s="2" t="n"/>
      <c r="W72" s="2" t="n"/>
      <c r="X72" s="2" t="n"/>
      <c r="Y72" s="2" t="n"/>
      <c r="Z72" s="2" t="n"/>
      <c r="AA72" s="2" t="n"/>
      <c r="AB72" s="2" t="n"/>
      <c r="AC72" s="2" t="n"/>
    </row>
    <row r="73" ht="78" customHeight="1">
      <c r="A73" s="2" t="n"/>
      <c r="B73" s="24" t="inlineStr">
        <is>
          <t>Front-loading insulated thermobox for GN 1/1, approx. 80-90 l</t>
        </is>
      </c>
      <c r="C73" s="24" t="inlineStr">
        <is>
          <t>Gastrozone</t>
        </is>
      </c>
      <c r="D73" s="24" t="inlineStr">
        <is>
          <t>Termoizolační box Cambro Cam GoBox s horním plněním, GN 1/1, 86 l, černý</t>
        </is>
      </c>
      <c r="E73" s="24" t="inlineStr">
        <is>
          <t>Cambro</t>
        </is>
      </c>
      <c r="F73" s="25" t="inlineStr">
        <is>
          <t>https://www.gastrozone.cz/cambro-termoport-86-l-bocni-plneni.html</t>
        </is>
      </c>
      <c r="G73" s="98" t="n">
        <v>5446</v>
      </c>
      <c r="H73" s="24" t="inlineStr">
        <is>
          <t>CZK</t>
        </is>
      </c>
      <c r="I73" s="24" t="inlineStr">
        <is>
          <t>incl.</t>
        </is>
      </c>
      <c r="J73" s="122" t="n">
        <v>0.21</v>
      </c>
      <c r="K73" s="116" t="n">
        <v>1</v>
      </c>
      <c r="L73" s="24" t="inlineStr">
        <is>
          <t>per piece</t>
        </is>
      </c>
      <c r="M73" s="36" t="inlineStr">
        <is>
          <t>=IF(OR(G66="",J66="",K66=""),"",ROUND(IF(I66="incl.",G66/(1+J66),G66)/IF(L66="per pack",K66,1),2))</t>
        </is>
      </c>
      <c r="N73" s="24" t="inlineStr">
        <is>
          <t>CLOSE</t>
        </is>
      </c>
      <c r="O73" s="24" t="inlineStr">
        <is>
          <t>86 l, GN 1/1, EPP; product title says "s horním plněním" (top loading) but description and URL say side/front loading ("boční plnění", door) - conflicting, flagged. Promotional price (-42%, was 9,455 CZK). 4,501 CZK bez DPH. Alternative: Cambro Ultra Pan Carrier front-loading GN 1/1 (PE) 6,536 CZK, volume not stated.</t>
        </is>
      </c>
      <c r="P73" s="24" t="inlineStr">
        <is>
          <t>2026-09-30</t>
        </is>
      </c>
      <c r="Q73" s="36" t="inlineStr">
        <is>
          <t>=IFERROR(INDEX(Competitors!$N$2:$N$50,MATCH(C66,Competitors!$A$2:$A$50,0)),"no")</t>
        </is>
      </c>
      <c r="R73" s="36" t="inlineStr">
        <is>
          <t>=IF(AND(Q66="yes",OR(N66="EXACT",N66="CLOSE"),ISNUMBER(M66)),"yes","no")</t>
        </is>
      </c>
      <c r="S73" s="24" t="n"/>
      <c r="T73" s="24" t="n"/>
      <c r="U73" s="24" t="n"/>
      <c r="V73" s="2" t="n"/>
      <c r="W73" s="2" t="n"/>
      <c r="X73" s="2" t="n"/>
      <c r="Y73" s="2" t="n"/>
      <c r="Z73" s="2" t="n"/>
      <c r="AA73" s="2" t="n"/>
      <c r="AB73" s="2" t="n"/>
      <c r="AC73" s="2" t="n"/>
    </row>
    <row r="74" ht="78" customHeight="1">
      <c r="A74" s="2" t="n"/>
      <c r="B74" s="27" t="inlineStr">
        <is>
          <t>Front-loading insulated thermobox for GN 1/1, approx. 80-90 l</t>
        </is>
      </c>
      <c r="C74" s="27" t="inlineStr">
        <is>
          <t>TOMGAST</t>
        </is>
      </c>
      <c r="D74" s="27" t="inlineStr">
        <is>
          <t>Termobox s předním plněním pro GN</t>
        </is>
      </c>
      <c r="E74" s="27" t="inlineStr">
        <is>
          <t>Cambro</t>
        </is>
      </c>
      <c r="F74" s="28" t="inlineStr">
        <is>
          <t>https://www.tomgast.cz/termobox-s-prednim-plnenim-pro-gn/</t>
        </is>
      </c>
      <c r="G74" s="102" t="n">
        <v>6904</v>
      </c>
      <c r="H74" s="27" t="inlineStr">
        <is>
          <t>CZK</t>
        </is>
      </c>
      <c r="I74" s="27" t="inlineStr">
        <is>
          <t>incl.</t>
        </is>
      </c>
      <c r="J74" s="123" t="n">
        <v>0.21</v>
      </c>
      <c r="K74" s="117" t="n">
        <v>1</v>
      </c>
      <c r="L74" s="27" t="inlineStr">
        <is>
          <t>per piece</t>
        </is>
      </c>
      <c r="M74" s="38" t="inlineStr">
        <is>
          <t>=IF(OR(G67="",J67="",K67=""),"",ROUND(IF(I67="incl.",G67/(1+J67),G67)/IF(L67="per pack",K67,1),2))</t>
        </is>
      </c>
      <c r="N74" s="27" t="inlineStr">
        <is>
          <t>EXACT</t>
        </is>
      </c>
      <c r="O74" s="27" t="inlineStr">
        <is>
          <t>Code R-EPP400, EPP, front loading, 86 l, GN 1/1, 12 fixed rails. 5,706 CZK bez DPH.</t>
        </is>
      </c>
      <c r="P74" s="27" t="inlineStr">
        <is>
          <t>2026-09-30</t>
        </is>
      </c>
      <c r="Q74" s="38" t="inlineStr">
        <is>
          <t>=IFERROR(INDEX(Competitors!$N$2:$N$50,MATCH(C67,Competitors!$A$2:$A$50,0)),"no")</t>
        </is>
      </c>
      <c r="R74" s="38" t="inlineStr">
        <is>
          <t>=IF(AND(Q67="yes",OR(N67="EXACT",N67="CLOSE"),ISNUMBER(M67)),"yes","no")</t>
        </is>
      </c>
      <c r="S74" s="27" t="n"/>
      <c r="T74" s="27" t="n"/>
      <c r="U74" s="27" t="n"/>
      <c r="V74" s="2" t="n"/>
      <c r="W74" s="2" t="n"/>
      <c r="X74" s="2" t="n"/>
      <c r="Y74" s="2" t="n"/>
      <c r="Z74" s="2" t="n"/>
      <c r="AA74" s="2" t="n"/>
      <c r="AB74" s="2" t="n"/>
      <c r="AC74" s="2" t="n"/>
    </row>
    <row r="75" ht="78" customHeight="1">
      <c r="A75" s="2" t="n"/>
      <c r="B75" s="24" t="inlineStr">
        <is>
          <t>Service tray approx. 370 x 530 mm, ABS/polypropylene</t>
        </is>
      </c>
      <c r="C75" s="24" t="inlineStr">
        <is>
          <t>GGM Gastro (CZ storefront)</t>
        </is>
      </c>
      <c r="D75" s="24" t="inlineStr">
        <is>
          <t>(10 ks) Jídelní podnos - ABS plast - 370x530 mm - Hnědý</t>
        </is>
      </c>
      <c r="E75" s="24" t="inlineStr">
        <is>
          <t>GGM</t>
        </is>
      </c>
      <c r="F75" s="25" t="inlineStr">
        <is>
          <t>https://www.ggmgastro.com/cs-cz-czk/10-ks-jidelni-podnos-abs-plast-370x530-mm-hnedy-gst3753-10</t>
        </is>
      </c>
      <c r="G75" s="98" t="n">
        <v>1825.18</v>
      </c>
      <c r="H75" s="24" t="inlineStr">
        <is>
          <t>CZK</t>
        </is>
      </c>
      <c r="I75" s="24" t="inlineStr">
        <is>
          <t>excl.</t>
        </is>
      </c>
      <c r="J75" s="122" t="n">
        <v>0.19</v>
      </c>
      <c r="K75" s="116" t="n">
        <v>10</v>
      </c>
      <c r="L75" s="24" t="inlineStr">
        <is>
          <t>per pack</t>
        </is>
      </c>
      <c r="M75" s="36" t="inlineStr">
        <is>
          <t>=IF(OR(G68="",J68="",K68=""),"",ROUND(IF(I68="incl.",G68/(1+J68),G68)/IF(L68="per pack",K68,1),2))</t>
        </is>
      </c>
      <c r="N75" s="24" t="inlineStr">
        <is>
          <t>EXACT</t>
        </is>
      </c>
      <c r="O75" s="24" t="inlineStr">
        <is>
          <t>Net CZK price as displayed; page footnote: "* čistá cena | hrubá cena vč. 19% DPH" (German VAT 19% used on the CZ storefront). SKU GST3753#10, ABS, 370 x 530 mm, pack of 10. Gross 2,171.96 CZK.</t>
        </is>
      </c>
      <c r="P75" s="24" t="inlineStr">
        <is>
          <t>2026-09-30</t>
        </is>
      </c>
      <c r="Q75" s="36" t="inlineStr">
        <is>
          <t>=IFERROR(INDEX(Competitors!$N$2:$N$50,MATCH(C68,Competitors!$A$2:$A$50,0)),"no")</t>
        </is>
      </c>
      <c r="R75" s="36" t="inlineStr">
        <is>
          <t>=IF(AND(Q68="yes",OR(N68="EXACT",N68="CLOSE"),ISNUMBER(M68)),"yes","no")</t>
        </is>
      </c>
      <c r="S75" s="24" t="n"/>
      <c r="T75" s="24" t="n"/>
      <c r="U75" s="24" t="n"/>
      <c r="V75" s="2" t="n"/>
      <c r="W75" s="2" t="n"/>
      <c r="X75" s="2" t="n"/>
      <c r="Y75" s="2" t="n"/>
      <c r="Z75" s="2" t="n"/>
      <c r="AA75" s="2" t="n"/>
      <c r="AB75" s="2" t="n"/>
      <c r="AC75" s="2" t="n"/>
    </row>
    <row r="76" ht="78" customHeight="1">
      <c r="A76" s="2" t="n"/>
      <c r="B76" s="27" t="inlineStr">
        <is>
          <t>Service tray approx. 370 x 530 mm, ABS/polypropylene</t>
        </is>
      </c>
      <c r="C76" s="27" t="inlineStr">
        <is>
          <t>Gastro Novotný</t>
        </is>
      </c>
      <c r="D76" s="27" t="inlineStr">
        <is>
          <t>Podnos EURONORM 530x370mm</t>
        </is>
      </c>
      <c r="E76" s="27" t="n"/>
      <c r="F76" s="28" t="inlineStr">
        <is>
          <t>https://eshop.gastronovotny.cz/podnos-euronorm-530x370mm--14100503/</t>
        </is>
      </c>
      <c r="G76" s="102" t="n">
        <v>300</v>
      </c>
      <c r="H76" s="27" t="inlineStr">
        <is>
          <t>CZK</t>
        </is>
      </c>
      <c r="I76" s="27" t="inlineStr">
        <is>
          <t>excl.</t>
        </is>
      </c>
      <c r="J76" s="123" t="n">
        <v>0.21</v>
      </c>
      <c r="K76" s="117" t="n">
        <v>1</v>
      </c>
      <c r="L76" s="27" t="inlineStr">
        <is>
          <t>per piece</t>
        </is>
      </c>
      <c r="M76" s="38" t="inlineStr">
        <is>
          <t>=IF(OR(G69="",J69="",K69=""),"",ROUND(IF(I69="incl.",G69/(1+J69),G69)/IF(L69="per pack",K69,1),2))</t>
        </is>
      </c>
      <c r="N76" s="27" t="inlineStr">
        <is>
          <t>EXACT</t>
        </is>
      </c>
      <c r="O76" s="27" t="inlineStr">
        <is>
          <t>100% PP, 530 x 370 mm, 30 colours; 363 CZK incl. VAT. Description mentions "balení 20ks" (carton of 20) but price/stock are shown per piece ("ks") - treated as per piece. Availability "Na dotaz".</t>
        </is>
      </c>
      <c r="P76" s="27" t="inlineStr">
        <is>
          <t>2026-09-30</t>
        </is>
      </c>
      <c r="Q76" s="38" t="inlineStr">
        <is>
          <t>=IFERROR(INDEX(Competitors!$N$2:$N$50,MATCH(C69,Competitors!$A$2:$A$50,0)),"no")</t>
        </is>
      </c>
      <c r="R76" s="38" t="inlineStr">
        <is>
          <t>=IF(AND(Q69="yes",OR(N69="EXACT",N69="CLOSE"),ISNUMBER(M69)),"yes","no")</t>
        </is>
      </c>
      <c r="S76" s="27" t="n"/>
      <c r="T76" s="27" t="n"/>
      <c r="U76" s="27" t="n"/>
      <c r="V76" s="2" t="n"/>
      <c r="W76" s="2" t="n"/>
      <c r="X76" s="2" t="n"/>
      <c r="Y76" s="2" t="n"/>
      <c r="Z76" s="2" t="n"/>
      <c r="AA76" s="2" t="n"/>
      <c r="AB76" s="2" t="n"/>
      <c r="AC76" s="2" t="n"/>
    </row>
    <row r="77" ht="78" customHeight="1">
      <c r="A77" s="2" t="n"/>
      <c r="B77" s="24" t="inlineStr">
        <is>
          <t>Service tray approx. 370 x 530 mm, ABS/polypropylene</t>
        </is>
      </c>
      <c r="C77" s="24" t="inlineStr">
        <is>
          <t>Gastromania</t>
        </is>
      </c>
      <c r="D77" s="24" t="inlineStr">
        <is>
          <t>Podnos jídelní 37x53 cm, šedá | CAMBRO, Versa</t>
        </is>
      </c>
      <c r="E77" s="24" t="inlineStr">
        <is>
          <t>Cambro</t>
        </is>
      </c>
      <c r="F77" s="25" t="inlineStr">
        <is>
          <t>https://www.gastromania.cz/obdelnikove-jidelni-podnosy/podnos-jidelni-37x53-cm-seda-cambro-versa</t>
        </is>
      </c>
      <c r="G77" s="98" t="n">
        <v>239</v>
      </c>
      <c r="H77" s="24" t="inlineStr">
        <is>
          <t>CZK</t>
        </is>
      </c>
      <c r="I77" s="24" t="inlineStr">
        <is>
          <t>excl.</t>
        </is>
      </c>
      <c r="J77" s="122" t="n">
        <v>0.21</v>
      </c>
      <c r="K77" s="116" t="n">
        <v>1</v>
      </c>
      <c r="L77" s="24" t="inlineStr">
        <is>
          <t>per piece</t>
        </is>
      </c>
      <c r="M77" s="36" t="inlineStr">
        <is>
          <t>=IF(OR(G70="",J70="",K70=""),"",ROUND(IF(I70="incl.",G70/(1+J70),G70)/IF(L70="per pack",K70,1),2))</t>
        </is>
      </c>
      <c r="N77" s="24" t="inlineStr">
        <is>
          <t>APPROX</t>
        </is>
      </c>
      <c r="O77" s="24" t="inlineStr">
        <is>
          <t>370 x 530 mm but polyester/fibreglass, not ABS/PP. 289 CZK incl. PP trays listed only up to 350 x 450 mm and GN 1/1 530 x 325.</t>
        </is>
      </c>
      <c r="P77" s="24" t="inlineStr">
        <is>
          <t>2026-09-30</t>
        </is>
      </c>
      <c r="Q77" s="36" t="inlineStr">
        <is>
          <t>=IFERROR(INDEX(Competitors!$N$2:$N$50,MATCH(C70,Competitors!$A$2:$A$50,0)),"no")</t>
        </is>
      </c>
      <c r="R77" s="36" t="inlineStr">
        <is>
          <t>=IF(AND(Q70="yes",OR(N70="EXACT",N70="CLOSE"),ISNUMBER(M70)),"yes","no")</t>
        </is>
      </c>
      <c r="S77" s="24" t="n"/>
      <c r="T77" s="24" t="n"/>
      <c r="U77" s="24" t="n"/>
      <c r="V77" s="2" t="n"/>
      <c r="W77" s="2" t="n"/>
      <c r="X77" s="2" t="n"/>
      <c r="Y77" s="2" t="n"/>
      <c r="Z77" s="2" t="n"/>
      <c r="AA77" s="2" t="n"/>
      <c r="AB77" s="2" t="n"/>
      <c r="AC77" s="2" t="n"/>
    </row>
    <row r="78" ht="78" customHeight="1">
      <c r="A78" s="2" t="n"/>
      <c r="B78" s="27" t="inlineStr">
        <is>
          <t>Service tray approx. 370 x 530 mm, ABS/polypropylene</t>
        </is>
      </c>
      <c r="C78" s="27" t="inlineStr">
        <is>
          <t>Gastrozone</t>
        </is>
      </c>
      <c r="D78" s="27" t="inlineStr">
        <is>
          <t>CAMBRO Versa Podnos ze sklolaminátu 53 x 37 cm, černý</t>
        </is>
      </c>
      <c r="E78" s="27" t="inlineStr">
        <is>
          <t>Cambro</t>
        </is>
      </c>
      <c r="F78" s="28" t="inlineStr">
        <is>
          <t>https://www.gastrozone.cz/versa-1.html</t>
        </is>
      </c>
      <c r="G78" s="102" t="n">
        <v>575</v>
      </c>
      <c r="H78" s="27" t="inlineStr">
        <is>
          <t>CZK</t>
        </is>
      </c>
      <c r="I78" s="27" t="inlineStr">
        <is>
          <t>incl.</t>
        </is>
      </c>
      <c r="J78" s="123" t="n">
        <v>0.21</v>
      </c>
      <c r="K78" s="117" t="n">
        <v>1</v>
      </c>
      <c r="L78" s="27" t="inlineStr">
        <is>
          <t>per piece</t>
        </is>
      </c>
      <c r="M78" s="38" t="inlineStr">
        <is>
          <t>=IF(OR(G71="",J71="",K71=""),"",ROUND(IF(I71="incl.",G71/(1+J71),G71)/IF(L71="per pack",K71,1),2))</t>
        </is>
      </c>
      <c r="N78" s="27" t="inlineStr">
        <is>
          <t>APPROX</t>
        </is>
      </c>
      <c r="O78" s="27" t="inlineStr">
        <is>
          <t>530 x 370 mm but fibreglass-reinforced polyester, not ABS/PP (parameter table inconsistently shows width 265 mm). 475 CZK bez DPH. PP fast-food trays only up to 530 x 325 / 450 x 355 mm.</t>
        </is>
      </c>
      <c r="P78" s="27" t="inlineStr">
        <is>
          <t>2026-09-30</t>
        </is>
      </c>
      <c r="Q78" s="38" t="inlineStr">
        <is>
          <t>=IFERROR(INDEX(Competitors!$N$2:$N$50,MATCH(C71,Competitors!$A$2:$A$50,0)),"no")</t>
        </is>
      </c>
      <c r="R78" s="38" t="inlineStr">
        <is>
          <t>=IF(AND(Q71="yes",OR(N71="EXACT",N71="CLOSE"),ISNUMBER(M71)),"yes","no")</t>
        </is>
      </c>
      <c r="S78" s="27" t="n"/>
      <c r="T78" s="27" t="n"/>
      <c r="U78" s="27" t="n"/>
      <c r="V78" s="2" t="n"/>
      <c r="W78" s="2" t="n"/>
      <c r="X78" s="2" t="n"/>
      <c r="Y78" s="2" t="n"/>
      <c r="Z78" s="2" t="n"/>
      <c r="AA78" s="2" t="n"/>
      <c r="AB78" s="2" t="n"/>
      <c r="AC78" s="2" t="n"/>
    </row>
    <row r="79" ht="78" customHeight="1">
      <c r="A79" s="2" t="n"/>
      <c r="B79" s="24" t="inlineStr">
        <is>
          <t>Service tray approx. 370 x 530 mm, ABS/polypropylene</t>
        </is>
      </c>
      <c r="C79" s="24" t="inlineStr">
        <is>
          <t>TOMGAST</t>
        </is>
      </c>
      <c r="D79" s="24" t="inlineStr">
        <is>
          <t>Versa podnos jídelní 37 × 53 cm, šedá</t>
        </is>
      </c>
      <c r="E79" s="24" t="inlineStr">
        <is>
          <t>Cambro</t>
        </is>
      </c>
      <c r="F79" s="25" t="inlineStr">
        <is>
          <t>https://www.tomgast.cz/versa-podnos-jidelni-37--53-cm--seda/</t>
        </is>
      </c>
      <c r="G79" s="98" t="n">
        <v>289</v>
      </c>
      <c r="H79" s="24" t="inlineStr">
        <is>
          <t>CZK</t>
        </is>
      </c>
      <c r="I79" s="24" t="inlineStr">
        <is>
          <t>incl.</t>
        </is>
      </c>
      <c r="J79" s="122" t="n">
        <v>0.21</v>
      </c>
      <c r="K79" s="116" t="n">
        <v>1</v>
      </c>
      <c r="L79" s="24" t="inlineStr">
        <is>
          <t>per piece</t>
        </is>
      </c>
      <c r="M79" s="36" t="inlineStr">
        <is>
          <t>=IF(OR(G72="",J72="",K72=""),"",ROUND(IF(I72="incl.",G72/(1+J72),G72)/IF(L72="per pack",K72,1),2))</t>
        </is>
      </c>
      <c r="N79" s="24" t="inlineStr">
        <is>
          <t>APPROX</t>
        </is>
      </c>
      <c r="O79" s="24" t="inlineStr">
        <is>
          <t>370 x 530 mm but polyester + fibreglass, not ABS/PP. 239 CZK bez DPH. No ABS/PP 37 x 53 tray listed.</t>
        </is>
      </c>
      <c r="P79" s="24" t="inlineStr">
        <is>
          <t>2026-09-30</t>
        </is>
      </c>
      <c r="Q79" s="36" t="inlineStr">
        <is>
          <t>=IFERROR(INDEX(Competitors!$N$2:$N$50,MATCH(C72,Competitors!$A$2:$A$50,0)),"no")</t>
        </is>
      </c>
      <c r="R79" s="36" t="inlineStr">
        <is>
          <t>=IF(AND(Q72="yes",OR(N72="EXACT",N72="CLOSE"),ISNUMBER(M72)),"yes","no")</t>
        </is>
      </c>
      <c r="S79" s="24" t="n"/>
      <c r="T79" s="24" t="n"/>
      <c r="U79" s="24" t="n"/>
      <c r="V79" s="2" t="n"/>
      <c r="W79" s="2" t="n"/>
      <c r="X79" s="2" t="n"/>
      <c r="Y79" s="2" t="n"/>
      <c r="Z79" s="2" t="n"/>
      <c r="AA79" s="2" t="n"/>
      <c r="AB79" s="2" t="n"/>
      <c r="AC79" s="2" t="n"/>
    </row>
    <row r="80" ht="78" customHeight="1">
      <c r="A80" s="2" t="n"/>
      <c r="B80" s="27" t="inlineStr">
        <is>
          <t>Insulated thermo tray with lid, 5-6 compartments</t>
        </is>
      </c>
      <c r="C80" s="27" t="inlineStr">
        <is>
          <t>Gastrozone</t>
        </is>
      </c>
      <c r="D80" s="27" t="inlineStr">
        <is>
          <t>MENÜMOBIL ECO-Classic-Box EPP</t>
        </is>
      </c>
      <c r="E80" s="27" t="inlineStr">
        <is>
          <t>MENÜMOBIL</t>
        </is>
      </c>
      <c r="F80" s="28" t="inlineStr">
        <is>
          <t>https://www.gastrozone.cz/menumobil-eco-classic-box-epp.html</t>
        </is>
      </c>
      <c r="G80" s="102" t="n">
        <v>2150</v>
      </c>
      <c r="H80" s="27" t="inlineStr">
        <is>
          <t>CZK</t>
        </is>
      </c>
      <c r="I80" s="27" t="inlineStr">
        <is>
          <t>incl.</t>
        </is>
      </c>
      <c r="J80" s="123" t="n">
        <v>0.21</v>
      </c>
      <c r="K80" s="117" t="n">
        <v>1</v>
      </c>
      <c r="L80" s="27" t="inlineStr">
        <is>
          <t>per piece</t>
        </is>
      </c>
      <c r="M80" s="38" t="inlineStr">
        <is>
          <t>=IF(OR(G73="",J73="",K73=""),"",ROUND(IF(I73="incl.",G73/(1+J73),G73)/IF(L73="per pack",K73,1),2))</t>
        </is>
      </c>
      <c r="N80" s="27" t="inlineStr">
        <is>
          <t>APPROX</t>
        </is>
      </c>
      <c r="O80" s="27" t="inlineStr">
        <is>
          <t>Insulated EPP meal-tray transport box (400 x 310 x 110 mm) for plates/bowls; number of compartments not stated and dishes sold separately - not a moulded 5-6 compartment thermo tray. 1,777 CZK bez DPH.</t>
        </is>
      </c>
      <c r="P80" s="27" t="inlineStr">
        <is>
          <t>2026-09-30</t>
        </is>
      </c>
      <c r="Q80" s="38" t="inlineStr">
        <is>
          <t>=IFERROR(INDEX(Competitors!$N$2:$N$50,MATCH(C73,Competitors!$A$2:$A$50,0)),"no")</t>
        </is>
      </c>
      <c r="R80" s="38" t="inlineStr">
        <is>
          <t>=IF(AND(Q73="yes",OR(N73="EXACT",N73="CLOSE"),ISNUMBER(M73)),"yes","no")</t>
        </is>
      </c>
      <c r="S80" s="27" t="n"/>
      <c r="T80" s="27" t="n"/>
      <c r="U80" s="27" t="n"/>
      <c r="V80" s="2" t="n"/>
      <c r="W80" s="2" t="n"/>
      <c r="X80" s="2" t="n"/>
      <c r="Y80" s="2" t="n"/>
      <c r="Z80" s="2" t="n"/>
      <c r="AA80" s="2" t="n"/>
      <c r="AB80" s="2" t="n"/>
      <c r="AC80" s="2" t="n"/>
    </row>
    <row r="81" ht="31" customHeight="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row>
    <row r="82" ht="31" customHeight="1">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row>
    <row r="83" ht="31" customHeight="1">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row>
    <row r="84" ht="31" customHeight="1">
      <c r="A84" s="2" t="n"/>
      <c r="B84" s="7" t="inlineStr">
        <is>
          <t>Competitors</t>
        </is>
      </c>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row>
    <row r="85" ht="36" customHeight="1">
      <c r="A85" s="2" t="n"/>
      <c r="B85" s="16" t="inlineStr">
        <is>
          <t>Name</t>
        </is>
      </c>
      <c r="C85" s="17" t="inlineStr">
        <is>
          <t>URL</t>
        </is>
      </c>
      <c r="D85" s="17" t="inlineStr">
        <is>
          <t>Type (local / pan-EU / marketplace)</t>
        </is>
      </c>
      <c r="E85" s="17" t="inlineStr">
        <is>
          <t>B2B / B2C focus</t>
        </is>
      </c>
      <c r="F85" s="17" t="inlineStr">
        <is>
          <t>Prices shown incl./excl. VAT</t>
        </is>
      </c>
      <c r="G85" s="17" t="inlineStr">
        <is>
          <t>Shipping to Czechia</t>
        </is>
      </c>
      <c r="H85" s="17" t="inlineStr">
        <is>
          <t>Shipping to Austria (business address)</t>
        </is>
      </c>
      <c r="I85" s="17" t="inlineStr">
        <is>
          <t>Shipping VAT treatment</t>
        </is>
      </c>
      <c r="J85" s="17" t="inlineStr">
        <is>
          <t>Free-shipping threshold</t>
        </is>
      </c>
      <c r="K85" s="17" t="inlineStr">
        <is>
          <t>Minimum order value</t>
        </is>
      </c>
      <c r="L85" s="17" t="inlineStr">
        <is>
          <t>Shipping / terms source URL(s)</t>
        </is>
      </c>
      <c r="M85" s="17" t="inlineStr">
        <is>
          <t>Counted (yes/no)</t>
        </is>
      </c>
      <c r="N85" s="17" t="inlineStr">
        <is>
          <t>Notes</t>
        </is>
      </c>
      <c r="O85" s="18" t="inlineStr">
        <is>
          <t>Counted (yes/no) (saved value)</t>
        </is>
      </c>
      <c r="P85" s="2" t="n"/>
      <c r="Q85" s="2" t="n"/>
      <c r="R85" s="2" t="n"/>
      <c r="S85" s="2" t="n"/>
      <c r="T85" s="2" t="n"/>
      <c r="U85" s="2" t="n"/>
      <c r="V85" s="2" t="n"/>
      <c r="W85" s="2" t="n"/>
      <c r="X85" s="2" t="n"/>
      <c r="Y85" s="2" t="n"/>
      <c r="Z85" s="2" t="n"/>
      <c r="AA85" s="2" t="n"/>
      <c r="AB85" s="2" t="n"/>
      <c r="AC85" s="2" t="n"/>
    </row>
    <row r="86" ht="162" customHeight="1">
      <c r="A86" s="2" t="n"/>
      <c r="B86" s="24" t="inlineStr">
        <is>
          <t>TOMGAST</t>
        </is>
      </c>
      <c r="C86" s="25" t="inlineStr">
        <is>
          <t>https://www.tomgast.cz/</t>
        </is>
      </c>
      <c r="D86" s="24" t="inlineStr">
        <is>
          <t>local</t>
        </is>
      </c>
      <c r="E86" s="24" t="inlineStr">
        <is>
          <t>B2B + B2C (HORECA specialist; sells to consumers and businesses)</t>
        </is>
      </c>
      <c r="F86" s="24" t="inlineStr">
        <is>
          <t>Both shown: incl. 21% VAT as main price, "bez DPH" (excl. VAT) shown alongside</t>
        </is>
      </c>
      <c r="G86" s="24" t="inlineStr">
        <is>
          <t>GLS 149 CZK or PPL to address 149 CZK; personal pick-up Karviná free; cash on delivery +39 CZK</t>
        </is>
      </c>
      <c r="H86" s="24" t="inlineStr">
        <is>
          <t>Not offered: checkout country list contains only Czech Republic and Slovakia (checked in cart 2026-09-30). No Austrian shipping rate published.</t>
        </is>
      </c>
      <c r="I86" s="24" t="inlineStr">
        <is>
          <t>Shipping incl. 21% VAT (checkout: 1,440 CZK item + 149 CZK shipping = 1,589 CZK total, 1,313.22 CZK excl. VAT)</t>
        </is>
      </c>
      <c r="J86" s="24" t="inlineStr">
        <is>
          <t>Over 6,000 CZK (shipping page says "nad 6 000 Kč"; site header says "Objednávky nad 6 000 Kč bez DPH doručíme zdarma" i.e. 6,000 CZK excl. VAT)</t>
        </is>
      </c>
      <c r="K86" s="24" t="inlineStr">
        <is>
          <t>Not stated</t>
        </is>
      </c>
      <c r="L86" s="25" t="inlineStr">
        <is>
          <t>https://www.tomgast.cz/doprava-a-platba/ ; https://www.tomgast.cz/obchodni-podminky/ ; checkout https://www.tomgast.cz/objednavka/krok-1/</t>
        </is>
      </c>
      <c r="M86" s="36" t="inlineStr">
        <is>
          <t>=IF(L2&gt;=6,"yes","no")</t>
        </is>
      </c>
      <c r="N86" s="24" t="inlineStr">
        <is>
          <t>Karviná-based HORECA wholesaler (TOMGAST Czech Republic s.r.o.), large Cambro range. Prices public without login. Stock status shown per item; some chosen items are "Očekáváme naskladnění" (awaiting stock).</t>
        </is>
      </c>
      <c r="O86" s="24" t="n"/>
      <c r="P86" s="2" t="n"/>
      <c r="Q86" s="2" t="n"/>
      <c r="R86" s="2" t="n"/>
      <c r="S86" s="2" t="n"/>
      <c r="T86" s="2" t="n"/>
      <c r="U86" s="2" t="n"/>
      <c r="V86" s="2" t="n"/>
      <c r="W86" s="2" t="n"/>
      <c r="X86" s="2" t="n"/>
      <c r="Y86" s="2" t="n"/>
      <c r="Z86" s="2" t="n"/>
      <c r="AA86" s="2" t="n"/>
      <c r="AB86" s="2" t="n"/>
      <c r="AC86" s="2" t="n"/>
    </row>
    <row r="87" ht="246" customHeight="1">
      <c r="A87" s="2" t="n"/>
      <c r="B87" s="27" t="inlineStr">
        <is>
          <t>Gastro Novotný</t>
        </is>
      </c>
      <c r="C87" s="28" t="inlineStr">
        <is>
          <t>https://eshop.gastronovotny.cz/</t>
        </is>
      </c>
      <c r="D87" s="27" t="inlineStr">
        <is>
          <t>local</t>
        </is>
      </c>
      <c r="E87" s="27" t="inlineStr">
        <is>
          <t>B2B-oriented wholesale ("Velkoobchod s gastro vybavením"), also sells to consumers (consumer withdrawal rights in T&amp;C)</t>
        </is>
      </c>
      <c r="F87" s="27" t="inlineStr">
        <is>
          <t>Main price excl. VAT; "včetně DPH" (incl. 21% VAT) shown alongside</t>
        </is>
      </c>
      <c r="G87" s="27" t="inlineStr">
        <is>
          <t>Checkout options: PPL up to 20 kg 275 CZK; TopTrans (large/atypical items) 990 CZK; personal pick-up Brno free; cash on delivery +45 CZK</t>
        </is>
      </c>
      <c r="H87" s="27" t="inlineStr">
        <is>
          <t>Not offered: checkout step 2 offers only "Česká republika" as billing/delivery country (checked 2026-09-30). No Austrian rate published.</t>
        </is>
      </c>
      <c r="I87" s="27" t="inlineStr">
        <is>
          <t>Shipping prices shown excl. VAT (PPL 275 CZK = 332.75 CZK incl. VAT in checkout)</t>
        </is>
      </c>
      <c r="J87" s="27" t="inlineStr">
        <is>
          <t>No general free-shipping threshold published; some individual products (e.g. Liebherr appliances) flagged "Doprava ZDARMA"</t>
        </is>
      </c>
      <c r="K87" s="27" t="inlineStr">
        <is>
          <t>500 CZK excl. VAT (cart: "Minimální cena objednávky je 500 Kč bez DPH")</t>
        </is>
      </c>
      <c r="L87" s="28" t="inlineStr">
        <is>
          <t>https://eshop.gastronovotny.cz/obchodni-podminky/ ; checkout https://eshop.gastronovotny.cz/objednavka/krok-1/</t>
        </is>
      </c>
      <c r="M87" s="38" t="inlineStr">
        <is>
          <t>=IF(L3&gt;=6,"yes","no")</t>
        </is>
      </c>
      <c r="N87" s="27" t="inlineStr">
        <is>
          <t>GASTRO NOVOTNÝ, družstvo, Brno. Prices public without login. Many items show availability "Na dotaz" (availability on request) while the price is displayed - recorded as listed prices; noted per item. No squeeze bottle near 1,000 ml, no triple-tip bottle, no pump dispenser, no 300 x 200 board, no dough-box lid, no thermo tray found.</t>
        </is>
      </c>
      <c r="O87" s="27" t="n"/>
      <c r="P87" s="2" t="n"/>
      <c r="Q87" s="2" t="n"/>
      <c r="R87" s="2" t="n"/>
      <c r="S87" s="2" t="n"/>
      <c r="T87" s="2" t="n"/>
      <c r="U87" s="2" t="n"/>
      <c r="V87" s="2" t="n"/>
      <c r="W87" s="2" t="n"/>
      <c r="X87" s="2" t="n"/>
      <c r="Y87" s="2" t="n"/>
      <c r="Z87" s="2" t="n"/>
      <c r="AA87" s="2" t="n"/>
      <c r="AB87" s="2" t="n"/>
      <c r="AC87" s="2" t="n"/>
    </row>
    <row r="88" ht="218" customHeight="1">
      <c r="A88" s="2" t="n"/>
      <c r="B88" s="24" t="inlineStr">
        <is>
          <t>Gastrozone</t>
        </is>
      </c>
      <c r="C88" s="25" t="inlineStr">
        <is>
          <t>https://www.gastrozone.cz/</t>
        </is>
      </c>
      <c r="D88" s="24" t="inlineStr">
        <is>
          <t>local</t>
        </is>
      </c>
      <c r="E88" s="24" t="inlineStr">
        <is>
          <t>B2C + B2B (gastro and household range; published T&amp;C are written for consumers and state they do not apply to business buyers)</t>
        </is>
      </c>
      <c r="F88" s="24" t="inlineStr">
        <is>
          <t>Main price incl. 21% VAT; "bez DPH" (excl. VAT) shown below on product pages</t>
        </is>
      </c>
      <c r="G88" s="24" t="inlineStr">
        <is>
          <t>Address delivery (DPD/GLS/PPL, carrier chosen by shop) 95 CZK; pick-up points 49-79 CZK (GLS ParcelShop 49, Balíkovna 59, Zásilkovna 65, PPL Smart 69, DPD Pickup 79); cash on delivery +35 CZK approx.; pick-up Tábor warehouse free. Bulky goods: special transport agreed individually.</t>
        </is>
      </c>
      <c r="H88" s="24" t="inlineStr">
        <is>
          <t>No published rate: "Doprava do zahraničí" - price set individually from carriers' tariffs and quoted on request before order confirmation; invoiced under destination-country VAT rules. Quote required.</t>
        </is>
      </c>
      <c r="I88" s="24" t="inlineStr">
        <is>
          <t>Shipping prices shown incl. VAT ("s DPH")</t>
        </is>
      </c>
      <c r="J88" s="24" t="inlineStr">
        <is>
          <t>All CZ delivery and pick-up options free for orders over 3,000 CZK incl. VAT (CZ only)</t>
        </is>
      </c>
      <c r="K88" s="24" t="inlineStr">
        <is>
          <t>Not stated</t>
        </is>
      </c>
      <c r="L88" s="25" t="inlineStr">
        <is>
          <t>https://www.gastrozone.cz/informace/doprava-a-platba/ ; https://www.gastrozone.cz/informace/obchodni-podminky/</t>
        </is>
      </c>
      <c r="M88" s="36" t="inlineStr">
        <is>
          <t>=IF(L4&gt;=6,"yes","no")</t>
        </is>
      </c>
      <c r="N88" s="24" t="inlineStr">
        <is>
          <t>GASTROZONE, spol. s r.o., Tábor. Broad multi-brand range (Araven, APS, Pujadas, Cambro, Hendi, Schneider, Contacto). Prices public without login. Several chosen items are "Na objednávku (3-5 týdnů)" (to order); noted per item.</t>
        </is>
      </c>
      <c r="O88" s="24" t="n"/>
      <c r="P88" s="2" t="n"/>
      <c r="Q88" s="2" t="n"/>
      <c r="R88" s="2" t="n"/>
      <c r="S88" s="2" t="n"/>
      <c r="T88" s="2" t="n"/>
      <c r="U88" s="2" t="n"/>
      <c r="V88" s="2" t="n"/>
      <c r="W88" s="2" t="n"/>
      <c r="X88" s="2" t="n"/>
      <c r="Y88" s="2" t="n"/>
      <c r="Z88" s="2" t="n"/>
      <c r="AA88" s="2" t="n"/>
      <c r="AB88" s="2" t="n"/>
      <c r="AC88" s="2" t="n"/>
    </row>
    <row r="89" ht="288" customHeight="1">
      <c r="A89" s="2" t="n"/>
      <c r="B89" s="27" t="inlineStr">
        <is>
          <t>Gastromania</t>
        </is>
      </c>
      <c r="C89" s="28" t="inlineStr">
        <is>
          <t>https://www.gastromania.cz/</t>
        </is>
      </c>
      <c r="D89" s="27" t="inlineStr">
        <is>
          <t>local</t>
        </is>
      </c>
      <c r="E89" s="27" t="inlineStr">
        <is>
          <t>B2B + B2C (HORECA equipment "velkoobchod"; consumer T&amp;C; separate B2B reseller programme)</t>
        </is>
      </c>
      <c r="F89" s="27" t="inlineStr">
        <is>
          <t>Both shown: "bez DPH" (excl.) and "s DPH" (incl. 21% VAT); prices injected by JavaScript (read with a rendering browser)</t>
        </is>
      </c>
      <c r="G89" s="27" t="inlineStr">
        <is>
          <t>PPL: 109 CZK with bank transfer/online payment, 169 CZK cash on delivery (parcels up to 31.5 kg, max 60x60x120 cm); oversize, &gt;31.5 kg or pallet shipments priced individually at order confirmation</t>
        </is>
      </c>
      <c r="H89" s="27" t="inlineStr">
        <is>
          <t>Not published: T&amp;C state that published delivery costs apply only to delivery within the Czech Republic; no Austrian rate or foreign-delivery terms found (quote would be needed).</t>
        </is>
      </c>
      <c r="I89" s="27" t="inlineStr">
        <is>
          <t>Shipping VAT treatment not stated explicitly for the 109/169 CZK fees (free-shipping threshold is stated incl. VAT)</t>
        </is>
      </c>
      <c r="J89" s="27" t="inlineStr">
        <is>
          <t>Over 7,000 CZK incl. VAT ("Při nákupu nad 7000 Kč s DPH je doprava zdarma")</t>
        </is>
      </c>
      <c r="K89" s="27" t="inlineStr">
        <is>
          <t>Not stated (20% deposit required for orders over 10,000 CZK incl. VAT and made-to-order goods)</t>
        </is>
      </c>
      <c r="L89" s="28" t="inlineStr">
        <is>
          <t>https://www.gastromania.cz/zpusoby-dopravy.html ; https://www.gastromania.cz/obchodni-podminky.html</t>
        </is>
      </c>
      <c r="M89" s="38" t="inlineStr">
        <is>
          <t>=IF(L5&gt;=6,"yes","no")</t>
        </is>
      </c>
      <c r="N89" s="27" t="inlineStr">
        <is>
          <t>Ostrava-area HORECA shop with CZ/SK storefronts. Multi-brand (Hendi, Contacto, Stalgast, APS, Redfox, Cambro, Yato) and also lists TOMGAST-branded items at identical prices to tomgast.cz. Many items show a crossed-out base price with a current discounted price; the current price for 1 pc is recorded and discounts noted. Where several variants match equally, the lowest current price was taken.</t>
        </is>
      </c>
      <c r="O89" s="27" t="n"/>
      <c r="P89" s="2" t="n"/>
      <c r="Q89" s="2" t="n"/>
      <c r="R89" s="2" t="n"/>
      <c r="S89" s="2" t="n"/>
      <c r="T89" s="2" t="n"/>
      <c r="U89" s="2" t="n"/>
      <c r="V89" s="2" t="n"/>
      <c r="W89" s="2" t="n"/>
      <c r="X89" s="2" t="n"/>
      <c r="Y89" s="2" t="n"/>
      <c r="Z89" s="2" t="n"/>
      <c r="AA89" s="2" t="n"/>
      <c r="AB89" s="2" t="n"/>
      <c r="AC89" s="2" t="n"/>
    </row>
    <row r="90" ht="400" customHeight="1">
      <c r="A90" s="2" t="n"/>
      <c r="B90" s="24" t="inlineStr">
        <is>
          <t>GGM Gastro (CZ storefront)</t>
        </is>
      </c>
      <c r="C90" s="25" t="inlineStr">
        <is>
          <t>https://www.ggmgastro.com/cs-cz-czk/</t>
        </is>
      </c>
      <c r="D90" s="24" t="inlineStr">
        <is>
          <t>pan-EU</t>
        </is>
      </c>
      <c r="E90" s="24" t="inlineStr">
        <is>
          <t>B2B only (site footer: offers aimed exclusively at commercial customers per §14 BGB, not consumers)</t>
        </is>
      </c>
      <c r="F90" s="24" t="inlineStr">
        <is>
          <t>Excl. VAT (net CZK) shown as main price; gross shown "vč. 19% DPH" - the CZ storefront applies German 19% VAT, not Czech 21%</t>
        </is>
      </c>
      <c r="G90" s="24" t="inlineStr">
        <is>
          <t>Product pages show "Doprava zdarma**" and footnote "Všechny ceny plus DPH 19 %, včetně dodávky" (prices include delivery); site banner "Doprava zdarma po celé Evropě na všechny objednávky". ** = mainland only; island surcharge.</t>
        </is>
      </c>
      <c r="H90" s="24" t="inlineStr">
        <is>
          <t>No specific Austrian rate on the CZ storefront; site banner claims free delivery across Europe on all orders, but the shipping-cost page (English text) says its listed rates (free from 30 EUR net; insured 9.90 EUR, lifting platform 19.90/29.90 EUR, express from 49.90 EUR) apply to the German mainland only and other European countries must request a quote. Austrian customers are normally served via the de-at-eur storefront.</t>
        </is>
      </c>
      <c r="I90" s="24" t="inlineStr">
        <is>
          <t>Shipping stated as included in prices (net); where charged, rates on shipping-cost page are in EUR net</t>
        </is>
      </c>
      <c r="J90" s="24" t="inlineStr">
        <is>
          <t>Free shipping claimed on all orders (Europe-wide banner); shipping-cost page: free from 30 EUR net purchase value (German mainland)</t>
        </is>
      </c>
      <c r="K90" s="24" t="inlineStr">
        <is>
          <t>Not stated (free-shipping reference value 30 EUR net)</t>
        </is>
      </c>
      <c r="L90" s="25" t="inlineStr">
        <is>
          <t>https://www.ggmgastro.com/cs-cz-czk/shipping-cost ; https://www.ggmgastro.com/cs-cz-czk/terms</t>
        </is>
      </c>
      <c r="M90" s="36" t="inlineStr">
        <is>
          <t>=IF(L6&gt;=6,"yes","no")</t>
        </is>
      </c>
      <c r="N90" s="24" t="inlineStr">
        <is>
          <t>GGM Gastro International GmbH (Germany), Czech-language CZK storefront. Site search and pages are JavaScript-rendered and block headless browsers; products were located via the public product sitemap and read in a full (non-headless) browser. Many products are sold in multi-packs (price per pack; per-piece net computed). Some pages show odd bulk banners (e.g. "30 929,19 Kč Sleva-10%") not used. No 300 x 200 board, no triple-tip bottle (only a 3-hole membrane accessory FFO-055), no separate 600x400 dough-box lid and no thermo tray found.</t>
        </is>
      </c>
      <c r="O90" s="24" t="n"/>
      <c r="P90" s="2" t="n"/>
      <c r="Q90" s="2" t="n"/>
      <c r="R90" s="2" t="n"/>
      <c r="S90" s="2" t="n"/>
      <c r="T90" s="2" t="n"/>
      <c r="U90" s="2" t="n"/>
      <c r="V90" s="2" t="n"/>
      <c r="W90" s="2" t="n"/>
      <c r="X90" s="2" t="n"/>
      <c r="Y90" s="2" t="n"/>
      <c r="Z90" s="2" t="n"/>
      <c r="AA90" s="2" t="n"/>
      <c r="AB90" s="2" t="n"/>
      <c r="AC90" s="2" t="n"/>
    </row>
    <row r="91" ht="204" customHeight="1">
      <c r="A91" s="2" t="n"/>
      <c r="B91" s="27" t="inlineStr">
        <is>
          <t>MAKRO Czechia</t>
        </is>
      </c>
      <c r="C91" s="28" t="inlineStr">
        <is>
          <t>https://www.makro.cz/</t>
        </is>
      </c>
      <c r="D91" s="27" t="inlineStr">
        <is>
          <t>local</t>
        </is>
      </c>
      <c r="E91" s="27" t="inlineStr">
        <is>
          <t>B2B (cash &amp; carry wholesaler; makro customer card / registration)</t>
        </is>
      </c>
      <c r="F91" s="27" t="inlineStr">
        <is>
          <t>Hidden: product listings on sortiment.makro.cz show "Pro zobrazení cen se prosím přihlaste" (log in to see prices)</t>
        </is>
      </c>
      <c r="G91" s="27" t="inlineStr">
        <is>
          <t>"makro distribuce" delivery service (m-objednávka) for registered customers; only requirement stated is a minimum order value (amount not published publicly). Otherwise in-store purchase ("Nakoupíte v obchodě").</t>
        </is>
      </c>
      <c r="H91" s="27" t="inlineStr">
        <is>
          <t>Not offered / not published</t>
        </is>
      </c>
      <c r="I91" s="27" t="inlineStr">
        <is>
          <t>Not published</t>
        </is>
      </c>
      <c r="J91" s="27" t="inlineStr">
        <is>
          <t>Not published</t>
        </is>
      </c>
      <c r="K91" s="27" t="inlineStr">
        <is>
          <t>Minimum order value required for makro distribuce - amount not shown publicly</t>
        </is>
      </c>
      <c r="L91" s="28" t="inlineStr">
        <is>
          <t>https://www.makro.cz/makro-distribuce ; https://sortiment.makro.cz/shop/search?q=gastron%C3%A1doba%20polykarbon%C3%A1t</t>
        </is>
      </c>
      <c r="M91" s="27" t="inlineStr">
        <is>
          <t>no</t>
        </is>
      </c>
      <c r="N91" s="27" t="inlineStr">
        <is>
          <t>Login-only prices - NOT COUNTED. Relevant items exist in the catalogue (e.g. METRO PROFESSIONAL polycarbonate GN 1/1 and 1/2 150 mm containers, APS and Hendi GN containers) but no price is publicly readable. www.makro.cz returns HTTP 403 to plain scripts; readable in a browser.</t>
        </is>
      </c>
      <c r="O91" s="27" t="n"/>
      <c r="P91" s="2" t="n"/>
      <c r="Q91" s="2" t="n"/>
      <c r="R91" s="2" t="n"/>
      <c r="S91" s="2" t="n"/>
      <c r="T91" s="2" t="n"/>
      <c r="U91" s="2" t="n"/>
      <c r="V91" s="2" t="n"/>
      <c r="W91" s="2" t="n"/>
      <c r="X91" s="2" t="n"/>
      <c r="Y91" s="2" t="n"/>
      <c r="Z91" s="2" t="n"/>
      <c r="AA91" s="2" t="n"/>
      <c r="AB91" s="2" t="n"/>
      <c r="AC91" s="2" t="n"/>
    </row>
    <row r="92" ht="344" customHeight="1">
      <c r="A92" s="2" t="n"/>
      <c r="B92" s="24" t="inlineStr">
        <is>
          <t>A GASTRO</t>
        </is>
      </c>
      <c r="C92" s="25" t="inlineStr">
        <is>
          <t>https://agastro.cz/</t>
        </is>
      </c>
      <c r="D92" s="24" t="inlineStr">
        <is>
          <t>local</t>
        </is>
      </c>
      <c r="E92" s="24" t="inlineStr">
        <is>
          <t>Unknown (HORECA equipment shop per search-engine snippets)</t>
        </is>
      </c>
      <c r="F92" s="24" t="inlineStr">
        <is>
          <t>Not readable - site blocked (Cloudflare security check / HTTP 403)</t>
        </is>
      </c>
      <c r="G92" s="24" t="inlineStr">
        <is>
          <t>Not readable</t>
        </is>
      </c>
      <c r="H92" s="24" t="inlineStr">
        <is>
          <t>Not readable</t>
        </is>
      </c>
      <c r="I92" s="24" t="inlineStr">
        <is>
          <t>Not readable</t>
        </is>
      </c>
      <c r="J92" s="24" t="inlineStr">
        <is>
          <t>Not readable</t>
        </is>
      </c>
      <c r="K92" s="24" t="inlineStr">
        <is>
          <t>Not readable</t>
        </is>
      </c>
      <c r="L92" s="25" t="inlineStr">
        <is>
          <t>https://agastro.cz/</t>
        </is>
      </c>
      <c r="M92" s="24" t="inlineStr">
        <is>
          <t>no</t>
        </is>
      </c>
      <c r="N92" s="24" t="inlineStr">
        <is>
          <t>NOT COUNTED - access error. Every URL tried (home, robots.txt, sitemap.xml, www/eshop subdomains, category pages) returns HTTP 403 or a Cloudflare "Provádění bezpečnostního ověření" challenge, both to scripts and to a full browser; the web-fetch tool also gets 403. Search-engine results show category pages such as /gastronadoby-vacbox/, /gastronadoby-zmrlinove/ and /detail/21689/, but no price could be verified, so none recorded. Needs a manual check in a normal browser.</t>
        </is>
      </c>
      <c r="O92" s="24" t="n"/>
      <c r="P92" s="2" t="n"/>
      <c r="Q92" s="2" t="n"/>
      <c r="R92" s="2" t="n"/>
      <c r="S92" s="2" t="n"/>
      <c r="T92" s="2" t="n"/>
      <c r="U92" s="2" t="n"/>
      <c r="V92" s="2" t="n"/>
      <c r="W92" s="2" t="n"/>
      <c r="X92" s="2" t="n"/>
      <c r="Y92" s="2" t="n"/>
      <c r="Z92" s="2" t="n"/>
      <c r="AA92" s="2" t="n"/>
      <c r="AB92" s="2" t="n"/>
      <c r="AC92" s="2" t="n"/>
    </row>
    <row r="93" ht="31" customHeight="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row>
    <row r="94" ht="31" customHeight="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row>
    <row r="95" ht="31" customHeight="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row>
    <row r="96" ht="31" customHeight="1">
      <c r="A96" s="2" t="n"/>
      <c r="B96" s="7" t="inlineStr">
        <is>
          <t>Summary</t>
        </is>
      </c>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row>
    <row r="97" ht="36" customHeight="1">
      <c r="A97" s="2" t="n"/>
      <c r="B97" s="16" t="inlineStr">
        <is>
          <t>Item description</t>
        </is>
      </c>
      <c r="C97" s="17" t="inlineStr">
        <is>
          <t>Min net/pc CZK</t>
        </is>
      </c>
      <c r="D97" s="17" t="inlineStr">
        <is>
          <t>Median net/pc CZK</t>
        </is>
      </c>
      <c r="E97" s="17" t="inlineStr">
        <is>
          <t>Max net/pc CZK</t>
        </is>
      </c>
      <c r="F97" s="17" t="inlineStr">
        <is>
          <t>Competitors in statistics</t>
        </is>
      </c>
      <c r="G97" s="17" t="inlineStr">
        <is>
          <t>Min net/pc CZK (saved value)</t>
        </is>
      </c>
      <c r="H97" s="17" t="inlineStr">
        <is>
          <t>Median net/pc CZK (saved value)</t>
        </is>
      </c>
      <c r="I97" s="17" t="inlineStr">
        <is>
          <t>Max net/pc CZK (saved value)</t>
        </is>
      </c>
      <c r="J97" s="18" t="inlineStr">
        <is>
          <t>Competitors in statistics (saved value)</t>
        </is>
      </c>
      <c r="K97" s="2" t="n"/>
      <c r="L97" s="2" t="n"/>
      <c r="M97" s="2" t="n"/>
      <c r="N97" s="2" t="n"/>
      <c r="O97" s="2" t="n"/>
      <c r="P97" s="2" t="n"/>
      <c r="Q97" s="2" t="n"/>
      <c r="R97" s="2" t="n"/>
      <c r="S97" s="2" t="n"/>
      <c r="T97" s="2" t="n"/>
      <c r="U97" s="2" t="n"/>
      <c r="V97" s="2" t="n"/>
      <c r="W97" s="2" t="n"/>
      <c r="X97" s="2" t="n"/>
      <c r="Y97" s="2" t="n"/>
      <c r="Z97" s="2" t="n"/>
      <c r="AA97" s="2" t="n"/>
      <c r="AB97" s="2" t="n"/>
      <c r="AC97" s="2" t="n"/>
    </row>
    <row r="98" ht="78" customHeight="1">
      <c r="A98" s="2" t="n"/>
      <c r="B98" s="24" t="inlineStr">
        <is>
          <t>GN 1/1 polycarbonate container, 65 mm deep</t>
        </is>
      </c>
      <c r="C98" s="36" t="inlineStr">
        <is>
          <t>=IF(C2=0,"",MIN(IF((Prices!$A$2:$A$600=A2)*(Prices!$R$2:$R$600="yes"),Prices!$M$2:$M$600)))</t>
        </is>
      </c>
      <c r="D98" s="36" t="inlineStr">
        <is>
          <t>=IF(C2=0,"",MEDIAN(IF((Prices!$A$2:$A$600=A2)*(Prices!$R$2:$R$600="yes"),Prices!$M$2:$M$600)))</t>
        </is>
      </c>
      <c r="E98" s="36" t="inlineStr">
        <is>
          <t>=IF(C2=0,"",MAX(IF((Prices!$A$2:$A$600=A2)*(Prices!$R$2:$R$600="yes"),Prices!$M$2:$M$600)))</t>
        </is>
      </c>
      <c r="F98" s="36" t="inlineStr">
        <is>
          <t>=IF(C2=0,"",_xlfn.TEXTJOIN(", ",TRUE,IF((Prices!$A$2:$A$600=A2)*(Prices!$R$2:$R$600="yes"),Prices!$C$2:$C$600,"")))</t>
        </is>
      </c>
      <c r="G98" s="24" t="n"/>
      <c r="H98" s="24" t="n"/>
      <c r="I98" s="24" t="n"/>
      <c r="J98" s="24" t="n"/>
      <c r="K98" s="2" t="n"/>
      <c r="L98" s="2" t="n"/>
      <c r="M98" s="2" t="n"/>
      <c r="N98" s="2" t="n"/>
      <c r="O98" s="2" t="n"/>
      <c r="P98" s="2" t="n"/>
      <c r="Q98" s="2" t="n"/>
      <c r="R98" s="2" t="n"/>
      <c r="S98" s="2" t="n"/>
      <c r="T98" s="2" t="n"/>
      <c r="U98" s="2" t="n"/>
      <c r="V98" s="2" t="n"/>
      <c r="W98" s="2" t="n"/>
      <c r="X98" s="2" t="n"/>
      <c r="Y98" s="2" t="n"/>
      <c r="Z98" s="2" t="n"/>
      <c r="AA98" s="2" t="n"/>
      <c r="AB98" s="2" t="n"/>
      <c r="AC98" s="2" t="n"/>
    </row>
    <row r="99" ht="78" customHeight="1">
      <c r="A99" s="2" t="n"/>
      <c r="B99" s="27" t="inlineStr">
        <is>
          <t>GN 1/2 polycarbonate container, 150 mm deep</t>
        </is>
      </c>
      <c r="C99" s="38" t="inlineStr">
        <is>
          <t>=IF(C3=0,"",MIN(IF((Prices!$A$2:$A$600=A3)*(Prices!$R$2:$R$600="yes"),Prices!$M$2:$M$600)))</t>
        </is>
      </c>
      <c r="D99" s="38" t="inlineStr">
        <is>
          <t>=IF(C3=0,"",MEDIAN(IF((Prices!$A$2:$A$600=A3)*(Prices!$R$2:$R$600="yes"),Prices!$M$2:$M$600)))</t>
        </is>
      </c>
      <c r="E99" s="38" t="inlineStr">
        <is>
          <t>=IF(C3=0,"",MAX(IF((Prices!$A$2:$A$600=A3)*(Prices!$R$2:$R$600="yes"),Prices!$M$2:$M$600)))</t>
        </is>
      </c>
      <c r="F99" s="38" t="inlineStr">
        <is>
          <t>=IF(C3=0,"",_xlfn.TEXTJOIN(", ",TRUE,IF((Prices!$A$2:$A$600=A3)*(Prices!$R$2:$R$600="yes"),Prices!$C$2:$C$600,"")))</t>
        </is>
      </c>
      <c r="G99" s="27" t="n"/>
      <c r="H99" s="27" t="n"/>
      <c r="I99" s="27" t="n"/>
      <c r="J99" s="27" t="n"/>
      <c r="K99" s="2" t="n"/>
      <c r="L99" s="2" t="n"/>
      <c r="M99" s="2" t="n"/>
      <c r="N99" s="2" t="n"/>
      <c r="O99" s="2" t="n"/>
      <c r="P99" s="2" t="n"/>
      <c r="Q99" s="2" t="n"/>
      <c r="R99" s="2" t="n"/>
      <c r="S99" s="2" t="n"/>
      <c r="T99" s="2" t="n"/>
      <c r="U99" s="2" t="n"/>
      <c r="V99" s="2" t="n"/>
      <c r="W99" s="2" t="n"/>
      <c r="X99" s="2" t="n"/>
      <c r="Y99" s="2" t="n"/>
      <c r="Z99" s="2" t="n"/>
      <c r="AA99" s="2" t="n"/>
      <c r="AB99" s="2" t="n"/>
      <c r="AC99" s="2" t="n"/>
    </row>
    <row r="100" ht="78" customHeight="1">
      <c r="A100" s="2" t="n"/>
      <c r="B100" s="24" t="inlineStr">
        <is>
          <t>GN 1/3 polypropylene container, 100 mm deep</t>
        </is>
      </c>
      <c r="C100" s="36" t="inlineStr">
        <is>
          <t>=IF(C4=0,"",MIN(IF((Prices!$A$2:$A$600=A4)*(Prices!$R$2:$R$600="yes"),Prices!$M$2:$M$600)))</t>
        </is>
      </c>
      <c r="D100" s="36" t="inlineStr">
        <is>
          <t>=IF(C4=0,"",MEDIAN(IF((Prices!$A$2:$A$600=A4)*(Prices!$R$2:$R$600="yes"),Prices!$M$2:$M$600)))</t>
        </is>
      </c>
      <c r="E100" s="36" t="inlineStr">
        <is>
          <t>=IF(C4=0,"",MAX(IF((Prices!$A$2:$A$600=A4)*(Prices!$R$2:$R$600="yes"),Prices!$M$2:$M$600)))</t>
        </is>
      </c>
      <c r="F100" s="36" t="inlineStr">
        <is>
          <t>=IF(C4=0,"",_xlfn.TEXTJOIN(", ",TRUE,IF((Prices!$A$2:$A$600=A4)*(Prices!$R$2:$R$600="yes"),Prices!$C$2:$C$600,"")))</t>
        </is>
      </c>
      <c r="G100" s="24" t="n"/>
      <c r="H100" s="24" t="n"/>
      <c r="I100" s="24" t="n"/>
      <c r="J100" s="24" t="n"/>
      <c r="K100" s="2" t="n"/>
      <c r="L100" s="2" t="n"/>
      <c r="M100" s="2" t="n"/>
      <c r="N100" s="2" t="n"/>
      <c r="O100" s="2" t="n"/>
      <c r="P100" s="2" t="n"/>
      <c r="Q100" s="2" t="n"/>
      <c r="R100" s="2" t="n"/>
      <c r="S100" s="2" t="n"/>
      <c r="T100" s="2" t="n"/>
      <c r="U100" s="2" t="n"/>
      <c r="V100" s="2" t="n"/>
      <c r="W100" s="2" t="n"/>
      <c r="X100" s="2" t="n"/>
      <c r="Y100" s="2" t="n"/>
      <c r="Z100" s="2" t="n"/>
      <c r="AA100" s="2" t="n"/>
      <c r="AB100" s="2" t="n"/>
      <c r="AC100" s="2" t="n"/>
    </row>
    <row r="101" ht="78" customHeight="1">
      <c r="A101" s="2" t="n"/>
      <c r="B101" s="27" t="inlineStr">
        <is>
          <t>GN 1/1 polypropylene lid</t>
        </is>
      </c>
      <c r="C101" s="38" t="inlineStr">
        <is>
          <t>=IF(C5=0,"",MIN(IF((Prices!$A$2:$A$600=A5)*(Prices!$R$2:$R$600="yes"),Prices!$M$2:$M$600)))</t>
        </is>
      </c>
      <c r="D101" s="38" t="inlineStr">
        <is>
          <t>=IF(C5=0,"",MEDIAN(IF((Prices!$A$2:$A$600=A5)*(Prices!$R$2:$R$600="yes"),Prices!$M$2:$M$600)))</t>
        </is>
      </c>
      <c r="E101" s="38" t="inlineStr">
        <is>
          <t>=IF(C5=0,"",MAX(IF((Prices!$A$2:$A$600=A5)*(Prices!$R$2:$R$600="yes"),Prices!$M$2:$M$600)))</t>
        </is>
      </c>
      <c r="F101" s="38" t="inlineStr">
        <is>
          <t>=IF(C5=0,"",_xlfn.TEXTJOIN(", ",TRUE,IF((Prices!$A$2:$A$600=A5)*(Prices!$R$2:$R$600="yes"),Prices!$C$2:$C$600,"")))</t>
        </is>
      </c>
      <c r="G101" s="27" t="n"/>
      <c r="H101" s="27" t="n"/>
      <c r="I101" s="27" t="n"/>
      <c r="J101" s="27" t="n"/>
      <c r="K101" s="2" t="n"/>
      <c r="L101" s="2" t="n"/>
      <c r="M101" s="2" t="n"/>
      <c r="N101" s="2" t="n"/>
      <c r="O101" s="2" t="n"/>
      <c r="P101" s="2" t="n"/>
      <c r="Q101" s="2" t="n"/>
      <c r="R101" s="2" t="n"/>
      <c r="S101" s="2" t="n"/>
      <c r="T101" s="2" t="n"/>
      <c r="U101" s="2" t="n"/>
      <c r="V101" s="2" t="n"/>
      <c r="W101" s="2" t="n"/>
      <c r="X101" s="2" t="n"/>
      <c r="Y101" s="2" t="n"/>
      <c r="Z101" s="2" t="n"/>
      <c r="AA101" s="2" t="n"/>
      <c r="AB101" s="2" t="n"/>
      <c r="AC101" s="2" t="n"/>
    </row>
    <row r="102" ht="78" customHeight="1">
      <c r="A102" s="2" t="n"/>
      <c r="B102" s="24" t="inlineStr">
        <is>
          <t>Squeeze bottle 500 ml, polypropylene, single tip</t>
        </is>
      </c>
      <c r="C102" s="36" t="inlineStr">
        <is>
          <t>=IF(C6=0,"",MIN(IF((Prices!$A$2:$A$600=A6)*(Prices!$R$2:$R$600="yes"),Prices!$M$2:$M$600)))</t>
        </is>
      </c>
      <c r="D102" s="36" t="inlineStr">
        <is>
          <t>=IF(C6=0,"",MEDIAN(IF((Prices!$A$2:$A$600=A6)*(Prices!$R$2:$R$600="yes"),Prices!$M$2:$M$600)))</t>
        </is>
      </c>
      <c r="E102" s="36" t="inlineStr">
        <is>
          <t>=IF(C6=0,"",MAX(IF((Prices!$A$2:$A$600=A6)*(Prices!$R$2:$R$600="yes"),Prices!$M$2:$M$600)))</t>
        </is>
      </c>
      <c r="F102" s="36" t="inlineStr">
        <is>
          <t>=IF(C6=0,"",_xlfn.TEXTJOIN(", ",TRUE,IF((Prices!$A$2:$A$600=A6)*(Prices!$R$2:$R$600="yes"),Prices!$C$2:$C$600,"")))</t>
        </is>
      </c>
      <c r="G102" s="24" t="n"/>
      <c r="H102" s="24" t="n"/>
      <c r="I102" s="24" t="n"/>
      <c r="J102" s="24" t="n"/>
      <c r="K102" s="2" t="n"/>
      <c r="L102" s="2" t="n"/>
      <c r="M102" s="2" t="n"/>
      <c r="N102" s="2" t="n"/>
      <c r="O102" s="2" t="n"/>
      <c r="P102" s="2" t="n"/>
      <c r="Q102" s="2" t="n"/>
      <c r="R102" s="2" t="n"/>
      <c r="S102" s="2" t="n"/>
      <c r="T102" s="2" t="n"/>
      <c r="U102" s="2" t="n"/>
      <c r="V102" s="2" t="n"/>
      <c r="W102" s="2" t="n"/>
      <c r="X102" s="2" t="n"/>
      <c r="Y102" s="2" t="n"/>
      <c r="Z102" s="2" t="n"/>
      <c r="AA102" s="2" t="n"/>
      <c r="AB102" s="2" t="n"/>
      <c r="AC102" s="2" t="n"/>
    </row>
    <row r="103" ht="78" customHeight="1">
      <c r="A103" s="2" t="n"/>
      <c r="B103" s="27" t="inlineStr">
        <is>
          <t>Squeeze bottle 1000 ml, polypropylene, single tip</t>
        </is>
      </c>
      <c r="C103" s="38" t="inlineStr">
        <is>
          <t>=IF(C7=0,"",MIN(IF((Prices!$A$2:$A$600=A7)*(Prices!$R$2:$R$600="yes"),Prices!$M$2:$M$600)))</t>
        </is>
      </c>
      <c r="D103" s="38" t="inlineStr">
        <is>
          <t>=IF(C7=0,"",MEDIAN(IF((Prices!$A$2:$A$600=A7)*(Prices!$R$2:$R$600="yes"),Prices!$M$2:$M$600)))</t>
        </is>
      </c>
      <c r="E103" s="38" t="inlineStr">
        <is>
          <t>=IF(C7=0,"",MAX(IF((Prices!$A$2:$A$600=A7)*(Prices!$R$2:$R$600="yes"),Prices!$M$2:$M$600)))</t>
        </is>
      </c>
      <c r="F103" s="38" t="inlineStr">
        <is>
          <t>=IF(C7=0,"",_xlfn.TEXTJOIN(", ",TRUE,IF((Prices!$A$2:$A$600=A7)*(Prices!$R$2:$R$600="yes"),Prices!$C$2:$C$600,"")))</t>
        </is>
      </c>
      <c r="G103" s="27" t="n"/>
      <c r="H103" s="27" t="n"/>
      <c r="I103" s="27" t="n"/>
      <c r="J103" s="27" t="n"/>
      <c r="K103" s="2" t="n"/>
      <c r="L103" s="2" t="n"/>
      <c r="M103" s="2" t="n"/>
      <c r="N103" s="2" t="n"/>
      <c r="O103" s="2" t="n"/>
      <c r="P103" s="2" t="n"/>
      <c r="Q103" s="2" t="n"/>
      <c r="R103" s="2" t="n"/>
      <c r="S103" s="2" t="n"/>
      <c r="T103" s="2" t="n"/>
      <c r="U103" s="2" t="n"/>
      <c r="V103" s="2" t="n"/>
      <c r="W103" s="2" t="n"/>
      <c r="X103" s="2" t="n"/>
      <c r="Y103" s="2" t="n"/>
      <c r="Z103" s="2" t="n"/>
      <c r="AA103" s="2" t="n"/>
      <c r="AB103" s="2" t="n"/>
      <c r="AC103" s="2" t="n"/>
    </row>
    <row r="104" ht="78" customHeight="1">
      <c r="A104" s="2" t="n"/>
      <c r="B104" s="24" t="inlineStr">
        <is>
          <t>Squeeze bottle 500 ml with triple tip</t>
        </is>
      </c>
      <c r="C104" s="36" t="inlineStr">
        <is>
          <t>=IF(C8=0,"",MIN(IF((Prices!$A$2:$A$600=A8)*(Prices!$R$2:$R$600="yes"),Prices!$M$2:$M$600)))</t>
        </is>
      </c>
      <c r="D104" s="36" t="inlineStr">
        <is>
          <t>=IF(C8=0,"",MEDIAN(IF((Prices!$A$2:$A$600=A8)*(Prices!$R$2:$R$600="yes"),Prices!$M$2:$M$600)))</t>
        </is>
      </c>
      <c r="E104" s="36" t="inlineStr">
        <is>
          <t>=IF(C8=0,"",MAX(IF((Prices!$A$2:$A$600=A8)*(Prices!$R$2:$R$600="yes"),Prices!$M$2:$M$600)))</t>
        </is>
      </c>
      <c r="F104" s="36" t="inlineStr">
        <is>
          <t>=IF(C8=0,"",_xlfn.TEXTJOIN(", ",TRUE,IF((Prices!$A$2:$A$600=A8)*(Prices!$R$2:$R$600="yes"),Prices!$C$2:$C$600,"")))</t>
        </is>
      </c>
      <c r="G104" s="24" t="n"/>
      <c r="H104" s="24" t="n"/>
      <c r="I104" s="24" t="n"/>
      <c r="J104" s="24" t="n"/>
      <c r="K104" s="2" t="n"/>
      <c r="L104" s="2" t="n"/>
      <c r="M104" s="2" t="n"/>
      <c r="N104" s="2" t="n"/>
      <c r="O104" s="2" t="n"/>
      <c r="P104" s="2" t="n"/>
      <c r="Q104" s="2" t="n"/>
      <c r="R104" s="2" t="n"/>
      <c r="S104" s="2" t="n"/>
      <c r="T104" s="2" t="n"/>
      <c r="U104" s="2" t="n"/>
      <c r="V104" s="2" t="n"/>
      <c r="W104" s="2" t="n"/>
      <c r="X104" s="2" t="n"/>
      <c r="Y104" s="2" t="n"/>
      <c r="Z104" s="2" t="n"/>
      <c r="AA104" s="2" t="n"/>
      <c r="AB104" s="2" t="n"/>
      <c r="AC104" s="2" t="n"/>
    </row>
    <row r="105" ht="78" customHeight="1">
      <c r="A105" s="2" t="n"/>
      <c r="B105" s="27" t="inlineStr">
        <is>
          <t>Ketchup/sauce pump dispenser with stand</t>
        </is>
      </c>
      <c r="C105" s="38" t="inlineStr">
        <is>
          <t>=IF(C9=0,"",MIN(IF((Prices!$A$2:$A$600=A9)*(Prices!$R$2:$R$600="yes"),Prices!$M$2:$M$600)))</t>
        </is>
      </c>
      <c r="D105" s="38" t="inlineStr">
        <is>
          <t>=IF(C9=0,"",MEDIAN(IF((Prices!$A$2:$A$600=A9)*(Prices!$R$2:$R$600="yes"),Prices!$M$2:$M$600)))</t>
        </is>
      </c>
      <c r="E105" s="38" t="inlineStr">
        <is>
          <t>=IF(C9=0,"",MAX(IF((Prices!$A$2:$A$600=A9)*(Prices!$R$2:$R$600="yes"),Prices!$M$2:$M$600)))</t>
        </is>
      </c>
      <c r="F105" s="38" t="inlineStr">
        <is>
          <t>=IF(C9=0,"",_xlfn.TEXTJOIN(", ",TRUE,IF((Prices!$A$2:$A$600=A9)*(Prices!$R$2:$R$600="yes"),Prices!$C$2:$C$600,"")))</t>
        </is>
      </c>
      <c r="G105" s="27" t="n"/>
      <c r="H105" s="27" t="n"/>
      <c r="I105" s="27" t="n"/>
      <c r="J105" s="27" t="n"/>
      <c r="K105" s="2" t="n"/>
      <c r="L105" s="2" t="n"/>
      <c r="M105" s="2" t="n"/>
      <c r="N105" s="2" t="n"/>
      <c r="O105" s="2" t="n"/>
      <c r="P105" s="2" t="n"/>
      <c r="Q105" s="2" t="n"/>
      <c r="R105" s="2" t="n"/>
      <c r="S105" s="2" t="n"/>
      <c r="T105" s="2" t="n"/>
      <c r="U105" s="2" t="n"/>
      <c r="V105" s="2" t="n"/>
      <c r="W105" s="2" t="n"/>
      <c r="X105" s="2" t="n"/>
      <c r="Y105" s="2" t="n"/>
      <c r="Z105" s="2" t="n"/>
      <c r="AA105" s="2" t="n"/>
      <c r="AB105" s="2" t="n"/>
      <c r="AC105" s="2" t="n"/>
    </row>
    <row r="106" ht="78" customHeight="1">
      <c r="A106" s="2" t="n"/>
      <c r="B106" s="24" t="inlineStr">
        <is>
          <t>HACCP PE cutting board 530 x 325 x 20 mm (GN 1/1)</t>
        </is>
      </c>
      <c r="C106" s="36" t="inlineStr">
        <is>
          <t>=IF(C10=0,"",MIN(IF((Prices!$A$2:$A$600=A10)*(Prices!$R$2:$R$600="yes"),Prices!$M$2:$M$600)))</t>
        </is>
      </c>
      <c r="D106" s="36" t="inlineStr">
        <is>
          <t>=IF(C10=0,"",MEDIAN(IF((Prices!$A$2:$A$600=A10)*(Prices!$R$2:$R$600="yes"),Prices!$M$2:$M$600)))</t>
        </is>
      </c>
      <c r="E106" s="36" t="inlineStr">
        <is>
          <t>=IF(C10=0,"",MAX(IF((Prices!$A$2:$A$600=A10)*(Prices!$R$2:$R$600="yes"),Prices!$M$2:$M$600)))</t>
        </is>
      </c>
      <c r="F106" s="36" t="inlineStr">
        <is>
          <t>=IF(C10=0,"",_xlfn.TEXTJOIN(", ",TRUE,IF((Prices!$A$2:$A$600=A10)*(Prices!$R$2:$R$600="yes"),Prices!$C$2:$C$600,"")))</t>
        </is>
      </c>
      <c r="G106" s="24" t="n"/>
      <c r="H106" s="24" t="n"/>
      <c r="I106" s="24" t="n"/>
      <c r="J106" s="24" t="n"/>
      <c r="K106" s="2" t="n"/>
      <c r="L106" s="2" t="n"/>
      <c r="M106" s="2" t="n"/>
      <c r="N106" s="2" t="n"/>
      <c r="O106" s="2" t="n"/>
      <c r="P106" s="2" t="n"/>
      <c r="Q106" s="2" t="n"/>
      <c r="R106" s="2" t="n"/>
      <c r="S106" s="2" t="n"/>
      <c r="T106" s="2" t="n"/>
      <c r="U106" s="2" t="n"/>
      <c r="V106" s="2" t="n"/>
      <c r="W106" s="2" t="n"/>
      <c r="X106" s="2" t="n"/>
      <c r="Y106" s="2" t="n"/>
      <c r="Z106" s="2" t="n"/>
      <c r="AA106" s="2" t="n"/>
      <c r="AB106" s="2" t="n"/>
      <c r="AC106" s="2" t="n"/>
    </row>
    <row r="107" ht="78" customHeight="1">
      <c r="A107" s="2" t="n"/>
      <c r="B107" s="27" t="inlineStr">
        <is>
          <t>HACCP PE cutting board 600 x 400 x 20 mm</t>
        </is>
      </c>
      <c r="C107" s="38" t="inlineStr">
        <is>
          <t>=IF(C11=0,"",MIN(IF((Prices!$A$2:$A$600=A11)*(Prices!$R$2:$R$600="yes"),Prices!$M$2:$M$600)))</t>
        </is>
      </c>
      <c r="D107" s="38" t="inlineStr">
        <is>
          <t>=IF(C11=0,"",MEDIAN(IF((Prices!$A$2:$A$600=A11)*(Prices!$R$2:$R$600="yes"),Prices!$M$2:$M$600)))</t>
        </is>
      </c>
      <c r="E107" s="38" t="inlineStr">
        <is>
          <t>=IF(C11=0,"",MAX(IF((Prices!$A$2:$A$600=A11)*(Prices!$R$2:$R$600="yes"),Prices!$M$2:$M$600)))</t>
        </is>
      </c>
      <c r="F107" s="38" t="inlineStr">
        <is>
          <t>=IF(C11=0,"",_xlfn.TEXTJOIN(", ",TRUE,IF((Prices!$A$2:$A$600=A11)*(Prices!$R$2:$R$600="yes"),Prices!$C$2:$C$600,"")))</t>
        </is>
      </c>
      <c r="G107" s="27" t="n"/>
      <c r="H107" s="27" t="n"/>
      <c r="I107" s="27" t="n"/>
      <c r="J107" s="27" t="n"/>
      <c r="K107" s="2" t="n"/>
      <c r="L107" s="2" t="n"/>
      <c r="M107" s="2" t="n"/>
      <c r="N107" s="2" t="n"/>
      <c r="O107" s="2" t="n"/>
      <c r="P107" s="2" t="n"/>
      <c r="Q107" s="2" t="n"/>
      <c r="R107" s="2" t="n"/>
      <c r="S107" s="2" t="n"/>
      <c r="T107" s="2" t="n"/>
      <c r="U107" s="2" t="n"/>
      <c r="V107" s="2" t="n"/>
      <c r="W107" s="2" t="n"/>
      <c r="X107" s="2" t="n"/>
      <c r="Y107" s="2" t="n"/>
      <c r="Z107" s="2" t="n"/>
      <c r="AA107" s="2" t="n"/>
      <c r="AB107" s="2" t="n"/>
      <c r="AC107" s="2" t="n"/>
    </row>
    <row r="108" ht="78" customHeight="1">
      <c r="A108" s="2" t="n"/>
      <c r="B108" s="24" t="inlineStr">
        <is>
          <t>HACCP PE cutting board 300 x 200 x 10 mm</t>
        </is>
      </c>
      <c r="C108" s="36" t="inlineStr">
        <is>
          <t>=IF(C12=0,"",MIN(IF((Prices!$A$2:$A$600=A12)*(Prices!$R$2:$R$600="yes"),Prices!$M$2:$M$600)))</t>
        </is>
      </c>
      <c r="D108" s="36" t="inlineStr">
        <is>
          <t>=IF(C12=0,"",MEDIAN(IF((Prices!$A$2:$A$600=A12)*(Prices!$R$2:$R$600="yes"),Prices!$M$2:$M$600)))</t>
        </is>
      </c>
      <c r="E108" s="36" t="inlineStr">
        <is>
          <t>=IF(C12=0,"",MAX(IF((Prices!$A$2:$A$600=A12)*(Prices!$R$2:$R$600="yes"),Prices!$M$2:$M$600)))</t>
        </is>
      </c>
      <c r="F108" s="36" t="inlineStr">
        <is>
          <t>=IF(C12=0,"",_xlfn.TEXTJOIN(", ",TRUE,IF((Prices!$A$2:$A$600=A12)*(Prices!$R$2:$R$600="yes"),Prices!$C$2:$C$600,"")))</t>
        </is>
      </c>
      <c r="G108" s="24" t="n"/>
      <c r="H108" s="24" t="n"/>
      <c r="I108" s="24" t="n"/>
      <c r="J108" s="24" t="n"/>
      <c r="K108" s="2" t="n"/>
      <c r="L108" s="2" t="n"/>
      <c r="M108" s="2" t="n"/>
      <c r="N108" s="2" t="n"/>
      <c r="O108" s="2" t="n"/>
      <c r="P108" s="2" t="n"/>
      <c r="Q108" s="2" t="n"/>
      <c r="R108" s="2" t="n"/>
      <c r="S108" s="2" t="n"/>
      <c r="T108" s="2" t="n"/>
      <c r="U108" s="2" t="n"/>
      <c r="V108" s="2" t="n"/>
      <c r="W108" s="2" t="n"/>
      <c r="X108" s="2" t="n"/>
      <c r="Y108" s="2" t="n"/>
      <c r="Z108" s="2" t="n"/>
      <c r="AA108" s="2" t="n"/>
      <c r="AB108" s="2" t="n"/>
      <c r="AC108" s="2" t="n"/>
    </row>
    <row r="109" ht="78" customHeight="1">
      <c r="A109" s="2" t="n"/>
      <c r="B109" s="27" t="inlineStr">
        <is>
          <t>Pizza dough proofing box 600 x 400 x 100 mm, polypropylene</t>
        </is>
      </c>
      <c r="C109" s="38" t="inlineStr">
        <is>
          <t>=IF(C13=0,"",MIN(IF((Prices!$A$2:$A$600=A13)*(Prices!$R$2:$R$600="yes"),Prices!$M$2:$M$600)))</t>
        </is>
      </c>
      <c r="D109" s="38" t="inlineStr">
        <is>
          <t>=IF(C13=0,"",MEDIAN(IF((Prices!$A$2:$A$600=A13)*(Prices!$R$2:$R$600="yes"),Prices!$M$2:$M$600)))</t>
        </is>
      </c>
      <c r="E109" s="38" t="inlineStr">
        <is>
          <t>=IF(C13=0,"",MAX(IF((Prices!$A$2:$A$600=A13)*(Prices!$R$2:$R$600="yes"),Prices!$M$2:$M$600)))</t>
        </is>
      </c>
      <c r="F109" s="38" t="inlineStr">
        <is>
          <t>=IF(C13=0,"",_xlfn.TEXTJOIN(", ",TRUE,IF((Prices!$A$2:$A$600=A13)*(Prices!$R$2:$R$600="yes"),Prices!$C$2:$C$600,"")))</t>
        </is>
      </c>
      <c r="G109" s="27" t="n"/>
      <c r="H109" s="27" t="n"/>
      <c r="I109" s="27" t="n"/>
      <c r="J109" s="27" t="n"/>
      <c r="K109" s="2" t="n"/>
      <c r="L109" s="2" t="n"/>
      <c r="M109" s="2" t="n"/>
      <c r="N109" s="2" t="n"/>
      <c r="O109" s="2" t="n"/>
      <c r="P109" s="2" t="n"/>
      <c r="Q109" s="2" t="n"/>
      <c r="R109" s="2" t="n"/>
      <c r="S109" s="2" t="n"/>
      <c r="T109" s="2" t="n"/>
      <c r="U109" s="2" t="n"/>
      <c r="V109" s="2" t="n"/>
      <c r="W109" s="2" t="n"/>
      <c r="X109" s="2" t="n"/>
      <c r="Y109" s="2" t="n"/>
      <c r="Z109" s="2" t="n"/>
      <c r="AA109" s="2" t="n"/>
      <c r="AB109" s="2" t="n"/>
      <c r="AC109" s="2" t="n"/>
    </row>
    <row r="110" ht="78" customHeight="1">
      <c r="A110" s="2" t="n"/>
      <c r="B110" s="24" t="inlineStr">
        <is>
          <t>Lid for 600 x 400 mm dough box</t>
        </is>
      </c>
      <c r="C110" s="36" t="inlineStr">
        <is>
          <t>=IF(C14=0,"",MIN(IF((Prices!$A$2:$A$600=A14)*(Prices!$R$2:$R$600="yes"),Prices!$M$2:$M$600)))</t>
        </is>
      </c>
      <c r="D110" s="36" t="inlineStr">
        <is>
          <t>=IF(C14=0,"",MEDIAN(IF((Prices!$A$2:$A$600=A14)*(Prices!$R$2:$R$600="yes"),Prices!$M$2:$M$600)))</t>
        </is>
      </c>
      <c r="E110" s="36" t="inlineStr">
        <is>
          <t>=IF(C14=0,"",MAX(IF((Prices!$A$2:$A$600=A14)*(Prices!$R$2:$R$600="yes"),Prices!$M$2:$M$600)))</t>
        </is>
      </c>
      <c r="F110" s="36" t="inlineStr">
        <is>
          <t>=IF(C14=0,"",_xlfn.TEXTJOIN(", ",TRUE,IF((Prices!$A$2:$A$600=A14)*(Prices!$R$2:$R$600="yes"),Prices!$C$2:$C$600,"")))</t>
        </is>
      </c>
      <c r="G110" s="24" t="n"/>
      <c r="H110" s="24" t="n"/>
      <c r="I110" s="24" t="n"/>
      <c r="J110" s="24" t="n"/>
      <c r="K110" s="2" t="n"/>
      <c r="L110" s="2" t="n"/>
      <c r="M110" s="2" t="n"/>
      <c r="N110" s="2" t="n"/>
      <c r="O110" s="2" t="n"/>
      <c r="P110" s="2" t="n"/>
      <c r="Q110" s="2" t="n"/>
      <c r="R110" s="2" t="n"/>
      <c r="S110" s="2" t="n"/>
      <c r="T110" s="2" t="n"/>
      <c r="U110" s="2" t="n"/>
      <c r="V110" s="2" t="n"/>
      <c r="W110" s="2" t="n"/>
      <c r="X110" s="2" t="n"/>
      <c r="Y110" s="2" t="n"/>
      <c r="Z110" s="2" t="n"/>
      <c r="AA110" s="2" t="n"/>
      <c r="AB110" s="2" t="n"/>
      <c r="AC110" s="2" t="n"/>
    </row>
    <row r="111" ht="78" customHeight="1">
      <c r="A111" s="2" t="n"/>
      <c r="B111" s="27" t="inlineStr">
        <is>
          <t>Pizza dough proofing box 600 x 400 x 75 mm, polyethylene</t>
        </is>
      </c>
      <c r="C111" s="38" t="inlineStr">
        <is>
          <t>=IF(C15=0,"",MIN(IF((Prices!$A$2:$A$600=A15)*(Prices!$R$2:$R$600="yes"),Prices!$M$2:$M$600)))</t>
        </is>
      </c>
      <c r="D111" s="38" t="inlineStr">
        <is>
          <t>=IF(C15=0,"",MEDIAN(IF((Prices!$A$2:$A$600=A15)*(Prices!$R$2:$R$600="yes"),Prices!$M$2:$M$600)))</t>
        </is>
      </c>
      <c r="E111" s="38" t="inlineStr">
        <is>
          <t>=IF(C15=0,"",MAX(IF((Prices!$A$2:$A$600=A15)*(Prices!$R$2:$R$600="yes"),Prices!$M$2:$M$600)))</t>
        </is>
      </c>
      <c r="F111" s="38" t="inlineStr">
        <is>
          <t>=IF(C15=0,"",_xlfn.TEXTJOIN(", ",TRUE,IF((Prices!$A$2:$A$600=A15)*(Prices!$R$2:$R$600="yes"),Prices!$C$2:$C$600,"")))</t>
        </is>
      </c>
      <c r="G111" s="27" t="n"/>
      <c r="H111" s="27" t="n"/>
      <c r="I111" s="27" t="n"/>
      <c r="J111" s="27" t="n"/>
      <c r="K111" s="2" t="n"/>
      <c r="L111" s="2" t="n"/>
      <c r="M111" s="2" t="n"/>
      <c r="N111" s="2" t="n"/>
      <c r="O111" s="2" t="n"/>
      <c r="P111" s="2" t="n"/>
      <c r="Q111" s="2" t="n"/>
      <c r="R111" s="2" t="n"/>
      <c r="S111" s="2" t="n"/>
      <c r="T111" s="2" t="n"/>
      <c r="U111" s="2" t="n"/>
      <c r="V111" s="2" t="n"/>
      <c r="W111" s="2" t="n"/>
      <c r="X111" s="2" t="n"/>
      <c r="Y111" s="2" t="n"/>
      <c r="Z111" s="2" t="n"/>
      <c r="AA111" s="2" t="n"/>
      <c r="AB111" s="2" t="n"/>
      <c r="AC111" s="2" t="n"/>
    </row>
    <row r="112" ht="78" customHeight="1">
      <c r="A112" s="2" t="n"/>
      <c r="B112" s="24" t="inlineStr">
        <is>
          <t>Front-loading insulated thermobox for GN 1/1, approx. 80-90 l</t>
        </is>
      </c>
      <c r="C112" s="36" t="inlineStr">
        <is>
          <t>=IF(C16=0,"",MIN(IF((Prices!$A$2:$A$600=A16)*(Prices!$R$2:$R$600="yes"),Prices!$M$2:$M$600)))</t>
        </is>
      </c>
      <c r="D112" s="36" t="inlineStr">
        <is>
          <t>=IF(C16=0,"",MEDIAN(IF((Prices!$A$2:$A$600=A16)*(Prices!$R$2:$R$600="yes"),Prices!$M$2:$M$600)))</t>
        </is>
      </c>
      <c r="E112" s="36" t="inlineStr">
        <is>
          <t>=IF(C16=0,"",MAX(IF((Prices!$A$2:$A$600=A16)*(Prices!$R$2:$R$600="yes"),Prices!$M$2:$M$600)))</t>
        </is>
      </c>
      <c r="F112" s="36" t="inlineStr">
        <is>
          <t>=IF(C16=0,"",_xlfn.TEXTJOIN(", ",TRUE,IF((Prices!$A$2:$A$600=A16)*(Prices!$R$2:$R$600="yes"),Prices!$C$2:$C$600,"")))</t>
        </is>
      </c>
      <c r="G112" s="24" t="n"/>
      <c r="H112" s="24" t="n"/>
      <c r="I112" s="24" t="n"/>
      <c r="J112" s="24" t="n"/>
      <c r="K112" s="2" t="n"/>
      <c r="L112" s="2" t="n"/>
      <c r="M112" s="2" t="n"/>
      <c r="N112" s="2" t="n"/>
      <c r="O112" s="2" t="n"/>
      <c r="P112" s="2" t="n"/>
      <c r="Q112" s="2" t="n"/>
      <c r="R112" s="2" t="n"/>
      <c r="S112" s="2" t="n"/>
      <c r="T112" s="2" t="n"/>
      <c r="U112" s="2" t="n"/>
      <c r="V112" s="2" t="n"/>
      <c r="W112" s="2" t="n"/>
      <c r="X112" s="2" t="n"/>
      <c r="Y112" s="2" t="n"/>
      <c r="Z112" s="2" t="n"/>
      <c r="AA112" s="2" t="n"/>
      <c r="AB112" s="2" t="n"/>
      <c r="AC112" s="2" t="n"/>
    </row>
    <row r="113" ht="78" customHeight="1">
      <c r="A113" s="2" t="n"/>
      <c r="B113" s="27" t="inlineStr">
        <is>
          <t>Service tray approx. 370 x 530 mm, ABS/polypropylene</t>
        </is>
      </c>
      <c r="C113" s="38" t="inlineStr">
        <is>
          <t>=IF(C17=0,"",MIN(IF((Prices!$A$2:$A$600=A17)*(Prices!$R$2:$R$600="yes"),Prices!$M$2:$M$600)))</t>
        </is>
      </c>
      <c r="D113" s="38" t="inlineStr">
        <is>
          <t>=IF(C17=0,"",MEDIAN(IF((Prices!$A$2:$A$600=A17)*(Prices!$R$2:$R$600="yes"),Prices!$M$2:$M$600)))</t>
        </is>
      </c>
      <c r="E113" s="38" t="inlineStr">
        <is>
          <t>=IF(C17=0,"",MAX(IF((Prices!$A$2:$A$600=A17)*(Prices!$R$2:$R$600="yes"),Prices!$M$2:$M$600)))</t>
        </is>
      </c>
      <c r="F113" s="38" t="inlineStr">
        <is>
          <t>=IF(C17=0,"",_xlfn.TEXTJOIN(", ",TRUE,IF((Prices!$A$2:$A$600=A17)*(Prices!$R$2:$R$600="yes"),Prices!$C$2:$C$600,"")))</t>
        </is>
      </c>
      <c r="G113" s="27" t="n"/>
      <c r="H113" s="27" t="n"/>
      <c r="I113" s="27" t="n"/>
      <c r="J113" s="27" t="n"/>
      <c r="K113" s="2" t="n"/>
      <c r="L113" s="2" t="n"/>
      <c r="M113" s="2" t="n"/>
      <c r="N113" s="2" t="n"/>
      <c r="O113" s="2" t="n"/>
      <c r="P113" s="2" t="n"/>
      <c r="Q113" s="2" t="n"/>
      <c r="R113" s="2" t="n"/>
      <c r="S113" s="2" t="n"/>
      <c r="T113" s="2" t="n"/>
      <c r="U113" s="2" t="n"/>
      <c r="V113" s="2" t="n"/>
      <c r="W113" s="2" t="n"/>
      <c r="X113" s="2" t="n"/>
      <c r="Y113" s="2" t="n"/>
      <c r="Z113" s="2" t="n"/>
      <c r="AA113" s="2" t="n"/>
      <c r="AB113" s="2" t="n"/>
      <c r="AC113" s="2" t="n"/>
    </row>
    <row r="114" ht="78" customHeight="1">
      <c r="A114" s="2" t="n"/>
      <c r="B114" s="24" t="inlineStr">
        <is>
          <t>Insulated thermo tray with lid, 5-6 compartments</t>
        </is>
      </c>
      <c r="C114" s="36" t="inlineStr">
        <is>
          <t>=IF(C18=0,"",MIN(IF((Prices!$A$2:$A$600=A18)*(Prices!$R$2:$R$600="yes"),Prices!$M$2:$M$600)))</t>
        </is>
      </c>
      <c r="D114" s="36" t="inlineStr">
        <is>
          <t>=IF(C18=0,"",MEDIAN(IF((Prices!$A$2:$A$600=A18)*(Prices!$R$2:$R$600="yes"),Prices!$M$2:$M$600)))</t>
        </is>
      </c>
      <c r="E114" s="36" t="inlineStr">
        <is>
          <t>=IF(C18=0,"",MAX(IF((Prices!$A$2:$A$600=A18)*(Prices!$R$2:$R$600="yes"),Prices!$M$2:$M$600)))</t>
        </is>
      </c>
      <c r="F114" s="36" t="inlineStr">
        <is>
          <t>=IF(C18=0,"",_xlfn.TEXTJOIN(", ",TRUE,IF((Prices!$A$2:$A$600=A18)*(Prices!$R$2:$R$600="yes"),Prices!$C$2:$C$600,"")))</t>
        </is>
      </c>
      <c r="G114" s="24" t="n"/>
      <c r="H114" s="24" t="n"/>
      <c r="I114" s="24" t="n"/>
      <c r="J114" s="24" t="n"/>
      <c r="K114" s="2" t="n"/>
      <c r="L114" s="2" t="n"/>
      <c r="M114" s="2" t="n"/>
      <c r="N114" s="2" t="n"/>
      <c r="O114" s="2" t="n"/>
      <c r="P114" s="2" t="n"/>
      <c r="Q114" s="2" t="n"/>
      <c r="R114" s="2" t="n"/>
      <c r="S114" s="2" t="n"/>
      <c r="T114" s="2" t="n"/>
      <c r="U114" s="2" t="n"/>
      <c r="V114" s="2" t="n"/>
      <c r="W114" s="2" t="n"/>
      <c r="X114" s="2" t="n"/>
      <c r="Y114" s="2" t="n"/>
      <c r="Z114" s="2" t="n"/>
      <c r="AA114" s="2" t="n"/>
      <c r="AB114" s="2" t="n"/>
      <c r="AC114" s="2" t="n"/>
    </row>
    <row r="115" ht="31" customHeight="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row>
    <row r="116" ht="31" customHeight="1">
      <c r="A116" s="2" t="n"/>
      <c r="B116" s="24" t="inlineStr">
        <is>
          <t>Notes:</t>
        </is>
      </c>
      <c r="K116" s="2" t="n"/>
      <c r="L116" s="2" t="n"/>
      <c r="M116" s="2" t="n"/>
      <c r="N116" s="2" t="n"/>
      <c r="O116" s="2" t="n"/>
      <c r="P116" s="2" t="n"/>
      <c r="Q116" s="2" t="n"/>
      <c r="R116" s="2" t="n"/>
      <c r="S116" s="2" t="n"/>
      <c r="T116" s="2" t="n"/>
      <c r="U116" s="2" t="n"/>
      <c r="V116" s="2" t="n"/>
      <c r="W116" s="2" t="n"/>
      <c r="X116" s="2" t="n"/>
      <c r="Y116" s="2" t="n"/>
      <c r="Z116" s="2" t="n"/>
      <c r="AA116" s="2" t="n"/>
      <c r="AB116" s="2" t="n"/>
      <c r="AC116" s="2" t="n"/>
    </row>
    <row r="117" ht="78" customHeight="1">
      <c r="A117" s="2" t="n"/>
      <c r="B117" s="24" t="inlineStr">
        <is>
          <t>Statistics use only primary observations with match quality EXACT or CLOSE from competitors marked Counted = yes on the Competitors sheet (max one observation per competitor per item).</t>
        </is>
      </c>
      <c r="K117" s="2" t="n"/>
      <c r="L117" s="2" t="n"/>
      <c r="M117" s="2" t="n"/>
      <c r="N117" s="2" t="n"/>
      <c r="O117" s="2" t="n"/>
      <c r="P117" s="2" t="n"/>
      <c r="Q117" s="2" t="n"/>
      <c r="R117" s="2" t="n"/>
      <c r="S117" s="2" t="n"/>
      <c r="T117" s="2" t="n"/>
      <c r="U117" s="2" t="n"/>
      <c r="V117" s="2" t="n"/>
      <c r="W117" s="2" t="n"/>
      <c r="X117" s="2" t="n"/>
      <c r="Y117" s="2" t="n"/>
      <c r="Z117" s="2" t="n"/>
      <c r="AA117" s="2" t="n"/>
      <c r="AB117" s="2" t="n"/>
      <c r="AC117" s="2" t="n"/>
    </row>
    <row r="118" ht="64" customHeight="1">
      <c r="A118" s="2" t="n"/>
      <c r="B118" s="24" t="inlineStr">
        <is>
          <t>Net price per piece = listed price / (1 + VAT rate) when the listed price includes VAT, divided by pack size when the price is per pack. Czech VAT 21%.</t>
        </is>
      </c>
      <c r="K118" s="2" t="n"/>
      <c r="L118" s="2" t="n"/>
      <c r="M118" s="2" t="n"/>
      <c r="N118" s="2" t="n"/>
      <c r="O118" s="2" t="n"/>
      <c r="P118" s="2" t="n"/>
      <c r="Q118" s="2" t="n"/>
      <c r="R118" s="2" t="n"/>
      <c r="S118" s="2" t="n"/>
      <c r="T118" s="2" t="n"/>
      <c r="U118" s="2" t="n"/>
      <c r="V118" s="2" t="n"/>
      <c r="W118" s="2" t="n"/>
      <c r="X118" s="2" t="n"/>
      <c r="Y118" s="2" t="n"/>
      <c r="Z118" s="2" t="n"/>
      <c r="AA118" s="2" t="n"/>
      <c r="AB118" s="2" t="n"/>
      <c r="AC118" s="2" t="n"/>
    </row>
    <row r="119" ht="50" customHeight="1">
      <c r="A119" s="2" t="n"/>
      <c r="B119" s="24" t="inlineStr">
        <is>
          <t>Blank statistics = no qualifying observation. APPROX matches are listed on the Prices sheet but excluded from statistics.</t>
        </is>
      </c>
      <c r="K119" s="2" t="n"/>
      <c r="L119" s="2" t="n"/>
      <c r="M119" s="2" t="n"/>
      <c r="N119" s="2" t="n"/>
      <c r="O119" s="2" t="n"/>
      <c r="P119" s="2" t="n"/>
      <c r="Q119" s="2" t="n"/>
      <c r="R119" s="2" t="n"/>
      <c r="S119" s="2" t="n"/>
      <c r="T119" s="2" t="n"/>
      <c r="U119" s="2" t="n"/>
      <c r="V119" s="2" t="n"/>
      <c r="W119" s="2" t="n"/>
      <c r="X119" s="2" t="n"/>
      <c r="Y119" s="2" t="n"/>
      <c r="Z119" s="2" t="n"/>
      <c r="AA119" s="2" t="n"/>
      <c r="AB119" s="2" t="n"/>
      <c r="AC119" s="2" t="n"/>
    </row>
    <row r="120" ht="64" customHeight="1">
      <c r="A120" s="2" t="n"/>
      <c r="B120" s="24" t="inlineStr">
        <is>
          <t>Where several products matched equally well, the lowest current 1-unit price was taken as primary; alternatives, promotions and pack sizes are in the Prices notes.</t>
        </is>
      </c>
      <c r="K120" s="2" t="n"/>
      <c r="L120" s="2" t="n"/>
      <c r="M120" s="2" t="n"/>
      <c r="N120" s="2" t="n"/>
      <c r="O120" s="2" t="n"/>
      <c r="P120" s="2" t="n"/>
      <c r="Q120" s="2" t="n"/>
      <c r="R120" s="2" t="n"/>
      <c r="S120" s="2" t="n"/>
      <c r="T120" s="2" t="n"/>
      <c r="U120" s="2" t="n"/>
      <c r="V120" s="2" t="n"/>
      <c r="W120" s="2" t="n"/>
      <c r="X120" s="2" t="n"/>
      <c r="Y120" s="2" t="n"/>
      <c r="Z120" s="2" t="n"/>
      <c r="AA120" s="2" t="n"/>
      <c r="AB120" s="2" t="n"/>
      <c r="AC120" s="2" t="n"/>
    </row>
    <row r="121" ht="78" customHeight="1">
      <c r="A121" s="2" t="n"/>
      <c r="B121" s="24" t="inlineStr">
        <is>
          <t>GGM Gastro prices are shown net on its CZ storefront (gross uses German 19% VAT, recorded in the VAT-rate column); net per piece is taken directly from the displayed net price. All other shops use Czech 21% VAT.</t>
        </is>
      </c>
      <c r="K121" s="2" t="n"/>
      <c r="L121" s="2" t="n"/>
      <c r="M121" s="2" t="n"/>
      <c r="N121" s="2" t="n"/>
      <c r="O121" s="2" t="n"/>
      <c r="P121" s="2" t="n"/>
      <c r="Q121" s="2" t="n"/>
      <c r="R121" s="2" t="n"/>
      <c r="S121" s="2" t="n"/>
      <c r="T121" s="2" t="n"/>
      <c r="U121" s="2" t="n"/>
      <c r="V121" s="2" t="n"/>
      <c r="W121" s="2" t="n"/>
      <c r="X121" s="2" t="n"/>
      <c r="Y121" s="2" t="n"/>
      <c r="Z121" s="2" t="n"/>
      <c r="AA121" s="2" t="n"/>
      <c r="AB121" s="2" t="n"/>
      <c r="AC121" s="2" t="n"/>
    </row>
    <row r="122" ht="64" customHeight="1">
      <c r="A122" s="2" t="n"/>
      <c r="B122" s="24" t="inlineStr">
        <is>
          <t>Prices checked 2026-09-30. All prices in CZK from Czech storefronts. MAKRO (login-only prices) and A GASTRO (site blocked) are not counted - see Not accessible.</t>
        </is>
      </c>
      <c r="K122" s="2" t="n"/>
      <c r="L122" s="2" t="n"/>
      <c r="M122" s="2" t="n"/>
      <c r="N122" s="2" t="n"/>
      <c r="O122" s="2" t="n"/>
      <c r="P122" s="2" t="n"/>
      <c r="Q122" s="2" t="n"/>
      <c r="R122" s="2" t="n"/>
      <c r="S122" s="2" t="n"/>
      <c r="T122" s="2" t="n"/>
      <c r="U122" s="2" t="n"/>
      <c r="V122" s="2" t="n"/>
      <c r="W122" s="2" t="n"/>
      <c r="X122" s="2" t="n"/>
      <c r="Y122" s="2" t="n"/>
      <c r="Z122" s="2" t="n"/>
      <c r="AA122" s="2" t="n"/>
      <c r="AB122" s="2" t="n"/>
      <c r="AC122" s="2" t="n"/>
    </row>
    <row r="123" ht="31" customHeight="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row>
    <row r="124" ht="31"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row>
    <row r="125" ht="31" customHeight="1">
      <c r="A125" s="2" t="n"/>
      <c r="B125" s="7" t="inlineStr">
        <is>
          <t>Not accessible</t>
        </is>
      </c>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row>
    <row r="126" ht="31" customHeight="1">
      <c r="A126" s="2" t="n"/>
      <c r="B126" s="16" t="inlineStr">
        <is>
          <t>Competitor</t>
        </is>
      </c>
      <c r="C126" s="17" t="inlineStr">
        <is>
          <t>URL</t>
        </is>
      </c>
      <c r="D126" s="17" t="inlineStr">
        <is>
          <t>Reason</t>
        </is>
      </c>
      <c r="E126" s="17" t="inlineStr">
        <is>
          <t>Date checked</t>
        </is>
      </c>
      <c r="F126" s="18" t="inlineStr">
        <is>
          <t>Notes</t>
        </is>
      </c>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row>
    <row r="127" ht="64" customHeight="1">
      <c r="A127" s="2" t="n"/>
      <c r="B127" s="24" t="inlineStr">
        <is>
          <t>MAKRO Czechia</t>
        </is>
      </c>
      <c r="C127" s="25" t="inlineStr">
        <is>
          <t>https://sortiment.makro.cz/shop/search?q=gastron%C3%A1doba%20polykarbon%C3%A1t</t>
        </is>
      </c>
      <c r="D127" s="24" t="inlineStr">
        <is>
          <t>Login required: every product tile shows "Pro zobrazení cen se prosím přihlaste" (please log in to view prices). Checked GN containers (METRO PROFESSIONAL, APS, Hendi).</t>
        </is>
      </c>
      <c r="E127" s="24" t="inlineStr">
        <is>
          <t>2026-09-30</t>
        </is>
      </c>
      <c r="F127" s="24" t="inlineStr">
        <is>
          <t>Competitor not counted. Homepage www.makro.cz returns HTTP 403 to non-browser clients.</t>
        </is>
      </c>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row>
    <row r="128" ht="50" customHeight="1">
      <c r="A128" s="2" t="n"/>
      <c r="B128" s="27" t="inlineStr">
        <is>
          <t>MAKRO Czechia</t>
        </is>
      </c>
      <c r="C128" s="28" t="inlineStr">
        <is>
          <t>https://www.makro.cz/metro/services/idamstream/login?returnUrl=/</t>
        </is>
      </c>
      <c r="D128" s="27" t="inlineStr">
        <is>
          <t>Price display link on homepage product teasers ("Přihlaste se pro zobrazení ceny") leads to login.</t>
        </is>
      </c>
      <c r="E128" s="27" t="inlineStr">
        <is>
          <t>2026-09-30</t>
        </is>
      </c>
      <c r="F128" s="27"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row>
    <row r="129" ht="64" customHeight="1">
      <c r="A129" s="2" t="n"/>
      <c r="B129" s="24" t="inlineStr">
        <is>
          <t>A GASTRO</t>
        </is>
      </c>
      <c r="C129" s="25" t="inlineStr">
        <is>
          <t>https://agastro.cz/</t>
        </is>
      </c>
      <c r="D129" s="24" t="inlineStr">
        <is>
          <t>Access error: Cloudflare bot challenge / HTTP 403 on all pages (home, robots.txt, sitemap.xml, category pages), in scripts, a full browser and the web-fetch tool.</t>
        </is>
      </c>
      <c r="E129" s="24" t="inlineStr">
        <is>
          <t>2026-09-30</t>
        </is>
      </c>
      <c r="F129" s="24" t="inlineStr">
        <is>
          <t>Competitor not counted. Search snippets only (e.g. https://agastro.cz/gastronadoby-vacbox/, https://agastro.cz/detail/21689/) - not used as price evidence.</t>
        </is>
      </c>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row>
    <row r="130" ht="36" customHeight="1">
      <c r="A130" s="2" t="n"/>
      <c r="B130" s="27" t="inlineStr">
        <is>
          <t>A GASTRO</t>
        </is>
      </c>
      <c r="C130" s="28" t="inlineStr">
        <is>
          <t>https://agastro.cz/gastronadoby-vacbox/</t>
        </is>
      </c>
      <c r="D130" s="27" t="inlineStr">
        <is>
          <t>HTTP 403 (Cloudflare) - category page found via search engine could not be opened.</t>
        </is>
      </c>
      <c r="E130" s="27" t="inlineStr">
        <is>
          <t>2026-09-30</t>
        </is>
      </c>
      <c r="F130" s="27"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row>
    <row r="131" ht="50" customHeight="1">
      <c r="A131" s="2" t="n"/>
      <c r="B131" s="24" t="inlineStr">
        <is>
          <t>GGM Gastro (CZ storefront)</t>
        </is>
      </c>
      <c r="C131" s="25" t="inlineStr">
        <is>
          <t>https://www.ggmgastro.com/cs-cz-czk/search?q=polykarbon%C3%A1t</t>
        </is>
      </c>
      <c r="D131" s="24" t="inlineStr">
        <is>
          <t>Search results are JavaScript-loaded and the site returns "403 FORBIDDEN - This request was blocked" to headless browsers.</t>
        </is>
      </c>
      <c r="E131" s="24" t="inlineStr">
        <is>
          <t>2026-09-30</t>
        </is>
      </c>
      <c r="F131" s="24" t="inlineStr">
        <is>
          <t>Worked around: products located via the public product sitemap and read in a full (non-headless) browser; prices recorded from product pages.</t>
        </is>
      </c>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row>
    <row r="132" ht="106" customHeight="1">
      <c r="A132" s="2" t="n"/>
      <c r="B132" s="27" t="inlineStr">
        <is>
          <t>GGM Gastro (CZ storefront)</t>
        </is>
      </c>
      <c r="C132" s="28" t="inlineStr">
        <is>
          <t>https://www.ggmgastro.com/cs-cz-czk/6-ks-stlacovaci-lahev-na-omacky-1-020-ml-o-80-mm-se-sroubovacim-uzaverem-a-uzaviraci-cepickou-transparentni-93259-6</t>
        </is>
      </c>
      <c r="D132" s="27" t="inlineStr">
        <is>
          <t>Product shows "Není k dispozici pro vybranou zemi dodání" (not available for the selected delivery country).</t>
        </is>
      </c>
      <c r="E132" s="27" t="inlineStr">
        <is>
          <t>2026-09-30</t>
        </is>
      </c>
      <c r="F132" s="27" t="inlineStr">
        <is>
          <t>Not used as primary observation for item 6.</t>
        </is>
      </c>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row>
    <row r="133" ht="64" customHeight="1">
      <c r="A133" s="2" t="n"/>
      <c r="B133" s="24" t="inlineStr">
        <is>
          <t>Gastromania</t>
        </is>
      </c>
      <c r="C133" s="25" t="inlineStr">
        <is>
          <t>https://www.gastromania.cz/products/search/language:cze?q=polykarbon%C3%A1t+GN+1%2F1</t>
        </is>
      </c>
      <c r="D133" s="24" t="inlineStr">
        <is>
          <t>Prices are injected by JavaScript (empty in raw HTML).</t>
        </is>
      </c>
      <c r="E133" s="24" t="inlineStr">
        <is>
          <t>2026-09-30</t>
        </is>
      </c>
      <c r="F133" s="24" t="inlineStr">
        <is>
          <t>Worked around: read with a rendering browser; all recorded prices verified on rendered product pages/listings.</t>
        </is>
      </c>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row>
    <row r="134" ht="31"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row>
    <row r="135" ht="31" customHeight="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row>
    <row r="136" ht="31"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row>
    <row r="137" ht="31" customHeight="1">
      <c r="A137" s="2" t="n"/>
      <c r="B137" s="45" t="inlineStr">
        <is>
          <t>Additional variants</t>
        </is>
      </c>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row>
    <row r="138" ht="36" customHeight="1">
      <c r="A138" s="2" t="n"/>
      <c r="B138" s="6" t="inlineStr">
        <is>
          <t>research_CZ.xlsx · Original basket entries remain in the existing extract above.</t>
        </is>
      </c>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row>
    <row r="139" ht="31"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row>
    <row r="140" ht="31" customHeight="1">
      <c r="A140" s="2" t="n"/>
      <c r="B140" s="7" t="inlineStr">
        <is>
          <t>Additional variants · Prices</t>
        </is>
      </c>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row>
    <row r="141" ht="36" customHeight="1">
      <c r="A141" s="2" t="n"/>
      <c r="B141" s="16" t="inlineStr">
        <is>
          <t>Basket item</t>
        </is>
      </c>
      <c r="C141" s="17" t="inlineStr">
        <is>
          <t>Competitor</t>
        </is>
      </c>
      <c r="D141" s="17" t="inlineStr">
        <is>
          <t>Product name</t>
        </is>
      </c>
      <c r="E141" s="17" t="inlineStr">
        <is>
          <t>Brand</t>
        </is>
      </c>
      <c r="F141" s="17" t="inlineStr">
        <is>
          <t>Product URL</t>
        </is>
      </c>
      <c r="G141" s="17" t="inlineStr">
        <is>
          <t>Listed price</t>
        </is>
      </c>
      <c r="H141" s="17" t="inlineStr">
        <is>
          <t>Currency</t>
        </is>
      </c>
      <c r="I141" s="17" t="inlineStr">
        <is>
          <t>Incl./excl. VAT</t>
        </is>
      </c>
      <c r="J141" s="17" t="inlineStr">
        <is>
          <t>VAT rate used</t>
        </is>
      </c>
      <c r="K141" s="17" t="inlineStr">
        <is>
          <t>Pack size (pcs)</t>
        </is>
      </c>
      <c r="L141" s="17" t="inlineStr">
        <is>
          <t>Price basis (per pack / per piece)</t>
        </is>
      </c>
      <c r="M141" s="17" t="inlineStr">
        <is>
          <t>Net price per piece CZK</t>
        </is>
      </c>
      <c r="N141" s="17" t="inlineStr">
        <is>
          <t>Match quality</t>
        </is>
      </c>
      <c r="O141" s="17" t="inlineStr">
        <is>
          <t>Notes</t>
        </is>
      </c>
      <c r="P141" s="17" t="inlineStr">
        <is>
          <t>Date checked</t>
        </is>
      </c>
      <c r="Q141" s="17" t="inlineStr">
        <is>
          <t>Competitor counted?</t>
        </is>
      </c>
      <c r="R141" s="17" t="inlineStr">
        <is>
          <t>Used in Summary?</t>
        </is>
      </c>
      <c r="S141" s="17" t="inlineStr">
        <is>
          <t>Net price per piece CZK (saved value)</t>
        </is>
      </c>
      <c r="T141" s="17" t="inlineStr">
        <is>
          <t>Competitor counted? (saved value)</t>
        </is>
      </c>
      <c r="U141" s="18" t="inlineStr">
        <is>
          <t>Used in Summary? (saved value)</t>
        </is>
      </c>
      <c r="V141" s="2" t="n"/>
      <c r="W141" s="2" t="n"/>
      <c r="X141" s="2" t="n"/>
      <c r="Y141" s="2" t="n"/>
      <c r="Z141" s="2" t="n"/>
      <c r="AA141" s="2" t="n"/>
      <c r="AB141" s="2" t="n"/>
      <c r="AC141" s="2" t="n"/>
    </row>
    <row r="142" ht="78" customHeight="1">
      <c r="A142" s="2" t="n"/>
      <c r="B142" s="24" t="inlineStr">
        <is>
          <t>GN 1/1 container, PP, 65 mm</t>
        </is>
      </c>
      <c r="C142" s="24" t="inlineStr">
        <is>
          <t>GGM Gastro (CZ storefront)</t>
        </is>
      </c>
      <c r="D142" s="24" t="inlineStr">
        <is>
          <t>(6 ks) Polypropylenová nádoba GN 1/1 - Mléčná - Výška: 65 mm</t>
        </is>
      </c>
      <c r="E142" s="24" t="inlineStr">
        <is>
          <t>GGM</t>
        </is>
      </c>
      <c r="F142" s="25" t="inlineStr">
        <is>
          <t>https://www.ggmgastro.com/cs-cz-czk/6-ks-polypropylenova-nadoba-gn-1-1-mlecna-vyska-65-mm-gpp1165-6</t>
        </is>
      </c>
      <c r="G142" s="98" t="n">
        <v>1046.33</v>
      </c>
      <c r="H142" s="24" t="inlineStr">
        <is>
          <t>CZK</t>
        </is>
      </c>
      <c r="I142" s="24" t="inlineStr">
        <is>
          <t>excl.</t>
        </is>
      </c>
      <c r="J142" s="122" t="n">
        <v>0.19</v>
      </c>
      <c r="K142" s="116" t="n">
        <v>6</v>
      </c>
      <c r="L142" s="24" t="inlineStr">
        <is>
          <t>per pack</t>
        </is>
      </c>
      <c r="M142" s="36" t="inlineStr">
        <is>
          <t>=IF(OR(G74="",J74="",K74=""),"",ROUND(IF(I74="incl.",G74/(1+J74),G74)/IF(L74="per pack",K74,1),2))</t>
        </is>
      </c>
      <c r="N142" s="24" t="inlineStr">
        <is>
          <t>EXACT</t>
        </is>
      </c>
      <c r="O142" s="24" t="inlineStr">
        <is>
          <t>Net CZK as displayed (gross 1,245.13 at German 19%); SKU GPP1165-6</t>
        </is>
      </c>
      <c r="P142" s="24" t="inlineStr">
        <is>
          <t>2026-09-30</t>
        </is>
      </c>
      <c r="Q142" s="36" t="inlineStr">
        <is>
          <t>=IFERROR(INDEX(Competitors!$N$2:$N$50,MATCH(C74,Competitors!$A$2:$A$50,0)),"no")</t>
        </is>
      </c>
      <c r="R142" s="36" t="inlineStr">
        <is>
          <t>=IF(AND(Q74="yes",OR(N74="EXACT",N74="CLOSE"),ISNUMBER(M74)),"yes","no")</t>
        </is>
      </c>
      <c r="S142" s="24" t="n"/>
      <c r="T142" s="24" t="n"/>
      <c r="U142" s="24" t="n"/>
      <c r="V142" s="2" t="n"/>
      <c r="W142" s="2" t="n"/>
      <c r="X142" s="2" t="n"/>
      <c r="Y142" s="2" t="n"/>
      <c r="Z142" s="2" t="n"/>
      <c r="AA142" s="2" t="n"/>
      <c r="AB142" s="2" t="n"/>
      <c r="AC142" s="2" t="n"/>
    </row>
    <row r="143" ht="78" customHeight="1">
      <c r="A143" s="2" t="n"/>
      <c r="B143" s="27" t="inlineStr">
        <is>
          <t>GN 1/1 container, PP, 65 mm</t>
        </is>
      </c>
      <c r="C143" s="27" t="inlineStr">
        <is>
          <t>Gastro Novotný</t>
        </is>
      </c>
      <c r="D143" s="27" t="inlineStr">
        <is>
          <t>Gastronádoba 1/1 100 polypropylen</t>
        </is>
      </c>
      <c r="E143" s="27" t="n"/>
      <c r="F143" s="28" t="inlineStr">
        <is>
          <t>https://eshop.gastronovotny.cz/gastronadoba-1-1-100-polypropylen--1814702-10/</t>
        </is>
      </c>
      <c r="G143" s="102" t="n">
        <v>220</v>
      </c>
      <c r="H143" s="27" t="inlineStr">
        <is>
          <t>CZK</t>
        </is>
      </c>
      <c r="I143" s="27" t="inlineStr">
        <is>
          <t>excl.</t>
        </is>
      </c>
      <c r="J143" s="123" t="n">
        <v>0.21</v>
      </c>
      <c r="K143" s="117" t="n">
        <v>1</v>
      </c>
      <c r="L143" s="27" t="inlineStr">
        <is>
          <t>per piece</t>
        </is>
      </c>
      <c r="M143" s="38" t="inlineStr">
        <is>
          <t>=IF(OR(G75="",J75="",K75=""),"",ROUND(IF(I75="incl.",G75/(1+J75),G75)/IF(L75="per pack",K75,1),2))</t>
        </is>
      </c>
      <c r="N143" s="27" t="inlineStr">
        <is>
          <t>APPROX</t>
        </is>
      </c>
      <c r="O143" s="27" t="inlineStr">
        <is>
          <t>Code 1814702-10; PP GN 1/1 but 100 mm deep (PP 1/1 range is 100/150/200 mm only, no 65 mm); 266.20 CZK incl. VAT</t>
        </is>
      </c>
      <c r="P143" s="27" t="inlineStr">
        <is>
          <t>2026-09-30</t>
        </is>
      </c>
      <c r="Q143" s="38" t="inlineStr">
        <is>
          <t>=IFERROR(INDEX(Competitors!$N$2:$N$50,MATCH(C75,Competitors!$A$2:$A$50,0)),"no")</t>
        </is>
      </c>
      <c r="R143" s="38" t="inlineStr">
        <is>
          <t>=IF(AND(Q75="yes",OR(N75="EXACT",N75="CLOSE"),ISNUMBER(M75)),"yes","no")</t>
        </is>
      </c>
      <c r="S143" s="27" t="n"/>
      <c r="T143" s="27" t="n"/>
      <c r="U143" s="27" t="n"/>
      <c r="V143" s="2" t="n"/>
      <c r="W143" s="2" t="n"/>
      <c r="X143" s="2" t="n"/>
      <c r="Y143" s="2" t="n"/>
      <c r="Z143" s="2" t="n"/>
      <c r="AA143" s="2" t="n"/>
      <c r="AB143" s="2" t="n"/>
      <c r="AC143" s="2" t="n"/>
    </row>
    <row r="144" ht="78" customHeight="1">
      <c r="A144" s="2" t="n"/>
      <c r="B144" s="24" t="inlineStr">
        <is>
          <t>GN 1/1 container, PP, 65 mm</t>
        </is>
      </c>
      <c r="C144" s="24" t="inlineStr">
        <is>
          <t>Gastromania</t>
        </is>
      </c>
      <c r="D144" s="24" t="inlineStr">
        <is>
          <t>Nádoba z polypropylenu, GN 1/1, 65 mm | STALGAST, Bufet</t>
        </is>
      </c>
      <c r="E144" s="24" t="inlineStr">
        <is>
          <t>Stalgast</t>
        </is>
      </c>
      <c r="F144" s="25" t="inlineStr">
        <is>
          <t>https://www.gastromania.cz/gastronadoby-polypropylenove/nadoba-z-polypropylenu-gn-1-1-65-mm-stalgast-bufet</t>
        </is>
      </c>
      <c r="G144" s="98" t="n">
        <v>215</v>
      </c>
      <c r="H144" s="24" t="inlineStr">
        <is>
          <t>CZK</t>
        </is>
      </c>
      <c r="I144" s="24" t="inlineStr">
        <is>
          <t>incl.</t>
        </is>
      </c>
      <c r="J144" s="122" t="n">
        <v>0.21</v>
      </c>
      <c r="K144" s="116" t="n">
        <v>1</v>
      </c>
      <c r="L144" s="24" t="inlineStr">
        <is>
          <t>per piece</t>
        </is>
      </c>
      <c r="M144" s="36" t="inlineStr">
        <is>
          <t>=IF(OR(G76="",J76="",K76=""),"",ROUND(IF(I76="incl.",G76/(1+J76),G76)/IF(L76="per pack",K76,1),2))</t>
        </is>
      </c>
      <c r="N144" s="24" t="inlineStr">
        <is>
          <t>EXACT</t>
        </is>
      </c>
      <c r="O144" s="24" t="inlineStr">
        <is>
          <t>Lowest PP GN 1/1 65 listed; Cambro R-MP11065 234 CZK. (APS 82104 207 CZK named polycarbonate but listed under PP - conflicting, not used); price incl. 21% VAT as published in product data (current price, in stock)</t>
        </is>
      </c>
      <c r="P144" s="24" t="inlineStr">
        <is>
          <t>2026-09-30</t>
        </is>
      </c>
      <c r="Q144" s="36" t="inlineStr">
        <is>
          <t>=IFERROR(INDEX(Competitors!$N$2:$N$50,MATCH(C76,Competitors!$A$2:$A$50,0)),"no")</t>
        </is>
      </c>
      <c r="R144" s="36" t="inlineStr">
        <is>
          <t>=IF(AND(Q76="yes",OR(N76="EXACT",N76="CLOSE"),ISNUMBER(M76)),"yes","no")</t>
        </is>
      </c>
      <c r="S144" s="24" t="n"/>
      <c r="T144" s="24" t="n"/>
      <c r="U144" s="24" t="n"/>
      <c r="V144" s="2" t="n"/>
      <c r="W144" s="2" t="n"/>
      <c r="X144" s="2" t="n"/>
      <c r="Y144" s="2" t="n"/>
      <c r="Z144" s="2" t="n"/>
      <c r="AA144" s="2" t="n"/>
      <c r="AB144" s="2" t="n"/>
      <c r="AC144" s="2" t="n"/>
    </row>
    <row r="145" ht="78" customHeight="1">
      <c r="A145" s="2" t="n"/>
      <c r="B145" s="27" t="inlineStr">
        <is>
          <t>GN 1/1 container, PP, 65 mm</t>
        </is>
      </c>
      <c r="C145" s="27" t="inlineStr">
        <is>
          <t>Gastrozone</t>
        </is>
      </c>
      <c r="D145" s="27" t="inlineStr">
        <is>
          <t>Pujadas gastro nádoba GN 1/1 530x325 mm polypropylen v=65 mm</t>
        </is>
      </c>
      <c r="E145" s="27" t="inlineStr">
        <is>
          <t>Pujadas</t>
        </is>
      </c>
      <c r="F145" s="28" t="inlineStr">
        <is>
          <t>https://www.gastrozone.cz/pujadas-gastro-nadoba-gn-1-1-530x325-mm-polypropylen-v-65-mm.html</t>
        </is>
      </c>
      <c r="G145" s="102" t="n">
        <v>443</v>
      </c>
      <c r="H145" s="27" t="inlineStr">
        <is>
          <t>CZK</t>
        </is>
      </c>
      <c r="I145" s="27" t="inlineStr">
        <is>
          <t>incl.</t>
        </is>
      </c>
      <c r="J145" s="123" t="n">
        <v>0.21</v>
      </c>
      <c r="K145" s="117" t="n">
        <v>1</v>
      </c>
      <c r="L145" s="27" t="inlineStr">
        <is>
          <t>per piece</t>
        </is>
      </c>
      <c r="M145" s="38" t="inlineStr">
        <is>
          <t>=IF(OR(G77="",J77="",K77=""),"",ROUND(IF(I77="incl.",G77/(1+J77),G77)/IF(L77="per pack",K77,1),2))</t>
        </is>
      </c>
      <c r="N145" s="27" t="inlineStr">
        <is>
          <t>EXACT</t>
        </is>
      </c>
      <c r="O145" s="27" t="inlineStr">
        <is>
          <t>366.12 CZK bez DPH; code 227705320; in stock (central warehouse)</t>
        </is>
      </c>
      <c r="P145" s="27" t="inlineStr">
        <is>
          <t>2026-09-30</t>
        </is>
      </c>
      <c r="Q145" s="38" t="inlineStr">
        <is>
          <t>=IFERROR(INDEX(Competitors!$N$2:$N$50,MATCH(C77,Competitors!$A$2:$A$50,0)),"no")</t>
        </is>
      </c>
      <c r="R145" s="38" t="inlineStr">
        <is>
          <t>=IF(AND(Q77="yes",OR(N77="EXACT",N77="CLOSE"),ISNUMBER(M77)),"yes","no")</t>
        </is>
      </c>
      <c r="S145" s="27" t="n"/>
      <c r="T145" s="27" t="n"/>
      <c r="U145" s="27" t="n"/>
      <c r="V145" s="2" t="n"/>
      <c r="W145" s="2" t="n"/>
      <c r="X145" s="2" t="n"/>
      <c r="Y145" s="2" t="n"/>
      <c r="Z145" s="2" t="n"/>
      <c r="AA145" s="2" t="n"/>
      <c r="AB145" s="2" t="n"/>
      <c r="AC145" s="2" t="n"/>
    </row>
    <row r="146" ht="78" customHeight="1">
      <c r="A146" s="2" t="n"/>
      <c r="B146" s="24" t="inlineStr">
        <is>
          <t>GN 1/1 container, PP, 65 mm</t>
        </is>
      </c>
      <c r="C146" s="24" t="inlineStr">
        <is>
          <t>TOMGAST</t>
        </is>
      </c>
      <c r="D146" s="24" t="inlineStr">
        <is>
          <t>Gastronádoba polypropylenová GN 1/1 65 mm</t>
        </is>
      </c>
      <c r="E146" s="24" t="inlineStr">
        <is>
          <t>Cambro</t>
        </is>
      </c>
      <c r="F146" s="25" t="inlineStr">
        <is>
          <t>https://www.tomgast.cz/gastronadoba-polypropylenova-gn-1-1-65-mm/</t>
        </is>
      </c>
      <c r="G146" s="98" t="n">
        <v>234</v>
      </c>
      <c r="H146" s="24" t="inlineStr">
        <is>
          <t>CZK</t>
        </is>
      </c>
      <c r="I146" s="24" t="inlineStr">
        <is>
          <t>incl.</t>
        </is>
      </c>
      <c r="J146" s="122" t="n">
        <v>0.21</v>
      </c>
      <c r="K146" s="116" t="n">
        <v>1</v>
      </c>
      <c r="L146" s="24" t="inlineStr">
        <is>
          <t>per piece</t>
        </is>
      </c>
      <c r="M146" s="36" t="inlineStr">
        <is>
          <t>=IF(OR(G78="",J78="",K78=""),"",ROUND(IF(I78="incl.",G78/(1+J78),G78)/IF(L78="per pack",K78,1),2))</t>
        </is>
      </c>
      <c r="N146" s="24" t="inlineStr">
        <is>
          <t>EXACT</t>
        </is>
      </c>
      <c r="O146" s="24" t="inlineStr">
        <is>
          <t>Code R-MP11065; 193 CZK bez DPH; in stock</t>
        </is>
      </c>
      <c r="P146" s="24" t="inlineStr">
        <is>
          <t>2026-09-30</t>
        </is>
      </c>
      <c r="Q146" s="36" t="inlineStr">
        <is>
          <t>=IFERROR(INDEX(Competitors!$N$2:$N$50,MATCH(C78,Competitors!$A$2:$A$50,0)),"no")</t>
        </is>
      </c>
      <c r="R146" s="36" t="inlineStr">
        <is>
          <t>=IF(AND(Q78="yes",OR(N78="EXACT",N78="CLOSE"),ISNUMBER(M78)),"yes","no")</t>
        </is>
      </c>
      <c r="S146" s="24" t="n"/>
      <c r="T146" s="24" t="n"/>
      <c r="U146" s="24" t="n"/>
      <c r="V146" s="2" t="n"/>
      <c r="W146" s="2" t="n"/>
      <c r="X146" s="2" t="n"/>
      <c r="Y146" s="2" t="n"/>
      <c r="Z146" s="2" t="n"/>
      <c r="AA146" s="2" t="n"/>
      <c r="AB146" s="2" t="n"/>
      <c r="AC146" s="2" t="n"/>
    </row>
    <row r="147" ht="78" customHeight="1">
      <c r="A147" s="2" t="n"/>
      <c r="B147" s="27" t="inlineStr">
        <is>
          <t>GN 1/3 container, PC, 100 mm</t>
        </is>
      </c>
      <c r="C147" s="27" t="inlineStr">
        <is>
          <t>GGM Gastro (CZ storefront)</t>
        </is>
      </c>
      <c r="D147" s="27" t="inlineStr">
        <is>
          <t>(12 ks) Gastronádoba GN 1/3 - polykarbonát - čirá - Výška: 100 mm</t>
        </is>
      </c>
      <c r="E147" s="27" t="inlineStr">
        <is>
          <t>GGM</t>
        </is>
      </c>
      <c r="F147" s="28" t="inlineStr">
        <is>
          <t>https://www.ggmgastro.com/cs-cz-czk/12-ks-gastronadoba-gn-1-3-polykarbonat-cira-vyska-100-mm-gpcp13100s</t>
        </is>
      </c>
      <c r="G147" s="102" t="n">
        <v>1606.13</v>
      </c>
      <c r="H147" s="27" t="inlineStr">
        <is>
          <t>CZK</t>
        </is>
      </c>
      <c r="I147" s="27" t="inlineStr">
        <is>
          <t>excl.</t>
        </is>
      </c>
      <c r="J147" s="123" t="n">
        <v>0.19</v>
      </c>
      <c r="K147" s="117" t="n">
        <v>12</v>
      </c>
      <c r="L147" s="27" t="inlineStr">
        <is>
          <t>per pack</t>
        </is>
      </c>
      <c r="M147" s="38" t="inlineStr">
        <is>
          <t>=IF(OR(G79="",J79="",K79=""),"",ROUND(IF(I79="incl.",G79/(1+J79),G79)/IF(L79="per pack",K79,1),2))</t>
        </is>
      </c>
      <c r="N147" s="27" t="inlineStr">
        <is>
          <t>EXACT</t>
        </is>
      </c>
      <c r="O147" s="27" t="inlineStr">
        <is>
          <t>SKU GPCP13100S; CZ title says 'čirá' (clear) while the same SKU is 'schwarz' on the German/Austrian storefronts</t>
        </is>
      </c>
      <c r="P147" s="27" t="inlineStr">
        <is>
          <t>2026-09-30</t>
        </is>
      </c>
      <c r="Q147" s="38" t="inlineStr">
        <is>
          <t>=IFERROR(INDEX(Competitors!$N$2:$N$50,MATCH(C79,Competitors!$A$2:$A$50,0)),"no")</t>
        </is>
      </c>
      <c r="R147" s="38" t="inlineStr">
        <is>
          <t>=IF(AND(Q79="yes",OR(N79="EXACT",N79="CLOSE"),ISNUMBER(M79)),"yes","no")</t>
        </is>
      </c>
      <c r="S147" s="27" t="n"/>
      <c r="T147" s="27" t="n"/>
      <c r="U147" s="27" t="n"/>
      <c r="V147" s="2" t="n"/>
      <c r="W147" s="2" t="n"/>
      <c r="X147" s="2" t="n"/>
      <c r="Y147" s="2" t="n"/>
      <c r="Z147" s="2" t="n"/>
      <c r="AA147" s="2" t="n"/>
      <c r="AB147" s="2" t="n"/>
      <c r="AC147" s="2" t="n"/>
    </row>
    <row r="148" ht="78" customHeight="1">
      <c r="A148" s="2" t="n"/>
      <c r="B148" s="24" t="inlineStr">
        <is>
          <t>GN 1/3 container, PC, 100 mm</t>
        </is>
      </c>
      <c r="C148" s="24" t="inlineStr">
        <is>
          <t>Gastro Novotný</t>
        </is>
      </c>
      <c r="D148" s="24" t="inlineStr">
        <is>
          <t>Gastronádoba PC 1/3 100</t>
        </is>
      </c>
      <c r="E148" s="24" t="n"/>
      <c r="F148" s="25" t="inlineStr">
        <is>
          <t>https://eshop.gastronovotny.cz/gastronadoba-pc-1-3-100--0835131/</t>
        </is>
      </c>
      <c r="G148" s="98" t="n">
        <v>159</v>
      </c>
      <c r="H148" s="24" t="inlineStr">
        <is>
          <t>CZK</t>
        </is>
      </c>
      <c r="I148" s="24" t="inlineStr">
        <is>
          <t>excl.</t>
        </is>
      </c>
      <c r="J148" s="122" t="n">
        <v>0.21</v>
      </c>
      <c r="K148" s="116" t="n">
        <v>1</v>
      </c>
      <c r="L148" s="24" t="inlineStr">
        <is>
          <t>per piece</t>
        </is>
      </c>
      <c r="M148" s="36" t="inlineStr">
        <is>
          <t>=IF(OR(G80="",J80="",K80=""),"",ROUND(IF(I80="incl.",G80/(1+J80),G80)/IF(L80="per pack",K80,1),2))</t>
        </is>
      </c>
      <c r="N148" s="24" t="inlineStr">
        <is>
          <t>EXACT</t>
        </is>
      </c>
      <c r="O148" s="24" t="inlineStr">
        <is>
          <t>Code 0835131; 192.39 CZK incl. VAT</t>
        </is>
      </c>
      <c r="P148" s="24" t="inlineStr">
        <is>
          <t>2026-09-30</t>
        </is>
      </c>
      <c r="Q148" s="36" t="inlineStr">
        <is>
          <t>=IFERROR(INDEX(Competitors!$N$2:$N$50,MATCH(C80,Competitors!$A$2:$A$50,0)),"no")</t>
        </is>
      </c>
      <c r="R148" s="36" t="inlineStr">
        <is>
          <t>=IF(AND(Q80="yes",OR(N80="EXACT",N80="CLOSE"),ISNUMBER(M80)),"yes","no")</t>
        </is>
      </c>
      <c r="S148" s="24" t="n"/>
      <c r="T148" s="24" t="n"/>
      <c r="U148" s="24" t="n"/>
      <c r="V148" s="2" t="n"/>
      <c r="W148" s="2" t="n"/>
      <c r="X148" s="2" t="n"/>
      <c r="Y148" s="2" t="n"/>
      <c r="Z148" s="2" t="n"/>
      <c r="AA148" s="2" t="n"/>
      <c r="AB148" s="2" t="n"/>
      <c r="AC148" s="2" t="n"/>
    </row>
    <row r="149" ht="78" customHeight="1">
      <c r="A149" s="2" t="n"/>
      <c r="B149" s="27" t="inlineStr">
        <is>
          <t>GN 1/3 container, PC, 100 mm</t>
        </is>
      </c>
      <c r="C149" s="27" t="inlineStr">
        <is>
          <t>Gastromania</t>
        </is>
      </c>
      <c r="D149" s="27" t="inlineStr">
        <is>
          <t>Gastro nádoba GN 1/3 100 mm, polykarbonát | YATO, YG-00411</t>
        </is>
      </c>
      <c r="E149" s="27" t="inlineStr">
        <is>
          <t>Yato</t>
        </is>
      </c>
      <c r="F149" s="28" t="inlineStr">
        <is>
          <t>https://www.gastromania.cz/gastronadoby-polykarbonatove/gastro-nadoba-gn-1-3-100-mm-polykarbonat-yato-yg-00411</t>
        </is>
      </c>
      <c r="G149" s="102" t="n">
        <v>134</v>
      </c>
      <c r="H149" s="27" t="inlineStr">
        <is>
          <t>CZK</t>
        </is>
      </c>
      <c r="I149" s="27" t="inlineStr">
        <is>
          <t>incl.</t>
        </is>
      </c>
      <c r="J149" s="123" t="n">
        <v>0.21</v>
      </c>
      <c r="K149" s="117" t="n">
        <v>1</v>
      </c>
      <c r="L149" s="27" t="inlineStr">
        <is>
          <t>per piece</t>
        </is>
      </c>
      <c r="M149" s="38" t="inlineStr">
        <is>
          <t>=IF(OR(G81="",J81="",K81=""),"",ROUND(IF(I81="incl.",G81/(1+J81),G81)/IF(L81="per pack",K81,1),2))</t>
        </is>
      </c>
      <c r="N149" s="27" t="inlineStr">
        <is>
          <t>EXACT</t>
        </is>
      </c>
      <c r="O149" s="27" t="inlineStr">
        <is>
          <t>Lowest PC GN 1/3 100; Stalgast Bufet PC 191, Cambro 229 CZK; price incl. 21% VAT as published in product data (current price, in stock)</t>
        </is>
      </c>
      <c r="P149" s="27" t="inlineStr">
        <is>
          <t>2026-09-30</t>
        </is>
      </c>
      <c r="Q149" s="38" t="inlineStr">
        <is>
          <t>=IFERROR(INDEX(Competitors!$N$2:$N$50,MATCH(C81,Competitors!$A$2:$A$50,0)),"no")</t>
        </is>
      </c>
      <c r="R149" s="38" t="inlineStr">
        <is>
          <t>=IF(AND(Q81="yes",OR(N81="EXACT",N81="CLOSE"),ISNUMBER(M81)),"yes","no")</t>
        </is>
      </c>
      <c r="S149" s="27" t="n"/>
      <c r="T149" s="27" t="n"/>
      <c r="U149" s="27" t="n"/>
      <c r="V149" s="2" t="n"/>
      <c r="W149" s="2" t="n"/>
      <c r="X149" s="2" t="n"/>
      <c r="Y149" s="2" t="n"/>
      <c r="Z149" s="2" t="n"/>
      <c r="AA149" s="2" t="n"/>
      <c r="AB149" s="2" t="n"/>
      <c r="AC149" s="2" t="n"/>
    </row>
    <row r="150" ht="78" customHeight="1">
      <c r="A150" s="2" t="n"/>
      <c r="B150" s="24" t="inlineStr">
        <is>
          <t>GN 1/3 container, PC, 100 mm</t>
        </is>
      </c>
      <c r="C150" s="24" t="inlineStr">
        <is>
          <t>Gastrozone</t>
        </is>
      </c>
      <c r="D150" s="24" t="inlineStr">
        <is>
          <t>ARAVEN Gastronádoba GN 1/3, polykarbonát, hloubka: 100 mm, objem: 3,7 L</t>
        </is>
      </c>
      <c r="E150" s="24" t="inlineStr">
        <is>
          <t>Araven</t>
        </is>
      </c>
      <c r="F150" s="25" t="inlineStr">
        <is>
          <t>https://www.gastrozone.cz/araven-gn-nadoba-1-3-polykarbonat-hloubka-100-mm-objem-3-7-l.html</t>
        </is>
      </c>
      <c r="G150" s="98" t="n">
        <v>283</v>
      </c>
      <c r="H150" s="24" t="inlineStr">
        <is>
          <t>CZK</t>
        </is>
      </c>
      <c r="I150" s="24" t="inlineStr">
        <is>
          <t>incl.</t>
        </is>
      </c>
      <c r="J150" s="122" t="n">
        <v>0.21</v>
      </c>
      <c r="K150" s="116" t="n">
        <v>1</v>
      </c>
      <c r="L150" s="24" t="inlineStr">
        <is>
          <t>per piece</t>
        </is>
      </c>
      <c r="M150" s="36" t="inlineStr">
        <is>
          <t>=IF(OR(G82="",J82="",K82=""),"",ROUND(IF(I82="incl.",G82/(1+J82),G82)/IF(L82="per pack",K82,1),2))</t>
        </is>
      </c>
      <c r="N150" s="24" t="inlineStr">
        <is>
          <t>EXACT</t>
        </is>
      </c>
      <c r="O150" s="24" t="inlineStr">
        <is>
          <t>233.88 CZK bez DPH; lowest PC GN 1/3 100; alternatives APS 295, Pujadas 381 CZK</t>
        </is>
      </c>
      <c r="P150" s="24" t="inlineStr">
        <is>
          <t>2026-09-30</t>
        </is>
      </c>
      <c r="Q150" s="36" t="inlineStr">
        <is>
          <t>=IFERROR(INDEX(Competitors!$N$2:$N$50,MATCH(C82,Competitors!$A$2:$A$50,0)),"no")</t>
        </is>
      </c>
      <c r="R150" s="36" t="inlineStr">
        <is>
          <t>=IF(AND(Q82="yes",OR(N82="EXACT",N82="CLOSE"),ISNUMBER(M82)),"yes","no")</t>
        </is>
      </c>
      <c r="S150" s="24" t="n"/>
      <c r="T150" s="24" t="n"/>
      <c r="U150" s="24" t="n"/>
      <c r="V150" s="2" t="n"/>
      <c r="W150" s="2" t="n"/>
      <c r="X150" s="2" t="n"/>
      <c r="Y150" s="2" t="n"/>
      <c r="Z150" s="2" t="n"/>
      <c r="AA150" s="2" t="n"/>
      <c r="AB150" s="2" t="n"/>
      <c r="AC150" s="2" t="n"/>
    </row>
    <row r="151" ht="78" customHeight="1">
      <c r="A151" s="2" t="n"/>
      <c r="B151" s="27" t="inlineStr">
        <is>
          <t>GN 1/3 container, PC, 100 mm</t>
        </is>
      </c>
      <c r="C151" s="27" t="inlineStr">
        <is>
          <t>TOMGAST</t>
        </is>
      </c>
      <c r="D151" s="27" t="inlineStr">
        <is>
          <t>Gastronádoba polykarbonátová GN 1/3 100 mm</t>
        </is>
      </c>
      <c r="E151" s="27" t="inlineStr">
        <is>
          <t>Cambro</t>
        </is>
      </c>
      <c r="F151" s="28" t="inlineStr">
        <is>
          <t>https://www.tomgast.cz/gastronadoba-polykarbonatova-gn-1-3-100-mm-2/</t>
        </is>
      </c>
      <c r="G151" s="102" t="n">
        <v>229</v>
      </c>
      <c r="H151" s="27" t="inlineStr">
        <is>
          <t>CZK</t>
        </is>
      </c>
      <c r="I151" s="27" t="inlineStr">
        <is>
          <t>incl.</t>
        </is>
      </c>
      <c r="J151" s="123" t="n">
        <v>0.21</v>
      </c>
      <c r="K151" s="117" t="n">
        <v>1</v>
      </c>
      <c r="L151" s="27" t="inlineStr">
        <is>
          <t>per piece</t>
        </is>
      </c>
      <c r="M151" s="38" t="inlineStr">
        <is>
          <t>=IF(OR(G83="",J83="",K83=""),"",ROUND(IF(I83="incl.",G83/(1+J83),G83)/IF(L83="per pack",K83,1),2))</t>
        </is>
      </c>
      <c r="N151" s="27" t="inlineStr">
        <is>
          <t>EXACT</t>
        </is>
      </c>
      <c r="O151" s="27" t="inlineStr">
        <is>
          <t>Code R-M213100; 189 CZK bez DPH</t>
        </is>
      </c>
      <c r="P151" s="27" t="inlineStr">
        <is>
          <t>2026-09-30</t>
        </is>
      </c>
      <c r="Q151" s="38" t="inlineStr">
        <is>
          <t>=IFERROR(INDEX(Competitors!$N$2:$N$50,MATCH(C83,Competitors!$A$2:$A$50,0)),"no")</t>
        </is>
      </c>
      <c r="R151" s="38" t="inlineStr">
        <is>
          <t>=IF(AND(Q83="yes",OR(N83="EXACT",N83="CLOSE"),ISNUMBER(M83)),"yes","no")</t>
        </is>
      </c>
      <c r="S151" s="27" t="n"/>
      <c r="T151" s="27" t="n"/>
      <c r="U151" s="27" t="n"/>
      <c r="V151" s="2" t="n"/>
      <c r="W151" s="2" t="n"/>
      <c r="X151" s="2" t="n"/>
      <c r="Y151" s="2" t="n"/>
      <c r="Z151" s="2" t="n"/>
      <c r="AA151" s="2" t="n"/>
      <c r="AB151" s="2" t="n"/>
      <c r="AC151" s="2" t="n"/>
    </row>
    <row r="152" ht="78" customHeight="1">
      <c r="A152" s="2" t="n"/>
      <c r="B152" s="24" t="inlineStr">
        <is>
          <t>GN 1/2 container, PP, 150 mm</t>
        </is>
      </c>
      <c r="C152" s="24" t="inlineStr">
        <is>
          <t>GGM Gastro (CZ storefront)</t>
        </is>
      </c>
      <c r="D152" s="24" t="inlineStr">
        <is>
          <t>(12 ks) Gastronádoba GN 1/2 - polypropylen - mléčná - Výška: 150 mm</t>
        </is>
      </c>
      <c r="E152" s="24" t="inlineStr">
        <is>
          <t>GGM</t>
        </is>
      </c>
      <c r="F152" s="25" t="inlineStr">
        <is>
          <t>https://www.ggmgastro.com/cs-cz-czk/12-ks-gastronadoba-gn-1-2-polypropylen-mlecna-vyska-150-mm-gpp12150</t>
        </is>
      </c>
      <c r="G152" s="98" t="n">
        <v>1216.71</v>
      </c>
      <c r="H152" s="24" t="inlineStr">
        <is>
          <t>CZK</t>
        </is>
      </c>
      <c r="I152" s="24" t="inlineStr">
        <is>
          <t>excl.</t>
        </is>
      </c>
      <c r="J152" s="122" t="n">
        <v>0.19</v>
      </c>
      <c r="K152" s="116" t="n">
        <v>12</v>
      </c>
      <c r="L152" s="24" t="inlineStr">
        <is>
          <t>per pack</t>
        </is>
      </c>
      <c r="M152" s="36" t="inlineStr">
        <is>
          <t>=IF(OR(G84="",J84="",K84=""),"",ROUND(IF(I84="incl.",G84/(1+J84),G84)/IF(L84="per pack",K84,1),2))</t>
        </is>
      </c>
      <c r="N152" s="24" t="inlineStr">
        <is>
          <t>EXACT</t>
        </is>
      </c>
      <c r="O152" s="24" t="inlineStr">
        <is>
          <t>SKU GPP12150</t>
        </is>
      </c>
      <c r="P152" s="24" t="inlineStr">
        <is>
          <t>2026-09-30</t>
        </is>
      </c>
      <c r="Q152" s="36" t="inlineStr">
        <is>
          <t>=IFERROR(INDEX(Competitors!$N$2:$N$50,MATCH(C84,Competitors!$A$2:$A$50,0)),"no")</t>
        </is>
      </c>
      <c r="R152" s="36" t="inlineStr">
        <is>
          <t>=IF(AND(Q84="yes",OR(N84="EXACT",N84="CLOSE"),ISNUMBER(M84)),"yes","no")</t>
        </is>
      </c>
      <c r="S152" s="24" t="n"/>
      <c r="T152" s="24" t="n"/>
      <c r="U152" s="24" t="n"/>
      <c r="V152" s="2" t="n"/>
      <c r="W152" s="2" t="n"/>
      <c r="X152" s="2" t="n"/>
      <c r="Y152" s="2" t="n"/>
      <c r="Z152" s="2" t="n"/>
      <c r="AA152" s="2" t="n"/>
      <c r="AB152" s="2" t="n"/>
      <c r="AC152" s="2" t="n"/>
    </row>
    <row r="153" ht="78" customHeight="1">
      <c r="A153" s="2" t="n"/>
      <c r="B153" s="27" t="inlineStr">
        <is>
          <t>GN 1/2 container, PP, 150 mm</t>
        </is>
      </c>
      <c r="C153" s="27" t="inlineStr">
        <is>
          <t>Gastro Novotný</t>
        </is>
      </c>
      <c r="D153" s="27" t="inlineStr">
        <is>
          <t>Gastronádoba 1/2 150 polypropylen</t>
        </is>
      </c>
      <c r="E153" s="27" t="n"/>
      <c r="F153" s="28" t="inlineStr">
        <is>
          <t>https://eshop.gastronovotny.cz/gastronadoba-1-2-150-polypropylen--1814705-15/</t>
        </is>
      </c>
      <c r="G153" s="102" t="n">
        <v>140</v>
      </c>
      <c r="H153" s="27" t="inlineStr">
        <is>
          <t>CZK</t>
        </is>
      </c>
      <c r="I153" s="27" t="inlineStr">
        <is>
          <t>excl.</t>
        </is>
      </c>
      <c r="J153" s="123" t="n">
        <v>0.21</v>
      </c>
      <c r="K153" s="117" t="n">
        <v>1</v>
      </c>
      <c r="L153" s="27" t="inlineStr">
        <is>
          <t>per piece</t>
        </is>
      </c>
      <c r="M153" s="38" t="inlineStr">
        <is>
          <t>=IF(OR(G85="",J85="",K85=""),"",ROUND(IF(I85="incl.",G85/(1+J85),G85)/IF(L85="per pack",K85,1),2))</t>
        </is>
      </c>
      <c r="N153" s="27" t="inlineStr">
        <is>
          <t>EXACT</t>
        </is>
      </c>
      <c r="O153" s="27" t="inlineStr">
        <is>
          <t>Code 1814705-15; 169.40 CZK incl. VAT</t>
        </is>
      </c>
      <c r="P153" s="27" t="inlineStr">
        <is>
          <t>2026-09-30</t>
        </is>
      </c>
      <c r="Q153" s="38" t="inlineStr">
        <is>
          <t>=IFERROR(INDEX(Competitors!$N$2:$N$50,MATCH(C85,Competitors!$A$2:$A$50,0)),"no")</t>
        </is>
      </c>
      <c r="R153" s="38" t="inlineStr">
        <is>
          <t>=IF(AND(Q85="yes",OR(N85="EXACT",N85="CLOSE"),ISNUMBER(M85)),"yes","no")</t>
        </is>
      </c>
      <c r="S153" s="27" t="n"/>
      <c r="T153" s="27" t="n"/>
      <c r="U153" s="27" t="n"/>
      <c r="V153" s="2" t="n"/>
      <c r="W153" s="2" t="n"/>
      <c r="X153" s="2" t="n"/>
      <c r="Y153" s="2" t="n"/>
      <c r="Z153" s="2" t="n"/>
      <c r="AA153" s="2" t="n"/>
      <c r="AB153" s="2" t="n"/>
      <c r="AC153" s="2" t="n"/>
    </row>
    <row r="154" ht="78" customHeight="1">
      <c r="A154" s="2" t="n"/>
      <c r="B154" s="24" t="inlineStr">
        <is>
          <t>GN 1/2 container, PP, 150 mm</t>
        </is>
      </c>
      <c r="C154" s="24" t="inlineStr">
        <is>
          <t>Gastromania</t>
        </is>
      </c>
      <c r="D154" s="24" t="inlineStr">
        <is>
          <t>Nádoba z polypropylenu, GN 1/2, 150 mm | STALGAST, Bufet</t>
        </is>
      </c>
      <c r="E154" s="24" t="inlineStr">
        <is>
          <t>Stalgast</t>
        </is>
      </c>
      <c r="F154" s="25" t="inlineStr">
        <is>
          <t>https://www.gastromania.cz/gastronadoby-polypropylenove/nadoba-z-polypropylenu-gn-1-2-150-mm-stalgast-bufet</t>
        </is>
      </c>
      <c r="G154" s="98" t="n">
        <v>162</v>
      </c>
      <c r="H154" s="24" t="inlineStr">
        <is>
          <t>CZK</t>
        </is>
      </c>
      <c r="I154" s="24" t="inlineStr">
        <is>
          <t>incl.</t>
        </is>
      </c>
      <c r="J154" s="122" t="n">
        <v>0.21</v>
      </c>
      <c r="K154" s="116" t="n">
        <v>1</v>
      </c>
      <c r="L154" s="24" t="inlineStr">
        <is>
          <t>per piece</t>
        </is>
      </c>
      <c r="M154" s="36" t="inlineStr">
        <is>
          <t>=IF(OR(G86="",J86="",K86=""),"",ROUND(IF(I86="incl.",G86/(1+J86),G86)/IF(L86="per pack",K86,1),2))</t>
        </is>
      </c>
      <c r="N154" s="24" t="inlineStr">
        <is>
          <t>EXACT</t>
        </is>
      </c>
      <c r="O154" s="24" t="inlineStr">
        <is>
          <t>Cambro R-MP12150 227 CZK; price incl. 21% VAT as published in product data (current price, in stock)</t>
        </is>
      </c>
      <c r="P154" s="24" t="inlineStr">
        <is>
          <t>2026-09-30</t>
        </is>
      </c>
      <c r="Q154" s="36" t="inlineStr">
        <is>
          <t>=IFERROR(INDEX(Competitors!$N$2:$N$50,MATCH(C86,Competitors!$A$2:$A$50,0)),"no")</t>
        </is>
      </c>
      <c r="R154" s="36" t="inlineStr">
        <is>
          <t>=IF(AND(Q86="yes",OR(N86="EXACT",N86="CLOSE"),ISNUMBER(M86)),"yes","no")</t>
        </is>
      </c>
      <c r="S154" s="24" t="n"/>
      <c r="T154" s="24" t="n"/>
      <c r="U154" s="24" t="n"/>
      <c r="V154" s="2" t="n"/>
      <c r="W154" s="2" t="n"/>
      <c r="X154" s="2" t="n"/>
      <c r="Y154" s="2" t="n"/>
      <c r="Z154" s="2" t="n"/>
      <c r="AA154" s="2" t="n"/>
      <c r="AB154" s="2" t="n"/>
      <c r="AC154" s="2" t="n"/>
    </row>
    <row r="155" ht="78" customHeight="1">
      <c r="A155" s="2" t="n"/>
      <c r="B155" s="27" t="inlineStr">
        <is>
          <t>GN 1/2 container, PP, 150 mm</t>
        </is>
      </c>
      <c r="C155" s="27" t="inlineStr">
        <is>
          <t>Gastrozone</t>
        </is>
      </c>
      <c r="D155" s="27" t="inlineStr">
        <is>
          <t>gastro nádoba GN 1/2 polypropylen v=150 mm Pujadas</t>
        </is>
      </c>
      <c r="E155" s="27" t="inlineStr">
        <is>
          <t>Pujadas</t>
        </is>
      </c>
      <c r="F155" s="28" t="inlineStr">
        <is>
          <t>https://www.gastrozone.cz/gastro-nadoba-gn-1-2-polypropylen-v-150-mm-pujadas.html</t>
        </is>
      </c>
      <c r="G155" s="102" t="n">
        <v>334</v>
      </c>
      <c r="H155" s="27" t="inlineStr">
        <is>
          <t>CZK</t>
        </is>
      </c>
      <c r="I155" s="27" t="inlineStr">
        <is>
          <t>incl.</t>
        </is>
      </c>
      <c r="J155" s="123" t="n">
        <v>0.21</v>
      </c>
      <c r="K155" s="117" t="n">
        <v>1</v>
      </c>
      <c r="L155" s="27" t="inlineStr">
        <is>
          <t>per piece</t>
        </is>
      </c>
      <c r="M155" s="38" t="inlineStr">
        <is>
          <t>=IF(OR(G87="",J87="",K87=""),"",ROUND(IF(I87="incl.",G87/(1+J87),G87)/IF(L87="per pack",K87,1),2))</t>
        </is>
      </c>
      <c r="N155" s="27" t="inlineStr">
        <is>
          <t>EXACT</t>
        </is>
      </c>
      <c r="O155" s="27" t="inlineStr">
        <is>
          <t>276.03 CZK bez DPH; in stock</t>
        </is>
      </c>
      <c r="P155" s="27" t="inlineStr">
        <is>
          <t>2026-09-30</t>
        </is>
      </c>
      <c r="Q155" s="38" t="inlineStr">
        <is>
          <t>=IFERROR(INDEX(Competitors!$N$2:$N$50,MATCH(C87,Competitors!$A$2:$A$50,0)),"no")</t>
        </is>
      </c>
      <c r="R155" s="38" t="inlineStr">
        <is>
          <t>=IF(AND(Q87="yes",OR(N87="EXACT",N87="CLOSE"),ISNUMBER(M87)),"yes","no")</t>
        </is>
      </c>
      <c r="S155" s="27" t="n"/>
      <c r="T155" s="27" t="n"/>
      <c r="U155" s="27" t="n"/>
      <c r="V155" s="2" t="n"/>
      <c r="W155" s="2" t="n"/>
      <c r="X155" s="2" t="n"/>
      <c r="Y155" s="2" t="n"/>
      <c r="Z155" s="2" t="n"/>
      <c r="AA155" s="2" t="n"/>
      <c r="AB155" s="2" t="n"/>
      <c r="AC155" s="2" t="n"/>
    </row>
    <row r="156" ht="78" customHeight="1">
      <c r="A156" s="2" t="n"/>
      <c r="B156" s="24" t="inlineStr">
        <is>
          <t>GN 1/2 container, PP, 150 mm</t>
        </is>
      </c>
      <c r="C156" s="24" t="inlineStr">
        <is>
          <t>TOMGAST</t>
        </is>
      </c>
      <c r="D156" s="24" t="inlineStr">
        <is>
          <t>Gastronádoba polypropylenová GN 1/2 150 mm</t>
        </is>
      </c>
      <c r="E156" s="24" t="inlineStr">
        <is>
          <t>Cambro</t>
        </is>
      </c>
      <c r="F156" s="25" t="inlineStr">
        <is>
          <t>https://www.tomgast.cz/gastronadoba-polypropylenova-gn-1-2-150-mm-2/</t>
        </is>
      </c>
      <c r="G156" s="98" t="n">
        <v>227</v>
      </c>
      <c r="H156" s="24" t="inlineStr">
        <is>
          <t>CZK</t>
        </is>
      </c>
      <c r="I156" s="24" t="inlineStr">
        <is>
          <t>incl.</t>
        </is>
      </c>
      <c r="J156" s="122" t="n">
        <v>0.21</v>
      </c>
      <c r="K156" s="116" t="n">
        <v>1</v>
      </c>
      <c r="L156" s="24" t="inlineStr">
        <is>
          <t>per piece</t>
        </is>
      </c>
      <c r="M156" s="36" t="inlineStr">
        <is>
          <t>=IF(OR(G88="",J88="",K88=""),"",ROUND(IF(I88="incl.",G88/(1+J88),G88)/IF(L88="per pack",K88,1),2))</t>
        </is>
      </c>
      <c r="N156" s="24" t="inlineStr">
        <is>
          <t>EXACT</t>
        </is>
      </c>
      <c r="O156" s="24" t="inlineStr">
        <is>
          <t>Code R-MP12150; 188 CZK bez DPH</t>
        </is>
      </c>
      <c r="P156" s="24" t="inlineStr">
        <is>
          <t>2026-09-30</t>
        </is>
      </c>
      <c r="Q156" s="36" t="inlineStr">
        <is>
          <t>=IFERROR(INDEX(Competitors!$N$2:$N$50,MATCH(C88,Competitors!$A$2:$A$50,0)),"no")</t>
        </is>
      </c>
      <c r="R156" s="36" t="inlineStr">
        <is>
          <t>=IF(AND(Q88="yes",OR(N88="EXACT",N88="CLOSE"),ISNUMBER(M88)),"yes","no")</t>
        </is>
      </c>
      <c r="S156" s="24" t="n"/>
      <c r="T156" s="24" t="n"/>
      <c r="U156" s="24" t="n"/>
      <c r="V156" s="2" t="n"/>
      <c r="W156" s="2" t="n"/>
      <c r="X156" s="2" t="n"/>
      <c r="Y156" s="2" t="n"/>
      <c r="Z156" s="2" t="n"/>
      <c r="AA156" s="2" t="n"/>
      <c r="AB156" s="2" t="n"/>
      <c r="AC156" s="2" t="n"/>
    </row>
    <row r="157" ht="78" customHeight="1">
      <c r="A157" s="2" t="n"/>
      <c r="B157" s="27" t="inlineStr">
        <is>
          <t>GN 1/1 PC lid, standard</t>
        </is>
      </c>
      <c r="C157" s="27" t="inlineStr">
        <is>
          <t>GGM Gastro (CZ storefront)</t>
        </is>
      </c>
      <c r="D157" s="27" t="inlineStr">
        <is>
          <t>(6 ks) GN kryt GN 1/1 - Polykarbonát - Výška: 35 mm</t>
        </is>
      </c>
      <c r="E157" s="27" t="inlineStr">
        <is>
          <t>GGM</t>
        </is>
      </c>
      <c r="F157" s="28" t="inlineStr">
        <is>
          <t>https://www.ggmgastro.com/cs-cz-czk/6-ks-gn-kryt-gn-1-1-polykarbonat-vyska-35-mm-82001-6</t>
        </is>
      </c>
      <c r="G157" s="102" t="n">
        <v>1679.15</v>
      </c>
      <c r="H157" s="27" t="inlineStr">
        <is>
          <t>CZK</t>
        </is>
      </c>
      <c r="I157" s="27" t="inlineStr">
        <is>
          <t>excl.</t>
        </is>
      </c>
      <c r="J157" s="123" t="n">
        <v>0.19</v>
      </c>
      <c r="K157" s="117" t="n">
        <v>6</v>
      </c>
      <c r="L157" s="27" t="inlineStr">
        <is>
          <t>per pack</t>
        </is>
      </c>
      <c r="M157" s="38" t="inlineStr">
        <is>
          <t>=IF(OR(G89="",J89="",K89=""),"",ROUND(IF(I89="incl.",G89/(1+J89),G89)/IF(L89="per pack",K89,1),2))</t>
        </is>
      </c>
      <c r="N157" s="27" t="inlineStr">
        <is>
          <t>CLOSE</t>
        </is>
      </c>
      <c r="O157" s="27" t="inlineStr">
        <is>
          <t>PC lid 35 mm high (raised rather than flat standard lid)</t>
        </is>
      </c>
      <c r="P157" s="27" t="inlineStr">
        <is>
          <t>2026-09-30</t>
        </is>
      </c>
      <c r="Q157" s="38" t="inlineStr">
        <is>
          <t>=IFERROR(INDEX(Competitors!$N$2:$N$50,MATCH(C89,Competitors!$A$2:$A$50,0)),"no")</t>
        </is>
      </c>
      <c r="R157" s="38" t="inlineStr">
        <is>
          <t>=IF(AND(Q89="yes",OR(N89="EXACT",N89="CLOSE"),ISNUMBER(M89)),"yes","no")</t>
        </is>
      </c>
      <c r="S157" s="27" t="n"/>
      <c r="T157" s="27" t="n"/>
      <c r="U157" s="27" t="n"/>
      <c r="V157" s="2" t="n"/>
      <c r="W157" s="2" t="n"/>
      <c r="X157" s="2" t="n"/>
      <c r="Y157" s="2" t="n"/>
      <c r="Z157" s="2" t="n"/>
      <c r="AA157" s="2" t="n"/>
      <c r="AB157" s="2" t="n"/>
      <c r="AC157" s="2" t="n"/>
    </row>
    <row r="158" ht="78" customHeight="1">
      <c r="A158" s="2" t="n"/>
      <c r="B158" s="24" t="inlineStr">
        <is>
          <t>GN 1/1 PC lid, standard</t>
        </is>
      </c>
      <c r="C158" s="24" t="inlineStr">
        <is>
          <t>Gastro Novotný</t>
        </is>
      </c>
      <c r="D158" s="24" t="inlineStr">
        <is>
          <t>Víko PC GN 1/1</t>
        </is>
      </c>
      <c r="E158" s="24" t="n"/>
      <c r="F158" s="25" t="inlineStr">
        <is>
          <t>https://eshop.gastronovotny.cz/viko-pc-gn-1-1--0835161/</t>
        </is>
      </c>
      <c r="G158" s="98" t="n">
        <v>249</v>
      </c>
      <c r="H158" s="24" t="inlineStr">
        <is>
          <t>CZK</t>
        </is>
      </c>
      <c r="I158" s="24" t="inlineStr">
        <is>
          <t>excl.</t>
        </is>
      </c>
      <c r="J158" s="122" t="n">
        <v>0.21</v>
      </c>
      <c r="K158" s="116" t="n">
        <v>1</v>
      </c>
      <c r="L158" s="24" t="inlineStr">
        <is>
          <t>per piece</t>
        </is>
      </c>
      <c r="M158" s="36" t="inlineStr">
        <is>
          <t>=IF(OR(G90="",J90="",K90=""),"",ROUND(IF(I90="incl.",G90/(1+J90),G90)/IF(L90="per pack",K90,1),2))</t>
        </is>
      </c>
      <c r="N158" s="24" t="inlineStr">
        <is>
          <t>EXACT</t>
        </is>
      </c>
      <c r="O158" s="24" t="inlineStr">
        <is>
          <t>Code 0835161; polycarbonate plain lid; 301.29 CZK incl. VAT</t>
        </is>
      </c>
      <c r="P158" s="24" t="inlineStr">
        <is>
          <t>2026-09-30</t>
        </is>
      </c>
      <c r="Q158" s="36" t="inlineStr">
        <is>
          <t>=IFERROR(INDEX(Competitors!$N$2:$N$50,MATCH(C90,Competitors!$A$2:$A$50,0)),"no")</t>
        </is>
      </c>
      <c r="R158" s="36" t="inlineStr">
        <is>
          <t>=IF(AND(Q90="yes",OR(N90="EXACT",N90="CLOSE"),ISNUMBER(M90)),"yes","no")</t>
        </is>
      </c>
      <c r="S158" s="24" t="n"/>
      <c r="T158" s="24" t="n"/>
      <c r="U158" s="24" t="n"/>
      <c r="V158" s="2" t="n"/>
      <c r="W158" s="2" t="n"/>
      <c r="X158" s="2" t="n"/>
      <c r="Y158" s="2" t="n"/>
      <c r="Z158" s="2" t="n"/>
      <c r="AA158" s="2" t="n"/>
      <c r="AB158" s="2" t="n"/>
      <c r="AC158" s="2" t="n"/>
    </row>
    <row r="159" ht="78" customHeight="1">
      <c r="A159" s="2" t="n"/>
      <c r="B159" s="27" t="inlineStr">
        <is>
          <t>GN 1/1 PC lid, standard</t>
        </is>
      </c>
      <c r="C159" s="27" t="inlineStr">
        <is>
          <t>Gastromania</t>
        </is>
      </c>
      <c r="D159" s="27" t="inlineStr">
        <is>
          <t>Polykarbonátové víko, GN 1/1 | STALGAST, Bufet</t>
        </is>
      </c>
      <c r="E159" s="27" t="inlineStr">
        <is>
          <t>Stalgast</t>
        </is>
      </c>
      <c r="F159" s="28" t="inlineStr">
        <is>
          <t>https://www.gastromania.cz/vika-gn-polykarbonatove/polykarbonatove-viko-gn-1-1-stalgast-bufet</t>
        </is>
      </c>
      <c r="G159" s="102" t="n">
        <v>293</v>
      </c>
      <c r="H159" s="27" t="inlineStr">
        <is>
          <t>CZK</t>
        </is>
      </c>
      <c r="I159" s="27" t="inlineStr">
        <is>
          <t>incl.</t>
        </is>
      </c>
      <c r="J159" s="123" t="n">
        <v>0.21</v>
      </c>
      <c r="K159" s="117" t="n">
        <v>1</v>
      </c>
      <c r="L159" s="27" t="inlineStr">
        <is>
          <t>per piece</t>
        </is>
      </c>
      <c r="M159" s="38" t="inlineStr">
        <is>
          <t>=IF(OR(G91="",J91="",K91=""),"",ROUND(IF(I91="incl.",G91/(1+J91),G91)/IF(L91="per pack",K91,1),2))</t>
        </is>
      </c>
      <c r="N159" s="27" t="inlineStr">
        <is>
          <t>EXACT</t>
        </is>
      </c>
      <c r="O159" s="27" t="inlineStr">
        <is>
          <t>Plain PC lid; Stalgast Premium clear lid 269 CZK (material not in name), Cambro R-M211001 357 CZK; price incl. 21% VAT as published in product data (current price, in stock)</t>
        </is>
      </c>
      <c r="P159" s="27" t="inlineStr">
        <is>
          <t>2026-09-30</t>
        </is>
      </c>
      <c r="Q159" s="38" t="inlineStr">
        <is>
          <t>=IFERROR(INDEX(Competitors!$N$2:$N$50,MATCH(C91,Competitors!$A$2:$A$50,0)),"no")</t>
        </is>
      </c>
      <c r="R159" s="38" t="inlineStr">
        <is>
          <t>=IF(AND(Q91="yes",OR(N91="EXACT",N91="CLOSE"),ISNUMBER(M91)),"yes","no")</t>
        </is>
      </c>
      <c r="S159" s="27" t="n"/>
      <c r="T159" s="27" t="n"/>
      <c r="U159" s="27" t="n"/>
      <c r="V159" s="2" t="n"/>
      <c r="W159" s="2" t="n"/>
      <c r="X159" s="2" t="n"/>
      <c r="Y159" s="2" t="n"/>
      <c r="Z159" s="2" t="n"/>
      <c r="AA159" s="2" t="n"/>
      <c r="AB159" s="2" t="n"/>
      <c r="AC159" s="2" t="n"/>
    </row>
    <row r="160" ht="78" customHeight="1">
      <c r="A160" s="2" t="n"/>
      <c r="B160" s="24" t="inlineStr">
        <is>
          <t>GN 1/1 PC lid, standard</t>
        </is>
      </c>
      <c r="C160" s="24" t="inlineStr">
        <is>
          <t>Gastrozone</t>
        </is>
      </c>
      <c r="D160" s="24" t="inlineStr">
        <is>
          <t>ARAVEN Víko na gastronádobu GN 1/1, polykarbonát, volné</t>
        </is>
      </c>
      <c r="E160" s="24" t="inlineStr">
        <is>
          <t>Araven</t>
        </is>
      </c>
      <c r="F160" s="25" t="inlineStr">
        <is>
          <t>https://www.gastrozone.cz/araven-gn-deckel-1-1-polykarbonat-volny.html</t>
        </is>
      </c>
      <c r="G160" s="98" t="n">
        <v>380</v>
      </c>
      <c r="H160" s="24" t="inlineStr">
        <is>
          <t>CZK</t>
        </is>
      </c>
      <c r="I160" s="24" t="inlineStr">
        <is>
          <t>incl.</t>
        </is>
      </c>
      <c r="J160" s="122" t="n">
        <v>0.21</v>
      </c>
      <c r="K160" s="116" t="n">
        <v>1</v>
      </c>
      <c r="L160" s="24" t="inlineStr">
        <is>
          <t>per piece</t>
        </is>
      </c>
      <c r="M160" s="36" t="inlineStr">
        <is>
          <t>=IF(OR(G92="",J92="",K92=""),"",ROUND(IF(I92="incl.",G92/(1+J92),G92)/IF(L92="per pack",K92,1),2))</t>
        </is>
      </c>
      <c r="N160" s="24" t="inlineStr">
        <is>
          <t>EXACT</t>
        </is>
      </c>
      <c r="O160" s="24" t="inlineStr">
        <is>
          <t>314.05 CZK bez DPH; plain loose PC lid; APS PC lid 394 CZK</t>
        </is>
      </c>
      <c r="P160" s="24" t="inlineStr">
        <is>
          <t>2026-09-30</t>
        </is>
      </c>
      <c r="Q160" s="36" t="inlineStr">
        <is>
          <t>=IFERROR(INDEX(Competitors!$N$2:$N$50,MATCH(C92,Competitors!$A$2:$A$50,0)),"no")</t>
        </is>
      </c>
      <c r="R160" s="36" t="inlineStr">
        <is>
          <t>=IF(AND(Q92="yes",OR(N92="EXACT",N92="CLOSE"),ISNUMBER(M92)),"yes","no")</t>
        </is>
      </c>
      <c r="S160" s="24" t="n"/>
      <c r="T160" s="24" t="n"/>
      <c r="U160" s="24" t="n"/>
      <c r="V160" s="2" t="n"/>
      <c r="W160" s="2" t="n"/>
      <c r="X160" s="2" t="n"/>
      <c r="Y160" s="2" t="n"/>
      <c r="Z160" s="2" t="n"/>
      <c r="AA160" s="2" t="n"/>
      <c r="AB160" s="2" t="n"/>
      <c r="AC160" s="2" t="n"/>
    </row>
    <row r="161" ht="78" customHeight="1">
      <c r="A161" s="2" t="n"/>
      <c r="B161" s="27" t="inlineStr">
        <is>
          <t>GN 1/1 PC lid, standard</t>
        </is>
      </c>
      <c r="C161" s="27" t="inlineStr">
        <is>
          <t>TOMGAST</t>
        </is>
      </c>
      <c r="D161" s="27" t="inlineStr">
        <is>
          <t>Víko pro gastronádobu GN 1/1</t>
        </is>
      </c>
      <c r="E161" s="27" t="inlineStr">
        <is>
          <t>Cambro</t>
        </is>
      </c>
      <c r="F161" s="28" t="inlineStr">
        <is>
          <t>https://www.tomgast.cz/viko-pro-gastronadobu-gn-1-1/</t>
        </is>
      </c>
      <c r="G161" s="102" t="n">
        <v>357</v>
      </c>
      <c r="H161" s="27" t="inlineStr">
        <is>
          <t>CZK</t>
        </is>
      </c>
      <c r="I161" s="27" t="inlineStr">
        <is>
          <t>incl.</t>
        </is>
      </c>
      <c r="J161" s="123" t="n">
        <v>0.21</v>
      </c>
      <c r="K161" s="117" t="n">
        <v>1</v>
      </c>
      <c r="L161" s="27" t="inlineStr">
        <is>
          <t>per piece</t>
        </is>
      </c>
      <c r="M161" s="38" t="inlineStr">
        <is>
          <t>=IF(OR(G93="",J93="",K93=""),"",ROUND(IF(I93="incl.",G93/(1+J93),G93)/IF(L93="per pack",K93,1),2))</t>
        </is>
      </c>
      <c r="N161" s="27" t="inlineStr">
        <is>
          <t>EXACT</t>
        </is>
      </c>
      <c r="O161" s="27" t="inlineStr">
        <is>
          <t>Code R-M211001; material polykarbonát, plain lid, price per 1 piece; 295 CZK bez DPH</t>
        </is>
      </c>
      <c r="P161" s="27" t="inlineStr">
        <is>
          <t>2026-09-30</t>
        </is>
      </c>
      <c r="Q161" s="38" t="inlineStr">
        <is>
          <t>=IFERROR(INDEX(Competitors!$N$2:$N$50,MATCH(C93,Competitors!$A$2:$A$50,0)),"no")</t>
        </is>
      </c>
      <c r="R161" s="38" t="inlineStr">
        <is>
          <t>=IF(AND(Q93="yes",OR(N93="EXACT",N93="CLOSE"),ISNUMBER(M93)),"yes","no")</t>
        </is>
      </c>
      <c r="S161" s="27" t="n"/>
      <c r="T161" s="27" t="n"/>
      <c r="U161" s="27" t="n"/>
      <c r="V161" s="2" t="n"/>
      <c r="W161" s="2" t="n"/>
      <c r="X161" s="2" t="n"/>
      <c r="Y161" s="2" t="n"/>
      <c r="Z161" s="2" t="n"/>
      <c r="AA161" s="2" t="n"/>
      <c r="AB161" s="2" t="n"/>
      <c r="AC161" s="2" t="n"/>
    </row>
    <row r="162" ht="78" customHeight="1">
      <c r="A162" s="2" t="n"/>
      <c r="B162" s="24" t="inlineStr">
        <is>
          <t>GN 1/6 container, PP, 100 mm</t>
        </is>
      </c>
      <c r="C162" s="24" t="inlineStr">
        <is>
          <t>GGM Gastro (CZ storefront)</t>
        </is>
      </c>
      <c r="D162" s="24" t="inlineStr">
        <is>
          <t>(12 ks) Polypropylenová nádoba GN 1/6 - Mléčná - Výška: 100 mm</t>
        </is>
      </c>
      <c r="E162" s="24" t="inlineStr">
        <is>
          <t>GGM</t>
        </is>
      </c>
      <c r="F162" s="25" t="inlineStr">
        <is>
          <t>https://www.ggmgastro.com/cs-cz-czk/12-ks-polypropylenova-nadoba-gn-1-6-mlecna-vyska-100-mm-gpp16100-12</t>
        </is>
      </c>
      <c r="G162" s="98" t="n">
        <v>1070.67</v>
      </c>
      <c r="H162" s="24" t="inlineStr">
        <is>
          <t>CZK</t>
        </is>
      </c>
      <c r="I162" s="24" t="inlineStr">
        <is>
          <t>excl.</t>
        </is>
      </c>
      <c r="J162" s="122" t="n">
        <v>0.19</v>
      </c>
      <c r="K162" s="116" t="n">
        <v>12</v>
      </c>
      <c r="L162" s="24" t="inlineStr">
        <is>
          <t>per pack</t>
        </is>
      </c>
      <c r="M162" s="36" t="inlineStr">
        <is>
          <t>=IF(OR(G94="",J94="",K94=""),"",ROUND(IF(I94="incl.",G94/(1+J94),G94)/IF(L94="per pack",K94,1),2))</t>
        </is>
      </c>
      <c r="N162" s="24" t="inlineStr">
        <is>
          <t>EXACT</t>
        </is>
      </c>
      <c r="O162" s="24" t="n"/>
      <c r="P162" s="24" t="inlineStr">
        <is>
          <t>2026-09-30</t>
        </is>
      </c>
      <c r="Q162" s="36" t="inlineStr">
        <is>
          <t>=IFERROR(INDEX(Competitors!$N$2:$N$50,MATCH(C94,Competitors!$A$2:$A$50,0)),"no")</t>
        </is>
      </c>
      <c r="R162" s="36" t="inlineStr">
        <is>
          <t>=IF(AND(Q94="yes",OR(N94="EXACT",N94="CLOSE"),ISNUMBER(M94)),"yes","no")</t>
        </is>
      </c>
      <c r="S162" s="24" t="n"/>
      <c r="T162" s="24" t="n"/>
      <c r="U162" s="24" t="n"/>
      <c r="V162" s="2" t="n"/>
      <c r="W162" s="2" t="n"/>
      <c r="X162" s="2" t="n"/>
      <c r="Y162" s="2" t="n"/>
      <c r="Z162" s="2" t="n"/>
      <c r="AA162" s="2" t="n"/>
      <c r="AB162" s="2" t="n"/>
      <c r="AC162" s="2" t="n"/>
    </row>
    <row r="163" ht="78" customHeight="1">
      <c r="A163" s="2" t="n"/>
      <c r="B163" s="27" t="inlineStr">
        <is>
          <t>GN 1/6 container, PP, 100 mm</t>
        </is>
      </c>
      <c r="C163" s="27" t="inlineStr">
        <is>
          <t>Gastro Novotný</t>
        </is>
      </c>
      <c r="D163" s="27" t="inlineStr">
        <is>
          <t>Gastronádoba 1/6 100 polypropylen</t>
        </is>
      </c>
      <c r="E163" s="27" t="n"/>
      <c r="F163" s="28" t="inlineStr">
        <is>
          <t>https://eshop.gastronovotny.cz/gastronadoba-1-6-100-polypropylen/</t>
        </is>
      </c>
      <c r="G163" s="102" t="n">
        <v>75</v>
      </c>
      <c r="H163" s="27" t="inlineStr">
        <is>
          <t>CZK</t>
        </is>
      </c>
      <c r="I163" s="27" t="inlineStr">
        <is>
          <t>excl.</t>
        </is>
      </c>
      <c r="J163" s="123" t="n">
        <v>0.21</v>
      </c>
      <c r="K163" s="117" t="n">
        <v>1</v>
      </c>
      <c r="L163" s="27" t="inlineStr">
        <is>
          <t>per piece</t>
        </is>
      </c>
      <c r="M163" s="38" t="inlineStr">
        <is>
          <t>=IF(OR(G95="",J95="",K95=""),"",ROUND(IF(I95="incl.",G95/(1+J95),G95)/IF(L95="per pack",K95,1),2))</t>
        </is>
      </c>
      <c r="N163" s="27" t="inlineStr">
        <is>
          <t>EXACT</t>
        </is>
      </c>
      <c r="O163" s="27" t="inlineStr">
        <is>
          <t>Code 1814709-10; 90.75 CZK incl. VAT</t>
        </is>
      </c>
      <c r="P163" s="27" t="inlineStr">
        <is>
          <t>2026-09-30</t>
        </is>
      </c>
      <c r="Q163" s="38" t="inlineStr">
        <is>
          <t>=IFERROR(INDEX(Competitors!$N$2:$N$50,MATCH(C95,Competitors!$A$2:$A$50,0)),"no")</t>
        </is>
      </c>
      <c r="R163" s="38" t="inlineStr">
        <is>
          <t>=IF(AND(Q95="yes",OR(N95="EXACT",N95="CLOSE"),ISNUMBER(M95)),"yes","no")</t>
        </is>
      </c>
      <c r="S163" s="27" t="n"/>
      <c r="T163" s="27" t="n"/>
      <c r="U163" s="27" t="n"/>
      <c r="V163" s="2" t="n"/>
      <c r="W163" s="2" t="n"/>
      <c r="X163" s="2" t="n"/>
      <c r="Y163" s="2" t="n"/>
      <c r="Z163" s="2" t="n"/>
      <c r="AA163" s="2" t="n"/>
      <c r="AB163" s="2" t="n"/>
      <c r="AC163" s="2" t="n"/>
    </row>
    <row r="164" ht="78" customHeight="1">
      <c r="A164" s="2" t="n"/>
      <c r="B164" s="24" t="inlineStr">
        <is>
          <t>GN 1/6 container, PP, 100 mm</t>
        </is>
      </c>
      <c r="C164" s="24" t="inlineStr">
        <is>
          <t>Gastromania</t>
        </is>
      </c>
      <c r="D164" s="24" t="inlineStr">
        <is>
          <t>Nádoba z polypropylenu, GN 1/6, 100 mm | STALGAST, Bufet</t>
        </is>
      </c>
      <c r="E164" s="24" t="inlineStr">
        <is>
          <t>Stalgast</t>
        </is>
      </c>
      <c r="F164" s="25" t="inlineStr">
        <is>
          <t>https://www.gastromania.cz/gastronadoby-polypropylenove/nadoba-z-polypropylenu-gn-1-6-100-mm-stalgast-bufet</t>
        </is>
      </c>
      <c r="G164" s="98" t="n">
        <v>57</v>
      </c>
      <c r="H164" s="24" t="inlineStr">
        <is>
          <t>CZK</t>
        </is>
      </c>
      <c r="I164" s="24" t="inlineStr">
        <is>
          <t>incl.</t>
        </is>
      </c>
      <c r="J164" s="122" t="n">
        <v>0.21</v>
      </c>
      <c r="K164" s="116" t="n">
        <v>1</v>
      </c>
      <c r="L164" s="24" t="inlineStr">
        <is>
          <t>per piece</t>
        </is>
      </c>
      <c r="M164" s="36" t="inlineStr">
        <is>
          <t>=IF(OR(G96="",J96="",K96=""),"",ROUND(IF(I96="incl.",G96/(1+J96),G96)/IF(L96="per pack",K96,1),2))</t>
        </is>
      </c>
      <c r="N164" s="24" t="inlineStr">
        <is>
          <t>EXACT</t>
        </is>
      </c>
      <c r="O164" s="24" t="inlineStr">
        <is>
          <t>Cambro R-MP16100 94 CZK; price incl. 21% VAT as published in product data (current price, in stock)</t>
        </is>
      </c>
      <c r="P164" s="24" t="inlineStr">
        <is>
          <t>2026-09-30</t>
        </is>
      </c>
      <c r="Q164" s="36" t="inlineStr">
        <is>
          <t>=IFERROR(INDEX(Competitors!$N$2:$N$50,MATCH(C96,Competitors!$A$2:$A$50,0)),"no")</t>
        </is>
      </c>
      <c r="R164" s="36" t="inlineStr">
        <is>
          <t>=IF(AND(Q96="yes",OR(N96="EXACT",N96="CLOSE"),ISNUMBER(M96)),"yes","no")</t>
        </is>
      </c>
      <c r="S164" s="24" t="n"/>
      <c r="T164" s="24" t="n"/>
      <c r="U164" s="24" t="n"/>
      <c r="V164" s="2" t="n"/>
      <c r="W164" s="2" t="n"/>
      <c r="X164" s="2" t="n"/>
      <c r="Y164" s="2" t="n"/>
      <c r="Z164" s="2" t="n"/>
      <c r="AA164" s="2" t="n"/>
      <c r="AB164" s="2" t="n"/>
      <c r="AC164" s="2" t="n"/>
    </row>
    <row r="165" ht="78" customHeight="1">
      <c r="A165" s="2" t="n"/>
      <c r="B165" s="27" t="inlineStr">
        <is>
          <t>GN 1/6 container, PP, 100 mm</t>
        </is>
      </c>
      <c r="C165" s="27" t="inlineStr">
        <is>
          <t>Gastrozone</t>
        </is>
      </c>
      <c r="D165" s="27" t="inlineStr">
        <is>
          <t>Pujadas gastro nádoba GN 1/6 176x162 mm polypropylen v=100 mm</t>
        </is>
      </c>
      <c r="E165" s="27" t="inlineStr">
        <is>
          <t>Pujadas</t>
        </is>
      </c>
      <c r="F165" s="28" t="inlineStr">
        <is>
          <t>https://www.gastrozone.cz/pujadas-gastro-nadoba-gn-1-6-176x162-mm-polypropylen-v-100-mm.html</t>
        </is>
      </c>
      <c r="G165" s="102" t="n">
        <v>130</v>
      </c>
      <c r="H165" s="27" t="inlineStr">
        <is>
          <t>CZK</t>
        </is>
      </c>
      <c r="I165" s="27" t="inlineStr">
        <is>
          <t>incl.</t>
        </is>
      </c>
      <c r="J165" s="123" t="n">
        <v>0.21</v>
      </c>
      <c r="K165" s="117" t="n">
        <v>1</v>
      </c>
      <c r="L165" s="27" t="inlineStr">
        <is>
          <t>per piece</t>
        </is>
      </c>
      <c r="M165" s="38" t="inlineStr">
        <is>
          <t>=IF(OR(G97="",J97="",K97=""),"",ROUND(IF(I97="incl.",G97/(1+J97),G97)/IF(L97="per pack",K97,1),2))</t>
        </is>
      </c>
      <c r="N165" s="27" t="inlineStr">
        <is>
          <t>EXACT</t>
        </is>
      </c>
      <c r="O165" s="27" t="inlineStr">
        <is>
          <t>107.44 CZK bez DPH; APS PP alternative 137 CZK</t>
        </is>
      </c>
      <c r="P165" s="27" t="inlineStr">
        <is>
          <t>2026-09-30</t>
        </is>
      </c>
      <c r="Q165" s="38" t="inlineStr">
        <is>
          <t>=IFERROR(INDEX(Competitors!$N$2:$N$50,MATCH(C97,Competitors!$A$2:$A$50,0)),"no")</t>
        </is>
      </c>
      <c r="R165" s="38" t="inlineStr">
        <is>
          <t>=IF(AND(Q97="yes",OR(N97="EXACT",N97="CLOSE"),ISNUMBER(M97)),"yes","no")</t>
        </is>
      </c>
      <c r="S165" s="27" t="n"/>
      <c r="T165" s="27" t="n"/>
      <c r="U165" s="27" t="n"/>
      <c r="V165" s="2" t="n"/>
      <c r="W165" s="2" t="n"/>
      <c r="X165" s="2" t="n"/>
      <c r="Y165" s="2" t="n"/>
      <c r="Z165" s="2" t="n"/>
      <c r="AA165" s="2" t="n"/>
      <c r="AB165" s="2" t="n"/>
      <c r="AC165" s="2" t="n"/>
    </row>
    <row r="166" ht="78" customHeight="1">
      <c r="A166" s="2" t="n"/>
      <c r="B166" s="24" t="inlineStr">
        <is>
          <t>GN 1/6 container, PP, 100 mm</t>
        </is>
      </c>
      <c r="C166" s="24" t="inlineStr">
        <is>
          <t>TOMGAST</t>
        </is>
      </c>
      <c r="D166" s="24" t="inlineStr">
        <is>
          <t>Gastronádoba polypropylenová GN 1/6 100 mm</t>
        </is>
      </c>
      <c r="E166" s="24" t="inlineStr">
        <is>
          <t>Cambro</t>
        </is>
      </c>
      <c r="F166" s="25" t="inlineStr">
        <is>
          <t>https://www.tomgast.cz/gastronadoba-polypropylenova-gn-1-6-100-mm-2/</t>
        </is>
      </c>
      <c r="G166" s="98" t="n">
        <v>94</v>
      </c>
      <c r="H166" s="24" t="inlineStr">
        <is>
          <t>CZK</t>
        </is>
      </c>
      <c r="I166" s="24" t="inlineStr">
        <is>
          <t>incl.</t>
        </is>
      </c>
      <c r="J166" s="122" t="n">
        <v>0.21</v>
      </c>
      <c r="K166" s="116" t="n">
        <v>1</v>
      </c>
      <c r="L166" s="24" t="inlineStr">
        <is>
          <t>per piece</t>
        </is>
      </c>
      <c r="M166" s="36" t="inlineStr">
        <is>
          <t>=IF(OR(G98="",J98="",K98=""),"",ROUND(IF(I98="incl.",G98/(1+J98),G98)/IF(L98="per pack",K98,1),2))</t>
        </is>
      </c>
      <c r="N166" s="24" t="inlineStr">
        <is>
          <t>EXACT</t>
        </is>
      </c>
      <c r="O166" s="24" t="inlineStr">
        <is>
          <t>Code R-MP16100; 78 CZK bez DPH</t>
        </is>
      </c>
      <c r="P166" s="24" t="inlineStr">
        <is>
          <t>2026-09-30</t>
        </is>
      </c>
      <c r="Q166" s="36" t="inlineStr">
        <is>
          <t>=IFERROR(INDEX(Competitors!$N$2:$N$50,MATCH(C98,Competitors!$A$2:$A$50,0)),"no")</t>
        </is>
      </c>
      <c r="R166" s="36" t="inlineStr">
        <is>
          <t>=IF(AND(Q98="yes",OR(N98="EXACT",N98="CLOSE"),ISNUMBER(M98)),"yes","no")</t>
        </is>
      </c>
      <c r="S166" s="24" t="n"/>
      <c r="T166" s="24" t="n"/>
      <c r="U166" s="24" t="n"/>
      <c r="V166" s="2" t="n"/>
      <c r="W166" s="2" t="n"/>
      <c r="X166" s="2" t="n"/>
      <c r="Y166" s="2" t="n"/>
      <c r="Z166" s="2" t="n"/>
      <c r="AA166" s="2" t="n"/>
      <c r="AB166" s="2" t="n"/>
      <c r="AC166" s="2" t="n"/>
    </row>
    <row r="167" ht="78" customHeight="1">
      <c r="A167" s="2" t="n"/>
      <c r="B167" s="27" t="inlineStr">
        <is>
          <t>GN 1/9 container, PP, 100 mm</t>
        </is>
      </c>
      <c r="C167" s="27" t="inlineStr">
        <is>
          <t>GGM Gastro (CZ storefront)</t>
        </is>
      </c>
      <c r="D167" s="27" t="inlineStr">
        <is>
          <t>(12 ks) Polypropylenová nádoba GN 1/9 - Mléčná - Výška: 100 mm</t>
        </is>
      </c>
      <c r="E167" s="27" t="inlineStr">
        <is>
          <t>GGM</t>
        </is>
      </c>
      <c r="F167" s="28" t="inlineStr">
        <is>
          <t>https://www.ggmgastro.com/cs-cz-czk/12-ks-polypropylenova-nadoba-gn-1-9-mlecna-vyska-100-mm-gpp19100-12</t>
        </is>
      </c>
      <c r="G167" s="102" t="n">
        <v>997.66</v>
      </c>
      <c r="H167" s="27" t="inlineStr">
        <is>
          <t>CZK</t>
        </is>
      </c>
      <c r="I167" s="27" t="inlineStr">
        <is>
          <t>excl.</t>
        </is>
      </c>
      <c r="J167" s="123" t="n">
        <v>0.19</v>
      </c>
      <c r="K167" s="117" t="n">
        <v>12</v>
      </c>
      <c r="L167" s="27" t="inlineStr">
        <is>
          <t>per pack</t>
        </is>
      </c>
      <c r="M167" s="38" t="inlineStr">
        <is>
          <t>=IF(OR(G99="",J99="",K99=""),"",ROUND(IF(I99="incl.",G99/(1+J99),G99)/IF(L99="per pack",K99,1),2))</t>
        </is>
      </c>
      <c r="N167" s="27" t="inlineStr">
        <is>
          <t>EXACT</t>
        </is>
      </c>
      <c r="O167" s="27" t="n"/>
      <c r="P167" s="27" t="inlineStr">
        <is>
          <t>2026-09-30</t>
        </is>
      </c>
      <c r="Q167" s="38" t="inlineStr">
        <is>
          <t>=IFERROR(INDEX(Competitors!$N$2:$N$50,MATCH(C99,Competitors!$A$2:$A$50,0)),"no")</t>
        </is>
      </c>
      <c r="R167" s="38" t="inlineStr">
        <is>
          <t>=IF(AND(Q99="yes",OR(N99="EXACT",N99="CLOSE"),ISNUMBER(M99)),"yes","no")</t>
        </is>
      </c>
      <c r="S167" s="27" t="n"/>
      <c r="T167" s="27" t="n"/>
      <c r="U167" s="27" t="n"/>
      <c r="V167" s="2" t="n"/>
      <c r="W167" s="2" t="n"/>
      <c r="X167" s="2" t="n"/>
      <c r="Y167" s="2" t="n"/>
      <c r="Z167" s="2" t="n"/>
      <c r="AA167" s="2" t="n"/>
      <c r="AB167" s="2" t="n"/>
      <c r="AC167" s="2" t="n"/>
    </row>
    <row r="168" ht="92" customHeight="1">
      <c r="A168" s="2" t="n"/>
      <c r="B168" s="24" t="inlineStr">
        <is>
          <t>GN 1/9 container, PP, 100 mm</t>
        </is>
      </c>
      <c r="C168" s="24" t="inlineStr">
        <is>
          <t>Gastromania</t>
        </is>
      </c>
      <c r="D168" s="24" t="inlineStr">
        <is>
          <t>Nádoba z polypropylénu GN 1/9, 100 mm | STALGAST, Bufet Safe</t>
        </is>
      </c>
      <c r="E168" s="24" t="inlineStr">
        <is>
          <t>Stalgast</t>
        </is>
      </c>
      <c r="F168" s="25" t="inlineStr">
        <is>
          <t>https://www.gastromania.cz/gastronadoby-polypropylenove/nadoba-z-polypropylenu-gn-1-9-100-mm-stalgast-bufet-safe</t>
        </is>
      </c>
      <c r="G168" s="98" t="n">
        <v>83</v>
      </c>
      <c r="H168" s="24" t="inlineStr">
        <is>
          <t>CZK</t>
        </is>
      </c>
      <c r="I168" s="24" t="inlineStr">
        <is>
          <t>incl.</t>
        </is>
      </c>
      <c r="J168" s="122" t="n">
        <v>0.21</v>
      </c>
      <c r="K168" s="116" t="n">
        <v>1</v>
      </c>
      <c r="L168" s="24" t="inlineStr">
        <is>
          <t>per piece</t>
        </is>
      </c>
      <c r="M168" s="36" t="inlineStr">
        <is>
          <t>=IF(OR(G100="",J100="",K100=""),"",ROUND(IF(I100="incl.",G100/(1+J100),G100)/IF(L100="per pack",K100,1),2))</t>
        </is>
      </c>
      <c r="N168" s="24" t="inlineStr">
        <is>
          <t>EXACT</t>
        </is>
      </c>
      <c r="O168" s="24" t="inlineStr">
        <is>
          <t>HENDI Profi Line PP 95, Cambro 105 CZK; price incl. 21% VAT as published in product data (current price, in stock)</t>
        </is>
      </c>
      <c r="P168" s="24" t="inlineStr">
        <is>
          <t>2026-09-30</t>
        </is>
      </c>
      <c r="Q168" s="36" t="inlineStr">
        <is>
          <t>=IFERROR(INDEX(Competitors!$N$2:$N$50,MATCH(C100,Competitors!$A$2:$A$50,0)),"no")</t>
        </is>
      </c>
      <c r="R168" s="36" t="inlineStr">
        <is>
          <t>=IF(AND(Q100="yes",OR(N100="EXACT",N100="CLOSE"),ISNUMBER(M100)),"yes","no")</t>
        </is>
      </c>
      <c r="S168" s="24" t="n"/>
      <c r="T168" s="24" t="n"/>
      <c r="U168" s="24" t="n"/>
      <c r="V168" s="2" t="n"/>
      <c r="W168" s="2" t="n"/>
      <c r="X168" s="2" t="n"/>
      <c r="Y168" s="2" t="n"/>
      <c r="Z168" s="2" t="n"/>
      <c r="AA168" s="2" t="n"/>
      <c r="AB168" s="2" t="n"/>
      <c r="AC168" s="2" t="n"/>
    </row>
    <row r="169" ht="92" customHeight="1">
      <c r="A169" s="2" t="n"/>
      <c r="B169" s="27" t="inlineStr">
        <is>
          <t>GN 1/9 container, PP, 100 mm</t>
        </is>
      </c>
      <c r="C169" s="27" t="inlineStr">
        <is>
          <t>Gastrozone</t>
        </is>
      </c>
      <c r="D169" s="27" t="inlineStr">
        <is>
          <t>APS GN-nádoba Polypropylen, GN 1/9, objem: 1,00 litr, hloubka: 100 mm</t>
        </is>
      </c>
      <c r="E169" s="27" t="inlineStr">
        <is>
          <t>APS</t>
        </is>
      </c>
      <c r="F169" s="28" t="inlineStr">
        <is>
          <t>https://www.gastrozone.cz/aps-gn-nadoba-z-polypropylenu-gn-1-9-obsah-1-00-litru-hloubka-100-mm.html</t>
        </is>
      </c>
      <c r="G169" s="102" t="n">
        <v>124</v>
      </c>
      <c r="H169" s="27" t="inlineStr">
        <is>
          <t>CZK</t>
        </is>
      </c>
      <c r="I169" s="27" t="inlineStr">
        <is>
          <t>incl.</t>
        </is>
      </c>
      <c r="J169" s="123" t="n">
        <v>0.21</v>
      </c>
      <c r="K169" s="117" t="n">
        <v>1</v>
      </c>
      <c r="L169" s="27" t="inlineStr">
        <is>
          <t>per piece</t>
        </is>
      </c>
      <c r="M169" s="38" t="inlineStr">
        <is>
          <t>=IF(OR(G101="",J101="",K101=""),"",ROUND(IF(I101="incl.",G101/(1+J101),G101)/IF(L101="per pack",K101,1),2))</t>
        </is>
      </c>
      <c r="N169" s="27" t="inlineStr">
        <is>
          <t>EXACT</t>
        </is>
      </c>
      <c r="O169" s="27" t="inlineStr">
        <is>
          <t>102.48 CZK bez DPH; availability not shown as in stock; Pujadas PP 1/9 100 in stock 159 CZK</t>
        </is>
      </c>
      <c r="P169" s="27" t="inlineStr">
        <is>
          <t>2026-09-30</t>
        </is>
      </c>
      <c r="Q169" s="38" t="inlineStr">
        <is>
          <t>=IFERROR(INDEX(Competitors!$N$2:$N$50,MATCH(C101,Competitors!$A$2:$A$50,0)),"no")</t>
        </is>
      </c>
      <c r="R169" s="38" t="inlineStr">
        <is>
          <t>=IF(AND(Q101="yes",OR(N101="EXACT",N101="CLOSE"),ISNUMBER(M101)),"yes","no")</t>
        </is>
      </c>
      <c r="S169" s="27" t="n"/>
      <c r="T169" s="27" t="n"/>
      <c r="U169" s="27" t="n"/>
      <c r="V169" s="2" t="n"/>
      <c r="W169" s="2" t="n"/>
      <c r="X169" s="2" t="n"/>
      <c r="Y169" s="2" t="n"/>
      <c r="Z169" s="2" t="n"/>
      <c r="AA169" s="2" t="n"/>
      <c r="AB169" s="2" t="n"/>
      <c r="AC169" s="2" t="n"/>
    </row>
    <row r="170" ht="92" customHeight="1">
      <c r="A170" s="2" t="n"/>
      <c r="B170" s="24" t="inlineStr">
        <is>
          <t>GN 1/9 container, PP, 100 mm</t>
        </is>
      </c>
      <c r="C170" s="24" t="inlineStr">
        <is>
          <t>TOMGAST</t>
        </is>
      </c>
      <c r="D170" s="24" t="inlineStr">
        <is>
          <t>Gastronádoba polypropylenová GN 1/9 100 mm</t>
        </is>
      </c>
      <c r="E170" s="24" t="inlineStr">
        <is>
          <t>Cambro</t>
        </is>
      </c>
      <c r="F170" s="25" t="inlineStr">
        <is>
          <t>https://www.tomgast.cz/gastronadoba-polypropylenova-gn-1-9-100-mm/</t>
        </is>
      </c>
      <c r="G170" s="98" t="n">
        <v>105</v>
      </c>
      <c r="H170" s="24" t="inlineStr">
        <is>
          <t>CZK</t>
        </is>
      </c>
      <c r="I170" s="24" t="inlineStr">
        <is>
          <t>incl.</t>
        </is>
      </c>
      <c r="J170" s="122" t="n">
        <v>0.21</v>
      </c>
      <c r="K170" s="116" t="n">
        <v>1</v>
      </c>
      <c r="L170" s="24" t="inlineStr">
        <is>
          <t>per piece</t>
        </is>
      </c>
      <c r="M170" s="36" t="inlineStr">
        <is>
          <t>=IF(OR(G102="",J102="",K102=""),"",ROUND(IF(I102="incl.",G102/(1+J102),G102)/IF(L102="per pack",K102,1),2))</t>
        </is>
      </c>
      <c r="N170" s="24" t="inlineStr">
        <is>
          <t>EXACT</t>
        </is>
      </c>
      <c r="O170" s="24" t="inlineStr">
        <is>
          <t>Code R-MP19100; 87 CZK bez DPH. A clearance item MP-19100 (TOMGAST brand, "only until stock runs out") is 74 CZK incl.</t>
        </is>
      </c>
      <c r="P170" s="24" t="inlineStr">
        <is>
          <t>2026-09-30</t>
        </is>
      </c>
      <c r="Q170" s="36" t="inlineStr">
        <is>
          <t>=IFERROR(INDEX(Competitors!$N$2:$N$50,MATCH(C102,Competitors!$A$2:$A$50,0)),"no")</t>
        </is>
      </c>
      <c r="R170" s="36" t="inlineStr">
        <is>
          <t>=IF(AND(Q102="yes",OR(N102="EXACT",N102="CLOSE"),ISNUMBER(M102)),"yes","no")</t>
        </is>
      </c>
      <c r="S170" s="24" t="n"/>
      <c r="T170" s="24" t="n"/>
      <c r="U170" s="24" t="n"/>
      <c r="V170" s="2" t="n"/>
      <c r="W170" s="2" t="n"/>
      <c r="X170" s="2" t="n"/>
      <c r="Y170" s="2" t="n"/>
      <c r="Z170" s="2" t="n"/>
      <c r="AA170" s="2" t="n"/>
      <c r="AB170" s="2" t="n"/>
      <c r="AC170" s="2" t="n"/>
    </row>
    <row r="171" ht="92" customHeight="1">
      <c r="A171" s="2" t="n"/>
      <c r="B171" s="27" t="inlineStr">
        <is>
          <t>Squeeze bottle 250 ml, PP, single tip</t>
        </is>
      </c>
      <c r="C171" s="27" t="inlineStr">
        <is>
          <t>Gastro Novotný</t>
        </is>
      </c>
      <c r="D171" s="27" t="inlineStr">
        <is>
          <t>Láhev plastová dávkovací čirá 354ml</t>
        </is>
      </c>
      <c r="E171" s="27" t="n"/>
      <c r="F171" s="28" t="inlineStr">
        <is>
          <t>https://eshop.gastronovotny.cz/lahev-plastova-davkovaci-cira-354ml--255046026/</t>
        </is>
      </c>
      <c r="G171" s="102" t="n">
        <v>29</v>
      </c>
      <c r="H171" s="27" t="inlineStr">
        <is>
          <t>CZK</t>
        </is>
      </c>
      <c r="I171" s="27" t="inlineStr">
        <is>
          <t>excl.</t>
        </is>
      </c>
      <c r="J171" s="123" t="n">
        <v>0.21</v>
      </c>
      <c r="K171" s="117" t="n">
        <v>1</v>
      </c>
      <c r="L171" s="27" t="inlineStr">
        <is>
          <t>per piece</t>
        </is>
      </c>
      <c r="M171" s="38" t="inlineStr">
        <is>
          <t>=IF(OR(G103="",J103="",K103=""),"",ROUND(IF(I103="incl.",G103/(1+J103),G103)/IF(L103="per pack",K103,1),2))</t>
        </is>
      </c>
      <c r="N171" s="27" t="inlineStr">
        <is>
          <t>APPROX</t>
        </is>
      </c>
      <c r="O171" s="27" t="inlineStr">
        <is>
          <t>354 ml instead of 250 ml; plastic type not stated. Smallest squeeze bottle listed; 35.09 CZK incl. VAT</t>
        </is>
      </c>
      <c r="P171" s="27" t="inlineStr">
        <is>
          <t>2026-09-30</t>
        </is>
      </c>
      <c r="Q171" s="38" t="inlineStr">
        <is>
          <t>=IFERROR(INDEX(Competitors!$N$2:$N$50,MATCH(C103,Competitors!$A$2:$A$50,0)),"no")</t>
        </is>
      </c>
      <c r="R171" s="38" t="inlineStr">
        <is>
          <t>=IF(AND(Q103="yes",OR(N103="EXACT",N103="CLOSE"),ISNUMBER(M103)),"yes","no")</t>
        </is>
      </c>
      <c r="S171" s="27" t="n"/>
      <c r="T171" s="27" t="n"/>
      <c r="U171" s="27" t="n"/>
      <c r="V171" s="2" t="n"/>
      <c r="W171" s="2" t="n"/>
      <c r="X171" s="2" t="n"/>
      <c r="Y171" s="2" t="n"/>
      <c r="Z171" s="2" t="n"/>
      <c r="AA171" s="2" t="n"/>
      <c r="AB171" s="2" t="n"/>
      <c r="AC171" s="2" t="n"/>
    </row>
    <row r="172" ht="92" customHeight="1">
      <c r="A172" s="2" t="n"/>
      <c r="B172" s="24" t="inlineStr">
        <is>
          <t>Squeeze bottle 250 ml, PP, single tip</t>
        </is>
      </c>
      <c r="C172" s="24" t="inlineStr">
        <is>
          <t>Gastromania</t>
        </is>
      </c>
      <c r="D172" s="24" t="inlineStr">
        <is>
          <t>Dávkovač na omáčky z polyethylenu 0,25 l průhledný | CONTACTO, 1460/251</t>
        </is>
      </c>
      <c r="E172" s="24" t="inlineStr">
        <is>
          <t>Contacto</t>
        </is>
      </c>
      <c r="F172" s="25" t="inlineStr">
        <is>
          <t>https://www.gastromania.cz/davkovace-omacek/davkovac-na-omacky-z-polyethylenu-0-25-l-pruhledny-contacto-1460-251</t>
        </is>
      </c>
      <c r="G172" s="98" t="n">
        <v>43</v>
      </c>
      <c r="H172" s="24" t="inlineStr">
        <is>
          <t>CZK</t>
        </is>
      </c>
      <c r="I172" s="24" t="inlineStr">
        <is>
          <t>incl.</t>
        </is>
      </c>
      <c r="J172" s="122" t="n">
        <v>0.21</v>
      </c>
      <c r="K172" s="116" t="n">
        <v>1</v>
      </c>
      <c r="L172" s="24" t="inlineStr">
        <is>
          <t>per piece</t>
        </is>
      </c>
      <c r="M172" s="36" t="inlineStr">
        <is>
          <t>=IF(OR(G104="",J104="",K104=""),"",ROUND(IF(I104="incl.",G104/(1+J104),G104)/IF(L104="per pack",K104,1),2))</t>
        </is>
      </c>
      <c r="N172" s="24" t="inlineStr">
        <is>
          <t>CLOSE</t>
        </is>
      </c>
      <c r="O172" s="24" t="inlineStr">
        <is>
          <t>250 ml but polyethylene (not PP); 35 CZK bez DPH shown; price incl. 21% VAT as published in product data (current price, in stock)</t>
        </is>
      </c>
      <c r="P172" s="24" t="inlineStr">
        <is>
          <t>2026-09-30</t>
        </is>
      </c>
      <c r="Q172" s="36" t="inlineStr">
        <is>
          <t>=IFERROR(INDEX(Competitors!$N$2:$N$50,MATCH(C104,Competitors!$A$2:$A$50,0)),"no")</t>
        </is>
      </c>
      <c r="R172" s="36" t="inlineStr">
        <is>
          <t>=IF(AND(Q104="yes",OR(N104="EXACT",N104="CLOSE"),ISNUMBER(M104)),"yes","no")</t>
        </is>
      </c>
      <c r="S172" s="24" t="n"/>
      <c r="T172" s="24" t="n"/>
      <c r="U172" s="24" t="n"/>
      <c r="V172" s="2" t="n"/>
      <c r="W172" s="2" t="n"/>
      <c r="X172" s="2" t="n"/>
      <c r="Y172" s="2" t="n"/>
      <c r="Z172" s="2" t="n"/>
      <c r="AA172" s="2" t="n"/>
      <c r="AB172" s="2" t="n"/>
      <c r="AC172" s="2" t="n"/>
    </row>
    <row r="173" ht="92" customHeight="1">
      <c r="A173" s="2" t="n"/>
      <c r="B173" s="27" t="inlineStr">
        <is>
          <t>Squeeze bottle 250 ml, PP, single tip</t>
        </is>
      </c>
      <c r="C173" s="27" t="inlineStr">
        <is>
          <t>Gastrozone</t>
        </is>
      </c>
      <c r="D173" s="27" t="inlineStr">
        <is>
          <t>Araven Mini Dávkovací láhev na omáčky, obsah: 0,25 l</t>
        </is>
      </c>
      <c r="E173" s="27" t="inlineStr">
        <is>
          <t>Araven</t>
        </is>
      </c>
      <c r="F173" s="28" t="inlineStr">
        <is>
          <t>https://www.gastrozone.cz/araven-mini-davkovaci-lahvicka-obsah-0-25-l-vyska-167-mm-prumer-56-mm.html</t>
        </is>
      </c>
      <c r="G173" s="102" t="n">
        <v>99</v>
      </c>
      <c r="H173" s="27" t="inlineStr">
        <is>
          <t>CZK</t>
        </is>
      </c>
      <c r="I173" s="27" t="inlineStr">
        <is>
          <t>incl.</t>
        </is>
      </c>
      <c r="J173" s="123" t="n">
        <v>0.21</v>
      </c>
      <c r="K173" s="117" t="n">
        <v>1</v>
      </c>
      <c r="L173" s="27" t="inlineStr">
        <is>
          <t>per piece</t>
        </is>
      </c>
      <c r="M173" s="38" t="inlineStr">
        <is>
          <t>=IF(OR(G105="",J105="",K105=""),"",ROUND(IF(I105="incl.",G105/(1+J105),G105)/IF(L105="per pack",K105,1),2))</t>
        </is>
      </c>
      <c r="N173" s="27" t="inlineStr">
        <is>
          <t>CLOSE</t>
        </is>
      </c>
      <c r="O173" s="27" t="inlineStr">
        <is>
          <t>81.82 CZK bez DPH; 250 ml but HDPE (not PP), screw cap. HENDI 0.2 l LDPE 67 CZK</t>
        </is>
      </c>
      <c r="P173" s="27" t="inlineStr">
        <is>
          <t>2026-09-30</t>
        </is>
      </c>
      <c r="Q173" s="38" t="inlineStr">
        <is>
          <t>=IFERROR(INDEX(Competitors!$N$2:$N$50,MATCH(C105,Competitors!$A$2:$A$50,0)),"no")</t>
        </is>
      </c>
      <c r="R173" s="38" t="inlineStr">
        <is>
          <t>=IF(AND(Q105="yes",OR(N105="EXACT",N105="CLOSE"),ISNUMBER(M105)),"yes","no")</t>
        </is>
      </c>
      <c r="S173" s="27" t="n"/>
      <c r="T173" s="27" t="n"/>
      <c r="U173" s="27" t="n"/>
      <c r="V173" s="2" t="n"/>
      <c r="W173" s="2" t="n"/>
      <c r="X173" s="2" t="n"/>
      <c r="Y173" s="2" t="n"/>
      <c r="Z173" s="2" t="n"/>
      <c r="AA173" s="2" t="n"/>
      <c r="AB173" s="2" t="n"/>
      <c r="AC173" s="2" t="n"/>
    </row>
    <row r="174" ht="92" customHeight="1">
      <c r="A174" s="2" t="n"/>
      <c r="B174" s="24" t="inlineStr">
        <is>
          <t>Squeeze bottle 250 ml, PP, single tip</t>
        </is>
      </c>
      <c r="C174" s="24" t="inlineStr">
        <is>
          <t>TOMGAST</t>
        </is>
      </c>
      <c r="D174" s="24" t="inlineStr">
        <is>
          <t>Dávkovač na omáčky  250 ml</t>
        </is>
      </c>
      <c r="E174" s="24" t="inlineStr">
        <is>
          <t>Laco</t>
        </is>
      </c>
      <c r="F174" s="25" t="inlineStr">
        <is>
          <t>https://www.tomgast.cz/davkovac-na-omacky--250-ml/</t>
        </is>
      </c>
      <c r="G174" s="98" t="n">
        <v>52</v>
      </c>
      <c r="H174" s="24" t="inlineStr">
        <is>
          <t>CZK</t>
        </is>
      </c>
      <c r="I174" s="24" t="inlineStr">
        <is>
          <t>incl.</t>
        </is>
      </c>
      <c r="J174" s="122" t="n">
        <v>0.21</v>
      </c>
      <c r="K174" s="116" t="n">
        <v>1</v>
      </c>
      <c r="L174" s="24" t="inlineStr">
        <is>
          <t>per piece</t>
        </is>
      </c>
      <c r="M174" s="36" t="inlineStr">
        <is>
          <t>=IF(OR(G106="",J106="",K106=""),"",ROUND(IF(I106="incl.",G106/(1+J106),G106)/IF(L106="per pack",K106,1),2))</t>
        </is>
      </c>
      <c r="N174" s="24" t="inlineStr">
        <is>
          <t>CLOSE</t>
        </is>
      </c>
      <c r="O174" s="24" t="inlineStr">
        <is>
          <t>Code E-61925; 250 ml but polyethylene (not PP); 43 CZK bez DPH</t>
        </is>
      </c>
      <c r="P174" s="24" t="inlineStr">
        <is>
          <t>2026-09-30</t>
        </is>
      </c>
      <c r="Q174" s="36" t="inlineStr">
        <is>
          <t>=IFERROR(INDEX(Competitors!$N$2:$N$50,MATCH(C106,Competitors!$A$2:$A$50,0)),"no")</t>
        </is>
      </c>
      <c r="R174" s="36" t="inlineStr">
        <is>
          <t>=IF(AND(Q106="yes",OR(N106="EXACT",N106="CLOSE"),ISNUMBER(M106)),"yes","no")</t>
        </is>
      </c>
      <c r="S174" s="24" t="n"/>
      <c r="T174" s="24" t="n"/>
      <c r="U174" s="24" t="n"/>
      <c r="V174" s="2" t="n"/>
      <c r="W174" s="2" t="n"/>
      <c r="X174" s="2" t="n"/>
      <c r="Y174" s="2" t="n"/>
      <c r="Z174" s="2" t="n"/>
      <c r="AA174" s="2" t="n"/>
      <c r="AB174" s="2" t="n"/>
      <c r="AC174" s="2" t="n"/>
    </row>
    <row r="175" ht="92" customHeight="1">
      <c r="A175" s="2" t="n"/>
      <c r="B175" s="27" t="inlineStr">
        <is>
          <t>Squeeze bottle 750 ml, PP, single tip</t>
        </is>
      </c>
      <c r="C175" s="27" t="inlineStr">
        <is>
          <t>GGM Gastro (CZ storefront)</t>
        </is>
      </c>
      <c r="D175" s="27" t="inlineStr">
        <is>
          <t>(6 ks) Stlačovací lahev na omáčky se středovou membránou - 710 ml</t>
        </is>
      </c>
      <c r="E175" s="27" t="inlineStr">
        <is>
          <t>GGM</t>
        </is>
      </c>
      <c r="F175" s="28" t="inlineStr">
        <is>
          <t>https://www.ggmgastro.com/cs-cz-czk/6-ks-stlacovaci-lahev-na-omacky-se-stredovou-membranou-710-ml-se-sroubovacim-uzaverem-a-uzaviraci-cepickou-ffo-004</t>
        </is>
      </c>
      <c r="G175" s="102" t="n">
        <v>827.28</v>
      </c>
      <c r="H175" s="27" t="inlineStr">
        <is>
          <t>CZK</t>
        </is>
      </c>
      <c r="I175" s="27" t="inlineStr">
        <is>
          <t>excl.</t>
        </is>
      </c>
      <c r="J175" s="123" t="n">
        <v>0.19</v>
      </c>
      <c r="K175" s="117" t="n">
        <v>6</v>
      </c>
      <c r="L175" s="27" t="inlineStr">
        <is>
          <t>per pack</t>
        </is>
      </c>
      <c r="M175" s="38" t="inlineStr">
        <is>
          <t>=IF(OR(G107="",J107="",K107=""),"",ROUND(IF(I107="incl.",G107/(1+J107),G107)/IF(L107="per pack",K107,1),2))</t>
        </is>
      </c>
      <c r="N175" s="27" t="inlineStr">
        <is>
          <t>CLOSE</t>
        </is>
      </c>
      <c r="O175" s="27" t="inlineStr">
        <is>
          <t>710 ml FIFO bottle with valve, screw cap and closing cap; material not stated</t>
        </is>
      </c>
      <c r="P175" s="27" t="inlineStr">
        <is>
          <t>2026-09-30</t>
        </is>
      </c>
      <c r="Q175" s="38" t="inlineStr">
        <is>
          <t>=IFERROR(INDEX(Competitors!$N$2:$N$50,MATCH(C107,Competitors!$A$2:$A$50,0)),"no")</t>
        </is>
      </c>
      <c r="R175" s="38" t="inlineStr">
        <is>
          <t>=IF(AND(Q107="yes",OR(N107="EXACT",N107="CLOSE"),ISNUMBER(M107)),"yes","no")</t>
        </is>
      </c>
      <c r="S175" s="27" t="n"/>
      <c r="T175" s="27" t="n"/>
      <c r="U175" s="27" t="n"/>
      <c r="V175" s="2" t="n"/>
      <c r="W175" s="2" t="n"/>
      <c r="X175" s="2" t="n"/>
      <c r="Y175" s="2" t="n"/>
      <c r="Z175" s="2" t="n"/>
      <c r="AA175" s="2" t="n"/>
      <c r="AB175" s="2" t="n"/>
      <c r="AC175" s="2" t="n"/>
    </row>
    <row r="176" ht="92" customHeight="1">
      <c r="A176" s="2" t="n"/>
      <c r="B176" s="24" t="inlineStr">
        <is>
          <t>Squeeze bottle 750 ml, PP, single tip</t>
        </is>
      </c>
      <c r="C176" s="24" t="inlineStr">
        <is>
          <t>Gastro Novotný</t>
        </is>
      </c>
      <c r="D176" s="24" t="inlineStr">
        <is>
          <t>Plastová láhev zdobící 708ml</t>
        </is>
      </c>
      <c r="E176" s="24" t="n"/>
      <c r="F176" s="25" t="inlineStr">
        <is>
          <t>https://eshop.gastronovotny.cz/plastova-lahev-zdobici-708ml--255047026/</t>
        </is>
      </c>
      <c r="G176" s="98" t="n">
        <v>39</v>
      </c>
      <c r="H176" s="24" t="inlineStr">
        <is>
          <t>CZK</t>
        </is>
      </c>
      <c r="I176" s="24" t="inlineStr">
        <is>
          <t>excl.</t>
        </is>
      </c>
      <c r="J176" s="122" t="n">
        <v>0.21</v>
      </c>
      <c r="K176" s="116" t="n">
        <v>1</v>
      </c>
      <c r="L176" s="24" t="inlineStr">
        <is>
          <t>per piece</t>
        </is>
      </c>
      <c r="M176" s="36" t="inlineStr">
        <is>
          <t>=IF(OR(G108="",J108="",K108=""),"",ROUND(IF(I108="incl.",G108/(1+J108),G108)/IF(L108="per pack",K108,1),2))</t>
        </is>
      </c>
      <c r="N176" s="24" t="inlineStr">
        <is>
          <t>CLOSE</t>
        </is>
      </c>
      <c r="O176" s="24" t="inlineStr">
        <is>
          <t>Code 255047026; 708 ml decorating squeeze bottle, single tip; plastic type not stated (flagged); 47.19 CZK incl. VAT</t>
        </is>
      </c>
      <c r="P176" s="24" t="inlineStr">
        <is>
          <t>2026-09-30</t>
        </is>
      </c>
      <c r="Q176" s="36" t="inlineStr">
        <is>
          <t>=IFERROR(INDEX(Competitors!$N$2:$N$50,MATCH(C108,Competitors!$A$2:$A$50,0)),"no")</t>
        </is>
      </c>
      <c r="R176" s="36" t="inlineStr">
        <is>
          <t>=IF(AND(Q108="yes",OR(N108="EXACT",N108="CLOSE"),ISNUMBER(M108)),"yes","no")</t>
        </is>
      </c>
      <c r="S176" s="24" t="n"/>
      <c r="T176" s="24" t="n"/>
      <c r="U176" s="24" t="n"/>
      <c r="V176" s="2" t="n"/>
      <c r="W176" s="2" t="n"/>
      <c r="X176" s="2" t="n"/>
      <c r="Y176" s="2" t="n"/>
      <c r="Z176" s="2" t="n"/>
      <c r="AA176" s="2" t="n"/>
      <c r="AB176" s="2" t="n"/>
      <c r="AC176" s="2" t="n"/>
    </row>
    <row r="177" ht="92" customHeight="1">
      <c r="A177" s="2" t="n"/>
      <c r="B177" s="27" t="inlineStr">
        <is>
          <t>Squeeze bottle 750 ml, PP, single tip</t>
        </is>
      </c>
      <c r="C177" s="27" t="inlineStr">
        <is>
          <t>Gastromania</t>
        </is>
      </c>
      <c r="D177" s="27" t="inlineStr">
        <is>
          <t>Dávkovač na omáčky 720 ml, transparentní | TOM-GAST, MA-966</t>
        </is>
      </c>
      <c r="E177" s="27" t="inlineStr">
        <is>
          <t>TOMGAST</t>
        </is>
      </c>
      <c r="F177" s="28" t="inlineStr">
        <is>
          <t>https://www.gastromania.cz/davkovace-omacek/davkovac-na-omacky-720-ml-transparentni-tom-gast-ma-966</t>
        </is>
      </c>
      <c r="G177" s="102" t="n">
        <v>34</v>
      </c>
      <c r="H177" s="27" t="inlineStr">
        <is>
          <t>CZK</t>
        </is>
      </c>
      <c r="I177" s="27" t="inlineStr">
        <is>
          <t>incl.</t>
        </is>
      </c>
      <c r="J177" s="123" t="n">
        <v>0.21</v>
      </c>
      <c r="K177" s="117" t="n">
        <v>1</v>
      </c>
      <c r="L177" s="27" t="inlineStr">
        <is>
          <t>per piece</t>
        </is>
      </c>
      <c r="M177" s="38" t="inlineStr">
        <is>
          <t>=IF(OR(G109="",J109="",K109=""),"",ROUND(IF(I109="incl.",G109/(1+J109),G109)/IF(L109="per pack",K109,1),2))</t>
        </is>
      </c>
      <c r="N177" s="27" t="inlineStr">
        <is>
          <t>CLOSE</t>
        </is>
      </c>
      <c r="O177" s="27" t="inlineStr">
        <is>
          <t>720 ml, polyethylene (not PP); Contacto PE 0.7 l 55 CZK, APS 0.76 l set of 6 361 CZK; price incl. 21% VAT as published in product data (current price, in stock)</t>
        </is>
      </c>
      <c r="P177" s="27" t="inlineStr">
        <is>
          <t>2026-09-30</t>
        </is>
      </c>
      <c r="Q177" s="38" t="inlineStr">
        <is>
          <t>=IFERROR(INDEX(Competitors!$N$2:$N$50,MATCH(C109,Competitors!$A$2:$A$50,0)),"no")</t>
        </is>
      </c>
      <c r="R177" s="38" t="inlineStr">
        <is>
          <t>=IF(AND(Q109="yes",OR(N109="EXACT",N109="CLOSE"),ISNUMBER(M109)),"yes","no")</t>
        </is>
      </c>
      <c r="S177" s="27" t="n"/>
      <c r="T177" s="27" t="n"/>
      <c r="U177" s="27" t="n"/>
      <c r="V177" s="2" t="n"/>
      <c r="W177" s="2" t="n"/>
      <c r="X177" s="2" t="n"/>
      <c r="Y177" s="2" t="n"/>
      <c r="Z177" s="2" t="n"/>
      <c r="AA177" s="2" t="n"/>
      <c r="AB177" s="2" t="n"/>
      <c r="AC177" s="2" t="n"/>
    </row>
    <row r="178" ht="92" customHeight="1">
      <c r="A178" s="2" t="n"/>
      <c r="B178" s="24" t="inlineStr">
        <is>
          <t>Squeeze bottle 750 ml, PP, single tip</t>
        </is>
      </c>
      <c r="C178" s="24" t="inlineStr">
        <is>
          <t>Gastrozone</t>
        </is>
      </c>
      <c r="D178" s="24" t="inlineStr">
        <is>
          <t>ARAVEN Mačkací láhev, LDPE, ø: 75 mm, výška: 273 mm, objem: 0,75 L, bílá</t>
        </is>
      </c>
      <c r="E178" s="24" t="inlineStr">
        <is>
          <t>Araven</t>
        </is>
      </c>
      <c r="F178" s="25" t="inlineStr">
        <is>
          <t>https://www.gastrozone.cz/araven-stlacovaci-lahev-ldpe-o-75-mm-vyska-273-mm-objem-0-75-l-bila.html</t>
        </is>
      </c>
      <c r="G178" s="98" t="n">
        <v>154</v>
      </c>
      <c r="H178" s="24" t="inlineStr">
        <is>
          <t>CZK</t>
        </is>
      </c>
      <c r="I178" s="24" t="inlineStr">
        <is>
          <t>incl.</t>
        </is>
      </c>
      <c r="J178" s="122" t="n">
        <v>0.21</v>
      </c>
      <c r="K178" s="116" t="n">
        <v>1</v>
      </c>
      <c r="L178" s="24" t="inlineStr">
        <is>
          <t>per piece</t>
        </is>
      </c>
      <c r="M178" s="36" t="inlineStr">
        <is>
          <t>=IF(OR(G110="",J110="",K110=""),"",ROUND(IF(I110="incl.",G110/(1+J110),G110)/IF(L110="per pack",K110,1),2))</t>
        </is>
      </c>
      <c r="N178" s="24" t="inlineStr">
        <is>
          <t>CLOSE</t>
        </is>
      </c>
      <c r="O178" s="24" t="inlineStr">
        <is>
          <t>127.27 CZK bez DPH; 750 ml but LDPE (not PP). Cheaper: Contacto 700 ml PE 54 CZK, HENDI 0.7 l LDPE 74 CZK</t>
        </is>
      </c>
      <c r="P178" s="24" t="inlineStr">
        <is>
          <t>2026-09-30</t>
        </is>
      </c>
      <c r="Q178" s="36" t="inlineStr">
        <is>
          <t>=IFERROR(INDEX(Competitors!$N$2:$N$50,MATCH(C110,Competitors!$A$2:$A$50,0)),"no")</t>
        </is>
      </c>
      <c r="R178" s="36" t="inlineStr">
        <is>
          <t>=IF(AND(Q110="yes",OR(N110="EXACT",N110="CLOSE"),ISNUMBER(M110)),"yes","no")</t>
        </is>
      </c>
      <c r="S178" s="24" t="n"/>
      <c r="T178" s="24" t="n"/>
      <c r="U178" s="24" t="n"/>
      <c r="V178" s="2" t="n"/>
      <c r="W178" s="2" t="n"/>
      <c r="X178" s="2" t="n"/>
      <c r="Y178" s="2" t="n"/>
      <c r="Z178" s="2" t="n"/>
      <c r="AA178" s="2" t="n"/>
      <c r="AB178" s="2" t="n"/>
      <c r="AC178" s="2" t="n"/>
    </row>
    <row r="179" ht="92" customHeight="1">
      <c r="A179" s="2" t="n"/>
      <c r="B179" s="27" t="inlineStr">
        <is>
          <t>Squeeze bottle 750 ml, PP, single tip</t>
        </is>
      </c>
      <c r="C179" s="27" t="inlineStr">
        <is>
          <t>TOMGAST</t>
        </is>
      </c>
      <c r="D179" s="27" t="inlineStr">
        <is>
          <t>Dávkovač na omáčky 720 ml, transparentní</t>
        </is>
      </c>
      <c r="E179" s="27" t="inlineStr">
        <is>
          <t>TOMGAST</t>
        </is>
      </c>
      <c r="F179" s="28" t="inlineStr">
        <is>
          <t>https://www.tomgast.cz/davkovac-na-omacky-720-ml--transparentni/</t>
        </is>
      </c>
      <c r="G179" s="102" t="n">
        <v>34</v>
      </c>
      <c r="H179" s="27" t="inlineStr">
        <is>
          <t>CZK</t>
        </is>
      </c>
      <c r="I179" s="27" t="inlineStr">
        <is>
          <t>incl.</t>
        </is>
      </c>
      <c r="J179" s="123" t="n">
        <v>0.21</v>
      </c>
      <c r="K179" s="117" t="n">
        <v>1</v>
      </c>
      <c r="L179" s="27" t="inlineStr">
        <is>
          <t>per piece</t>
        </is>
      </c>
      <c r="M179" s="38" t="inlineStr">
        <is>
          <t>=IF(OR(G111="",J111="",K111=""),"",ROUND(IF(I111="incl.",G111/(1+J111),G111)/IF(L111="per pack",K111,1),2))</t>
        </is>
      </c>
      <c r="N179" s="27" t="inlineStr">
        <is>
          <t>CLOSE</t>
        </is>
      </c>
      <c r="O179" s="27" t="inlineStr">
        <is>
          <t>Code MA-966; 720 ml, polyethylene (not PP); 28 CZK bez DPH. Laco 700 ml (E-61970) is 64 CZK incl.</t>
        </is>
      </c>
      <c r="P179" s="27" t="inlineStr">
        <is>
          <t>2026-09-30</t>
        </is>
      </c>
      <c r="Q179" s="38" t="inlineStr">
        <is>
          <t>=IFERROR(INDEX(Competitors!$N$2:$N$50,MATCH(C111,Competitors!$A$2:$A$50,0)),"no")</t>
        </is>
      </c>
      <c r="R179" s="38" t="inlineStr">
        <is>
          <t>=IF(AND(Q111="yes",OR(N111="EXACT",N111="CLOSE"),ISNUMBER(M111)),"yes","no")</t>
        </is>
      </c>
      <c r="S179" s="27" t="n"/>
      <c r="T179" s="27" t="n"/>
      <c r="U179" s="27" t="n"/>
      <c r="V179" s="2" t="n"/>
      <c r="W179" s="2" t="n"/>
      <c r="X179" s="2" t="n"/>
      <c r="Y179" s="2" t="n"/>
      <c r="Z179" s="2" t="n"/>
      <c r="AA179" s="2" t="n"/>
      <c r="AB179" s="2" t="n"/>
      <c r="AC179" s="2" t="n"/>
    </row>
    <row r="180" ht="92" customHeight="1">
      <c r="A180" s="2" t="n"/>
      <c r="B180" s="24" t="inlineStr">
        <is>
          <t>Cutting board 400x300x20 mm, red PE</t>
        </is>
      </c>
      <c r="C180" s="24" t="inlineStr">
        <is>
          <t>GGM Gastro (CZ storefront)</t>
        </is>
      </c>
      <c r="D180" s="24" t="inlineStr">
        <is>
          <t>Krájecí deska - EN 250x400 - Dle HACCP - Červená</t>
        </is>
      </c>
      <c r="E180" s="24" t="inlineStr">
        <is>
          <t>GGM</t>
        </is>
      </c>
      <c r="F180" s="25" t="inlineStr">
        <is>
          <t>https://www.ggmgastro.com/cs-cz-czk/krajeci-deska-en-250x400-dle-haccp-cervena-sbp25r</t>
        </is>
      </c>
      <c r="G180" s="98" t="n">
        <v>413.52</v>
      </c>
      <c r="H180" s="24" t="inlineStr">
        <is>
          <t>CZK</t>
        </is>
      </c>
      <c r="I180" s="24" t="inlineStr">
        <is>
          <t>excl.</t>
        </is>
      </c>
      <c r="J180" s="122" t="n">
        <v>0.19</v>
      </c>
      <c r="K180" s="116" t="n">
        <v>1</v>
      </c>
      <c r="L180" s="24" t="inlineStr">
        <is>
          <t>per piece</t>
        </is>
      </c>
      <c r="M180" s="36" t="inlineStr">
        <is>
          <t>=IF(OR(G112="",J112="",K112=""),"",ROUND(IF(I112="incl.",G112/(1+J112),G112)/IF(L112="per pack",K112,1),2))</t>
        </is>
      </c>
      <c r="N180" s="24" t="inlineStr">
        <is>
          <t>APPROX</t>
        </is>
      </c>
      <c r="O180" s="24" t="inlineStr">
        <is>
          <t>Red HACCP board but 250x400 mm (vs 400x300)</t>
        </is>
      </c>
      <c r="P180" s="24" t="inlineStr">
        <is>
          <t>2026-09-30</t>
        </is>
      </c>
      <c r="Q180" s="36" t="inlineStr">
        <is>
          <t>=IFERROR(INDEX(Competitors!$N$2:$N$50,MATCH(C112,Competitors!$A$2:$A$50,0)),"no")</t>
        </is>
      </c>
      <c r="R180" s="36" t="inlineStr">
        <is>
          <t>=IF(AND(Q112="yes",OR(N112="EXACT",N112="CLOSE"),ISNUMBER(M112)),"yes","no")</t>
        </is>
      </c>
      <c r="S180" s="24" t="n"/>
      <c r="T180" s="24" t="n"/>
      <c r="U180" s="24" t="n"/>
      <c r="V180" s="2" t="n"/>
      <c r="W180" s="2" t="n"/>
      <c r="X180" s="2" t="n"/>
      <c r="Y180" s="2" t="n"/>
      <c r="Z180" s="2" t="n"/>
      <c r="AA180" s="2" t="n"/>
      <c r="AB180" s="2" t="n"/>
      <c r="AC180" s="2" t="n"/>
    </row>
    <row r="181" ht="92" customHeight="1">
      <c r="A181" s="2" t="n"/>
      <c r="B181" s="27" t="inlineStr">
        <is>
          <t>Cutting board 400x300x20 mm, red PE</t>
        </is>
      </c>
      <c r="C181" s="27" t="inlineStr">
        <is>
          <t>Gastromania</t>
        </is>
      </c>
      <c r="D181" s="27" t="inlineStr">
        <is>
          <t>Krájecí deska HACCP, červená, 450x300 mm | HENDI, 827017</t>
        </is>
      </c>
      <c r="E181" s="27" t="inlineStr">
        <is>
          <t>Hendi</t>
        </is>
      </c>
      <c r="F181" s="28" t="inlineStr">
        <is>
          <t>https://www.gastromania.cz/plastove-krajeci-desky-haccp/krajeci-deska-haccp-cervena-450x300-mm-hendi-827017</t>
        </is>
      </c>
      <c r="G181" s="102" t="n">
        <v>304</v>
      </c>
      <c r="H181" s="27" t="inlineStr">
        <is>
          <t>CZK</t>
        </is>
      </c>
      <c r="I181" s="27" t="inlineStr">
        <is>
          <t>incl.</t>
        </is>
      </c>
      <c r="J181" s="123" t="n">
        <v>0.21</v>
      </c>
      <c r="K181" s="117" t="n">
        <v>1</v>
      </c>
      <c r="L181" s="27" t="inlineStr">
        <is>
          <t>per piece</t>
        </is>
      </c>
      <c r="M181" s="38" t="inlineStr">
        <is>
          <t>=IF(OR(G113="",J113="",K113=""),"",ROUND(IF(I113="incl.",G113/(1+J113),G113)/IF(L113="per pack",K113,1),2))</t>
        </is>
      </c>
      <c r="N181" s="27" t="inlineStr">
        <is>
          <t>APPROX</t>
        </is>
      </c>
      <c r="O181" s="27" t="inlineStr">
        <is>
          <t>Red PE but 450 x 300 mm (no 400 x 300 board listed); thickness not in title; 251 CZK bez DPH; price incl. 21% VAT as published in product data (current price, in stock)</t>
        </is>
      </c>
      <c r="P181" s="27" t="inlineStr">
        <is>
          <t>2026-09-30</t>
        </is>
      </c>
      <c r="Q181" s="38" t="inlineStr">
        <is>
          <t>=IFERROR(INDEX(Competitors!$N$2:$N$50,MATCH(C113,Competitors!$A$2:$A$50,0)),"no")</t>
        </is>
      </c>
      <c r="R181" s="38" t="inlineStr">
        <is>
          <t>=IF(AND(Q113="yes",OR(N113="EXACT",N113="CLOSE"),ISNUMBER(M113)),"yes","no")</t>
        </is>
      </c>
      <c r="S181" s="27" t="n"/>
      <c r="T181" s="27" t="n"/>
      <c r="U181" s="27" t="n"/>
      <c r="V181" s="2" t="n"/>
      <c r="W181" s="2" t="n"/>
      <c r="X181" s="2" t="n"/>
      <c r="Y181" s="2" t="n"/>
      <c r="Z181" s="2" t="n"/>
      <c r="AA181" s="2" t="n"/>
      <c r="AB181" s="2" t="n"/>
      <c r="AC181" s="2" t="n"/>
    </row>
    <row r="182" ht="92" customHeight="1">
      <c r="A182" s="2" t="n"/>
      <c r="B182" s="24" t="inlineStr">
        <is>
          <t>Cutting board 400x300x20 mm, red PE</t>
        </is>
      </c>
      <c r="C182" s="24" t="inlineStr">
        <is>
          <t>Gastrozone</t>
        </is>
      </c>
      <c r="D182" s="24" t="inlineStr">
        <is>
          <t>Gastro Prkénko krájecí plastové 40x30x2 cm, s drážkou, bílé</t>
        </is>
      </c>
      <c r="E182" s="24" t="inlineStr">
        <is>
          <t>Gastro</t>
        </is>
      </c>
      <c r="F182" s="25" t="inlineStr">
        <is>
          <t>https://www.gastrozone.cz/gastro-prkenko-krajeci-plastove-40x30x2-cm-s-drazkou-bile.html</t>
        </is>
      </c>
      <c r="G182" s="98" t="n">
        <v>1082</v>
      </c>
      <c r="H182" s="24" t="inlineStr">
        <is>
          <t>CZK</t>
        </is>
      </c>
      <c r="I182" s="24" t="inlineStr">
        <is>
          <t>incl.</t>
        </is>
      </c>
      <c r="J182" s="122" t="n">
        <v>0.21</v>
      </c>
      <c r="K182" s="116" t="n">
        <v>1</v>
      </c>
      <c r="L182" s="24" t="inlineStr">
        <is>
          <t>per piece</t>
        </is>
      </c>
      <c r="M182" s="36" t="inlineStr">
        <is>
          <t>=IF(OR(G114="",J114="",K114=""),"",ROUND(IF(I114="incl.",G114/(1+J114),G114)/IF(L114="per pack",K114,1),2))</t>
        </is>
      </c>
      <c r="N182" s="24" t="inlineStr">
        <is>
          <t>CLOSE</t>
        </is>
      </c>
      <c r="O182" s="24" t="inlineStr">
        <is>
          <t>894.21 CZK bez DPH; 400 x 300 x 20 mm with groove, but white (red only in 10 mm: 619 CZK incl.); material stated only as "Plast" (PE not confirmed)</t>
        </is>
      </c>
      <c r="P182" s="24" t="inlineStr">
        <is>
          <t>2026-09-30</t>
        </is>
      </c>
      <c r="Q182" s="36" t="inlineStr">
        <is>
          <t>=IFERROR(INDEX(Competitors!$N$2:$N$50,MATCH(C114,Competitors!$A$2:$A$50,0)),"no")</t>
        </is>
      </c>
      <c r="R182" s="36" t="inlineStr">
        <is>
          <t>=IF(AND(Q114="yes",OR(N114="EXACT",N114="CLOSE"),ISNUMBER(M114)),"yes","no")</t>
        </is>
      </c>
      <c r="S182" s="24" t="n"/>
      <c r="T182" s="24" t="n"/>
      <c r="U182" s="24" t="n"/>
      <c r="V182" s="2" t="n"/>
      <c r="W182" s="2" t="n"/>
      <c r="X182" s="2" t="n"/>
      <c r="Y182" s="2" t="n"/>
      <c r="Z182" s="2" t="n"/>
      <c r="AA182" s="2" t="n"/>
      <c r="AB182" s="2" t="n"/>
      <c r="AC182" s="2" t="n"/>
    </row>
    <row r="183" ht="92" customHeight="1">
      <c r="A183" s="2" t="n"/>
      <c r="B183" s="27" t="inlineStr">
        <is>
          <t>Cutting board 400x300x20 mm, red PE</t>
        </is>
      </c>
      <c r="C183" s="27" t="inlineStr">
        <is>
          <t>TOMGAST</t>
        </is>
      </c>
      <c r="D183" s="27" t="inlineStr">
        <is>
          <t>Deska 450 × 300 × 13 mm, červená</t>
        </is>
      </c>
      <c r="E183" s="27" t="inlineStr">
        <is>
          <t>TOMGAST</t>
        </is>
      </c>
      <c r="F183" s="28" t="inlineStr">
        <is>
          <t>https://www.tomgast.cz/deska-450--300--13-mm--cervena/</t>
        </is>
      </c>
      <c r="G183" s="102" t="n">
        <v>353</v>
      </c>
      <c r="H183" s="27" t="inlineStr">
        <is>
          <t>CZK</t>
        </is>
      </c>
      <c r="I183" s="27" t="inlineStr">
        <is>
          <t>incl.</t>
        </is>
      </c>
      <c r="J183" s="123" t="n">
        <v>0.21</v>
      </c>
      <c r="K183" s="117" t="n">
        <v>1</v>
      </c>
      <c r="L183" s="27" t="inlineStr">
        <is>
          <t>per piece</t>
        </is>
      </c>
      <c r="M183" s="38" t="inlineStr">
        <is>
          <t>=IF(OR(G115="",J115="",K115=""),"",ROUND(IF(I115="incl.",G115/(1+J115),G115)/IF(L115="per pack",K115,1),2))</t>
        </is>
      </c>
      <c r="N183" s="27" t="inlineStr">
        <is>
          <t>APPROX</t>
        </is>
      </c>
      <c r="O183" s="27" t="inlineStr">
        <is>
          <t>Code T-3045-R; red PE but 450 x 300 x 13 mm (no red 400 x 300 x 20 listed); 292 CZK bez DPH</t>
        </is>
      </c>
      <c r="P183" s="27" t="inlineStr">
        <is>
          <t>2026-09-30</t>
        </is>
      </c>
      <c r="Q183" s="38" t="inlineStr">
        <is>
          <t>=IFERROR(INDEX(Competitors!$N$2:$N$50,MATCH(C115,Competitors!$A$2:$A$50,0)),"no")</t>
        </is>
      </c>
      <c r="R183" s="38" t="inlineStr">
        <is>
          <t>=IF(AND(Q115="yes",OR(N115="EXACT",N115="CLOSE"),ISNUMBER(M115)),"yes","no")</t>
        </is>
      </c>
      <c r="S183" s="27" t="n"/>
      <c r="T183" s="27" t="n"/>
      <c r="U183" s="27" t="n"/>
      <c r="V183" s="2" t="n"/>
      <c r="W183" s="2" t="n"/>
      <c r="X183" s="2" t="n"/>
      <c r="Y183" s="2" t="n"/>
      <c r="Z183" s="2" t="n"/>
      <c r="AA183" s="2" t="n"/>
      <c r="AB183" s="2" t="n"/>
      <c r="AC183" s="2" t="n"/>
    </row>
    <row r="184" ht="92" customHeight="1">
      <c r="A184" s="2" t="n"/>
      <c r="B184" s="24" t="inlineStr">
        <is>
          <t>Dough box 600x400x75 mm, PP, without lid</t>
        </is>
      </c>
      <c r="C184" s="24" t="inlineStr">
        <is>
          <t>GGM Gastro (CZ storefront)</t>
        </is>
      </c>
      <c r="D184" s="24" t="inlineStr">
        <is>
          <t>(9 tlg) Přepravka na těsto-set - 8 nádob &amp; 1 víko - EN 600x400 - Výška: 75 mm - Polypropylen</t>
        </is>
      </c>
      <c r="E184" s="24" t="inlineStr">
        <is>
          <t>GGM</t>
        </is>
      </c>
      <c r="F184" s="25" t="inlineStr">
        <is>
          <t>https://www.ggmgastro.com/cs-cz-czk/9-tlg-prepravka-na-testo-set-8-nadob-und-1-viko-en-600x400-vyska-75-mm-polypropylen-bila-tbpp647</t>
        </is>
      </c>
      <c r="G184" s="98" t="n">
        <v>1752.16</v>
      </c>
      <c r="H184" s="24" t="inlineStr">
        <is>
          <t>CZK</t>
        </is>
      </c>
      <c r="I184" s="24" t="inlineStr">
        <is>
          <t>excl.</t>
        </is>
      </c>
      <c r="J184" s="122" t="n">
        <v>0.19</v>
      </c>
      <c r="K184" s="116" t="n">
        <v>8</v>
      </c>
      <c r="L184" s="24" t="inlineStr">
        <is>
          <t>per pack</t>
        </is>
      </c>
      <c r="M184" s="36" t="inlineStr">
        <is>
          <t>=IF(OR(G116="",J116="",K116=""),"",ROUND(IF(I116="incl.",G116/(1+J116),G116)/IF(L116="per pack",K116,1),2))</t>
        </is>
      </c>
      <c r="N184" s="24" t="inlineStr">
        <is>
          <t>CLOSE</t>
        </is>
      </c>
      <c r="O184" s="24" t="inlineStr">
        <is>
          <t>Sold only as set of 8 PP boxes plus 1 lid; per-box price includes a share of the lid</t>
        </is>
      </c>
      <c r="P184" s="24" t="inlineStr">
        <is>
          <t>2026-09-30</t>
        </is>
      </c>
      <c r="Q184" s="36" t="inlineStr">
        <is>
          <t>=IFERROR(INDEX(Competitors!$N$2:$N$50,MATCH(C116,Competitors!$A$2:$A$50,0)),"no")</t>
        </is>
      </c>
      <c r="R184" s="36" t="inlineStr">
        <is>
          <t>=IF(AND(Q116="yes",OR(N116="EXACT",N116="CLOSE"),ISNUMBER(M116)),"yes","no")</t>
        </is>
      </c>
      <c r="S184" s="24" t="n"/>
      <c r="T184" s="24" t="n"/>
      <c r="U184" s="24" t="n"/>
      <c r="V184" s="2" t="n"/>
      <c r="W184" s="2" t="n"/>
      <c r="X184" s="2" t="n"/>
      <c r="Y184" s="2" t="n"/>
      <c r="Z184" s="2" t="n"/>
      <c r="AA184" s="2" t="n"/>
      <c r="AB184" s="2" t="n"/>
      <c r="AC184" s="2" t="n"/>
    </row>
    <row r="185" ht="92" customHeight="1">
      <c r="A185" s="2" t="n"/>
      <c r="B185" s="27" t="inlineStr">
        <is>
          <t>Dough box 600x400x75 mm, PP, without lid</t>
        </is>
      </c>
      <c r="C185" s="27" t="inlineStr">
        <is>
          <t>Gastro Novotný</t>
        </is>
      </c>
      <c r="D185" s="27" t="inlineStr">
        <is>
          <t>Přepravka na pizzu 60x40x9cm</t>
        </is>
      </c>
      <c r="E185" s="27" t="n"/>
      <c r="F185" s="28" t="inlineStr">
        <is>
          <t>https://eshop.gastronovotny.cz/prepravka-na-pizzu-60x40x9cm--1841762-09/</t>
        </is>
      </c>
      <c r="G185" s="102" t="n">
        <v>390</v>
      </c>
      <c r="H185" s="27" t="inlineStr">
        <is>
          <t>CZK</t>
        </is>
      </c>
      <c r="I185" s="27" t="inlineStr">
        <is>
          <t>excl.</t>
        </is>
      </c>
      <c r="J185" s="123" t="n">
        <v>0.21</v>
      </c>
      <c r="K185" s="117" t="n">
        <v>1</v>
      </c>
      <c r="L185" s="27" t="inlineStr">
        <is>
          <t>per piece</t>
        </is>
      </c>
      <c r="M185" s="38" t="inlineStr">
        <is>
          <t>=IF(OR(G117="",J117="",K117=""),"",ROUND(IF(I117="incl.",G117/(1+J117),G117)/IF(L117="per pack",K117,1),2))</t>
        </is>
      </c>
      <c r="N185" s="27" t="inlineStr">
        <is>
          <t>APPROX</t>
        </is>
      </c>
      <c r="O185" s="27" t="inlineStr">
        <is>
          <t>600 x 400 x 90 mm (not 75 mm); material not stated on page. Availability "Na dotaz"; 471.90 CZK incl. VAT</t>
        </is>
      </c>
      <c r="P185" s="27" t="inlineStr">
        <is>
          <t>2026-09-30</t>
        </is>
      </c>
      <c r="Q185" s="38" t="inlineStr">
        <is>
          <t>=IFERROR(INDEX(Competitors!$N$2:$N$50,MATCH(C117,Competitors!$A$2:$A$50,0)),"no")</t>
        </is>
      </c>
      <c r="R185" s="38" t="inlineStr">
        <is>
          <t>=IF(AND(Q117="yes",OR(N117="EXACT",N117="CLOSE"),ISNUMBER(M117)),"yes","no")</t>
        </is>
      </c>
      <c r="S185" s="27" t="n"/>
      <c r="T185" s="27" t="n"/>
      <c r="U185" s="27" t="n"/>
      <c r="V185" s="2" t="n"/>
      <c r="W185" s="2" t="n"/>
      <c r="X185" s="2" t="n"/>
      <c r="Y185" s="2" t="n"/>
      <c r="Z185" s="2" t="n"/>
      <c r="AA185" s="2" t="n"/>
      <c r="AB185" s="2" t="n"/>
      <c r="AC185" s="2" t="n"/>
    </row>
    <row r="186" ht="92" customHeight="1">
      <c r="A186" s="2" t="n"/>
      <c r="B186" s="24" t="inlineStr">
        <is>
          <t>Dough box 600x400x75 mm, PP, without lid</t>
        </is>
      </c>
      <c r="C186" s="24" t="inlineStr">
        <is>
          <t>Gastromania</t>
        </is>
      </c>
      <c r="D186" s="24" t="inlineStr">
        <is>
          <t>Přepravka na pizzu 60x40x7,5 cm | TOM-GAST, ZT-6040</t>
        </is>
      </c>
      <c r="E186" s="24" t="inlineStr">
        <is>
          <t>TOMGAST</t>
        </is>
      </c>
      <c r="F186" s="25" t="inlineStr">
        <is>
          <t>https://www.gastromania.cz/kose-na-pizza-testo/prepravka-na-pizzu-60x40x7-5-cm-tom-gast-zt-6040</t>
        </is>
      </c>
      <c r="G186" s="98" t="n">
        <v>339</v>
      </c>
      <c r="H186" s="24" t="inlineStr">
        <is>
          <t>CZK</t>
        </is>
      </c>
      <c r="I186" s="24" t="inlineStr">
        <is>
          <t>incl.</t>
        </is>
      </c>
      <c r="J186" s="122" t="n">
        <v>0.21</v>
      </c>
      <c r="K186" s="116" t="n">
        <v>1</v>
      </c>
      <c r="L186" s="24" t="inlineStr">
        <is>
          <t>per piece</t>
        </is>
      </c>
      <c r="M186" s="36" t="inlineStr">
        <is>
          <t>=IF(OR(G118="",J118="",K118=""),"",ROUND(IF(I118="incl.",G118/(1+J118),G118)/IF(L118="per pack",K118,1),2))</t>
        </is>
      </c>
      <c r="N186" s="24" t="inlineStr">
        <is>
          <t>EXACT</t>
        </is>
      </c>
      <c r="O186" s="24" t="inlineStr">
        <is>
          <t>PP 600 x 400 x 75 mm (same item as tomgast.cz); Hendi 880906 PET 75 mm 392, Contacto 2510/600 473 CZK; price incl. 21% VAT as published in product data (current price, in stock)</t>
        </is>
      </c>
      <c r="P186" s="24" t="inlineStr">
        <is>
          <t>2026-09-30</t>
        </is>
      </c>
      <c r="Q186" s="36" t="inlineStr">
        <is>
          <t>=IFERROR(INDEX(Competitors!$N$2:$N$50,MATCH(C118,Competitors!$A$2:$A$50,0)),"no")</t>
        </is>
      </c>
      <c r="R186" s="36" t="inlineStr">
        <is>
          <t>=IF(AND(Q118="yes",OR(N118="EXACT",N118="CLOSE"),ISNUMBER(M118)),"yes","no")</t>
        </is>
      </c>
      <c r="S186" s="24" t="n"/>
      <c r="T186" s="24" t="n"/>
      <c r="U186" s="24" t="n"/>
      <c r="V186" s="2" t="n"/>
      <c r="W186" s="2" t="n"/>
      <c r="X186" s="2" t="n"/>
      <c r="Y186" s="2" t="n"/>
      <c r="Z186" s="2" t="n"/>
      <c r="AA186" s="2" t="n"/>
      <c r="AB186" s="2" t="n"/>
      <c r="AC186" s="2" t="n"/>
    </row>
    <row r="187" ht="92" customHeight="1">
      <c r="A187" s="2" t="n"/>
      <c r="B187" s="27" t="inlineStr">
        <is>
          <t>Dough box 600x400x75 mm, PP, without lid</t>
        </is>
      </c>
      <c r="C187" s="27" t="inlineStr">
        <is>
          <t>Gastrozone</t>
        </is>
      </c>
      <c r="D187" s="27" t="inlineStr">
        <is>
          <t>Nádoba AmerBox Kitchen Line na pizza těsto, 600 × 400 mm, 14 l</t>
        </is>
      </c>
      <c r="E187" s="27" t="inlineStr">
        <is>
          <t>AmerBox (Hendi)</t>
        </is>
      </c>
      <c r="F187" s="28" t="inlineStr">
        <is>
          <t>https://www.gastrozone.cz/nadoba-na-pizza-testo-600x400-amerbox-kitchen-line-14l-600x400x-h-75mm.html</t>
        </is>
      </c>
      <c r="G187" s="102" t="n">
        <v>285</v>
      </c>
      <c r="H187" s="27" t="inlineStr">
        <is>
          <t>CZK</t>
        </is>
      </c>
      <c r="I187" s="27" t="inlineStr">
        <is>
          <t>incl.</t>
        </is>
      </c>
      <c r="J187" s="123" t="n">
        <v>0.21</v>
      </c>
      <c r="K187" s="117" t="n">
        <v>1</v>
      </c>
      <c r="L187" s="27" t="inlineStr">
        <is>
          <t>per piece</t>
        </is>
      </c>
      <c r="M187" s="38" t="inlineStr">
        <is>
          <t>=IF(OR(G119="",J119="",K119=""),"",ROUND(IF(I119="incl.",G119/(1+J119),G119)/IF(L119="per pack",K119,1),2))</t>
        </is>
      </c>
      <c r="N187" s="27" t="inlineStr">
        <is>
          <t>CLOSE</t>
        </is>
      </c>
      <c r="O187" s="27" t="inlineStr">
        <is>
          <t>235.54 CZK bez DPH; code HEN-880906; 600 x 400 x 75 mm but PET (not PP); lid sold separately</t>
        </is>
      </c>
      <c r="P187" s="27" t="inlineStr">
        <is>
          <t>2026-09-30</t>
        </is>
      </c>
      <c r="Q187" s="38" t="inlineStr">
        <is>
          <t>=IFERROR(INDEX(Competitors!$N$2:$N$50,MATCH(C119,Competitors!$A$2:$A$50,0)),"no")</t>
        </is>
      </c>
      <c r="R187" s="38" t="inlineStr">
        <is>
          <t>=IF(AND(Q119="yes",OR(N119="EXACT",N119="CLOSE"),ISNUMBER(M119)),"yes","no")</t>
        </is>
      </c>
      <c r="S187" s="27" t="n"/>
      <c r="T187" s="27" t="n"/>
      <c r="U187" s="27" t="n"/>
      <c r="V187" s="2" t="n"/>
      <c r="W187" s="2" t="n"/>
      <c r="X187" s="2" t="n"/>
      <c r="Y187" s="2" t="n"/>
      <c r="Z187" s="2" t="n"/>
      <c r="AA187" s="2" t="n"/>
      <c r="AB187" s="2" t="n"/>
      <c r="AC187" s="2" t="n"/>
    </row>
    <row r="188" ht="92" customHeight="1">
      <c r="A188" s="2" t="n"/>
      <c r="B188" s="24" t="inlineStr">
        <is>
          <t>Dough box 600x400x75 mm, PP, without lid</t>
        </is>
      </c>
      <c r="C188" s="24" t="inlineStr">
        <is>
          <t>TOMGAST</t>
        </is>
      </c>
      <c r="D188" s="24" t="inlineStr">
        <is>
          <t>Přepravka na pizzu 60 × 40 × 7,5 cm</t>
        </is>
      </c>
      <c r="E188" s="24" t="inlineStr">
        <is>
          <t>TOMGAST</t>
        </is>
      </c>
      <c r="F188" s="25" t="inlineStr">
        <is>
          <t>https://www.tomgast.cz/prepravka-na-pizzu-60--40--7-5-cm/</t>
        </is>
      </c>
      <c r="G188" s="98" t="n">
        <v>339</v>
      </c>
      <c r="H188" s="24" t="inlineStr">
        <is>
          <t>CZK</t>
        </is>
      </c>
      <c r="I188" s="24" t="inlineStr">
        <is>
          <t>incl.</t>
        </is>
      </c>
      <c r="J188" s="122" t="n">
        <v>0.21</v>
      </c>
      <c r="K188" s="116" t="n">
        <v>1</v>
      </c>
      <c r="L188" s="24" t="inlineStr">
        <is>
          <t>per piece</t>
        </is>
      </c>
      <c r="M188" s="36" t="inlineStr">
        <is>
          <t>=IF(OR(G120="",J120="",K120=""),"",ROUND(IF(I120="incl.",G120/(1+J120),G120)/IF(L120="per pack",K120,1),2))</t>
        </is>
      </c>
      <c r="N188" s="24" t="inlineStr">
        <is>
          <t>EXACT</t>
        </is>
      </c>
      <c r="O188" s="24" t="inlineStr">
        <is>
          <t>Code ZT-6040; PP, 600 x 400 x 75 mm, lid sold separately; 280 CZK bez DPH</t>
        </is>
      </c>
      <c r="P188" s="24" t="inlineStr">
        <is>
          <t>2026-09-30</t>
        </is>
      </c>
      <c r="Q188" s="36" t="inlineStr">
        <is>
          <t>=IFERROR(INDEX(Competitors!$N$2:$N$50,MATCH(C120,Competitors!$A$2:$A$50,0)),"no")</t>
        </is>
      </c>
      <c r="R188" s="36" t="inlineStr">
        <is>
          <t>=IF(AND(Q120="yes",OR(N120="EXACT",N120="CLOSE"),ISNUMBER(M120)),"yes","no")</t>
        </is>
      </c>
      <c r="S188" s="24" t="n"/>
      <c r="T188" s="24" t="n"/>
      <c r="U188" s="24" t="n"/>
      <c r="V188" s="2" t="n"/>
      <c r="W188" s="2" t="n"/>
      <c r="X188" s="2" t="n"/>
      <c r="Y188" s="2" t="n"/>
      <c r="Z188" s="2" t="n"/>
      <c r="AA188" s="2" t="n"/>
      <c r="AB188" s="2" t="n"/>
      <c r="AC188" s="2" t="n"/>
    </row>
    <row r="189" ht="92" customHeight="1">
      <c r="A189" s="2" t="n"/>
      <c r="B189" s="27" t="inlineStr">
        <is>
          <t>GN 1/1 container, PC, 100 mm</t>
        </is>
      </c>
      <c r="C189" s="27" t="inlineStr">
        <is>
          <t>GGM Gastro (CZ storefront)</t>
        </is>
      </c>
      <c r="D189" s="27" t="inlineStr">
        <is>
          <t>(6 ks) Gastronádoba GN GN 1/1 - polykarbonát - černá - výška: 100 mm</t>
        </is>
      </c>
      <c r="E189" s="27" t="inlineStr">
        <is>
          <t>GGM</t>
        </is>
      </c>
      <c r="F189" s="28" t="inlineStr">
        <is>
          <t>https://www.ggmgastro.com/cs-cz-czk/6-ks-gastronadoba-gn-gn-1-1-polykarbonat-cerna-vyska-100-mm-gpcp11100s</t>
        </is>
      </c>
      <c r="G189" s="102" t="n">
        <v>1314.06</v>
      </c>
      <c r="H189" s="27" t="inlineStr">
        <is>
          <t>CZK</t>
        </is>
      </c>
      <c r="I189" s="27" t="inlineStr">
        <is>
          <t>excl.</t>
        </is>
      </c>
      <c r="J189" s="123" t="n">
        <v>0.19</v>
      </c>
      <c r="K189" s="117" t="n">
        <v>6</v>
      </c>
      <c r="L189" s="27" t="inlineStr">
        <is>
          <t>per pack</t>
        </is>
      </c>
      <c r="M189" s="38" t="inlineStr">
        <is>
          <t>=IF(OR(G121="",J121="",K121=""),"",ROUND(IF(I121="incl.",G121/(1+J121),G121)/IF(L121="per pack",K121,1),2))</t>
        </is>
      </c>
      <c r="N189" s="27" t="inlineStr">
        <is>
          <t>EXACT</t>
        </is>
      </c>
      <c r="O189" s="27" t="inlineStr">
        <is>
          <t>Black PC</t>
        </is>
      </c>
      <c r="P189" s="27" t="inlineStr">
        <is>
          <t>2026-09-30</t>
        </is>
      </c>
      <c r="Q189" s="38" t="inlineStr">
        <is>
          <t>=IFERROR(INDEX(Competitors!$N$2:$N$50,MATCH(C121,Competitors!$A$2:$A$50,0)),"no")</t>
        </is>
      </c>
      <c r="R189" s="38" t="inlineStr">
        <is>
          <t>=IF(AND(Q121="yes",OR(N121="EXACT",N121="CLOSE"),ISNUMBER(M121)),"yes","no")</t>
        </is>
      </c>
      <c r="S189" s="27" t="n"/>
      <c r="T189" s="27" t="n"/>
      <c r="U189" s="27" t="n"/>
      <c r="V189" s="2" t="n"/>
      <c r="W189" s="2" t="n"/>
      <c r="X189" s="2" t="n"/>
      <c r="Y189" s="2" t="n"/>
      <c r="Z189" s="2" t="n"/>
      <c r="AA189" s="2" t="n"/>
      <c r="AB189" s="2" t="n"/>
      <c r="AC189" s="2" t="n"/>
    </row>
    <row r="190" ht="92" customHeight="1">
      <c r="A190" s="2" t="n"/>
      <c r="B190" s="24" t="inlineStr">
        <is>
          <t>GN 1/1 container, PC, 100 mm</t>
        </is>
      </c>
      <c r="C190" s="24" t="inlineStr">
        <is>
          <t>Gastro Novotný</t>
        </is>
      </c>
      <c r="D190" s="24" t="inlineStr">
        <is>
          <t>Gastronádoba PC 1/1 100</t>
        </is>
      </c>
      <c r="E190" s="24" t="n"/>
      <c r="F190" s="25" t="inlineStr">
        <is>
          <t>https://eshop.gastronovotny.cz/gastronadoba-pc-1-1-100--0835126/</t>
        </is>
      </c>
      <c r="G190" s="98" t="n">
        <v>289</v>
      </c>
      <c r="H190" s="24" t="inlineStr">
        <is>
          <t>CZK</t>
        </is>
      </c>
      <c r="I190" s="24" t="inlineStr">
        <is>
          <t>excl.</t>
        </is>
      </c>
      <c r="J190" s="122" t="n">
        <v>0.21</v>
      </c>
      <c r="K190" s="116" t="n">
        <v>1</v>
      </c>
      <c r="L190" s="24" t="inlineStr">
        <is>
          <t>per piece</t>
        </is>
      </c>
      <c r="M190" s="36" t="inlineStr">
        <is>
          <t>=IF(OR(G122="",J122="",K122=""),"",ROUND(IF(I122="incl.",G122/(1+J122),G122)/IF(L122="per pack",K122,1),2))</t>
        </is>
      </c>
      <c r="N190" s="24" t="inlineStr">
        <is>
          <t>EXACT</t>
        </is>
      </c>
      <c r="O190" s="24" t="inlineStr">
        <is>
          <t>Code 0835126; availability "Na dotaz"; 349.69 CZK incl. VAT</t>
        </is>
      </c>
      <c r="P190" s="24" t="inlineStr">
        <is>
          <t>2026-09-30</t>
        </is>
      </c>
      <c r="Q190" s="36" t="inlineStr">
        <is>
          <t>=IFERROR(INDEX(Competitors!$N$2:$N$50,MATCH(C122,Competitors!$A$2:$A$50,0)),"no")</t>
        </is>
      </c>
      <c r="R190" s="36" t="inlineStr">
        <is>
          <t>=IF(AND(Q122="yes",OR(N122="EXACT",N122="CLOSE"),ISNUMBER(M122)),"yes","no")</t>
        </is>
      </c>
      <c r="S190" s="24" t="n"/>
      <c r="T190" s="24" t="n"/>
      <c r="U190" s="24" t="n"/>
      <c r="V190" s="2" t="n"/>
      <c r="W190" s="2" t="n"/>
      <c r="X190" s="2" t="n"/>
      <c r="Y190" s="2" t="n"/>
      <c r="Z190" s="2" t="n"/>
      <c r="AA190" s="2" t="n"/>
      <c r="AB190" s="2" t="n"/>
      <c r="AC190" s="2" t="n"/>
    </row>
    <row r="191" ht="92" customHeight="1">
      <c r="A191" s="2" t="n"/>
      <c r="B191" s="27" t="inlineStr">
        <is>
          <t>GN 1/1 container, PC, 100 mm</t>
        </is>
      </c>
      <c r="C191" s="27" t="inlineStr">
        <is>
          <t>Gastromania</t>
        </is>
      </c>
      <c r="D191" s="27" t="inlineStr">
        <is>
          <t>Gastro nádoba GN 1/1 100 mm, polykarbonát | YATO, YG-00391</t>
        </is>
      </c>
      <c r="E191" s="27" t="inlineStr">
        <is>
          <t>Yato</t>
        </is>
      </c>
      <c r="F191" s="28" t="inlineStr">
        <is>
          <t>https://www.gastromania.cz/gastronadoby-polykarbonatove/gastro-nadoba-gn-1-1-100-mm-polykarbonat-yato-yg-00391</t>
        </is>
      </c>
      <c r="G191" s="102" t="n">
        <v>294</v>
      </c>
      <c r="H191" s="27" t="inlineStr">
        <is>
          <t>CZK</t>
        </is>
      </c>
      <c r="I191" s="27" t="inlineStr">
        <is>
          <t>incl.</t>
        </is>
      </c>
      <c r="J191" s="123" t="n">
        <v>0.21</v>
      </c>
      <c r="K191" s="117" t="n">
        <v>1</v>
      </c>
      <c r="L191" s="27" t="inlineStr">
        <is>
          <t>per piece</t>
        </is>
      </c>
      <c r="M191" s="38" t="inlineStr">
        <is>
          <t>=IF(OR(G123="",J123="",K123=""),"",ROUND(IF(I123="incl.",G123/(1+J123),G123)/IF(L123="per pack",K123,1),2))</t>
        </is>
      </c>
      <c r="N191" s="27" t="inlineStr">
        <is>
          <t>EXACT</t>
        </is>
      </c>
      <c r="O191" s="27" t="inlineStr">
        <is>
          <t>Stalgast Bufet PC 482, Cambro 509 CZK; price incl. 21% VAT as published in product data (current price, in stock)</t>
        </is>
      </c>
      <c r="P191" s="27" t="inlineStr">
        <is>
          <t>2026-09-30</t>
        </is>
      </c>
      <c r="Q191" s="38" t="inlineStr">
        <is>
          <t>=IFERROR(INDEX(Competitors!$N$2:$N$50,MATCH(C123,Competitors!$A$2:$A$50,0)),"no")</t>
        </is>
      </c>
      <c r="R191" s="38" t="inlineStr">
        <is>
          <t>=IF(AND(Q123="yes",OR(N123="EXACT",N123="CLOSE"),ISNUMBER(M123)),"yes","no")</t>
        </is>
      </c>
      <c r="S191" s="27" t="n"/>
      <c r="T191" s="27" t="n"/>
      <c r="U191" s="27" t="n"/>
      <c r="V191" s="2" t="n"/>
      <c r="W191" s="2" t="n"/>
      <c r="X191" s="2" t="n"/>
      <c r="Y191" s="2" t="n"/>
      <c r="Z191" s="2" t="n"/>
      <c r="AA191" s="2" t="n"/>
      <c r="AB191" s="2" t="n"/>
      <c r="AC191" s="2" t="n"/>
    </row>
    <row r="192" ht="92" customHeight="1">
      <c r="A192" s="2" t="n"/>
      <c r="B192" s="24" t="inlineStr">
        <is>
          <t>GN 1/1 container, PC, 100 mm</t>
        </is>
      </c>
      <c r="C192" s="24" t="inlineStr">
        <is>
          <t>Gastrozone</t>
        </is>
      </c>
      <c r="D192" s="24" t="inlineStr">
        <is>
          <t>ARAVEN Gastronádoba GN 1/1, polykarbonát, hloubka: 100 mm, objem: 13,4 L</t>
        </is>
      </c>
      <c r="E192" s="24" t="inlineStr">
        <is>
          <t>Araven</t>
        </is>
      </c>
      <c r="F192" s="25" t="inlineStr">
        <is>
          <t>https://www.gastrozone.cz/araven-gn-nadoba-1-1-polykarbonat-hloubka-100-mm-objem-13-4-l.html</t>
        </is>
      </c>
      <c r="G192" s="98" t="n">
        <v>635</v>
      </c>
      <c r="H192" s="24" t="inlineStr">
        <is>
          <t>CZK</t>
        </is>
      </c>
      <c r="I192" s="24" t="inlineStr">
        <is>
          <t>incl.</t>
        </is>
      </c>
      <c r="J192" s="122" t="n">
        <v>0.21</v>
      </c>
      <c r="K192" s="116" t="n">
        <v>1</v>
      </c>
      <c r="L192" s="24" t="inlineStr">
        <is>
          <t>per piece</t>
        </is>
      </c>
      <c r="M192" s="36" t="inlineStr">
        <is>
          <t>=IF(OR(G124="",J124="",K124=""),"",ROUND(IF(I124="incl.",G124/(1+J124),G124)/IF(L124="per pack",K124,1),2))</t>
        </is>
      </c>
      <c r="N192" s="24" t="inlineStr">
        <is>
          <t>EXACT</t>
        </is>
      </c>
      <c r="O192" s="24" t="inlineStr">
        <is>
          <t>524.79 CZK bez DPH; APS 683, Pujadas 815 CZK</t>
        </is>
      </c>
      <c r="P192" s="24" t="inlineStr">
        <is>
          <t>2026-09-30</t>
        </is>
      </c>
      <c r="Q192" s="36" t="inlineStr">
        <is>
          <t>=IFERROR(INDEX(Competitors!$N$2:$N$50,MATCH(C124,Competitors!$A$2:$A$50,0)),"no")</t>
        </is>
      </c>
      <c r="R192" s="36" t="inlineStr">
        <is>
          <t>=IF(AND(Q124="yes",OR(N124="EXACT",N124="CLOSE"),ISNUMBER(M124)),"yes","no")</t>
        </is>
      </c>
      <c r="S192" s="24" t="n"/>
      <c r="T192" s="24" t="n"/>
      <c r="U192" s="24" t="n"/>
      <c r="V192" s="2" t="n"/>
      <c r="W192" s="2" t="n"/>
      <c r="X192" s="2" t="n"/>
      <c r="Y192" s="2" t="n"/>
      <c r="Z192" s="2" t="n"/>
      <c r="AA192" s="2" t="n"/>
      <c r="AB192" s="2" t="n"/>
      <c r="AC192" s="2" t="n"/>
    </row>
    <row r="193" ht="92" customHeight="1">
      <c r="A193" s="2" t="n"/>
      <c r="B193" s="27" t="inlineStr">
        <is>
          <t>GN 1/1 container, PC, 100 mm</t>
        </is>
      </c>
      <c r="C193" s="27" t="inlineStr">
        <is>
          <t>TOMGAST</t>
        </is>
      </c>
      <c r="D193" s="27" t="inlineStr">
        <is>
          <t>Gastronádoba polykarbonátová GN 1/1 100 mm</t>
        </is>
      </c>
      <c r="E193" s="27" t="inlineStr">
        <is>
          <t>Cambro</t>
        </is>
      </c>
      <c r="F193" s="28" t="inlineStr">
        <is>
          <t>https://www.tomgast.cz/gastronadoba-polykarbonatova-gn-1-1-100-mm-2/</t>
        </is>
      </c>
      <c r="G193" s="102" t="n">
        <v>509</v>
      </c>
      <c r="H193" s="27" t="inlineStr">
        <is>
          <t>CZK</t>
        </is>
      </c>
      <c r="I193" s="27" t="inlineStr">
        <is>
          <t>incl.</t>
        </is>
      </c>
      <c r="J193" s="123" t="n">
        <v>0.21</v>
      </c>
      <c r="K193" s="117" t="n">
        <v>1</v>
      </c>
      <c r="L193" s="27" t="inlineStr">
        <is>
          <t>per piece</t>
        </is>
      </c>
      <c r="M193" s="38" t="inlineStr">
        <is>
          <t>=IF(OR(G125="",J125="",K125=""),"",ROUND(IF(I125="incl.",G125/(1+J125),G125)/IF(L125="per pack",K125,1),2))</t>
        </is>
      </c>
      <c r="N193" s="27" t="inlineStr">
        <is>
          <t>EXACT</t>
        </is>
      </c>
      <c r="O193" s="27" t="inlineStr">
        <is>
          <t>Code R-M211100; 421 CZK bez DPH. Second PC line M2-11100 is 426 CZK incl.</t>
        </is>
      </c>
      <c r="P193" s="27" t="inlineStr">
        <is>
          <t>2026-09-30</t>
        </is>
      </c>
      <c r="Q193" s="38" t="inlineStr">
        <is>
          <t>=IFERROR(INDEX(Competitors!$N$2:$N$50,MATCH(C125,Competitors!$A$2:$A$50,0)),"no")</t>
        </is>
      </c>
      <c r="R193" s="38" t="inlineStr">
        <is>
          <t>=IF(AND(Q125="yes",OR(N125="EXACT",N125="CLOSE"),ISNUMBER(M125)),"yes","no")</t>
        </is>
      </c>
      <c r="S193" s="27" t="n"/>
      <c r="T193" s="27" t="n"/>
      <c r="U193" s="27" t="n"/>
      <c r="V193" s="2" t="n"/>
      <c r="W193" s="2" t="n"/>
      <c r="X193" s="2" t="n"/>
      <c r="Y193" s="2" t="n"/>
      <c r="Z193" s="2" t="n"/>
      <c r="AA193" s="2" t="n"/>
      <c r="AB193" s="2" t="n"/>
      <c r="AC193" s="2" t="n"/>
    </row>
    <row r="194" ht="92" customHeight="1">
      <c r="A194" s="2" t="n"/>
      <c r="B194" s="24" t="inlineStr">
        <is>
          <t>GN 1/6 container, PC, 100 mm</t>
        </is>
      </c>
      <c r="C194" s="24" t="inlineStr">
        <is>
          <t>GGM Gastro (CZ storefront)</t>
        </is>
      </c>
      <c r="D194" s="24" t="inlineStr">
        <is>
          <t>(12 ks) Gastronádoba polykarbonát GN 1/6 - Transparentní - Výška: 100 mm</t>
        </is>
      </c>
      <c r="E194" s="24" t="inlineStr">
        <is>
          <t>GGM</t>
        </is>
      </c>
      <c r="F194" s="25" t="inlineStr">
        <is>
          <t>https://www.ggmgastro.com/cs-cz-czk/12-ks-gastronadoba-polykarbonat-gn-1-6-transparentni-vyska-100-mm-gpcp16100</t>
        </is>
      </c>
      <c r="G194" s="98" t="n">
        <v>1143.69</v>
      </c>
      <c r="H194" s="24" t="inlineStr">
        <is>
          <t>CZK</t>
        </is>
      </c>
      <c r="I194" s="24" t="inlineStr">
        <is>
          <t>excl.</t>
        </is>
      </c>
      <c r="J194" s="122" t="n">
        <v>0.19</v>
      </c>
      <c r="K194" s="116" t="n">
        <v>12</v>
      </c>
      <c r="L194" s="24" t="inlineStr">
        <is>
          <t>per pack</t>
        </is>
      </c>
      <c r="M194" s="36" t="inlineStr">
        <is>
          <t>=IF(OR(G126="",J126="",K126=""),"",ROUND(IF(I126="incl.",G126/(1+J126),G126)/IF(L126="per pack",K126,1),2))</t>
        </is>
      </c>
      <c r="N194" s="24" t="inlineStr">
        <is>
          <t>EXACT</t>
        </is>
      </c>
      <c r="O194" s="24" t="n"/>
      <c r="P194" s="24" t="inlineStr">
        <is>
          <t>2026-09-30</t>
        </is>
      </c>
      <c r="Q194" s="36" t="inlineStr">
        <is>
          <t>=IFERROR(INDEX(Competitors!$N$2:$N$50,MATCH(C126,Competitors!$A$2:$A$50,0)),"no")</t>
        </is>
      </c>
      <c r="R194" s="36" t="inlineStr">
        <is>
          <t>=IF(AND(Q126="yes",OR(N126="EXACT",N126="CLOSE"),ISNUMBER(M126)),"yes","no")</t>
        </is>
      </c>
      <c r="S194" s="24" t="n"/>
      <c r="T194" s="24" t="n"/>
      <c r="U194" s="24" t="n"/>
      <c r="V194" s="2" t="n"/>
      <c r="W194" s="2" t="n"/>
      <c r="X194" s="2" t="n"/>
      <c r="Y194" s="2" t="n"/>
      <c r="Z194" s="2" t="n"/>
      <c r="AA194" s="2" t="n"/>
      <c r="AB194" s="2" t="n"/>
      <c r="AC194" s="2" t="n"/>
    </row>
    <row r="195" ht="92" customHeight="1">
      <c r="A195" s="2" t="n"/>
      <c r="B195" s="27" t="inlineStr">
        <is>
          <t>GN 1/6 container, PC, 100 mm</t>
        </is>
      </c>
      <c r="C195" s="27" t="inlineStr">
        <is>
          <t>Gastromania</t>
        </is>
      </c>
      <c r="D195" s="27" t="inlineStr">
        <is>
          <t>Gastro nádoba GN 1/6 100 mm, polykarbonát | YATO, YG-00426</t>
        </is>
      </c>
      <c r="E195" s="27" t="inlineStr">
        <is>
          <t>Yato</t>
        </is>
      </c>
      <c r="F195" s="28" t="inlineStr">
        <is>
          <t>https://www.gastromania.cz/gastronadoby-polykarbonatove/gastro-nadoba-gn-1-6-100-mm-polykarbonat-yato-yg-00426</t>
        </is>
      </c>
      <c r="G195" s="102" t="n">
        <v>76</v>
      </c>
      <c r="H195" s="27" t="inlineStr">
        <is>
          <t>CZK</t>
        </is>
      </c>
      <c r="I195" s="27" t="inlineStr">
        <is>
          <t>incl.</t>
        </is>
      </c>
      <c r="J195" s="123" t="n">
        <v>0.21</v>
      </c>
      <c r="K195" s="117" t="n">
        <v>1</v>
      </c>
      <c r="L195" s="27" t="inlineStr">
        <is>
          <t>per piece</t>
        </is>
      </c>
      <c r="M195" s="38" t="inlineStr">
        <is>
          <t>=IF(OR(G127="",J127="",K127=""),"",ROUND(IF(I127="incl.",G127/(1+J127),G127)/IF(L127="per pack",K127,1),2))</t>
        </is>
      </c>
      <c r="N195" s="27" t="inlineStr">
        <is>
          <t>EXACT</t>
        </is>
      </c>
      <c r="O195" s="27" t="inlineStr">
        <is>
          <t>HENDI Profi Line PC 85, Cambro 138 CZK; price incl. 21% VAT as published in product data (current price, in stock)</t>
        </is>
      </c>
      <c r="P195" s="27" t="inlineStr">
        <is>
          <t>2026-09-30</t>
        </is>
      </c>
      <c r="Q195" s="38" t="inlineStr">
        <is>
          <t>=IFERROR(INDEX(Competitors!$N$2:$N$50,MATCH(C127,Competitors!$A$2:$A$50,0)),"no")</t>
        </is>
      </c>
      <c r="R195" s="38" t="inlineStr">
        <is>
          <t>=IF(AND(Q127="yes",OR(N127="EXACT",N127="CLOSE"),ISNUMBER(M127)),"yes","no")</t>
        </is>
      </c>
      <c r="S195" s="27" t="n"/>
      <c r="T195" s="27" t="n"/>
      <c r="U195" s="27" t="n"/>
      <c r="V195" s="2" t="n"/>
      <c r="W195" s="2" t="n"/>
      <c r="X195" s="2" t="n"/>
      <c r="Y195" s="2" t="n"/>
      <c r="Z195" s="2" t="n"/>
      <c r="AA195" s="2" t="n"/>
      <c r="AB195" s="2" t="n"/>
      <c r="AC195" s="2" t="n"/>
    </row>
    <row r="196" ht="92" customHeight="1">
      <c r="A196" s="2" t="n"/>
      <c r="B196" s="24" t="inlineStr">
        <is>
          <t>GN 1/6 container, PC, 100 mm</t>
        </is>
      </c>
      <c r="C196" s="24" t="inlineStr">
        <is>
          <t>Gastrozone</t>
        </is>
      </c>
      <c r="D196" s="24" t="inlineStr">
        <is>
          <t>ARAVEN Gastronádoba GN 1/6, polykarbonát, hloubka: 100 mm, objem: 1,6 L</t>
        </is>
      </c>
      <c r="E196" s="24" t="inlineStr">
        <is>
          <t>Araven</t>
        </is>
      </c>
      <c r="F196" s="25" t="inlineStr">
        <is>
          <t>https://www.gastrozone.cz/araven-gn-nadoba-1-6-polykarbonat-hloubka-100-mm-objem-1-6-l.html</t>
        </is>
      </c>
      <c r="G196" s="98" t="n">
        <v>162</v>
      </c>
      <c r="H196" s="24" t="inlineStr">
        <is>
          <t>CZK</t>
        </is>
      </c>
      <c r="I196" s="24" t="inlineStr">
        <is>
          <t>incl.</t>
        </is>
      </c>
      <c r="J196" s="122" t="n">
        <v>0.21</v>
      </c>
      <c r="K196" s="116" t="n">
        <v>1</v>
      </c>
      <c r="L196" s="24" t="inlineStr">
        <is>
          <t>per piece</t>
        </is>
      </c>
      <c r="M196" s="36" t="inlineStr">
        <is>
          <t>=IF(OR(G128="",J128="",K128=""),"",ROUND(IF(I128="incl.",G128/(1+J128),G128)/IF(L128="per pack",K128,1),2))</t>
        </is>
      </c>
      <c r="N196" s="24" t="inlineStr">
        <is>
          <t>EXACT</t>
        </is>
      </c>
      <c r="O196" s="24" t="inlineStr">
        <is>
          <t>133.88 CZK bez DPH; APS 177-178, Pujadas 215 CZK</t>
        </is>
      </c>
      <c r="P196" s="24" t="inlineStr">
        <is>
          <t>2026-09-30</t>
        </is>
      </c>
      <c r="Q196" s="36" t="inlineStr">
        <is>
          <t>=IFERROR(INDEX(Competitors!$N$2:$N$50,MATCH(C128,Competitors!$A$2:$A$50,0)),"no")</t>
        </is>
      </c>
      <c r="R196" s="36" t="inlineStr">
        <is>
          <t>=IF(AND(Q128="yes",OR(N128="EXACT",N128="CLOSE"),ISNUMBER(M128)),"yes","no")</t>
        </is>
      </c>
      <c r="S196" s="24" t="n"/>
      <c r="T196" s="24" t="n"/>
      <c r="U196" s="24" t="n"/>
      <c r="V196" s="2" t="n"/>
      <c r="W196" s="2" t="n"/>
      <c r="X196" s="2" t="n"/>
      <c r="Y196" s="2" t="n"/>
      <c r="Z196" s="2" t="n"/>
      <c r="AA196" s="2" t="n"/>
      <c r="AB196" s="2" t="n"/>
      <c r="AC196" s="2" t="n"/>
    </row>
    <row r="197" ht="92" customHeight="1">
      <c r="A197" s="2" t="n"/>
      <c r="B197" s="27" t="inlineStr">
        <is>
          <t>GN 1/6 container, PC, 100 mm</t>
        </is>
      </c>
      <c r="C197" s="27" t="inlineStr">
        <is>
          <t>TOMGAST</t>
        </is>
      </c>
      <c r="D197" s="27" t="inlineStr">
        <is>
          <t>Gastronádoba polykarbonátová GN 1/6 100 mm</t>
        </is>
      </c>
      <c r="E197" s="27" t="inlineStr">
        <is>
          <t>Cambro</t>
        </is>
      </c>
      <c r="F197" s="28" t="inlineStr">
        <is>
          <t>https://www.tomgast.cz/gastronadoba-polykarbonatova-gn-1-6-100-mm-2/</t>
        </is>
      </c>
      <c r="G197" s="102" t="n">
        <v>138</v>
      </c>
      <c r="H197" s="27" t="inlineStr">
        <is>
          <t>CZK</t>
        </is>
      </c>
      <c r="I197" s="27" t="inlineStr">
        <is>
          <t>incl.</t>
        </is>
      </c>
      <c r="J197" s="123" t="n">
        <v>0.21</v>
      </c>
      <c r="K197" s="117" t="n">
        <v>1</v>
      </c>
      <c r="L197" s="27" t="inlineStr">
        <is>
          <t>per piece</t>
        </is>
      </c>
      <c r="M197" s="38" t="inlineStr">
        <is>
          <t>=IF(OR(G129="",J129="",K129=""),"",ROUND(IF(I129="incl.",G129/(1+J129),G129)/IF(L129="per pack",K129,1),2))</t>
        </is>
      </c>
      <c r="N197" s="27" t="inlineStr">
        <is>
          <t>EXACT</t>
        </is>
      </c>
      <c r="O197" s="27" t="inlineStr">
        <is>
          <t>Code R-M216100; 114 CZK bez DPH</t>
        </is>
      </c>
      <c r="P197" s="27" t="inlineStr">
        <is>
          <t>2026-09-30</t>
        </is>
      </c>
      <c r="Q197" s="38" t="inlineStr">
        <is>
          <t>=IFERROR(INDEX(Competitors!$N$2:$N$50,MATCH(C129,Competitors!$A$2:$A$50,0)),"no")</t>
        </is>
      </c>
      <c r="R197" s="38" t="inlineStr">
        <is>
          <t>=IF(AND(Q129="yes",OR(N129="EXACT",N129="CLOSE"),ISNUMBER(M129)),"yes","no")</t>
        </is>
      </c>
      <c r="S197" s="27" t="n"/>
      <c r="T197" s="27" t="n"/>
      <c r="U197" s="27" t="n"/>
      <c r="V197" s="2" t="n"/>
      <c r="W197" s="2" t="n"/>
      <c r="X197" s="2" t="n"/>
      <c r="Y197" s="2" t="n"/>
      <c r="Z197" s="2" t="n"/>
      <c r="AA197" s="2" t="n"/>
      <c r="AB197" s="2" t="n"/>
      <c r="AC197" s="2" t="n"/>
    </row>
    <row r="198" ht="92" customHeight="1">
      <c r="A198" s="2" t="n"/>
      <c r="B198" s="24" t="inlineStr">
        <is>
          <t>Cutting board 530x325x15 mm, red PE</t>
        </is>
      </c>
      <c r="C198" s="24" t="inlineStr">
        <is>
          <t>GGM Gastro (CZ storefront)</t>
        </is>
      </c>
      <c r="D198" s="24" t="inlineStr">
        <is>
          <t>Krájecí deska - 325x530 mm - Dle HACCP - Červená</t>
        </is>
      </c>
      <c r="E198" s="24" t="inlineStr">
        <is>
          <t>GGM</t>
        </is>
      </c>
      <c r="F198" s="25" t="inlineStr">
        <is>
          <t>https://www.ggmgastro.com/cs-cz-czk/krajeci-deska-325x530-mm-dle-haccp-cervena-sbp53r</t>
        </is>
      </c>
      <c r="G198" s="98" t="n">
        <v>632.5700000000001</v>
      </c>
      <c r="H198" s="24" t="inlineStr">
        <is>
          <t>CZK</t>
        </is>
      </c>
      <c r="I198" s="24" t="inlineStr">
        <is>
          <t>excl.</t>
        </is>
      </c>
      <c r="J198" s="122" t="n">
        <v>0.19</v>
      </c>
      <c r="K198" s="116" t="n">
        <v>1</v>
      </c>
      <c r="L198" s="24" t="inlineStr">
        <is>
          <t>per piece</t>
        </is>
      </c>
      <c r="M198" s="36" t="inlineStr">
        <is>
          <t>=IF(OR(G130="",J130="",K130=""),"",ROUND(IF(I130="incl.",G130/(1+J130),G130)/IF(L130="per pack",K130,1),2))</t>
        </is>
      </c>
      <c r="N198" s="24" t="inlineStr">
        <is>
          <t>CLOSE</t>
        </is>
      </c>
      <c r="O198" s="24" t="inlineStr">
        <is>
          <t>Red PE; thickness not shown (white board of same series on the German site: 325x530x20 mm)</t>
        </is>
      </c>
      <c r="P198" s="24" t="inlineStr">
        <is>
          <t>2026-09-30</t>
        </is>
      </c>
      <c r="Q198" s="36" t="inlineStr">
        <is>
          <t>=IFERROR(INDEX(Competitors!$N$2:$N$50,MATCH(C130,Competitors!$A$2:$A$50,0)),"no")</t>
        </is>
      </c>
      <c r="R198" s="36" t="inlineStr">
        <is>
          <t>=IF(AND(Q130="yes",OR(N130="EXACT",N130="CLOSE"),ISNUMBER(M130)),"yes","no")</t>
        </is>
      </c>
      <c r="S198" s="24" t="n"/>
      <c r="T198" s="24" t="n"/>
      <c r="U198" s="24" t="n"/>
      <c r="V198" s="2" t="n"/>
      <c r="W198" s="2" t="n"/>
      <c r="X198" s="2" t="n"/>
      <c r="Y198" s="2" t="n"/>
      <c r="Z198" s="2" t="n"/>
      <c r="AA198" s="2" t="n"/>
      <c r="AB198" s="2" t="n"/>
      <c r="AC198" s="2" t="n"/>
    </row>
    <row r="199" ht="92" customHeight="1">
      <c r="A199" s="2" t="n"/>
      <c r="B199" s="27" t="inlineStr">
        <is>
          <t>Cutting board 530x325x15 mm, red PE</t>
        </is>
      </c>
      <c r="C199" s="27" t="inlineStr">
        <is>
          <t>Gastro Novotný</t>
        </is>
      </c>
      <c r="D199" s="27" t="inlineStr">
        <is>
          <t>Deska polyethylen GN 1/1 53x32,5x2cm nožičky, PE-HD červená</t>
        </is>
      </c>
      <c r="E199" s="27" t="n"/>
      <c r="F199" s="28" t="inlineStr">
        <is>
          <t>https://eshop.gastronovotny.cz/deska-polyethylen-gn-1-1--53x32-5x2cm--nozicky-pe-hd--cervena/</t>
        </is>
      </c>
      <c r="G199" s="102" t="n">
        <v>1090</v>
      </c>
      <c r="H199" s="27" t="inlineStr">
        <is>
          <t>CZK</t>
        </is>
      </c>
      <c r="I199" s="27" t="inlineStr">
        <is>
          <t>excl.</t>
        </is>
      </c>
      <c r="J199" s="123" t="n">
        <v>0.21</v>
      </c>
      <c r="K199" s="117" t="n">
        <v>1</v>
      </c>
      <c r="L199" s="27" t="inlineStr">
        <is>
          <t>per piece</t>
        </is>
      </c>
      <c r="M199" s="38" t="inlineStr">
        <is>
          <t>=IF(OR(G131="",J131="",K131=""),"",ROUND(IF(I131="incl.",G131/(1+J131),G131)/IF(L131="per pack",K131,1),2))</t>
        </is>
      </c>
      <c r="N199" s="27" t="inlineStr">
        <is>
          <t>CLOSE</t>
        </is>
      </c>
      <c r="O199" s="27" t="inlineStr">
        <is>
          <t>Code 1842538-03; red HDPE 530 x 325 mm but 20 mm thick (not 15), with feet; 1318.90 CZK incl. VAT</t>
        </is>
      </c>
      <c r="P199" s="27" t="inlineStr">
        <is>
          <t>2026-09-30</t>
        </is>
      </c>
      <c r="Q199" s="38" t="inlineStr">
        <is>
          <t>=IFERROR(INDEX(Competitors!$N$2:$N$50,MATCH(C131,Competitors!$A$2:$A$50,0)),"no")</t>
        </is>
      </c>
      <c r="R199" s="38" t="inlineStr">
        <is>
          <t>=IF(AND(Q131="yes",OR(N131="EXACT",N131="CLOSE"),ISNUMBER(M131)),"yes","no")</t>
        </is>
      </c>
      <c r="S199" s="27" t="n"/>
      <c r="T199" s="27" t="n"/>
      <c r="U199" s="27" t="n"/>
      <c r="V199" s="2" t="n"/>
      <c r="W199" s="2" t="n"/>
      <c r="X199" s="2" t="n"/>
      <c r="Y199" s="2" t="n"/>
      <c r="Z199" s="2" t="n"/>
      <c r="AA199" s="2" t="n"/>
      <c r="AB199" s="2" t="n"/>
      <c r="AC199" s="2" t="n"/>
    </row>
    <row r="200" ht="92" customHeight="1">
      <c r="A200" s="2" t="n"/>
      <c r="B200" s="24" t="inlineStr">
        <is>
          <t>Cutting board 530x325x15 mm, red PE</t>
        </is>
      </c>
      <c r="C200" s="24" t="inlineStr">
        <is>
          <t>Gastromania</t>
        </is>
      </c>
      <c r="D200" s="24" t="inlineStr">
        <is>
          <t>Deska ke krájení s výřezem z červeného polypropylenu 53x32,5x1,5 cm | STALGAST, 341531</t>
        </is>
      </c>
      <c r="E200" s="24" t="inlineStr">
        <is>
          <t>Stalgast</t>
        </is>
      </c>
      <c r="F200" s="25" t="inlineStr">
        <is>
          <t>https://www.gastromania.cz/plastove-krajeci-desky-haccp/deska-ke-krajeni-s-vyrezem-z-cerveneho-polypropylenu-53x32-5x1-5-cm-stalgast-341531</t>
        </is>
      </c>
      <c r="G200" s="98" t="n">
        <v>653</v>
      </c>
      <c r="H200" s="24" t="inlineStr">
        <is>
          <t>CZK</t>
        </is>
      </c>
      <c r="I200" s="24" t="inlineStr">
        <is>
          <t>incl.</t>
        </is>
      </c>
      <c r="J200" s="122" t="n">
        <v>0.21</v>
      </c>
      <c r="K200" s="116" t="n">
        <v>1</v>
      </c>
      <c r="L200" s="24" t="inlineStr">
        <is>
          <t>per piece</t>
        </is>
      </c>
      <c r="M200" s="36" t="inlineStr">
        <is>
          <t>=IF(OR(G132="",J132="",K132=""),"",ROUND(IF(I132="incl.",G132/(1+J132),G132)/IF(L132="per pack",K132,1),2))</t>
        </is>
      </c>
      <c r="N200" s="24" t="inlineStr">
        <is>
          <t>CLOSE</t>
        </is>
      </c>
      <c r="O200" s="24" t="inlineStr">
        <is>
          <t>Red 530 x 325 x 15 mm but polypropylene (not PE), with cut-out; 540 CZK bez DPH. HENDI red PE GN 1/1 530x325x10 mm 359 CZK; price incl. 21% VAT as published in product data (current price, in stock)</t>
        </is>
      </c>
      <c r="P200" s="24" t="inlineStr">
        <is>
          <t>2026-09-30</t>
        </is>
      </c>
      <c r="Q200" s="36" t="inlineStr">
        <is>
          <t>=IFERROR(INDEX(Competitors!$N$2:$N$50,MATCH(C132,Competitors!$A$2:$A$50,0)),"no")</t>
        </is>
      </c>
      <c r="R200" s="36" t="inlineStr">
        <is>
          <t>=IF(AND(Q132="yes",OR(N132="EXACT",N132="CLOSE"),ISNUMBER(M132)),"yes","no")</t>
        </is>
      </c>
      <c r="S200" s="24" t="n"/>
      <c r="T200" s="24" t="n"/>
      <c r="U200" s="24" t="n"/>
      <c r="V200" s="2" t="n"/>
      <c r="W200" s="2" t="n"/>
      <c r="X200" s="2" t="n"/>
      <c r="Y200" s="2" t="n"/>
      <c r="Z200" s="2" t="n"/>
      <c r="AA200" s="2" t="n"/>
      <c r="AB200" s="2" t="n"/>
      <c r="AC200" s="2" t="n"/>
    </row>
    <row r="201" ht="92" customHeight="1">
      <c r="A201" s="2" t="n"/>
      <c r="B201" s="27" t="inlineStr">
        <is>
          <t>Cutting board 530x325x15 mm, red PE</t>
        </is>
      </c>
      <c r="C201" s="27" t="inlineStr">
        <is>
          <t>Gastrozone</t>
        </is>
      </c>
      <c r="D201" s="27" t="inlineStr">
        <is>
          <t>Gastro Prkénko krájecí plastové 53x32,5x2 cm GN 1/1, s drážkou, červené</t>
        </is>
      </c>
      <c r="E201" s="27" t="inlineStr">
        <is>
          <t>Gastro</t>
        </is>
      </c>
      <c r="F201" s="28" t="inlineStr">
        <is>
          <t>https://www.gastrozone.cz/gastro-prkenko-krajeci-plastove-53x32-5x2-cm-gn-1-1-s-drazkou-cervene.html</t>
        </is>
      </c>
      <c r="G201" s="102" t="n">
        <v>1531</v>
      </c>
      <c r="H201" s="27" t="inlineStr">
        <is>
          <t>CZK</t>
        </is>
      </c>
      <c r="I201" s="27" t="inlineStr">
        <is>
          <t>incl.</t>
        </is>
      </c>
      <c r="J201" s="123" t="n">
        <v>0.21</v>
      </c>
      <c r="K201" s="117" t="n">
        <v>1</v>
      </c>
      <c r="L201" s="27" t="inlineStr">
        <is>
          <t>per piece</t>
        </is>
      </c>
      <c r="M201" s="38" t="inlineStr">
        <is>
          <t>=IF(OR(G133="",J133="",K133=""),"",ROUND(IF(I133="incl.",G133/(1+J133),G133)/IF(L133="per pack",K133,1),2))</t>
        </is>
      </c>
      <c r="N201" s="27" t="inlineStr">
        <is>
          <t>CLOSE</t>
        </is>
      </c>
      <c r="O201" s="27" t="inlineStr">
        <is>
          <t>1265.29 CZK bez DPH; red 530 x 325 mm but 20 mm thick (not 15) and with groove; material stated only as "Plast" (PE not confirmed)</t>
        </is>
      </c>
      <c r="P201" s="27" t="inlineStr">
        <is>
          <t>2026-09-30</t>
        </is>
      </c>
      <c r="Q201" s="38" t="inlineStr">
        <is>
          <t>=IFERROR(INDEX(Competitors!$N$2:$N$50,MATCH(C133,Competitors!$A$2:$A$50,0)),"no")</t>
        </is>
      </c>
      <c r="R201" s="38" t="inlineStr">
        <is>
          <t>=IF(AND(Q133="yes",OR(N133="EXACT",N133="CLOSE"),ISNUMBER(M133)),"yes","no")</t>
        </is>
      </c>
      <c r="S201" s="27" t="n"/>
      <c r="T201" s="27" t="n"/>
      <c r="U201" s="27" t="n"/>
      <c r="V201" s="2" t="n"/>
      <c r="W201" s="2" t="n"/>
      <c r="X201" s="2" t="n"/>
      <c r="Y201" s="2" t="n"/>
      <c r="Z201" s="2" t="n"/>
      <c r="AA201" s="2" t="n"/>
      <c r="AB201" s="2" t="n"/>
      <c r="AC201" s="2" t="n"/>
    </row>
    <row r="202" ht="92" customHeight="1">
      <c r="A202" s="2" t="n"/>
      <c r="B202" s="24" t="inlineStr">
        <is>
          <t>Cutting board 530x325x15 mm, red PE</t>
        </is>
      </c>
      <c r="C202" s="24" t="inlineStr">
        <is>
          <t>TOMGAST</t>
        </is>
      </c>
      <c r="D202" s="24" t="inlineStr">
        <is>
          <t>Deska 500 × 325 × 20 mm, červená</t>
        </is>
      </c>
      <c r="E202" s="24" t="inlineStr">
        <is>
          <t>TOMGAST</t>
        </is>
      </c>
      <c r="F202" s="25" t="inlineStr">
        <is>
          <t>https://www.tomgast.cz/deska-500--325--20-mm--cervena/</t>
        </is>
      </c>
      <c r="G202" s="98" t="n">
        <v>1016</v>
      </c>
      <c r="H202" s="24" t="inlineStr">
        <is>
          <t>CZK</t>
        </is>
      </c>
      <c r="I202" s="24" t="inlineStr">
        <is>
          <t>incl.</t>
        </is>
      </c>
      <c r="J202" s="122" t="n">
        <v>0.21</v>
      </c>
      <c r="K202" s="116" t="n">
        <v>1</v>
      </c>
      <c r="L202" s="24" t="inlineStr">
        <is>
          <t>per piece</t>
        </is>
      </c>
      <c r="M202" s="36" t="inlineStr">
        <is>
          <t>=IF(OR(G134="",J134="",K134=""),"",ROUND(IF(I134="incl.",G134/(1+J134),G134)/IF(L134="per pack",K134,1),2))</t>
        </is>
      </c>
      <c r="N202" s="24" t="inlineStr">
        <is>
          <t>APPROX</t>
        </is>
      </c>
      <c r="O202" s="24" t="inlineStr">
        <is>
          <t>Code 37-C; red PE but 500 x 325 x 20 mm, not 530 x 325 x 15; 840 CZK bez DPH. Red 500 x 300 x 15 with groove (38-C) is 835 CZK incl.</t>
        </is>
      </c>
      <c r="P202" s="24" t="inlineStr">
        <is>
          <t>2026-09-30</t>
        </is>
      </c>
      <c r="Q202" s="36" t="inlineStr">
        <is>
          <t>=IFERROR(INDEX(Competitors!$N$2:$N$50,MATCH(C134,Competitors!$A$2:$A$50,0)),"no")</t>
        </is>
      </c>
      <c r="R202" s="36" t="inlineStr">
        <is>
          <t>=IF(AND(Q134="yes",OR(N134="EXACT",N134="CLOSE"),ISNUMBER(M134)),"yes","no")</t>
        </is>
      </c>
      <c r="S202" s="24" t="n"/>
      <c r="T202" s="24" t="n"/>
      <c r="U202" s="24" t="n"/>
      <c r="V202" s="2" t="n"/>
      <c r="W202" s="2" t="n"/>
      <c r="X202" s="2" t="n"/>
      <c r="Y202" s="2" t="n"/>
      <c r="Z202" s="2" t="n"/>
      <c r="AA202" s="2" t="n"/>
      <c r="AB202" s="2" t="n"/>
      <c r="AC202" s="2" t="n"/>
    </row>
    <row r="203" ht="92" customHeight="1">
      <c r="A203" s="2" t="n"/>
      <c r="B203" s="27" t="inlineStr">
        <is>
          <t>GN 1/3 PP lid, standard</t>
        </is>
      </c>
      <c r="C203" s="27" t="inlineStr">
        <is>
          <t>GGM Gastro (CZ storefront)</t>
        </is>
      </c>
      <c r="D203" s="27" t="inlineStr">
        <is>
          <t>(6 kusů) CAMBRO CAMWEAR polypropylenový GN kryt 1/3 - vzduchotěsný - mléčný</t>
        </is>
      </c>
      <c r="E203" s="27" t="inlineStr">
        <is>
          <t>Cambro</t>
        </is>
      </c>
      <c r="F203" s="28" t="inlineStr">
        <is>
          <t>https://www.ggmgastro.com/cs-cz-czk/6-kusu-cambro-camwear-r-polypropylenovy-gn-kryt-1-3-vzduchotesny-mlecny-30ppcwsc190</t>
        </is>
      </c>
      <c r="G203" s="102" t="n">
        <v>437.86</v>
      </c>
      <c r="H203" s="27" t="inlineStr">
        <is>
          <t>CZK</t>
        </is>
      </c>
      <c r="I203" s="27" t="inlineStr">
        <is>
          <t>excl.</t>
        </is>
      </c>
      <c r="J203" s="123" t="n">
        <v>0.19</v>
      </c>
      <c r="K203" s="117" t="n">
        <v>6</v>
      </c>
      <c r="L203" s="27" t="inlineStr">
        <is>
          <t>per pack</t>
        </is>
      </c>
      <c r="M203" s="38" t="inlineStr">
        <is>
          <t>=IF(OR(G135="",J135="",K135=""),"",ROUND(IF(I135="incl.",G135/(1+J135),G135)/IF(L135="per pack",K135,1),2))</t>
        </is>
      </c>
      <c r="N203" s="27" t="inlineStr">
        <is>
          <t>EXACT</t>
        </is>
      </c>
      <c r="O203" s="27" t="inlineStr">
        <is>
          <t>Airtight PP lid</t>
        </is>
      </c>
      <c r="P203" s="27" t="inlineStr">
        <is>
          <t>2026-09-30</t>
        </is>
      </c>
      <c r="Q203" s="38" t="inlineStr">
        <is>
          <t>=IFERROR(INDEX(Competitors!$N$2:$N$50,MATCH(C135,Competitors!$A$2:$A$50,0)),"no")</t>
        </is>
      </c>
      <c r="R203" s="38" t="inlineStr">
        <is>
          <t>=IF(AND(Q135="yes",OR(N135="EXACT",N135="CLOSE"),ISNUMBER(M135)),"yes","no")</t>
        </is>
      </c>
      <c r="S203" s="27" t="n"/>
      <c r="T203" s="27" t="n"/>
      <c r="U203" s="27" t="n"/>
      <c r="V203" s="2" t="n"/>
      <c r="W203" s="2" t="n"/>
      <c r="X203" s="2" t="n"/>
      <c r="Y203" s="2" t="n"/>
      <c r="Z203" s="2" t="n"/>
      <c r="AA203" s="2" t="n"/>
      <c r="AB203" s="2" t="n"/>
      <c r="AC203" s="2" t="n"/>
    </row>
    <row r="204" ht="92" customHeight="1">
      <c r="A204" s="2" t="n"/>
      <c r="B204" s="24" t="inlineStr">
        <is>
          <t>GN 1/3 PP lid, standard</t>
        </is>
      </c>
      <c r="C204" s="24" t="inlineStr">
        <is>
          <t>Gastro Novotný</t>
        </is>
      </c>
      <c r="D204" s="24" t="inlineStr">
        <is>
          <t>Víko GN polypropylen 1/3 čiré</t>
        </is>
      </c>
      <c r="E204" s="24" t="n"/>
      <c r="F204" s="25" t="inlineStr">
        <is>
          <t>https://eshop.gastronovotny.cz/viko-gn-polypropylen-1-3-cire/</t>
        </is>
      </c>
      <c r="G204" s="98" t="n">
        <v>60</v>
      </c>
      <c r="H204" s="24" t="inlineStr">
        <is>
          <t>CZK</t>
        </is>
      </c>
      <c r="I204" s="24" t="inlineStr">
        <is>
          <t>excl.</t>
        </is>
      </c>
      <c r="J204" s="122" t="n">
        <v>0.21</v>
      </c>
      <c r="K204" s="116" t="n">
        <v>1</v>
      </c>
      <c r="L204" s="24" t="inlineStr">
        <is>
          <t>per piece</t>
        </is>
      </c>
      <c r="M204" s="36" t="inlineStr">
        <is>
          <t>=IF(OR(G136="",J136="",K136=""),"",ROUND(IF(I136="incl.",G136/(1+J136),G136)/IF(L136="per pack",K136,1),2))</t>
        </is>
      </c>
      <c r="N204" s="24" t="inlineStr">
        <is>
          <t>EXACT</t>
        </is>
      </c>
      <c r="O204" s="24" t="inlineStr">
        <is>
          <t>Code 1814727-99; PP lid, also in red/blue/green/yellow at the same price; 72.60 CZK incl. VAT</t>
        </is>
      </c>
      <c r="P204" s="24" t="inlineStr">
        <is>
          <t>2026-09-30</t>
        </is>
      </c>
      <c r="Q204" s="36" t="inlineStr">
        <is>
          <t>=IFERROR(INDEX(Competitors!$N$2:$N$50,MATCH(C136,Competitors!$A$2:$A$50,0)),"no")</t>
        </is>
      </c>
      <c r="R204" s="36" t="inlineStr">
        <is>
          <t>=IF(AND(Q136="yes",OR(N136="EXACT",N136="CLOSE"),ISNUMBER(M136)),"yes","no")</t>
        </is>
      </c>
      <c r="S204" s="24" t="n"/>
      <c r="T204" s="24" t="n"/>
      <c r="U204" s="24" t="n"/>
      <c r="V204" s="2" t="n"/>
      <c r="W204" s="2" t="n"/>
      <c r="X204" s="2" t="n"/>
      <c r="Y204" s="2" t="n"/>
      <c r="Z204" s="2" t="n"/>
      <c r="AA204" s="2" t="n"/>
      <c r="AB204" s="2" t="n"/>
      <c r="AC204" s="2" t="n"/>
    </row>
    <row r="205" ht="92" customHeight="1">
      <c r="A205" s="2" t="n"/>
      <c r="B205" s="27" t="inlineStr">
        <is>
          <t>GN 1/3 PP lid, standard</t>
        </is>
      </c>
      <c r="C205" s="27" t="inlineStr">
        <is>
          <t>Gastromania</t>
        </is>
      </c>
      <c r="D205" s="27" t="inlineStr">
        <is>
          <t>Víko z polypropylenu pro nádoby, GN 1/3 | STALGAST, Bufet</t>
        </is>
      </c>
      <c r="E205" s="27" t="inlineStr">
        <is>
          <t>Stalgast</t>
        </is>
      </c>
      <c r="F205" s="28" t="inlineStr">
        <is>
          <t>https://www.gastromania.cz/vika-gn-polypropylenove/viko-z-polypropylenu-pro-nadoby-gn-1-3-stalgast-bufet</t>
        </is>
      </c>
      <c r="G205" s="102" t="n">
        <v>57</v>
      </c>
      <c r="H205" s="27" t="inlineStr">
        <is>
          <t>CZK</t>
        </is>
      </c>
      <c r="I205" s="27" t="inlineStr">
        <is>
          <t>incl.</t>
        </is>
      </c>
      <c r="J205" s="123" t="n">
        <v>0.21</v>
      </c>
      <c r="K205" s="117" t="n">
        <v>1</v>
      </c>
      <c r="L205" s="27" t="inlineStr">
        <is>
          <t>per piece</t>
        </is>
      </c>
      <c r="M205" s="38" t="inlineStr">
        <is>
          <t>=IF(OR(G137="",J137="",K137=""),"",ROUND(IF(I137="incl.",G137/(1+J137),G137)/IF(L137="per pack",K137,1),2))</t>
        </is>
      </c>
      <c r="N205" s="27" t="inlineStr">
        <is>
          <t>EXACT</t>
        </is>
      </c>
      <c r="O205" s="27" t="inlineStr">
        <is>
          <t>APS 61, Redfox 71 CZK; price incl. 21% VAT as published in product data (current price, in stock)</t>
        </is>
      </c>
      <c r="P205" s="27" t="inlineStr">
        <is>
          <t>2026-09-30</t>
        </is>
      </c>
      <c r="Q205" s="38" t="inlineStr">
        <is>
          <t>=IFERROR(INDEX(Competitors!$N$2:$N$50,MATCH(C137,Competitors!$A$2:$A$50,0)),"no")</t>
        </is>
      </c>
      <c r="R205" s="38" t="inlineStr">
        <is>
          <t>=IF(AND(Q137="yes",OR(N137="EXACT",N137="CLOSE"),ISNUMBER(M137)),"yes","no")</t>
        </is>
      </c>
      <c r="S205" s="27" t="n"/>
      <c r="T205" s="27" t="n"/>
      <c r="U205" s="27" t="n"/>
      <c r="V205" s="2" t="n"/>
      <c r="W205" s="2" t="n"/>
      <c r="X205" s="2" t="n"/>
      <c r="Y205" s="2" t="n"/>
      <c r="Z205" s="2" t="n"/>
      <c r="AA205" s="2" t="n"/>
      <c r="AB205" s="2" t="n"/>
      <c r="AC205" s="2" t="n"/>
    </row>
    <row r="206" ht="92" customHeight="1">
      <c r="A206" s="2" t="n"/>
      <c r="B206" s="24" t="inlineStr">
        <is>
          <t>GN 1/3 PP lid, standard</t>
        </is>
      </c>
      <c r="C206" s="24" t="inlineStr">
        <is>
          <t>Gastrozone</t>
        </is>
      </c>
      <c r="D206" s="24" t="inlineStr">
        <is>
          <t>víko na gastro nádobu GN 1/3 polypropylen Pujadas</t>
        </is>
      </c>
      <c r="E206" s="24" t="inlineStr">
        <is>
          <t>Pujadas</t>
        </is>
      </c>
      <c r="F206" s="25" t="inlineStr">
        <is>
          <t>https://www.gastrozone.cz/viko-na-gastro-nadobu-gn-1-3-polypropylen-pujadas.html</t>
        </is>
      </c>
      <c r="G206" s="98" t="n">
        <v>181</v>
      </c>
      <c r="H206" s="24" t="inlineStr">
        <is>
          <t>CZK</t>
        </is>
      </c>
      <c r="I206" s="24" t="inlineStr">
        <is>
          <t>incl.</t>
        </is>
      </c>
      <c r="J206" s="122" t="n">
        <v>0.21</v>
      </c>
      <c r="K206" s="116" t="n">
        <v>1</v>
      </c>
      <c r="L206" s="24" t="inlineStr">
        <is>
          <t>per piece</t>
        </is>
      </c>
      <c r="M206" s="36" t="inlineStr">
        <is>
          <t>=IF(OR(G138="",J138="",K138=""),"",ROUND(IF(I138="incl.",G138/(1+J138),G138)/IF(L138="per pack",K138,1),2))</t>
        </is>
      </c>
      <c r="N206" s="24" t="inlineStr">
        <is>
          <t>EXACT</t>
        </is>
      </c>
      <c r="O206" s="24" t="inlineStr">
        <is>
          <t>149.59 CZK bez DPH; plain PP lid; Araven hermetic PP lid 216 CZK</t>
        </is>
      </c>
      <c r="P206" s="24" t="inlineStr">
        <is>
          <t>2026-09-30</t>
        </is>
      </c>
      <c r="Q206" s="36" t="inlineStr">
        <is>
          <t>=IFERROR(INDEX(Competitors!$N$2:$N$50,MATCH(C138,Competitors!$A$2:$A$50,0)),"no")</t>
        </is>
      </c>
      <c r="R206" s="36" t="inlineStr">
        <is>
          <t>=IF(AND(Q138="yes",OR(N138="EXACT",N138="CLOSE"),ISNUMBER(M138)),"yes","no")</t>
        </is>
      </c>
      <c r="S206" s="24" t="n"/>
      <c r="T206" s="24" t="n"/>
      <c r="U206" s="24" t="n"/>
      <c r="V206" s="2" t="n"/>
      <c r="W206" s="2" t="n"/>
      <c r="X206" s="2" t="n"/>
      <c r="Y206" s="2" t="n"/>
      <c r="Z206" s="2" t="n"/>
      <c r="AA206" s="2" t="n"/>
      <c r="AB206" s="2" t="n"/>
      <c r="AC206" s="2" t="n"/>
    </row>
    <row r="207" ht="92" customHeight="1">
      <c r="A207" s="2" t="n"/>
      <c r="B207" s="27" t="inlineStr">
        <is>
          <t>GN 1/3 PP lid, standard</t>
        </is>
      </c>
      <c r="C207" s="27" t="inlineStr">
        <is>
          <t>TOMGAST</t>
        </is>
      </c>
      <c r="D207" s="27" t="inlineStr">
        <is>
          <t>Víko těsnicí ke gastronádobě 1/3 325 × 176 mm</t>
        </is>
      </c>
      <c r="E207" s="27" t="inlineStr">
        <is>
          <t>Cambro</t>
        </is>
      </c>
      <c r="F207" s="28" t="inlineStr">
        <is>
          <t>https://www.tomgast.cz/viko-tesnici-ke-gastronadobe-1-3-325--176-mm/</t>
        </is>
      </c>
      <c r="G207" s="102" t="n">
        <v>97</v>
      </c>
      <c r="H207" s="27" t="inlineStr">
        <is>
          <t>CZK</t>
        </is>
      </c>
      <c r="I207" s="27" t="inlineStr">
        <is>
          <t>incl.</t>
        </is>
      </c>
      <c r="J207" s="123" t="n">
        <v>0.21</v>
      </c>
      <c r="K207" s="117" t="n">
        <v>1</v>
      </c>
      <c r="L207" s="27" t="inlineStr">
        <is>
          <t>per piece</t>
        </is>
      </c>
      <c r="M207" s="38" t="inlineStr">
        <is>
          <t>=IF(OR(G139="",J139="",K139=""),"",ROUND(IF(I139="incl.",G139/(1+J139),G139)/IF(L139="per pack",K139,1),2))</t>
        </is>
      </c>
      <c r="N207" s="27" t="inlineStr">
        <is>
          <t>CLOSE</t>
        </is>
      </c>
      <c r="O207" s="27" t="inlineStr">
        <is>
          <t>Code R-MP13001; material polypropylen, but a seal cover rather than a standard flat lid; 80 CZK bez DPH</t>
        </is>
      </c>
      <c r="P207" s="27" t="inlineStr">
        <is>
          <t>2026-09-30</t>
        </is>
      </c>
      <c r="Q207" s="38" t="inlineStr">
        <is>
          <t>=IFERROR(INDEX(Competitors!$N$2:$N$50,MATCH(C139,Competitors!$A$2:$A$50,0)),"no")</t>
        </is>
      </c>
      <c r="R207" s="38" t="inlineStr">
        <is>
          <t>=IF(AND(Q139="yes",OR(N139="EXACT",N139="CLOSE"),ISNUMBER(M139)),"yes","no")</t>
        </is>
      </c>
      <c r="S207" s="27" t="n"/>
      <c r="T207" s="27" t="n"/>
      <c r="U207" s="27" t="n"/>
      <c r="V207" s="2" t="n"/>
      <c r="W207" s="2" t="n"/>
      <c r="X207" s="2" t="n"/>
      <c r="Y207" s="2" t="n"/>
      <c r="Z207" s="2" t="n"/>
      <c r="AA207" s="2" t="n"/>
      <c r="AB207" s="2" t="n"/>
      <c r="AC207" s="2" t="n"/>
    </row>
    <row r="208" ht="92" customHeight="1">
      <c r="A208" s="2" t="n"/>
      <c r="B208" s="24" t="inlineStr">
        <is>
          <t>Squeeze bottle 750 ml, PP/PE, wide covered tip</t>
        </is>
      </c>
      <c r="C208" s="24" t="inlineStr">
        <is>
          <t>Gastrozone</t>
        </is>
      </c>
      <c r="D208" s="24" t="inlineStr">
        <is>
          <t>APS Láhev mačkací, Obsah: 0,70 litru, s uzavírací krytkou</t>
        </is>
      </c>
      <c r="E208" s="24" t="inlineStr">
        <is>
          <t>APS</t>
        </is>
      </c>
      <c r="F208" s="25" t="inlineStr">
        <is>
          <t>https://www.gastrozone.cz/aps-kompresni-lahev-obsah-0-70-litru-vyska-240-mm-prumer-70-mm.html</t>
        </is>
      </c>
      <c r="G208" s="98" t="n">
        <v>98</v>
      </c>
      <c r="H208" s="24" t="inlineStr">
        <is>
          <t>CZK</t>
        </is>
      </c>
      <c r="I208" s="24" t="inlineStr">
        <is>
          <t>incl.</t>
        </is>
      </c>
      <c r="J208" s="122" t="n">
        <v>0.21</v>
      </c>
      <c r="K208" s="116" t="n">
        <v>1</v>
      </c>
      <c r="L208" s="24" t="inlineStr">
        <is>
          <t>per piece</t>
        </is>
      </c>
      <c r="M208" s="36" t="inlineStr">
        <is>
          <t>=IF(OR(G140="",J140="",K140=""),"",ROUND(IF(I140="incl.",G140/(1+J140),G140)/IF(L140="per pack",K140,1),2))</t>
        </is>
      </c>
      <c r="N208" s="24" t="inlineStr">
        <is>
          <t>CLOSE</t>
        </is>
      </c>
      <c r="O208" s="24" t="inlineStr">
        <is>
          <t>80.99 CZK bez DPH; 700 ml PE squeeze bottle with closing cap over the tip (interpreted as covered tip); not 750 ml</t>
        </is>
      </c>
      <c r="P208" s="24" t="inlineStr">
        <is>
          <t>2026-09-30</t>
        </is>
      </c>
      <c r="Q208" s="36" t="inlineStr">
        <is>
          <t>=IFERROR(INDEX(Competitors!$N$2:$N$50,MATCH(C140,Competitors!$A$2:$A$50,0)),"no")</t>
        </is>
      </c>
      <c r="R208" s="36" t="inlineStr">
        <is>
          <t>=IF(AND(Q140="yes",OR(N140="EXACT",N140="CLOSE"),ISNUMBER(M140)),"yes","no")</t>
        </is>
      </c>
      <c r="S208" s="24" t="n"/>
      <c r="T208" s="24" t="n"/>
      <c r="U208" s="24" t="n"/>
      <c r="V208" s="2" t="n"/>
      <c r="W208" s="2" t="n"/>
      <c r="X208" s="2" t="n"/>
      <c r="Y208" s="2" t="n"/>
      <c r="Z208" s="2" t="n"/>
      <c r="AA208" s="2" t="n"/>
      <c r="AB208" s="2" t="n"/>
      <c r="AC208" s="2" t="n"/>
    </row>
    <row r="209" ht="92" customHeight="1">
      <c r="A209" s="2" t="n"/>
      <c r="B209" s="27" t="inlineStr">
        <is>
          <t>Cutting board 300x200x20 mm, red PE</t>
        </is>
      </c>
      <c r="C209" s="27" t="inlineStr">
        <is>
          <t>TOMGAST</t>
        </is>
      </c>
      <c r="D209" s="27" t="inlineStr">
        <is>
          <t>Deska krájecí 20 × 30 × 1,2 cm</t>
        </is>
      </c>
      <c r="E209" s="27" t="inlineStr">
        <is>
          <t>TOMGAST</t>
        </is>
      </c>
      <c r="F209" s="28" t="inlineStr">
        <is>
          <t>https://www.tomgast.cz/deska-krajeci-20--30--1-2-cm/</t>
        </is>
      </c>
      <c r="G209" s="102" t="n">
        <v>115</v>
      </c>
      <c r="H209" s="27" t="inlineStr">
        <is>
          <t>CZK</t>
        </is>
      </c>
      <c r="I209" s="27" t="inlineStr">
        <is>
          <t>incl.</t>
        </is>
      </c>
      <c r="J209" s="123" t="n">
        <v>0.21</v>
      </c>
      <c r="K209" s="117" t="n">
        <v>1</v>
      </c>
      <c r="L209" s="27" t="inlineStr">
        <is>
          <t>per piece</t>
        </is>
      </c>
      <c r="M209" s="38" t="inlineStr">
        <is>
          <t>=IF(OR(G141="",J141="",K141=""),"",ROUND(IF(I141="incl.",G141/(1+J141),G141)/IF(L141="per pack",K141,1),2))</t>
        </is>
      </c>
      <c r="N209" s="27" t="inlineStr">
        <is>
          <t>APPROX</t>
        </is>
      </c>
      <c r="O209" s="27" t="inlineStr">
        <is>
          <t>PE 300 x 200 mm but 12 mm thick and white only (no red 300 x 200 x 20 listed); 95 CZK bez DPH</t>
        </is>
      </c>
      <c r="P209" s="27" t="inlineStr">
        <is>
          <t>2026-09-30</t>
        </is>
      </c>
      <c r="Q209" s="38" t="inlineStr">
        <is>
          <t>=IFERROR(INDEX(Competitors!$N$2:$N$50,MATCH(C141,Competitors!$A$2:$A$50,0)),"no")</t>
        </is>
      </c>
      <c r="R209" s="38" t="inlineStr">
        <is>
          <t>=IF(AND(Q141="yes",OR(N141="EXACT",N141="CLOSE"),ISNUMBER(M141)),"yes","no")</t>
        </is>
      </c>
      <c r="S209" s="27" t="n"/>
      <c r="T209" s="27" t="n"/>
      <c r="U209" s="27" t="n"/>
      <c r="V209" s="2" t="n"/>
      <c r="W209" s="2" t="n"/>
      <c r="X209" s="2" t="n"/>
      <c r="Y209" s="2" t="n"/>
      <c r="Z209" s="2" t="n"/>
      <c r="AA209" s="2" t="n"/>
      <c r="AB209" s="2" t="n"/>
      <c r="AC209" s="2" t="n"/>
    </row>
    <row r="210" ht="92" customHeight="1">
      <c r="A210" s="2" t="n"/>
      <c r="B210" s="24" t="inlineStr">
        <is>
          <t>Dough box 400x300x100 mm, PP, without lid</t>
        </is>
      </c>
      <c r="C210" s="24" t="inlineStr">
        <is>
          <t>Gastromania</t>
        </is>
      </c>
      <c r="D210" s="24" t="inlineStr">
        <is>
          <t>Nádoba na pizza těsto 400x300x100 mm | STALGAST, 563411</t>
        </is>
      </c>
      <c r="E210" s="24" t="inlineStr">
        <is>
          <t>Stalgast</t>
        </is>
      </c>
      <c r="F210" s="25" t="inlineStr">
        <is>
          <t>https://www.gastromania.cz/kose-na-pizza-testo/nadoba-na-pizza-testo-400x300x100-mm-stalgast-563411</t>
        </is>
      </c>
      <c r="G210" s="98" t="n">
        <v>336</v>
      </c>
      <c r="H210" s="24" t="inlineStr">
        <is>
          <t>CZK</t>
        </is>
      </c>
      <c r="I210" s="24" t="inlineStr">
        <is>
          <t>incl.</t>
        </is>
      </c>
      <c r="J210" s="122" t="n">
        <v>0.21</v>
      </c>
      <c r="K210" s="116" t="n">
        <v>1</v>
      </c>
      <c r="L210" s="24" t="inlineStr">
        <is>
          <t>per piece</t>
        </is>
      </c>
      <c r="M210" s="36" t="inlineStr">
        <is>
          <t>=IF(OR(G142="",J142="",K142=""),"",ROUND(IF(I142="incl.",G142/(1+J142),G142)/IF(L142="per pack",K142,1),2))</t>
        </is>
      </c>
      <c r="N210" s="24" t="inlineStr">
        <is>
          <t>CLOSE</t>
        </is>
      </c>
      <c r="O210" s="24" t="inlineStr">
        <is>
          <t>400 x 300 x 100 mm but polyethylene (not PP); 278 CZK bez DPH; price incl. 21% VAT as published in product data (current price, in stock)</t>
        </is>
      </c>
      <c r="P210" s="24" t="inlineStr">
        <is>
          <t>2026-09-30</t>
        </is>
      </c>
      <c r="Q210" s="36" t="inlineStr">
        <is>
          <t>=IFERROR(INDEX(Competitors!$N$2:$N$50,MATCH(C142,Competitors!$A$2:$A$50,0)),"no")</t>
        </is>
      </c>
      <c r="R210" s="36" t="inlineStr">
        <is>
          <t>=IF(AND(Q142="yes",OR(N142="EXACT",N142="CLOSE"),ISNUMBER(M142)),"yes","no")</t>
        </is>
      </c>
      <c r="S210" s="24" t="n"/>
      <c r="T210" s="24" t="n"/>
      <c r="U210" s="24" t="n"/>
      <c r="V210" s="2" t="n"/>
      <c r="W210" s="2" t="n"/>
      <c r="X210" s="2" t="n"/>
      <c r="Y210" s="2" t="n"/>
      <c r="Z210" s="2" t="n"/>
      <c r="AA210" s="2" t="n"/>
      <c r="AB210" s="2" t="n"/>
      <c r="AC210" s="2" t="n"/>
    </row>
    <row r="211" ht="31"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row>
    <row r="212" ht="31"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row>
    <row r="213" ht="31"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row>
    <row r="214" ht="31" customHeight="1">
      <c r="A214" s="2" t="n"/>
      <c r="B214" s="7" t="inlineStr">
        <is>
          <t>Additional variants · Competitors</t>
        </is>
      </c>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row>
    <row r="215" ht="36" customHeight="1">
      <c r="A215" s="2" t="n"/>
      <c r="B215" s="16" t="inlineStr">
        <is>
          <t>Name</t>
        </is>
      </c>
      <c r="C215" s="17" t="inlineStr">
        <is>
          <t>URL</t>
        </is>
      </c>
      <c r="D215" s="17" t="inlineStr">
        <is>
          <t>Type (local / pan-EU / marketplace)</t>
        </is>
      </c>
      <c r="E215" s="17" t="inlineStr">
        <is>
          <t>B2B / B2C focus</t>
        </is>
      </c>
      <c r="F215" s="17" t="inlineStr">
        <is>
          <t>Prices shown incl./excl. VAT</t>
        </is>
      </c>
      <c r="G215" s="17" t="inlineStr">
        <is>
          <t>Shipping to Czechia</t>
        </is>
      </c>
      <c r="H215" s="17" t="inlineStr">
        <is>
          <t>Shipping to Austria (business address)</t>
        </is>
      </c>
      <c r="I215" s="17" t="inlineStr">
        <is>
          <t>Shipping VAT treatment</t>
        </is>
      </c>
      <c r="J215" s="17" t="inlineStr">
        <is>
          <t>Free-shipping threshold</t>
        </is>
      </c>
      <c r="K215" s="17" t="inlineStr">
        <is>
          <t>Minimum order value</t>
        </is>
      </c>
      <c r="L215" s="17" t="inlineStr">
        <is>
          <t>Shipping / terms source URL(s)</t>
        </is>
      </c>
      <c r="M215" s="17" t="inlineStr">
        <is>
          <t>Counted (yes/no)</t>
        </is>
      </c>
      <c r="N215" s="17" t="inlineStr">
        <is>
          <t>Notes</t>
        </is>
      </c>
      <c r="O215" s="18" t="inlineStr">
        <is>
          <t>Counted (yes/no) (saved value)</t>
        </is>
      </c>
      <c r="P215" s="2" t="n"/>
      <c r="Q215" s="2" t="n"/>
      <c r="R215" s="2" t="n"/>
      <c r="S215" s="2" t="n"/>
      <c r="T215" s="2" t="n"/>
      <c r="U215" s="2" t="n"/>
      <c r="V215" s="2" t="n"/>
      <c r="W215" s="2" t="n"/>
      <c r="X215" s="2" t="n"/>
      <c r="Y215" s="2" t="n"/>
      <c r="Z215" s="2" t="n"/>
      <c r="AA215" s="2" t="n"/>
      <c r="AB215" s="2" t="n"/>
      <c r="AC215" s="2" t="n"/>
    </row>
    <row r="216" ht="162" customHeight="1">
      <c r="A216" s="2" t="n"/>
      <c r="B216" s="24" t="inlineStr">
        <is>
          <t>TOMGAST</t>
        </is>
      </c>
      <c r="C216" s="25" t="inlineStr">
        <is>
          <t>https://www.tomgast.cz/</t>
        </is>
      </c>
      <c r="D216" s="24" t="inlineStr">
        <is>
          <t>local</t>
        </is>
      </c>
      <c r="E216" s="24" t="inlineStr">
        <is>
          <t>B2B + B2C (HORECA specialist; sells to consumers and businesses)</t>
        </is>
      </c>
      <c r="F216" s="24" t="inlineStr">
        <is>
          <t>Both shown: incl. 21% VAT as main price, "bez DPH" (excl. VAT) shown alongside</t>
        </is>
      </c>
      <c r="G216" s="24" t="inlineStr">
        <is>
          <t>GLS 149 CZK or PPL to address 149 CZK; personal pick-up Karviná free; cash on delivery +39 CZK</t>
        </is>
      </c>
      <c r="H216" s="24" t="inlineStr">
        <is>
          <t>Not offered: checkout country list contains only Czech Republic and Slovakia (checked in cart 2026-09-30). No Austrian shipping rate published.</t>
        </is>
      </c>
      <c r="I216" s="24" t="inlineStr">
        <is>
          <t>Shipping incl. 21% VAT (checkout: 1,440 CZK item + 149 CZK shipping = 1,589 CZK total, 1,313.22 CZK excl. VAT)</t>
        </is>
      </c>
      <c r="J216" s="24" t="inlineStr">
        <is>
          <t>Over 6,000 CZK (shipping page says "nad 6 000 Kč"; site header says "Objednávky nad 6 000 Kč bez DPH doručíme zdarma" i.e. 6,000 CZK excl. VAT)</t>
        </is>
      </c>
      <c r="K216" s="24" t="inlineStr">
        <is>
          <t>Not stated</t>
        </is>
      </c>
      <c r="L216" s="25" t="inlineStr">
        <is>
          <t>https://www.tomgast.cz/doprava-a-platba/ ; https://www.tomgast.cz/obchodni-podminky/ ; checkout https://www.tomgast.cz/objednavka/krok-1/</t>
        </is>
      </c>
      <c r="M216" s="36" t="inlineStr">
        <is>
          <t>=IF(L2&gt;=6,"yes","no")</t>
        </is>
      </c>
      <c r="N216" s="24" t="inlineStr">
        <is>
          <t>Karviná-based HORECA wholesaler (TOMGAST Czech Republic s.r.o.), large Cambro range. Prices public without login. Stock status shown per item; some chosen items are "Očekáváme naskladnění" (awaiting stock).</t>
        </is>
      </c>
      <c r="O216" s="24" t="n"/>
      <c r="P216" s="2" t="n"/>
      <c r="Q216" s="2" t="n"/>
      <c r="R216" s="2" t="n"/>
      <c r="S216" s="2" t="n"/>
      <c r="T216" s="2" t="n"/>
      <c r="U216" s="2" t="n"/>
      <c r="V216" s="2" t="n"/>
      <c r="W216" s="2" t="n"/>
      <c r="X216" s="2" t="n"/>
      <c r="Y216" s="2" t="n"/>
      <c r="Z216" s="2" t="n"/>
      <c r="AA216" s="2" t="n"/>
      <c r="AB216" s="2" t="n"/>
      <c r="AC216" s="2" t="n"/>
    </row>
    <row r="217" ht="246" customHeight="1">
      <c r="A217" s="2" t="n"/>
      <c r="B217" s="27" t="inlineStr">
        <is>
          <t>Gastro Novotný</t>
        </is>
      </c>
      <c r="C217" s="28" t="inlineStr">
        <is>
          <t>https://eshop.gastronovotny.cz/</t>
        </is>
      </c>
      <c r="D217" s="27" t="inlineStr">
        <is>
          <t>local</t>
        </is>
      </c>
      <c r="E217" s="27" t="inlineStr">
        <is>
          <t>B2B-oriented wholesale ("Velkoobchod s gastro vybavením"), also sells to consumers (consumer withdrawal rights in T&amp;C)</t>
        </is>
      </c>
      <c r="F217" s="27" t="inlineStr">
        <is>
          <t>Main price excl. VAT; "včetně DPH" (incl. 21% VAT) shown alongside</t>
        </is>
      </c>
      <c r="G217" s="27" t="inlineStr">
        <is>
          <t>Checkout options: PPL up to 20 kg 275 CZK; TopTrans (large/atypical items) 990 CZK; personal pick-up Brno free; cash on delivery +45 CZK</t>
        </is>
      </c>
      <c r="H217" s="27" t="inlineStr">
        <is>
          <t>Not offered: checkout step 2 offers only "Česká republika" as billing/delivery country (checked 2026-09-30). No Austrian rate published.</t>
        </is>
      </c>
      <c r="I217" s="27" t="inlineStr">
        <is>
          <t>Shipping prices shown excl. VAT (PPL 275 CZK = 332.75 CZK incl. VAT in checkout)</t>
        </is>
      </c>
      <c r="J217" s="27" t="inlineStr">
        <is>
          <t>No general free-shipping threshold published; some individual products (e.g. Liebherr appliances) flagged "Doprava ZDARMA"</t>
        </is>
      </c>
      <c r="K217" s="27" t="inlineStr">
        <is>
          <t>500 CZK excl. VAT (cart: "Minimální cena objednávky je 500 Kč bez DPH")</t>
        </is>
      </c>
      <c r="L217" s="28" t="inlineStr">
        <is>
          <t>https://eshop.gastronovotny.cz/obchodni-podminky/ ; checkout https://eshop.gastronovotny.cz/objednavka/krok-1/</t>
        </is>
      </c>
      <c r="M217" s="38" t="inlineStr">
        <is>
          <t>=IF(L3&gt;=6,"yes","no")</t>
        </is>
      </c>
      <c r="N217" s="27" t="inlineStr">
        <is>
          <t>GASTRO NOVOTNÝ, družstvo, Brno. Prices public without login. Many items show availability "Na dotaz" (availability on request) while the price is displayed - recorded as listed prices; noted per item. No squeeze bottle near 1,000 ml, no triple-tip bottle, no pump dispenser, no 300 x 200 board, no dough-box lid, no thermo tray found.</t>
        </is>
      </c>
      <c r="O217" s="27" t="n"/>
      <c r="P217" s="2" t="n"/>
      <c r="Q217" s="2" t="n"/>
      <c r="R217" s="2" t="n"/>
      <c r="S217" s="2" t="n"/>
      <c r="T217" s="2" t="n"/>
      <c r="U217" s="2" t="n"/>
      <c r="V217" s="2" t="n"/>
      <c r="W217" s="2" t="n"/>
      <c r="X217" s="2" t="n"/>
      <c r="Y217" s="2" t="n"/>
      <c r="Z217" s="2" t="n"/>
      <c r="AA217" s="2" t="n"/>
      <c r="AB217" s="2" t="n"/>
      <c r="AC217" s="2" t="n"/>
    </row>
    <row r="218" ht="218" customHeight="1">
      <c r="A218" s="2" t="n"/>
      <c r="B218" s="24" t="inlineStr">
        <is>
          <t>Gastrozone</t>
        </is>
      </c>
      <c r="C218" s="25" t="inlineStr">
        <is>
          <t>https://www.gastrozone.cz/</t>
        </is>
      </c>
      <c r="D218" s="24" t="inlineStr">
        <is>
          <t>local</t>
        </is>
      </c>
      <c r="E218" s="24" t="inlineStr">
        <is>
          <t>B2C + B2B (gastro and household range; published T&amp;C are written for consumers and state they do not apply to business buyers)</t>
        </is>
      </c>
      <c r="F218" s="24" t="inlineStr">
        <is>
          <t>Main price incl. 21% VAT; "bez DPH" (excl. VAT) shown below on product pages</t>
        </is>
      </c>
      <c r="G218" s="24" t="inlineStr">
        <is>
          <t>Address delivery (DPD/GLS/PPL, carrier chosen by shop) 95 CZK; pick-up points 49-79 CZK (GLS ParcelShop 49, Balíkovna 59, Zásilkovna 65, PPL Smart 69, DPD Pickup 79); cash on delivery +35 CZK approx.; pick-up Tábor warehouse free. Bulky goods: special transport agreed individually.</t>
        </is>
      </c>
      <c r="H218" s="24" t="inlineStr">
        <is>
          <t>No published rate: "Doprava do zahraničí" - price set individually from carriers' tariffs and quoted on request before order confirmation; invoiced under destination-country VAT rules. Quote required.</t>
        </is>
      </c>
      <c r="I218" s="24" t="inlineStr">
        <is>
          <t>Shipping prices shown incl. VAT ("s DPH")</t>
        </is>
      </c>
      <c r="J218" s="24" t="inlineStr">
        <is>
          <t>All CZ delivery and pick-up options free for orders over 3,000 CZK incl. VAT (CZ only)</t>
        </is>
      </c>
      <c r="K218" s="24" t="inlineStr">
        <is>
          <t>Not stated</t>
        </is>
      </c>
      <c r="L218" s="25" t="inlineStr">
        <is>
          <t>https://www.gastrozone.cz/informace/doprava-a-platba/ ; https://www.gastrozone.cz/informace/obchodni-podminky/</t>
        </is>
      </c>
      <c r="M218" s="36" t="inlineStr">
        <is>
          <t>=IF(L4&gt;=6,"yes","no")</t>
        </is>
      </c>
      <c r="N218" s="24" t="inlineStr">
        <is>
          <t>GASTROZONE, spol. s r.o., Tábor. Broad multi-brand range (Araven, APS, Pujadas, Cambro, Hendi, Schneider, Contacto). Prices public without login. Several chosen items are "Na objednávku (3-5 týdnů)" (to order); noted per item.</t>
        </is>
      </c>
      <c r="O218" s="24" t="n"/>
      <c r="P218" s="2" t="n"/>
      <c r="Q218" s="2" t="n"/>
      <c r="R218" s="2" t="n"/>
      <c r="S218" s="2" t="n"/>
      <c r="T218" s="2" t="n"/>
      <c r="U218" s="2" t="n"/>
      <c r="V218" s="2" t="n"/>
      <c r="W218" s="2" t="n"/>
      <c r="X218" s="2" t="n"/>
      <c r="Y218" s="2" t="n"/>
      <c r="Z218" s="2" t="n"/>
      <c r="AA218" s="2" t="n"/>
      <c r="AB218" s="2" t="n"/>
      <c r="AC218" s="2" t="n"/>
    </row>
    <row r="219" ht="288" customHeight="1">
      <c r="A219" s="2" t="n"/>
      <c r="B219" s="27" t="inlineStr">
        <is>
          <t>Gastromania</t>
        </is>
      </c>
      <c r="C219" s="28" t="inlineStr">
        <is>
          <t>https://www.gastromania.cz/</t>
        </is>
      </c>
      <c r="D219" s="27" t="inlineStr">
        <is>
          <t>local</t>
        </is>
      </c>
      <c r="E219" s="27" t="inlineStr">
        <is>
          <t>B2B + B2C (HORECA equipment "velkoobchod"; consumer T&amp;C; separate B2B reseller programme)</t>
        </is>
      </c>
      <c r="F219" s="27" t="inlineStr">
        <is>
          <t>Both shown: "bez DPH" (excl.) and "s DPH" (incl. 21% VAT); prices injected by JavaScript (read with a rendering browser)</t>
        </is>
      </c>
      <c r="G219" s="27" t="inlineStr">
        <is>
          <t>PPL: 109 CZK with bank transfer/online payment, 169 CZK cash on delivery (parcels up to 31.5 kg, max 60x60x120 cm); oversize, &gt;31.5 kg or pallet shipments priced individually at order confirmation</t>
        </is>
      </c>
      <c r="H219" s="27" t="inlineStr">
        <is>
          <t>Not published: T&amp;C state that published delivery costs apply only to delivery within the Czech Republic; no Austrian rate or foreign-delivery terms found (quote would be needed).</t>
        </is>
      </c>
      <c r="I219" s="27" t="inlineStr">
        <is>
          <t>Shipping VAT treatment not stated explicitly for the 109/169 CZK fees (free-shipping threshold is stated incl. VAT)</t>
        </is>
      </c>
      <c r="J219" s="27" t="inlineStr">
        <is>
          <t>Over 7,000 CZK incl. VAT ("Při nákupu nad 7000 Kč s DPH je doprava zdarma")</t>
        </is>
      </c>
      <c r="K219" s="27" t="inlineStr">
        <is>
          <t>Not stated (20% deposit required for orders over 10,000 CZK incl. VAT and made-to-order goods)</t>
        </is>
      </c>
      <c r="L219" s="28" t="inlineStr">
        <is>
          <t>https://www.gastromania.cz/zpusoby-dopravy.html ; https://www.gastromania.cz/obchodni-podminky.html</t>
        </is>
      </c>
      <c r="M219" s="38" t="inlineStr">
        <is>
          <t>=IF(L5&gt;=6,"yes","no")</t>
        </is>
      </c>
      <c r="N219" s="27" t="inlineStr">
        <is>
          <t>Ostrava-area HORECA shop with CZ/SK storefronts. Multi-brand (Hendi, Contacto, Stalgast, APS, Redfox, Cambro, Yato) and also lists TOMGAST-branded items at identical prices to tomgast.cz. Many items show a crossed-out base price with a current discounted price; the current price for 1 pc is recorded and discounts noted. Where several variants match equally, the lowest current price was taken.</t>
        </is>
      </c>
      <c r="O219" s="27" t="n"/>
      <c r="P219" s="2" t="n"/>
      <c r="Q219" s="2" t="n"/>
      <c r="R219" s="2" t="n"/>
      <c r="S219" s="2" t="n"/>
      <c r="T219" s="2" t="n"/>
      <c r="U219" s="2" t="n"/>
      <c r="V219" s="2" t="n"/>
      <c r="W219" s="2" t="n"/>
      <c r="X219" s="2" t="n"/>
      <c r="Y219" s="2" t="n"/>
      <c r="Z219" s="2" t="n"/>
      <c r="AA219" s="2" t="n"/>
      <c r="AB219" s="2" t="n"/>
      <c r="AC219" s="2" t="n"/>
    </row>
    <row r="220" ht="400" customHeight="1">
      <c r="A220" s="2" t="n"/>
      <c r="B220" s="24" t="inlineStr">
        <is>
          <t>GGM Gastro (CZ storefront)</t>
        </is>
      </c>
      <c r="C220" s="25" t="inlineStr">
        <is>
          <t>https://www.ggmgastro.com/cs-cz-czk/</t>
        </is>
      </c>
      <c r="D220" s="24" t="inlineStr">
        <is>
          <t>pan-EU</t>
        </is>
      </c>
      <c r="E220" s="24" t="inlineStr">
        <is>
          <t>B2B only (site footer: offers aimed exclusively at commercial customers per §14 BGB, not consumers)</t>
        </is>
      </c>
      <c r="F220" s="24" t="inlineStr">
        <is>
          <t>Excl. VAT (net CZK) shown as main price; gross shown "vč. 19% DPH" - the CZ storefront applies German 19% VAT, not Czech 21%</t>
        </is>
      </c>
      <c r="G220" s="24" t="inlineStr">
        <is>
          <t>Product pages show "Doprava zdarma**" and footnote "Všechny ceny plus DPH 19 %, včetně dodávky" (prices include delivery); site banner "Doprava zdarma po celé Evropě na všechny objednávky". ** = mainland only; island surcharge.</t>
        </is>
      </c>
      <c r="H220" s="24" t="inlineStr">
        <is>
          <t>No specific Austrian rate on the CZ storefront; site banner claims free delivery across Europe on all orders, but the shipping-cost page (English text) says its listed rates (free from 30 EUR net; insured 9.90 EUR, lifting platform 19.90/29.90 EUR, express from 49.90 EUR) apply to the German mainland only and other European countries must request a quote. Austrian customers are normally served via the de-at-eur storefront.</t>
        </is>
      </c>
      <c r="I220" s="24" t="inlineStr">
        <is>
          <t>Shipping stated as included in prices (net); where charged, rates on shipping-cost page are in EUR net</t>
        </is>
      </c>
      <c r="J220" s="24" t="inlineStr">
        <is>
          <t>Free shipping claimed on all orders (Europe-wide banner); shipping-cost page: free from 30 EUR net purchase value (German mainland)</t>
        </is>
      </c>
      <c r="K220" s="24" t="inlineStr">
        <is>
          <t>Not stated (free-shipping reference value 30 EUR net)</t>
        </is>
      </c>
      <c r="L220" s="25" t="inlineStr">
        <is>
          <t>https://www.ggmgastro.com/cs-cz-czk/shipping-cost ; https://www.ggmgastro.com/cs-cz-czk/terms</t>
        </is>
      </c>
      <c r="M220" s="36" t="inlineStr">
        <is>
          <t>=IF(L6&gt;=6,"yes","no")</t>
        </is>
      </c>
      <c r="N220" s="24" t="inlineStr">
        <is>
          <t>GGM Gastro International GmbH (Germany), Czech-language CZK storefront. Site search and pages are JavaScript-rendered and block headless browsers; products were located via the public product sitemap and read in a full (non-headless) browser. Many products are sold in multi-packs (price per pack; per-piece net computed). Some pages show odd bulk banners (e.g. "30 929,19 Kč Sleva-10%") not used. No 300 x 200 board, no triple-tip bottle (only a 3-hole membrane accessory FFO-055), no separate 600x400 dough-box lid and no thermo tray found.</t>
        </is>
      </c>
      <c r="O220" s="24" t="n"/>
      <c r="P220" s="2" t="n"/>
      <c r="Q220" s="2" t="n"/>
      <c r="R220" s="2" t="n"/>
      <c r="S220" s="2" t="n"/>
      <c r="T220" s="2" t="n"/>
      <c r="U220" s="2" t="n"/>
      <c r="V220" s="2" t="n"/>
      <c r="W220" s="2" t="n"/>
      <c r="X220" s="2" t="n"/>
      <c r="Y220" s="2" t="n"/>
      <c r="Z220" s="2" t="n"/>
      <c r="AA220" s="2" t="n"/>
      <c r="AB220" s="2" t="n"/>
      <c r="AC220" s="2" t="n"/>
    </row>
    <row r="221" ht="204" customHeight="1">
      <c r="A221" s="2" t="n"/>
      <c r="B221" s="27" t="inlineStr">
        <is>
          <t>MAKRO Czechia</t>
        </is>
      </c>
      <c r="C221" s="28" t="inlineStr">
        <is>
          <t>https://www.makro.cz/</t>
        </is>
      </c>
      <c r="D221" s="27" t="inlineStr">
        <is>
          <t>local</t>
        </is>
      </c>
      <c r="E221" s="27" t="inlineStr">
        <is>
          <t>B2B (cash &amp; carry wholesaler; makro customer card / registration)</t>
        </is>
      </c>
      <c r="F221" s="27" t="inlineStr">
        <is>
          <t>Hidden: product listings on sortiment.makro.cz show "Pro zobrazení cen se prosím přihlaste" (log in to see prices)</t>
        </is>
      </c>
      <c r="G221" s="27" t="inlineStr">
        <is>
          <t>"makro distribuce" delivery service (m-objednávka) for registered customers; only requirement stated is a minimum order value (amount not published publicly). Otherwise in-store purchase ("Nakoupíte v obchodě").</t>
        </is>
      </c>
      <c r="H221" s="27" t="inlineStr">
        <is>
          <t>Not offered / not published</t>
        </is>
      </c>
      <c r="I221" s="27" t="inlineStr">
        <is>
          <t>Not published</t>
        </is>
      </c>
      <c r="J221" s="27" t="inlineStr">
        <is>
          <t>Not published</t>
        </is>
      </c>
      <c r="K221" s="27" t="inlineStr">
        <is>
          <t>Minimum order value required for makro distribuce - amount not shown publicly</t>
        </is>
      </c>
      <c r="L221" s="28" t="inlineStr">
        <is>
          <t>https://www.makro.cz/makro-distribuce ; https://sortiment.makro.cz/shop/search?q=gastron%C3%A1doba%20polykarbon%C3%A1t</t>
        </is>
      </c>
      <c r="M221" s="27" t="inlineStr">
        <is>
          <t>no</t>
        </is>
      </c>
      <c r="N221" s="27" t="inlineStr">
        <is>
          <t>Login-only prices - NOT COUNTED. Relevant items exist in the catalogue (e.g. METRO PROFESSIONAL polycarbonate GN 1/1 and 1/2 150 mm containers, APS and Hendi GN containers) but no price is publicly readable. www.makro.cz returns HTTP 403 to plain scripts; readable in a browser.</t>
        </is>
      </c>
      <c r="O221" s="27" t="n"/>
      <c r="P221" s="2" t="n"/>
      <c r="Q221" s="2" t="n"/>
      <c r="R221" s="2" t="n"/>
      <c r="S221" s="2" t="n"/>
      <c r="T221" s="2" t="n"/>
      <c r="U221" s="2" t="n"/>
      <c r="V221" s="2" t="n"/>
      <c r="W221" s="2" t="n"/>
      <c r="X221" s="2" t="n"/>
      <c r="Y221" s="2" t="n"/>
      <c r="Z221" s="2" t="n"/>
      <c r="AA221" s="2" t="n"/>
      <c r="AB221" s="2" t="n"/>
      <c r="AC221" s="2" t="n"/>
    </row>
    <row r="222" ht="344" customHeight="1">
      <c r="A222" s="2" t="n"/>
      <c r="B222" s="24" t="inlineStr">
        <is>
          <t>A GASTRO</t>
        </is>
      </c>
      <c r="C222" s="25" t="inlineStr">
        <is>
          <t>https://agastro.cz/</t>
        </is>
      </c>
      <c r="D222" s="24" t="inlineStr">
        <is>
          <t>local</t>
        </is>
      </c>
      <c r="E222" s="24" t="inlineStr">
        <is>
          <t>Unknown (HORECA equipment shop per search-engine snippets)</t>
        </is>
      </c>
      <c r="F222" s="24" t="inlineStr">
        <is>
          <t>Not readable - site blocked (Cloudflare security check / HTTP 403)</t>
        </is>
      </c>
      <c r="G222" s="24" t="inlineStr">
        <is>
          <t>Not readable</t>
        </is>
      </c>
      <c r="H222" s="24" t="inlineStr">
        <is>
          <t>Not readable</t>
        </is>
      </c>
      <c r="I222" s="24" t="inlineStr">
        <is>
          <t>Not readable</t>
        </is>
      </c>
      <c r="J222" s="24" t="inlineStr">
        <is>
          <t>Not readable</t>
        </is>
      </c>
      <c r="K222" s="24" t="inlineStr">
        <is>
          <t>Not readable</t>
        </is>
      </c>
      <c r="L222" s="25" t="inlineStr">
        <is>
          <t>https://agastro.cz/</t>
        </is>
      </c>
      <c r="M222" s="24" t="inlineStr">
        <is>
          <t>no</t>
        </is>
      </c>
      <c r="N222" s="24" t="inlineStr">
        <is>
          <t>NOT COUNTED - access error. Every URL tried (home, robots.txt, sitemap.xml, www/eshop subdomains, category pages) returns HTTP 403 or a Cloudflare "Provádění bezpečnostního ověření" challenge, both to scripts and to a full browser; the web-fetch tool also gets 403. Search-engine results show category pages such as /gastronadoby-vacbox/, /gastronadoby-zmrlinove/ and /detail/21689/, but no price could be verified, so none recorded. Needs a manual check in a normal browser.</t>
        </is>
      </c>
      <c r="O222" s="24" t="n"/>
      <c r="P222" s="2" t="n"/>
      <c r="Q222" s="2" t="n"/>
      <c r="R222" s="2" t="n"/>
      <c r="S222" s="2" t="n"/>
      <c r="T222" s="2" t="n"/>
      <c r="U222" s="2" t="n"/>
      <c r="V222" s="2" t="n"/>
      <c r="W222" s="2" t="n"/>
      <c r="X222" s="2" t="n"/>
      <c r="Y222" s="2" t="n"/>
      <c r="Z222" s="2" t="n"/>
      <c r="AA222" s="2" t="n"/>
      <c r="AB222" s="2" t="n"/>
      <c r="AC222" s="2" t="n"/>
    </row>
    <row r="223" ht="31" customHeight="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row>
    <row r="224" ht="31" customHeight="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row>
    <row r="225" ht="31" customHeight="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row>
    <row r="226" ht="31" customHeight="1">
      <c r="A226" s="2" t="n"/>
      <c r="B226" s="7" t="inlineStr">
        <is>
          <t>Additional variants · Summary</t>
        </is>
      </c>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row>
    <row r="227" ht="36" customHeight="1">
      <c r="A227" s="2" t="n"/>
      <c r="B227" s="16" t="inlineStr">
        <is>
          <t>Item description</t>
        </is>
      </c>
      <c r="C227" s="17" t="inlineStr">
        <is>
          <t>Min net/pc CZK</t>
        </is>
      </c>
      <c r="D227" s="17" t="inlineStr">
        <is>
          <t>Median net/pc CZK</t>
        </is>
      </c>
      <c r="E227" s="17" t="inlineStr">
        <is>
          <t>Max net/pc CZK</t>
        </is>
      </c>
      <c r="F227" s="17" t="inlineStr">
        <is>
          <t>Competitors in statistics</t>
        </is>
      </c>
      <c r="G227" s="17" t="inlineStr">
        <is>
          <t>Min net/pc CZK (saved value)</t>
        </is>
      </c>
      <c r="H227" s="17" t="inlineStr">
        <is>
          <t>Median net/pc CZK (saved value)</t>
        </is>
      </c>
      <c r="I227" s="17" t="inlineStr">
        <is>
          <t>Max net/pc CZK (saved value)</t>
        </is>
      </c>
      <c r="J227" s="18" t="inlineStr">
        <is>
          <t>Competitors in statistics (saved value)</t>
        </is>
      </c>
      <c r="K227" s="2" t="n"/>
      <c r="L227" s="2" t="n"/>
      <c r="M227" s="2" t="n"/>
      <c r="N227" s="2" t="n"/>
      <c r="O227" s="2" t="n"/>
      <c r="P227" s="2" t="n"/>
      <c r="Q227" s="2" t="n"/>
      <c r="R227" s="2" t="n"/>
      <c r="S227" s="2" t="n"/>
      <c r="T227" s="2" t="n"/>
      <c r="U227" s="2" t="n"/>
      <c r="V227" s="2" t="n"/>
      <c r="W227" s="2" t="n"/>
      <c r="X227" s="2" t="n"/>
      <c r="Y227" s="2" t="n"/>
      <c r="Z227" s="2" t="n"/>
      <c r="AA227" s="2" t="n"/>
      <c r="AB227" s="2" t="n"/>
      <c r="AC227" s="2" t="n"/>
    </row>
    <row r="228" ht="78" customHeight="1">
      <c r="A228" s="2" t="n"/>
      <c r="B228" s="24" t="inlineStr">
        <is>
          <t>GN 1/1 container, PP, 65 mm</t>
        </is>
      </c>
      <c r="C228" s="36" t="inlineStr">
        <is>
          <t>=IF(C19=0,"",MIN(IF((Prices!$A$2:$A$600=A19)*(Prices!$R$2:$R$600="yes"),Prices!$M$2:$M$600)))</t>
        </is>
      </c>
      <c r="D228" s="36" t="inlineStr">
        <is>
          <t>=IF(C19=0,"",MEDIAN(IF((Prices!$A$2:$A$600=A19)*(Prices!$R$2:$R$600="yes"),Prices!$M$2:$M$600)))</t>
        </is>
      </c>
      <c r="E228" s="36" t="inlineStr">
        <is>
          <t>=IF(C19=0,"",MAX(IF((Prices!$A$2:$A$600=A19)*(Prices!$R$2:$R$600="yes"),Prices!$M$2:$M$600)))</t>
        </is>
      </c>
      <c r="F228" s="36" t="inlineStr">
        <is>
          <t>=IF(C19=0,"",_xlfn.TEXTJOIN(", ",TRUE,IF((Prices!$A$2:$A$600=A19)*(Prices!$R$2:$R$600="yes"),Prices!$C$2:$C$600,"")))</t>
        </is>
      </c>
      <c r="G228" s="24" t="n"/>
      <c r="H228" s="24" t="n"/>
      <c r="I228" s="24" t="n"/>
      <c r="J228" s="24" t="n"/>
      <c r="K228" s="2" t="n"/>
      <c r="L228" s="2" t="n"/>
      <c r="M228" s="2" t="n"/>
      <c r="N228" s="2" t="n"/>
      <c r="O228" s="2" t="n"/>
      <c r="P228" s="2" t="n"/>
      <c r="Q228" s="2" t="n"/>
      <c r="R228" s="2" t="n"/>
      <c r="S228" s="2" t="n"/>
      <c r="T228" s="2" t="n"/>
      <c r="U228" s="2" t="n"/>
      <c r="V228" s="2" t="n"/>
      <c r="W228" s="2" t="n"/>
      <c r="X228" s="2" t="n"/>
      <c r="Y228" s="2" t="n"/>
      <c r="Z228" s="2" t="n"/>
      <c r="AA228" s="2" t="n"/>
      <c r="AB228" s="2" t="n"/>
      <c r="AC228" s="2" t="n"/>
    </row>
    <row r="229" ht="78" customHeight="1">
      <c r="A229" s="2" t="n"/>
      <c r="B229" s="27" t="inlineStr">
        <is>
          <t>GN 1/3 container, PC, 100 mm</t>
        </is>
      </c>
      <c r="C229" s="38" t="inlineStr">
        <is>
          <t>=IF(C20=0,"",MIN(IF((Prices!$A$2:$A$600=A20)*(Prices!$R$2:$R$600="yes"),Prices!$M$2:$M$600)))</t>
        </is>
      </c>
      <c r="D229" s="38" t="inlineStr">
        <is>
          <t>=IF(C20=0,"",MEDIAN(IF((Prices!$A$2:$A$600=A20)*(Prices!$R$2:$R$600="yes"),Prices!$M$2:$M$600)))</t>
        </is>
      </c>
      <c r="E229" s="38" t="inlineStr">
        <is>
          <t>=IF(C20=0,"",MAX(IF((Prices!$A$2:$A$600=A20)*(Prices!$R$2:$R$600="yes"),Prices!$M$2:$M$600)))</t>
        </is>
      </c>
      <c r="F229" s="38" t="inlineStr">
        <is>
          <t>=IF(C20=0,"",_xlfn.TEXTJOIN(", ",TRUE,IF((Prices!$A$2:$A$600=A20)*(Prices!$R$2:$R$600="yes"),Prices!$C$2:$C$600,"")))</t>
        </is>
      </c>
      <c r="G229" s="27" t="n"/>
      <c r="H229" s="27" t="n"/>
      <c r="I229" s="27" t="n"/>
      <c r="J229" s="27" t="n"/>
      <c r="K229" s="2" t="n"/>
      <c r="L229" s="2" t="n"/>
      <c r="M229" s="2" t="n"/>
      <c r="N229" s="2" t="n"/>
      <c r="O229" s="2" t="n"/>
      <c r="P229" s="2" t="n"/>
      <c r="Q229" s="2" t="n"/>
      <c r="R229" s="2" t="n"/>
      <c r="S229" s="2" t="n"/>
      <c r="T229" s="2" t="n"/>
      <c r="U229" s="2" t="n"/>
      <c r="V229" s="2" t="n"/>
      <c r="W229" s="2" t="n"/>
      <c r="X229" s="2" t="n"/>
      <c r="Y229" s="2" t="n"/>
      <c r="Z229" s="2" t="n"/>
      <c r="AA229" s="2" t="n"/>
      <c r="AB229" s="2" t="n"/>
      <c r="AC229" s="2" t="n"/>
    </row>
    <row r="230" ht="78" customHeight="1">
      <c r="A230" s="2" t="n"/>
      <c r="B230" s="24" t="inlineStr">
        <is>
          <t>GN 1/2 container, PP, 150 mm</t>
        </is>
      </c>
      <c r="C230" s="36" t="inlineStr">
        <is>
          <t>=IF(C21=0,"",MIN(IF((Prices!$A$2:$A$600=A21)*(Prices!$R$2:$R$600="yes"),Prices!$M$2:$M$600)))</t>
        </is>
      </c>
      <c r="D230" s="36" t="inlineStr">
        <is>
          <t>=IF(C21=0,"",MEDIAN(IF((Prices!$A$2:$A$600=A21)*(Prices!$R$2:$R$600="yes"),Prices!$M$2:$M$600)))</t>
        </is>
      </c>
      <c r="E230" s="36" t="inlineStr">
        <is>
          <t>=IF(C21=0,"",MAX(IF((Prices!$A$2:$A$600=A21)*(Prices!$R$2:$R$600="yes"),Prices!$M$2:$M$600)))</t>
        </is>
      </c>
      <c r="F230" s="36" t="inlineStr">
        <is>
          <t>=IF(C21=0,"",_xlfn.TEXTJOIN(", ",TRUE,IF((Prices!$A$2:$A$600=A21)*(Prices!$R$2:$R$600="yes"),Prices!$C$2:$C$600,"")))</t>
        </is>
      </c>
      <c r="G230" s="24" t="n"/>
      <c r="H230" s="24" t="n"/>
      <c r="I230" s="24" t="n"/>
      <c r="J230" s="24" t="n"/>
      <c r="K230" s="2" t="n"/>
      <c r="L230" s="2" t="n"/>
      <c r="M230" s="2" t="n"/>
      <c r="N230" s="2" t="n"/>
      <c r="O230" s="2" t="n"/>
      <c r="P230" s="2" t="n"/>
      <c r="Q230" s="2" t="n"/>
      <c r="R230" s="2" t="n"/>
      <c r="S230" s="2" t="n"/>
      <c r="T230" s="2" t="n"/>
      <c r="U230" s="2" t="n"/>
      <c r="V230" s="2" t="n"/>
      <c r="W230" s="2" t="n"/>
      <c r="X230" s="2" t="n"/>
      <c r="Y230" s="2" t="n"/>
      <c r="Z230" s="2" t="n"/>
      <c r="AA230" s="2" t="n"/>
      <c r="AB230" s="2" t="n"/>
      <c r="AC230" s="2" t="n"/>
    </row>
    <row r="231" ht="78" customHeight="1">
      <c r="A231" s="2" t="n"/>
      <c r="B231" s="27" t="inlineStr">
        <is>
          <t>GN 1/1 PC lid, standard</t>
        </is>
      </c>
      <c r="C231" s="38" t="inlineStr">
        <is>
          <t>=IF(C22=0,"",MIN(IF((Prices!$A$2:$A$600=A22)*(Prices!$R$2:$R$600="yes"),Prices!$M$2:$M$600)))</t>
        </is>
      </c>
      <c r="D231" s="38" t="inlineStr">
        <is>
          <t>=IF(C22=0,"",MEDIAN(IF((Prices!$A$2:$A$600=A22)*(Prices!$R$2:$R$600="yes"),Prices!$M$2:$M$600)))</t>
        </is>
      </c>
      <c r="E231" s="38" t="inlineStr">
        <is>
          <t>=IF(C22=0,"",MAX(IF((Prices!$A$2:$A$600=A22)*(Prices!$R$2:$R$600="yes"),Prices!$M$2:$M$600)))</t>
        </is>
      </c>
      <c r="F231" s="38" t="inlineStr">
        <is>
          <t>=IF(C22=0,"",_xlfn.TEXTJOIN(", ",TRUE,IF((Prices!$A$2:$A$600=A22)*(Prices!$R$2:$R$600="yes"),Prices!$C$2:$C$600,"")))</t>
        </is>
      </c>
      <c r="G231" s="27" t="n"/>
      <c r="H231" s="27" t="n"/>
      <c r="I231" s="27" t="n"/>
      <c r="J231" s="27" t="n"/>
      <c r="K231" s="2" t="n"/>
      <c r="L231" s="2" t="n"/>
      <c r="M231" s="2" t="n"/>
      <c r="N231" s="2" t="n"/>
      <c r="O231" s="2" t="n"/>
      <c r="P231" s="2" t="n"/>
      <c r="Q231" s="2" t="n"/>
      <c r="R231" s="2" t="n"/>
      <c r="S231" s="2" t="n"/>
      <c r="T231" s="2" t="n"/>
      <c r="U231" s="2" t="n"/>
      <c r="V231" s="2" t="n"/>
      <c r="W231" s="2" t="n"/>
      <c r="X231" s="2" t="n"/>
      <c r="Y231" s="2" t="n"/>
      <c r="Z231" s="2" t="n"/>
      <c r="AA231" s="2" t="n"/>
      <c r="AB231" s="2" t="n"/>
      <c r="AC231" s="2" t="n"/>
    </row>
    <row r="232" ht="78" customHeight="1">
      <c r="A232" s="2" t="n"/>
      <c r="B232" s="24" t="inlineStr">
        <is>
          <t>GN 1/6 container, PP, 100 mm</t>
        </is>
      </c>
      <c r="C232" s="36" t="inlineStr">
        <is>
          <t>=IF(C23=0,"",MIN(IF((Prices!$A$2:$A$600=A23)*(Prices!$R$2:$R$600="yes"),Prices!$M$2:$M$600)))</t>
        </is>
      </c>
      <c r="D232" s="36" t="inlineStr">
        <is>
          <t>=IF(C23=0,"",MEDIAN(IF((Prices!$A$2:$A$600=A23)*(Prices!$R$2:$R$600="yes"),Prices!$M$2:$M$600)))</t>
        </is>
      </c>
      <c r="E232" s="36" t="inlineStr">
        <is>
          <t>=IF(C23=0,"",MAX(IF((Prices!$A$2:$A$600=A23)*(Prices!$R$2:$R$600="yes"),Prices!$M$2:$M$600)))</t>
        </is>
      </c>
      <c r="F232" s="36" t="inlineStr">
        <is>
          <t>=IF(C23=0,"",_xlfn.TEXTJOIN(", ",TRUE,IF((Prices!$A$2:$A$600=A23)*(Prices!$R$2:$R$600="yes"),Prices!$C$2:$C$600,"")))</t>
        </is>
      </c>
      <c r="G232" s="24" t="n"/>
      <c r="H232" s="24" t="n"/>
      <c r="I232" s="24" t="n"/>
      <c r="J232" s="24" t="n"/>
      <c r="K232" s="2" t="n"/>
      <c r="L232" s="2" t="n"/>
      <c r="M232" s="2" t="n"/>
      <c r="N232" s="2" t="n"/>
      <c r="O232" s="2" t="n"/>
      <c r="P232" s="2" t="n"/>
      <c r="Q232" s="2" t="n"/>
      <c r="R232" s="2" t="n"/>
      <c r="S232" s="2" t="n"/>
      <c r="T232" s="2" t="n"/>
      <c r="U232" s="2" t="n"/>
      <c r="V232" s="2" t="n"/>
      <c r="W232" s="2" t="n"/>
      <c r="X232" s="2" t="n"/>
      <c r="Y232" s="2" t="n"/>
      <c r="Z232" s="2" t="n"/>
      <c r="AA232" s="2" t="n"/>
      <c r="AB232" s="2" t="n"/>
      <c r="AC232" s="2" t="n"/>
    </row>
    <row r="233" ht="78" customHeight="1">
      <c r="A233" s="2" t="n"/>
      <c r="B233" s="27" t="inlineStr">
        <is>
          <t>GN 1/9 container, PP, 100 mm</t>
        </is>
      </c>
      <c r="C233" s="38" t="inlineStr">
        <is>
          <t>=IF(C24=0,"",MIN(IF((Prices!$A$2:$A$600=A24)*(Prices!$R$2:$R$600="yes"),Prices!$M$2:$M$600)))</t>
        </is>
      </c>
      <c r="D233" s="38" t="inlineStr">
        <is>
          <t>=IF(C24=0,"",MEDIAN(IF((Prices!$A$2:$A$600=A24)*(Prices!$R$2:$R$600="yes"),Prices!$M$2:$M$600)))</t>
        </is>
      </c>
      <c r="E233" s="38" t="inlineStr">
        <is>
          <t>=IF(C24=0,"",MAX(IF((Prices!$A$2:$A$600=A24)*(Prices!$R$2:$R$600="yes"),Prices!$M$2:$M$600)))</t>
        </is>
      </c>
      <c r="F233" s="38" t="inlineStr">
        <is>
          <t>=IF(C24=0,"",_xlfn.TEXTJOIN(", ",TRUE,IF((Prices!$A$2:$A$600=A24)*(Prices!$R$2:$R$600="yes"),Prices!$C$2:$C$600,"")))</t>
        </is>
      </c>
      <c r="G233" s="27" t="n"/>
      <c r="H233" s="27" t="n"/>
      <c r="I233" s="27" t="n"/>
      <c r="J233" s="27" t="n"/>
      <c r="K233" s="2" t="n"/>
      <c r="L233" s="2" t="n"/>
      <c r="M233" s="2" t="n"/>
      <c r="N233" s="2" t="n"/>
      <c r="O233" s="2" t="n"/>
      <c r="P233" s="2" t="n"/>
      <c r="Q233" s="2" t="n"/>
      <c r="R233" s="2" t="n"/>
      <c r="S233" s="2" t="n"/>
      <c r="T233" s="2" t="n"/>
      <c r="U233" s="2" t="n"/>
      <c r="V233" s="2" t="n"/>
      <c r="W233" s="2" t="n"/>
      <c r="X233" s="2" t="n"/>
      <c r="Y233" s="2" t="n"/>
      <c r="Z233" s="2" t="n"/>
      <c r="AA233" s="2" t="n"/>
      <c r="AB233" s="2" t="n"/>
      <c r="AC233" s="2" t="n"/>
    </row>
    <row r="234" ht="78" customHeight="1">
      <c r="A234" s="2" t="n"/>
      <c r="B234" s="24" t="inlineStr">
        <is>
          <t>Squeeze bottle 250 ml, PP, single tip</t>
        </is>
      </c>
      <c r="C234" s="36" t="inlineStr">
        <is>
          <t>=IF(C25=0,"",MIN(IF((Prices!$A$2:$A$600=A25)*(Prices!$R$2:$R$600="yes"),Prices!$M$2:$M$600)))</t>
        </is>
      </c>
      <c r="D234" s="36" t="inlineStr">
        <is>
          <t>=IF(C25=0,"",MEDIAN(IF((Prices!$A$2:$A$600=A25)*(Prices!$R$2:$R$600="yes"),Prices!$M$2:$M$600)))</t>
        </is>
      </c>
      <c r="E234" s="36" t="inlineStr">
        <is>
          <t>=IF(C25=0,"",MAX(IF((Prices!$A$2:$A$600=A25)*(Prices!$R$2:$R$600="yes"),Prices!$M$2:$M$600)))</t>
        </is>
      </c>
      <c r="F234" s="36" t="inlineStr">
        <is>
          <t>=IF(C25=0,"",_xlfn.TEXTJOIN(", ",TRUE,IF((Prices!$A$2:$A$600=A25)*(Prices!$R$2:$R$600="yes"),Prices!$C$2:$C$600,"")))</t>
        </is>
      </c>
      <c r="G234" s="24" t="n"/>
      <c r="H234" s="24" t="n"/>
      <c r="I234" s="24" t="n"/>
      <c r="J234" s="24" t="n"/>
      <c r="K234" s="2" t="n"/>
      <c r="L234" s="2" t="n"/>
      <c r="M234" s="2" t="n"/>
      <c r="N234" s="2" t="n"/>
      <c r="O234" s="2" t="n"/>
      <c r="P234" s="2" t="n"/>
      <c r="Q234" s="2" t="n"/>
      <c r="R234" s="2" t="n"/>
      <c r="S234" s="2" t="n"/>
      <c r="T234" s="2" t="n"/>
      <c r="U234" s="2" t="n"/>
      <c r="V234" s="2" t="n"/>
      <c r="W234" s="2" t="n"/>
      <c r="X234" s="2" t="n"/>
      <c r="Y234" s="2" t="n"/>
      <c r="Z234" s="2" t="n"/>
      <c r="AA234" s="2" t="n"/>
      <c r="AB234" s="2" t="n"/>
      <c r="AC234" s="2" t="n"/>
    </row>
    <row r="235" ht="78" customHeight="1">
      <c r="A235" s="2" t="n"/>
      <c r="B235" s="27" t="inlineStr">
        <is>
          <t>Squeeze bottle 750 ml, PP, single tip</t>
        </is>
      </c>
      <c r="C235" s="38" t="inlineStr">
        <is>
          <t>=IF(C26=0,"",MIN(IF((Prices!$A$2:$A$600=A26)*(Prices!$R$2:$R$600="yes"),Prices!$M$2:$M$600)))</t>
        </is>
      </c>
      <c r="D235" s="38" t="inlineStr">
        <is>
          <t>=IF(C26=0,"",MEDIAN(IF((Prices!$A$2:$A$600=A26)*(Prices!$R$2:$R$600="yes"),Prices!$M$2:$M$600)))</t>
        </is>
      </c>
      <c r="E235" s="38" t="inlineStr">
        <is>
          <t>=IF(C26=0,"",MAX(IF((Prices!$A$2:$A$600=A26)*(Prices!$R$2:$R$600="yes"),Prices!$M$2:$M$600)))</t>
        </is>
      </c>
      <c r="F235" s="38" t="inlineStr">
        <is>
          <t>=IF(C26=0,"",_xlfn.TEXTJOIN(", ",TRUE,IF((Prices!$A$2:$A$600=A26)*(Prices!$R$2:$R$600="yes"),Prices!$C$2:$C$600,"")))</t>
        </is>
      </c>
      <c r="G235" s="27" t="n"/>
      <c r="H235" s="27" t="n"/>
      <c r="I235" s="27" t="n"/>
      <c r="J235" s="27" t="n"/>
      <c r="K235" s="2" t="n"/>
      <c r="L235" s="2" t="n"/>
      <c r="M235" s="2" t="n"/>
      <c r="N235" s="2" t="n"/>
      <c r="O235" s="2" t="n"/>
      <c r="P235" s="2" t="n"/>
      <c r="Q235" s="2" t="n"/>
      <c r="R235" s="2" t="n"/>
      <c r="S235" s="2" t="n"/>
      <c r="T235" s="2" t="n"/>
      <c r="U235" s="2" t="n"/>
      <c r="V235" s="2" t="n"/>
      <c r="W235" s="2" t="n"/>
      <c r="X235" s="2" t="n"/>
      <c r="Y235" s="2" t="n"/>
      <c r="Z235" s="2" t="n"/>
      <c r="AA235" s="2" t="n"/>
      <c r="AB235" s="2" t="n"/>
      <c r="AC235" s="2" t="n"/>
    </row>
    <row r="236" ht="78" customHeight="1">
      <c r="A236" s="2" t="n"/>
      <c r="B236" s="24" t="inlineStr">
        <is>
          <t>Cutting board 400x300x20 mm, red PE</t>
        </is>
      </c>
      <c r="C236" s="36" t="inlineStr">
        <is>
          <t>=IF(C27=0,"",MIN(IF((Prices!$A$2:$A$600=A27)*(Prices!$R$2:$R$600="yes"),Prices!$M$2:$M$600)))</t>
        </is>
      </c>
      <c r="D236" s="36" t="inlineStr">
        <is>
          <t>=IF(C27=0,"",MEDIAN(IF((Prices!$A$2:$A$600=A27)*(Prices!$R$2:$R$600="yes"),Prices!$M$2:$M$600)))</t>
        </is>
      </c>
      <c r="E236" s="36" t="inlineStr">
        <is>
          <t>=IF(C27=0,"",MAX(IF((Prices!$A$2:$A$600=A27)*(Prices!$R$2:$R$600="yes"),Prices!$M$2:$M$600)))</t>
        </is>
      </c>
      <c r="F236" s="36" t="inlineStr">
        <is>
          <t>=IF(C27=0,"",_xlfn.TEXTJOIN(", ",TRUE,IF((Prices!$A$2:$A$600=A27)*(Prices!$R$2:$R$600="yes"),Prices!$C$2:$C$600,"")))</t>
        </is>
      </c>
      <c r="G236" s="24" t="n"/>
      <c r="H236" s="24" t="n"/>
      <c r="I236" s="24" t="n"/>
      <c r="J236" s="24" t="n"/>
      <c r="K236" s="2" t="n"/>
      <c r="L236" s="2" t="n"/>
      <c r="M236" s="2" t="n"/>
      <c r="N236" s="2" t="n"/>
      <c r="O236" s="2" t="n"/>
      <c r="P236" s="2" t="n"/>
      <c r="Q236" s="2" t="n"/>
      <c r="R236" s="2" t="n"/>
      <c r="S236" s="2" t="n"/>
      <c r="T236" s="2" t="n"/>
      <c r="U236" s="2" t="n"/>
      <c r="V236" s="2" t="n"/>
      <c r="W236" s="2" t="n"/>
      <c r="X236" s="2" t="n"/>
      <c r="Y236" s="2" t="n"/>
      <c r="Z236" s="2" t="n"/>
      <c r="AA236" s="2" t="n"/>
      <c r="AB236" s="2" t="n"/>
      <c r="AC236" s="2" t="n"/>
    </row>
    <row r="237" ht="78" customHeight="1">
      <c r="A237" s="2" t="n"/>
      <c r="B237" s="27" t="inlineStr">
        <is>
          <t>Dough box 600x400x75 mm, PP, without lid</t>
        </is>
      </c>
      <c r="C237" s="38" t="inlineStr">
        <is>
          <t>=IF(C28=0,"",MIN(IF((Prices!$A$2:$A$600=A28)*(Prices!$R$2:$R$600="yes"),Prices!$M$2:$M$600)))</t>
        </is>
      </c>
      <c r="D237" s="38" t="inlineStr">
        <is>
          <t>=IF(C28=0,"",MEDIAN(IF((Prices!$A$2:$A$600=A28)*(Prices!$R$2:$R$600="yes"),Prices!$M$2:$M$600)))</t>
        </is>
      </c>
      <c r="E237" s="38" t="inlineStr">
        <is>
          <t>=IF(C28=0,"",MAX(IF((Prices!$A$2:$A$600=A28)*(Prices!$R$2:$R$600="yes"),Prices!$M$2:$M$600)))</t>
        </is>
      </c>
      <c r="F237" s="38" t="inlineStr">
        <is>
          <t>=IF(C28=0,"",_xlfn.TEXTJOIN(", ",TRUE,IF((Prices!$A$2:$A$600=A28)*(Prices!$R$2:$R$600="yes"),Prices!$C$2:$C$600,"")))</t>
        </is>
      </c>
      <c r="G237" s="27" t="n"/>
      <c r="H237" s="27" t="n"/>
      <c r="I237" s="27" t="n"/>
      <c r="J237" s="27" t="n"/>
      <c r="K237" s="2" t="n"/>
      <c r="L237" s="2" t="n"/>
      <c r="M237" s="2" t="n"/>
      <c r="N237" s="2" t="n"/>
      <c r="O237" s="2" t="n"/>
      <c r="P237" s="2" t="n"/>
      <c r="Q237" s="2" t="n"/>
      <c r="R237" s="2" t="n"/>
      <c r="S237" s="2" t="n"/>
      <c r="T237" s="2" t="n"/>
      <c r="U237" s="2" t="n"/>
      <c r="V237" s="2" t="n"/>
      <c r="W237" s="2" t="n"/>
      <c r="X237" s="2" t="n"/>
      <c r="Y237" s="2" t="n"/>
      <c r="Z237" s="2" t="n"/>
      <c r="AA237" s="2" t="n"/>
      <c r="AB237" s="2" t="n"/>
      <c r="AC237" s="2" t="n"/>
    </row>
    <row r="238" ht="78" customHeight="1">
      <c r="A238" s="2" t="n"/>
      <c r="B238" s="24" t="inlineStr">
        <is>
          <t>GN 1/1 container, PC, 100 mm</t>
        </is>
      </c>
      <c r="C238" s="36" t="inlineStr">
        <is>
          <t>=IF(C29=0,"",MIN(IF((Prices!$A$2:$A$600=A29)*(Prices!$R$2:$R$600="yes"),Prices!$M$2:$M$600)))</t>
        </is>
      </c>
      <c r="D238" s="36" t="inlineStr">
        <is>
          <t>=IF(C29=0,"",MEDIAN(IF((Prices!$A$2:$A$600=A29)*(Prices!$R$2:$R$600="yes"),Prices!$M$2:$M$600)))</t>
        </is>
      </c>
      <c r="E238" s="36" t="inlineStr">
        <is>
          <t>=IF(C29=0,"",MAX(IF((Prices!$A$2:$A$600=A29)*(Prices!$R$2:$R$600="yes"),Prices!$M$2:$M$600)))</t>
        </is>
      </c>
      <c r="F238" s="36" t="inlineStr">
        <is>
          <t>=IF(C29=0,"",_xlfn.TEXTJOIN(", ",TRUE,IF((Prices!$A$2:$A$600=A29)*(Prices!$R$2:$R$600="yes"),Prices!$C$2:$C$600,"")))</t>
        </is>
      </c>
      <c r="G238" s="24" t="n"/>
      <c r="H238" s="24" t="n"/>
      <c r="I238" s="24" t="n"/>
      <c r="J238" s="24" t="n"/>
      <c r="K238" s="2" t="n"/>
      <c r="L238" s="2" t="n"/>
      <c r="M238" s="2" t="n"/>
      <c r="N238" s="2" t="n"/>
      <c r="O238" s="2" t="n"/>
      <c r="P238" s="2" t="n"/>
      <c r="Q238" s="2" t="n"/>
      <c r="R238" s="2" t="n"/>
      <c r="S238" s="2" t="n"/>
      <c r="T238" s="2" t="n"/>
      <c r="U238" s="2" t="n"/>
      <c r="V238" s="2" t="n"/>
      <c r="W238" s="2" t="n"/>
      <c r="X238" s="2" t="n"/>
      <c r="Y238" s="2" t="n"/>
      <c r="Z238" s="2" t="n"/>
      <c r="AA238" s="2" t="n"/>
      <c r="AB238" s="2" t="n"/>
      <c r="AC238" s="2" t="n"/>
    </row>
    <row r="239" ht="78" customHeight="1">
      <c r="A239" s="2" t="n"/>
      <c r="B239" s="27" t="inlineStr">
        <is>
          <t>GN 1/6 container, PC, 100 mm</t>
        </is>
      </c>
      <c r="C239" s="38" t="inlineStr">
        <is>
          <t>=IF(C30=0,"",MIN(IF((Prices!$A$2:$A$600=A30)*(Prices!$R$2:$R$600="yes"),Prices!$M$2:$M$600)))</t>
        </is>
      </c>
      <c r="D239" s="38" t="inlineStr">
        <is>
          <t>=IF(C30=0,"",MEDIAN(IF((Prices!$A$2:$A$600=A30)*(Prices!$R$2:$R$600="yes"),Prices!$M$2:$M$600)))</t>
        </is>
      </c>
      <c r="E239" s="38" t="inlineStr">
        <is>
          <t>=IF(C30=0,"",MAX(IF((Prices!$A$2:$A$600=A30)*(Prices!$R$2:$R$600="yes"),Prices!$M$2:$M$600)))</t>
        </is>
      </c>
      <c r="F239" s="38" t="inlineStr">
        <is>
          <t>=IF(C30=0,"",_xlfn.TEXTJOIN(", ",TRUE,IF((Prices!$A$2:$A$600=A30)*(Prices!$R$2:$R$600="yes"),Prices!$C$2:$C$600,"")))</t>
        </is>
      </c>
      <c r="G239" s="27" t="n"/>
      <c r="H239" s="27" t="n"/>
      <c r="I239" s="27" t="n"/>
      <c r="J239" s="27" t="n"/>
      <c r="K239" s="2" t="n"/>
      <c r="L239" s="2" t="n"/>
      <c r="M239" s="2" t="n"/>
      <c r="N239" s="2" t="n"/>
      <c r="O239" s="2" t="n"/>
      <c r="P239" s="2" t="n"/>
      <c r="Q239" s="2" t="n"/>
      <c r="R239" s="2" t="n"/>
      <c r="S239" s="2" t="n"/>
      <c r="T239" s="2" t="n"/>
      <c r="U239" s="2" t="n"/>
      <c r="V239" s="2" t="n"/>
      <c r="W239" s="2" t="n"/>
      <c r="X239" s="2" t="n"/>
      <c r="Y239" s="2" t="n"/>
      <c r="Z239" s="2" t="n"/>
      <c r="AA239" s="2" t="n"/>
      <c r="AB239" s="2" t="n"/>
      <c r="AC239" s="2" t="n"/>
    </row>
    <row r="240" ht="78" customHeight="1">
      <c r="A240" s="2" t="n"/>
      <c r="B240" s="24" t="inlineStr">
        <is>
          <t>Cutting board 530x325x15 mm, red PE</t>
        </is>
      </c>
      <c r="C240" s="36" t="inlineStr">
        <is>
          <t>=IF(C31=0,"",MIN(IF((Prices!$A$2:$A$600=A31)*(Prices!$R$2:$R$600="yes"),Prices!$M$2:$M$600)))</t>
        </is>
      </c>
      <c r="D240" s="36" t="inlineStr">
        <is>
          <t>=IF(C31=0,"",MEDIAN(IF((Prices!$A$2:$A$600=A31)*(Prices!$R$2:$R$600="yes"),Prices!$M$2:$M$600)))</t>
        </is>
      </c>
      <c r="E240" s="36" t="inlineStr">
        <is>
          <t>=IF(C31=0,"",MAX(IF((Prices!$A$2:$A$600=A31)*(Prices!$R$2:$R$600="yes"),Prices!$M$2:$M$600)))</t>
        </is>
      </c>
      <c r="F240" s="36" t="inlineStr">
        <is>
          <t>=IF(C31=0,"",_xlfn.TEXTJOIN(", ",TRUE,IF((Prices!$A$2:$A$600=A31)*(Prices!$R$2:$R$600="yes"),Prices!$C$2:$C$600,"")))</t>
        </is>
      </c>
      <c r="G240" s="24" t="n"/>
      <c r="H240" s="24" t="n"/>
      <c r="I240" s="24" t="n"/>
      <c r="J240" s="24" t="n"/>
      <c r="K240" s="2" t="n"/>
      <c r="L240" s="2" t="n"/>
      <c r="M240" s="2" t="n"/>
      <c r="N240" s="2" t="n"/>
      <c r="O240" s="2" t="n"/>
      <c r="P240" s="2" t="n"/>
      <c r="Q240" s="2" t="n"/>
      <c r="R240" s="2" t="n"/>
      <c r="S240" s="2" t="n"/>
      <c r="T240" s="2" t="n"/>
      <c r="U240" s="2" t="n"/>
      <c r="V240" s="2" t="n"/>
      <c r="W240" s="2" t="n"/>
      <c r="X240" s="2" t="n"/>
      <c r="Y240" s="2" t="n"/>
      <c r="Z240" s="2" t="n"/>
      <c r="AA240" s="2" t="n"/>
      <c r="AB240" s="2" t="n"/>
      <c r="AC240" s="2" t="n"/>
    </row>
    <row r="241" ht="78" customHeight="1">
      <c r="A241" s="2" t="n"/>
      <c r="B241" s="27" t="inlineStr">
        <is>
          <t>GN 1/3 PP lid, standard</t>
        </is>
      </c>
      <c r="C241" s="38" t="inlineStr">
        <is>
          <t>=IF(C32=0,"",MIN(IF((Prices!$A$2:$A$600=A32)*(Prices!$R$2:$R$600="yes"),Prices!$M$2:$M$600)))</t>
        </is>
      </c>
      <c r="D241" s="38" t="inlineStr">
        <is>
          <t>=IF(C32=0,"",MEDIAN(IF((Prices!$A$2:$A$600=A32)*(Prices!$R$2:$R$600="yes"),Prices!$M$2:$M$600)))</t>
        </is>
      </c>
      <c r="E241" s="38" t="inlineStr">
        <is>
          <t>=IF(C32=0,"",MAX(IF((Prices!$A$2:$A$600=A32)*(Prices!$R$2:$R$600="yes"),Prices!$M$2:$M$600)))</t>
        </is>
      </c>
      <c r="F241" s="38" t="inlineStr">
        <is>
          <t>=IF(C32=0,"",_xlfn.TEXTJOIN(", ",TRUE,IF((Prices!$A$2:$A$600=A32)*(Prices!$R$2:$R$600="yes"),Prices!$C$2:$C$600,"")))</t>
        </is>
      </c>
      <c r="G241" s="27" t="n"/>
      <c r="H241" s="27" t="n"/>
      <c r="I241" s="27" t="n"/>
      <c r="J241" s="27" t="n"/>
      <c r="K241" s="2" t="n"/>
      <c r="L241" s="2" t="n"/>
      <c r="M241" s="2" t="n"/>
      <c r="N241" s="2" t="n"/>
      <c r="O241" s="2" t="n"/>
      <c r="P241" s="2" t="n"/>
      <c r="Q241" s="2" t="n"/>
      <c r="R241" s="2" t="n"/>
      <c r="S241" s="2" t="n"/>
      <c r="T241" s="2" t="n"/>
      <c r="U241" s="2" t="n"/>
      <c r="V241" s="2" t="n"/>
      <c r="W241" s="2" t="n"/>
      <c r="X241" s="2" t="n"/>
      <c r="Y241" s="2" t="n"/>
      <c r="Z241" s="2" t="n"/>
      <c r="AA241" s="2" t="n"/>
      <c r="AB241" s="2" t="n"/>
      <c r="AC241" s="2" t="n"/>
    </row>
    <row r="242" ht="78" customHeight="1">
      <c r="A242" s="2" t="n"/>
      <c r="B242" s="24" t="inlineStr">
        <is>
          <t>Squeeze bottle 750 ml, PP/PE, wide covered tip</t>
        </is>
      </c>
      <c r="C242" s="36" t="inlineStr">
        <is>
          <t>=IF(C33=0,"",MIN(IF((Prices!$A$2:$A$600=A33)*(Prices!$R$2:$R$600="yes"),Prices!$M$2:$M$600)))</t>
        </is>
      </c>
      <c r="D242" s="36" t="inlineStr">
        <is>
          <t>=IF(C33=0,"",MEDIAN(IF((Prices!$A$2:$A$600=A33)*(Prices!$R$2:$R$600="yes"),Prices!$M$2:$M$600)))</t>
        </is>
      </c>
      <c r="E242" s="36" t="inlineStr">
        <is>
          <t>=IF(C33=0,"",MAX(IF((Prices!$A$2:$A$600=A33)*(Prices!$R$2:$R$600="yes"),Prices!$M$2:$M$600)))</t>
        </is>
      </c>
      <c r="F242" s="36" t="inlineStr">
        <is>
          <t>=IF(C33=0,"",_xlfn.TEXTJOIN(", ",TRUE,IF((Prices!$A$2:$A$600=A33)*(Prices!$R$2:$R$600="yes"),Prices!$C$2:$C$600,"")))</t>
        </is>
      </c>
      <c r="G242" s="24" t="n"/>
      <c r="H242" s="24" t="n"/>
      <c r="I242" s="24" t="n"/>
      <c r="J242" s="24" t="n"/>
      <c r="K242" s="2" t="n"/>
      <c r="L242" s="2" t="n"/>
      <c r="M242" s="2" t="n"/>
      <c r="N242" s="2" t="n"/>
      <c r="O242" s="2" t="n"/>
      <c r="P242" s="2" t="n"/>
      <c r="Q242" s="2" t="n"/>
      <c r="R242" s="2" t="n"/>
      <c r="S242" s="2" t="n"/>
      <c r="T242" s="2" t="n"/>
      <c r="U242" s="2" t="n"/>
      <c r="V242" s="2" t="n"/>
      <c r="W242" s="2" t="n"/>
      <c r="X242" s="2" t="n"/>
      <c r="Y242" s="2" t="n"/>
      <c r="Z242" s="2" t="n"/>
      <c r="AA242" s="2" t="n"/>
      <c r="AB242" s="2" t="n"/>
      <c r="AC242" s="2" t="n"/>
    </row>
    <row r="243" ht="78" customHeight="1">
      <c r="A243" s="2" t="n"/>
      <c r="B243" s="27" t="inlineStr">
        <is>
          <t>Cutting board 300x200x20 mm, red PE</t>
        </is>
      </c>
      <c r="C243" s="38" t="inlineStr">
        <is>
          <t>=IF(C34=0,"",MIN(IF((Prices!$A$2:$A$600=A34)*(Prices!$R$2:$R$600="yes"),Prices!$M$2:$M$600)))</t>
        </is>
      </c>
      <c r="D243" s="38" t="inlineStr">
        <is>
          <t>=IF(C34=0,"",MEDIAN(IF((Prices!$A$2:$A$600=A34)*(Prices!$R$2:$R$600="yes"),Prices!$M$2:$M$600)))</t>
        </is>
      </c>
      <c r="E243" s="38" t="inlineStr">
        <is>
          <t>=IF(C34=0,"",MAX(IF((Prices!$A$2:$A$600=A34)*(Prices!$R$2:$R$600="yes"),Prices!$M$2:$M$600)))</t>
        </is>
      </c>
      <c r="F243" s="38" t="inlineStr">
        <is>
          <t>=IF(C34=0,"",_xlfn.TEXTJOIN(", ",TRUE,IF((Prices!$A$2:$A$600=A34)*(Prices!$R$2:$R$600="yes"),Prices!$C$2:$C$600,"")))</t>
        </is>
      </c>
      <c r="G243" s="27" t="n"/>
      <c r="H243" s="27" t="n"/>
      <c r="I243" s="27" t="n"/>
      <c r="J243" s="27" t="n"/>
      <c r="K243" s="2" t="n"/>
      <c r="L243" s="2" t="n"/>
      <c r="M243" s="2" t="n"/>
      <c r="N243" s="2" t="n"/>
      <c r="O243" s="2" t="n"/>
      <c r="P243" s="2" t="n"/>
      <c r="Q243" s="2" t="n"/>
      <c r="R243" s="2" t="n"/>
      <c r="S243" s="2" t="n"/>
      <c r="T243" s="2" t="n"/>
      <c r="U243" s="2" t="n"/>
      <c r="V243" s="2" t="n"/>
      <c r="W243" s="2" t="n"/>
      <c r="X243" s="2" t="n"/>
      <c r="Y243" s="2" t="n"/>
      <c r="Z243" s="2" t="n"/>
      <c r="AA243" s="2" t="n"/>
      <c r="AB243" s="2" t="n"/>
      <c r="AC243" s="2" t="n"/>
    </row>
    <row r="244" ht="78" customHeight="1">
      <c r="A244" s="2" t="n"/>
      <c r="B244" s="24" t="inlineStr">
        <is>
          <t>Dough box 400x300x100 mm, PP, without lid</t>
        </is>
      </c>
      <c r="C244" s="36" t="inlineStr">
        <is>
          <t>=IF(C35=0,"",MIN(IF((Prices!$A$2:$A$600=A35)*(Prices!$R$2:$R$600="yes"),Prices!$M$2:$M$600)))</t>
        </is>
      </c>
      <c r="D244" s="36" t="inlineStr">
        <is>
          <t>=IF(C35=0,"",MEDIAN(IF((Prices!$A$2:$A$600=A35)*(Prices!$R$2:$R$600="yes"),Prices!$M$2:$M$600)))</t>
        </is>
      </c>
      <c r="E244" s="36" t="inlineStr">
        <is>
          <t>=IF(C35=0,"",MAX(IF((Prices!$A$2:$A$600=A35)*(Prices!$R$2:$R$600="yes"),Prices!$M$2:$M$600)))</t>
        </is>
      </c>
      <c r="F244" s="36" t="inlineStr">
        <is>
          <t>=IF(C35=0,"",_xlfn.TEXTJOIN(", ",TRUE,IF((Prices!$A$2:$A$600=A35)*(Prices!$R$2:$R$600="yes"),Prices!$C$2:$C$600,"")))</t>
        </is>
      </c>
      <c r="G244" s="24" t="n"/>
      <c r="H244" s="24" t="n"/>
      <c r="I244" s="24" t="n"/>
      <c r="J244" s="24" t="n"/>
      <c r="K244" s="2" t="n"/>
      <c r="L244" s="2" t="n"/>
      <c r="M244" s="2" t="n"/>
      <c r="N244" s="2" t="n"/>
      <c r="O244" s="2" t="n"/>
      <c r="P244" s="2" t="n"/>
      <c r="Q244" s="2" t="n"/>
      <c r="R244" s="2" t="n"/>
      <c r="S244" s="2" t="n"/>
      <c r="T244" s="2" t="n"/>
      <c r="U244" s="2" t="n"/>
      <c r="V244" s="2" t="n"/>
      <c r="W244" s="2" t="n"/>
      <c r="X244" s="2" t="n"/>
      <c r="Y244" s="2" t="n"/>
      <c r="Z244" s="2" t="n"/>
      <c r="AA244" s="2" t="n"/>
      <c r="AB244" s="2" t="n"/>
      <c r="AC244" s="2" t="n"/>
    </row>
    <row r="245" ht="31" customHeight="1">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row>
    <row r="246" ht="31" customHeight="1">
      <c r="A246" s="2" t="n"/>
      <c r="B246" s="24" t="inlineStr">
        <is>
          <t>Notes:</t>
        </is>
      </c>
      <c r="K246" s="2" t="n"/>
      <c r="L246" s="2" t="n"/>
      <c r="M246" s="2" t="n"/>
      <c r="N246" s="2" t="n"/>
      <c r="O246" s="2" t="n"/>
      <c r="P246" s="2" t="n"/>
      <c r="Q246" s="2" t="n"/>
      <c r="R246" s="2" t="n"/>
      <c r="S246" s="2" t="n"/>
      <c r="T246" s="2" t="n"/>
      <c r="U246" s="2" t="n"/>
      <c r="V246" s="2" t="n"/>
      <c r="W246" s="2" t="n"/>
      <c r="X246" s="2" t="n"/>
      <c r="Y246" s="2" t="n"/>
      <c r="Z246" s="2" t="n"/>
      <c r="AA246" s="2" t="n"/>
      <c r="AB246" s="2" t="n"/>
      <c r="AC246" s="2" t="n"/>
    </row>
    <row r="247" ht="78" customHeight="1">
      <c r="A247" s="2" t="n"/>
      <c r="B247" s="24" t="inlineStr">
        <is>
          <t>Statistics use only primary observations with match quality EXACT or CLOSE from competitors marked Counted = yes on the Competitors sheet (max one observation per competitor per item).</t>
        </is>
      </c>
      <c r="K247" s="2" t="n"/>
      <c r="L247" s="2" t="n"/>
      <c r="M247" s="2" t="n"/>
      <c r="N247" s="2" t="n"/>
      <c r="O247" s="2" t="n"/>
      <c r="P247" s="2" t="n"/>
      <c r="Q247" s="2" t="n"/>
      <c r="R247" s="2" t="n"/>
      <c r="S247" s="2" t="n"/>
      <c r="T247" s="2" t="n"/>
      <c r="U247" s="2" t="n"/>
      <c r="V247" s="2" t="n"/>
      <c r="W247" s="2" t="n"/>
      <c r="X247" s="2" t="n"/>
      <c r="Y247" s="2" t="n"/>
      <c r="Z247" s="2" t="n"/>
      <c r="AA247" s="2" t="n"/>
      <c r="AB247" s="2" t="n"/>
      <c r="AC247" s="2" t="n"/>
    </row>
    <row r="248" ht="64" customHeight="1">
      <c r="A248" s="2" t="n"/>
      <c r="B248" s="24" t="inlineStr">
        <is>
          <t>Net price per piece = listed price / (1 + VAT rate) when the listed price includes VAT, divided by pack size when the price is per pack. Czech VAT 21%.</t>
        </is>
      </c>
      <c r="K248" s="2" t="n"/>
      <c r="L248" s="2" t="n"/>
      <c r="M248" s="2" t="n"/>
      <c r="N248" s="2" t="n"/>
      <c r="O248" s="2" t="n"/>
      <c r="P248" s="2" t="n"/>
      <c r="Q248" s="2" t="n"/>
      <c r="R248" s="2" t="n"/>
      <c r="S248" s="2" t="n"/>
      <c r="T248" s="2" t="n"/>
      <c r="U248" s="2" t="n"/>
      <c r="V248" s="2" t="n"/>
      <c r="W248" s="2" t="n"/>
      <c r="X248" s="2" t="n"/>
      <c r="Y248" s="2" t="n"/>
      <c r="Z248" s="2" t="n"/>
      <c r="AA248" s="2" t="n"/>
      <c r="AB248" s="2" t="n"/>
      <c r="AC248" s="2" t="n"/>
    </row>
    <row r="249" ht="50" customHeight="1">
      <c r="A249" s="2" t="n"/>
      <c r="B249" s="24" t="inlineStr">
        <is>
          <t>Blank statistics = no qualifying observation. APPROX matches are listed on the Prices sheet but excluded from statistics.</t>
        </is>
      </c>
      <c r="K249" s="2" t="n"/>
      <c r="L249" s="2" t="n"/>
      <c r="M249" s="2" t="n"/>
      <c r="N249" s="2" t="n"/>
      <c r="O249" s="2" t="n"/>
      <c r="P249" s="2" t="n"/>
      <c r="Q249" s="2" t="n"/>
      <c r="R249" s="2" t="n"/>
      <c r="S249" s="2" t="n"/>
      <c r="T249" s="2" t="n"/>
      <c r="U249" s="2" t="n"/>
      <c r="V249" s="2" t="n"/>
      <c r="W249" s="2" t="n"/>
      <c r="X249" s="2" t="n"/>
      <c r="Y249" s="2" t="n"/>
      <c r="Z249" s="2" t="n"/>
      <c r="AA249" s="2" t="n"/>
      <c r="AB249" s="2" t="n"/>
      <c r="AC249" s="2" t="n"/>
    </row>
    <row r="250" ht="64" customHeight="1">
      <c r="A250" s="2" t="n"/>
      <c r="B250" s="24" t="inlineStr">
        <is>
          <t>Where several products matched equally well, the lowest current 1-unit price was taken as primary; alternatives, promotions and pack sizes are in the Prices notes.</t>
        </is>
      </c>
      <c r="K250" s="2" t="n"/>
      <c r="L250" s="2" t="n"/>
      <c r="M250" s="2" t="n"/>
      <c r="N250" s="2" t="n"/>
      <c r="O250" s="2" t="n"/>
      <c r="P250" s="2" t="n"/>
      <c r="Q250" s="2" t="n"/>
      <c r="R250" s="2" t="n"/>
      <c r="S250" s="2" t="n"/>
      <c r="T250" s="2" t="n"/>
      <c r="U250" s="2" t="n"/>
      <c r="V250" s="2" t="n"/>
      <c r="W250" s="2" t="n"/>
      <c r="X250" s="2" t="n"/>
      <c r="Y250" s="2" t="n"/>
      <c r="Z250" s="2" t="n"/>
      <c r="AA250" s="2" t="n"/>
      <c r="AB250" s="2" t="n"/>
      <c r="AC250" s="2" t="n"/>
    </row>
    <row r="251" ht="78" customHeight="1">
      <c r="A251" s="2" t="n"/>
      <c r="B251" s="24" t="inlineStr">
        <is>
          <t>GGM Gastro prices are shown net on its CZ storefront (gross uses German 19% VAT, recorded in the VAT-rate column); net per piece is taken directly from the displayed net price. All other shops use Czech 21% VAT.</t>
        </is>
      </c>
      <c r="K251" s="2" t="n"/>
      <c r="L251" s="2" t="n"/>
      <c r="M251" s="2" t="n"/>
      <c r="N251" s="2" t="n"/>
      <c r="O251" s="2" t="n"/>
      <c r="P251" s="2" t="n"/>
      <c r="Q251" s="2" t="n"/>
      <c r="R251" s="2" t="n"/>
      <c r="S251" s="2" t="n"/>
      <c r="T251" s="2" t="n"/>
      <c r="U251" s="2" t="n"/>
      <c r="V251" s="2" t="n"/>
      <c r="W251" s="2" t="n"/>
      <c r="X251" s="2" t="n"/>
      <c r="Y251" s="2" t="n"/>
      <c r="Z251" s="2" t="n"/>
      <c r="AA251" s="2" t="n"/>
      <c r="AB251" s="2" t="n"/>
      <c r="AC251" s="2" t="n"/>
    </row>
    <row r="252" ht="64" customHeight="1">
      <c r="A252" s="2" t="n"/>
      <c r="B252" s="24" t="inlineStr">
        <is>
          <t>Prices checked 2026-09-30. All prices in CZK from Czech storefronts. MAKRO (login-only prices) and A GASTRO (site blocked) are not counted - see Not accessible.</t>
        </is>
      </c>
      <c r="K252" s="2" t="n"/>
      <c r="L252" s="2" t="n"/>
      <c r="M252" s="2" t="n"/>
      <c r="N252" s="2" t="n"/>
      <c r="O252" s="2" t="n"/>
      <c r="P252" s="2" t="n"/>
      <c r="Q252" s="2" t="n"/>
      <c r="R252" s="2" t="n"/>
      <c r="S252" s="2" t="n"/>
      <c r="T252" s="2" t="n"/>
      <c r="U252" s="2" t="n"/>
      <c r="V252" s="2" t="n"/>
      <c r="W252" s="2" t="n"/>
      <c r="X252" s="2" t="n"/>
      <c r="Y252" s="2" t="n"/>
      <c r="Z252" s="2" t="n"/>
      <c r="AA252" s="2" t="n"/>
      <c r="AB252" s="2" t="n"/>
      <c r="AC252" s="2" t="n"/>
    </row>
    <row r="253" ht="78" customHeight="1">
      <c r="A253" s="2" t="n"/>
      <c r="B253" s="24" t="inlineStr">
        <is>
          <t>Items 18-34 (additional variants) added 2026-09-30 for the same competitors; same rules (EXACT/CLOSE only in statistics, net = gross/1.21 for Czech VAT, GGM uses its own net CZK).</t>
        </is>
      </c>
      <c r="K253" s="2" t="n"/>
      <c r="L253" s="2" t="n"/>
      <c r="M253" s="2" t="n"/>
      <c r="N253" s="2" t="n"/>
      <c r="O253" s="2" t="n"/>
      <c r="P253" s="2" t="n"/>
      <c r="Q253" s="2" t="n"/>
      <c r="R253" s="2" t="n"/>
      <c r="S253" s="2" t="n"/>
      <c r="T253" s="2" t="n"/>
      <c r="U253" s="2" t="n"/>
      <c r="V253" s="2" t="n"/>
      <c r="W253" s="2" t="n"/>
      <c r="X253" s="2" t="n"/>
      <c r="Y253" s="2" t="n"/>
      <c r="Z253" s="2" t="n"/>
      <c r="AA253" s="2" t="n"/>
      <c r="AB253" s="2" t="n"/>
      <c r="AC253" s="2" t="n"/>
    </row>
    <row r="254" ht="31" customHeight="1">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row>
    <row r="255" ht="31" customHeight="1">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row>
    <row r="256" ht="31" customHeight="1">
      <c r="A256" s="2" t="n"/>
      <c r="B256" s="7" t="inlineStr">
        <is>
          <t>Additional variants · Not accessible</t>
        </is>
      </c>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row>
    <row r="257" ht="31" customHeight="1">
      <c r="A257" s="2" t="n"/>
      <c r="B257" s="16" t="inlineStr">
        <is>
          <t>Competitor</t>
        </is>
      </c>
      <c r="C257" s="17" t="inlineStr">
        <is>
          <t>URL</t>
        </is>
      </c>
      <c r="D257" s="17" t="inlineStr">
        <is>
          <t>Reason</t>
        </is>
      </c>
      <c r="E257" s="17" t="inlineStr">
        <is>
          <t>Date checked</t>
        </is>
      </c>
      <c r="F257" s="18" t="inlineStr">
        <is>
          <t>Notes</t>
        </is>
      </c>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row>
    <row r="258" ht="64" customHeight="1">
      <c r="A258" s="2" t="n"/>
      <c r="B258" s="24" t="inlineStr">
        <is>
          <t>MAKRO Czechia</t>
        </is>
      </c>
      <c r="C258" s="25" t="inlineStr">
        <is>
          <t>https://sortiment.makro.cz/shop/search?q=gastron%C3%A1doba%20polykarbon%C3%A1t</t>
        </is>
      </c>
      <c r="D258" s="24" t="inlineStr">
        <is>
          <t>Login required: every product tile shows "Pro zobrazení cen se prosím přihlaste" (please log in to view prices). Checked GN containers (METRO PROFESSIONAL, APS, Hendi).</t>
        </is>
      </c>
      <c r="E258" s="24" t="inlineStr">
        <is>
          <t>2026-09-30</t>
        </is>
      </c>
      <c r="F258" s="24" t="inlineStr">
        <is>
          <t>Competitor not counted. Homepage www.makro.cz returns HTTP 403 to non-browser clients.</t>
        </is>
      </c>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row>
    <row r="259" ht="50" customHeight="1">
      <c r="A259" s="2" t="n"/>
      <c r="B259" s="27" t="inlineStr">
        <is>
          <t>MAKRO Czechia</t>
        </is>
      </c>
      <c r="C259" s="28" t="inlineStr">
        <is>
          <t>https://www.makro.cz/metro/services/idamstream/login?returnUrl=/</t>
        </is>
      </c>
      <c r="D259" s="27" t="inlineStr">
        <is>
          <t>Price display link on homepage product teasers ("Přihlaste se pro zobrazení ceny") leads to login.</t>
        </is>
      </c>
      <c r="E259" s="27" t="inlineStr">
        <is>
          <t>2026-09-30</t>
        </is>
      </c>
      <c r="F259" s="27"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row>
    <row r="260" ht="64" customHeight="1">
      <c r="A260" s="2" t="n"/>
      <c r="B260" s="24" t="inlineStr">
        <is>
          <t>A GASTRO</t>
        </is>
      </c>
      <c r="C260" s="25" t="inlineStr">
        <is>
          <t>https://agastro.cz/</t>
        </is>
      </c>
      <c r="D260" s="24" t="inlineStr">
        <is>
          <t>Access error: Cloudflare bot challenge / HTTP 403 on all pages (home, robots.txt, sitemap.xml, category pages), in scripts, a full browser and the web-fetch tool.</t>
        </is>
      </c>
      <c r="E260" s="24" t="inlineStr">
        <is>
          <t>2026-09-30</t>
        </is>
      </c>
      <c r="F260" s="24" t="inlineStr">
        <is>
          <t>Competitor not counted. Search snippets only (e.g. https://agastro.cz/gastronadoby-vacbox/, https://agastro.cz/detail/21689/) - not used as price evidence.</t>
        </is>
      </c>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row>
    <row r="261" ht="36" customHeight="1">
      <c r="A261" s="2" t="n"/>
      <c r="B261" s="27" t="inlineStr">
        <is>
          <t>A GASTRO</t>
        </is>
      </c>
      <c r="C261" s="28" t="inlineStr">
        <is>
          <t>https://agastro.cz/gastronadoby-vacbox/</t>
        </is>
      </c>
      <c r="D261" s="27" t="inlineStr">
        <is>
          <t>HTTP 403 (Cloudflare) - category page found via search engine could not be opened.</t>
        </is>
      </c>
      <c r="E261" s="27" t="inlineStr">
        <is>
          <t>2026-09-30</t>
        </is>
      </c>
      <c r="F261" s="27"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row>
    <row r="262" ht="50" customHeight="1">
      <c r="A262" s="2" t="n"/>
      <c r="B262" s="24" t="inlineStr">
        <is>
          <t>GGM Gastro (CZ storefront)</t>
        </is>
      </c>
      <c r="C262" s="25" t="inlineStr">
        <is>
          <t>https://www.ggmgastro.com/cs-cz-czk/search?q=polykarbon%C3%A1t</t>
        </is>
      </c>
      <c r="D262" s="24" t="inlineStr">
        <is>
          <t>Search results are JavaScript-loaded and the site returns "403 FORBIDDEN - This request was blocked" to headless browsers.</t>
        </is>
      </c>
      <c r="E262" s="24" t="inlineStr">
        <is>
          <t>2026-09-30</t>
        </is>
      </c>
      <c r="F262" s="24" t="inlineStr">
        <is>
          <t>Worked around: products located via the public product sitemap and read in a full (non-headless) browser; prices recorded from product pages.</t>
        </is>
      </c>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row>
    <row r="263" ht="106" customHeight="1">
      <c r="A263" s="2" t="n"/>
      <c r="B263" s="27" t="inlineStr">
        <is>
          <t>GGM Gastro (CZ storefront)</t>
        </is>
      </c>
      <c r="C263" s="28" t="inlineStr">
        <is>
          <t>https://www.ggmgastro.com/cs-cz-czk/6-ks-stlacovaci-lahev-na-omacky-1-020-ml-o-80-mm-se-sroubovacim-uzaverem-a-uzaviraci-cepickou-transparentni-93259-6</t>
        </is>
      </c>
      <c r="D263" s="27" t="inlineStr">
        <is>
          <t>Product shows "Není k dispozici pro vybranou zemi dodání" (not available for the selected delivery country).</t>
        </is>
      </c>
      <c r="E263" s="27" t="inlineStr">
        <is>
          <t>2026-09-30</t>
        </is>
      </c>
      <c r="F263" s="27" t="inlineStr">
        <is>
          <t>Not used as primary observation for item 6.</t>
        </is>
      </c>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row>
    <row r="264" ht="64" customHeight="1">
      <c r="A264" s="2" t="n"/>
      <c r="B264" s="24" t="inlineStr">
        <is>
          <t>Gastromania</t>
        </is>
      </c>
      <c r="C264" s="25" t="inlineStr">
        <is>
          <t>https://www.gastromania.cz/products/search/language:cze?q=polykarbon%C3%A1t+GN+1%2F1</t>
        </is>
      </c>
      <c r="D264" s="24" t="inlineStr">
        <is>
          <t>Prices are injected by JavaScript (empty in raw HTML).</t>
        </is>
      </c>
      <c r="E264" s="24" t="inlineStr">
        <is>
          <t>2026-09-30</t>
        </is>
      </c>
      <c r="F264" s="24" t="inlineStr">
        <is>
          <t>Worked around: read with a rendering browser; all recorded prices verified on rendered product pages/listings.</t>
        </is>
      </c>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row>
    <row r="265" ht="31" customHeight="1">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row>
    <row r="266" ht="31" customHeight="1">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row>
    <row r="267" ht="31" customHeight="1">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row>
    <row r="268" ht="22" customHeight="1">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row>
    <row r="269" ht="22" customHeight="1">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row>
    <row r="270" ht="22" customHeight="1">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row>
    <row r="271" ht="22" customHeight="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row>
    <row r="272" ht="22" customHeight="1">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row>
    <row r="273" ht="22" customHeight="1">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row>
    <row r="274" ht="22" customHeight="1">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row>
    <row r="275" ht="22" customHeight="1">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row>
    <row r="276" ht="22" customHeight="1">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row>
    <row r="277" ht="22" customHeight="1">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row>
    <row r="278" ht="22" customHeight="1">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row>
    <row r="279" ht="22" customHeight="1">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row>
    <row r="280" ht="22" customHeight="1">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row>
    <row r="281" ht="22" customHeight="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row>
    <row r="282" ht="22" customHeight="1">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row>
    <row r="283" ht="22" customHeight="1">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row>
    <row r="284" ht="22" customHeight="1">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row>
    <row r="285" ht="22" customHeight="1">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row>
    <row r="286" ht="22" customHeight="1">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row>
    <row r="287" ht="22" customHeight="1">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row>
    <row r="288" ht="22" customHeight="1">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row>
    <row r="289" ht="22" customHeight="1">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row>
    <row r="290" ht="22" customHeight="1">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row>
    <row r="291" ht="22" customHeight="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row>
    <row r="292" ht="22" customHeight="1">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row>
    <row r="293" ht="22" customHeight="1">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row>
    <row r="294" ht="22" customHeight="1">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row>
    <row r="295" ht="22" customHeight="1">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row>
    <row r="296" ht="22" customHeight="1">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row>
    <row r="297" ht="22" customHeight="1">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row>
    <row r="298" ht="22" customHeight="1">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row>
    <row r="299" ht="22" customHeight="1">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row>
    <row r="300" ht="22" customHeight="1">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row>
    <row r="301" ht="22" customHeight="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row>
    <row r="302" ht="22" customHeight="1">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row>
    <row r="303" ht="22" customHeight="1">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row>
    <row r="304" ht="22" customHeight="1">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row>
    <row r="305" ht="22" customHeight="1">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row>
    <row r="306" ht="22" customHeight="1">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row>
    <row r="307" ht="22" customHeight="1">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row>
    <row r="308" ht="22" customHeight="1">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row>
    <row r="309" ht="22" customHeight="1">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row>
    <row r="310" ht="22" customHeight="1">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row>
    <row r="311" ht="22" customHeight="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row>
    <row r="312" ht="22" customHeight="1">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row>
    <row r="313" ht="22" customHeight="1">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row>
    <row r="314" ht="22" customHeight="1">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row>
    <row r="315" ht="22" customHeight="1">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row>
    <row r="316" ht="22" customHeight="1">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row>
    <row r="317" ht="22" customHeight="1">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row>
    <row r="318" ht="22" customHeight="1">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row>
    <row r="319" ht="22" customHeight="1">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row>
    <row r="320" ht="22" customHeight="1">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row>
    <row r="321" ht="22" customHeight="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row>
    <row r="322" ht="22" customHeight="1">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row>
    <row r="323" ht="22" customHeight="1">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row>
    <row r="324" ht="22" customHeight="1">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row>
    <row r="325" ht="22" customHeight="1">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row>
    <row r="326" ht="22" customHeight="1">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row>
    <row r="327" ht="22" customHeight="1">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row>
    <row r="328" ht="22" customHeight="1">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row>
    <row r="329" ht="22" customHeight="1">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row>
    <row r="330" ht="22" customHeight="1">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row>
    <row r="331" ht="22" customHeight="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row>
    <row r="332" ht="22" customHeight="1">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row>
    <row r="333" ht="22" customHeight="1">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row>
    <row r="334" ht="22" customHeight="1">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row>
    <row r="335" ht="22" customHeight="1">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row>
    <row r="336" ht="22" customHeight="1">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row>
    <row r="337" ht="22" customHeight="1">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row>
    <row r="338" ht="22" customHeight="1">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row>
    <row r="339" ht="22" customHeight="1">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row>
    <row r="340" ht="22" customHeight="1">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row>
    <row r="341" ht="22" customHeight="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row>
    <row r="342" ht="22" customHeight="1">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row>
    <row r="343" ht="22" customHeight="1">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row>
    <row r="344" ht="22" customHeight="1">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row>
    <row r="345" ht="22" customHeight="1">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row>
    <row r="346" ht="22" customHeight="1">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row>
    <row r="347" ht="22" customHeight="1">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row>
    <row r="348" ht="22" customHeight="1">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row>
    <row r="349" ht="22" customHeight="1">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row>
    <row r="350" ht="22" customHeight="1">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row>
    <row r="351" ht="22" customHeight="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row>
    <row r="352" ht="22" customHeight="1">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row>
    <row r="353" ht="22" customHeight="1">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row>
    <row r="354" ht="22" customHeight="1">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row>
    <row r="355" ht="22" customHeight="1">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row>
    <row r="356" ht="22" customHeight="1">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row>
    <row r="357" ht="22" customHeight="1">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row>
    <row r="358" ht="22" customHeight="1">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row>
    <row r="359" ht="22" customHeight="1">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row>
    <row r="360" ht="22" customHeight="1">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row>
    <row r="361" ht="22" customHeight="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row>
    <row r="362" ht="22" customHeight="1">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row>
    <row r="363" ht="22" customHeight="1">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row>
    <row r="364" ht="22" customHeight="1">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row>
    <row r="365" ht="22" customHeight="1">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row>
    <row r="366" ht="22" customHeight="1">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row>
    <row r="367" ht="22" customHeight="1">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row>
    <row r="368" ht="22" customHeight="1">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row>
    <row r="369" ht="22" customHeight="1">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row>
    <row r="370" ht="22" customHeight="1">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row>
    <row r="371" ht="22" customHeight="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row>
    <row r="372" ht="22" customHeight="1">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row>
    <row r="373" ht="22" customHeight="1">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row>
    <row r="374" ht="22" customHeight="1">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row>
    <row r="375" ht="22" customHeight="1">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row>
    <row r="376" ht="22" customHeight="1">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row>
    <row r="377" ht="22" customHeight="1">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row>
    <row r="378" ht="22" customHeight="1">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row>
    <row r="379" ht="22" customHeight="1">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row>
    <row r="380" ht="22" customHeight="1">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row>
    <row r="381" ht="22" customHeight="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row>
    <row r="382" ht="22" customHeight="1">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row>
    <row r="383" ht="22" customHeight="1">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row>
    <row r="384" ht="22" customHeight="1">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row>
    <row r="385" ht="22" customHeight="1">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row>
    <row r="386" ht="22" customHeight="1">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row>
    <row r="387" ht="22" customHeight="1">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row>
    <row r="388" ht="22" customHeight="1">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row>
    <row r="389" ht="22" customHeight="1">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row>
    <row r="390" ht="22" customHeight="1">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row>
    <row r="391" ht="22" customHeight="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row>
    <row r="392" ht="22" customHeight="1">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row>
    <row r="393" ht="22" customHeight="1">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row>
    <row r="394" ht="22" customHeight="1">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row>
    <row r="395" ht="22" customHeight="1">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row>
    <row r="396" ht="22" customHeight="1">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row>
    <row r="397" ht="22" customHeight="1">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row>
    <row r="398" ht="22" customHeight="1">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row>
    <row r="399" ht="22" customHeight="1">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row>
    <row r="400" ht="22" customHeight="1">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row>
    <row r="401" ht="22" customHeight="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row>
    <row r="402" ht="22" customHeight="1">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row>
    <row r="403" ht="22" customHeight="1">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row>
    <row r="404" ht="22" customHeight="1">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row>
    <row r="405" ht="22" customHeight="1">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row>
    <row r="406" ht="22" customHeight="1">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row>
    <row r="407" ht="22" customHeight="1">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row>
    <row r="408" ht="22" customHeight="1">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row>
    <row r="409" ht="22" customHeight="1">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row>
    <row r="410" ht="22" customHeight="1">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row>
    <row r="411" ht="22" customHeight="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row>
    <row r="412" ht="22" customHeight="1">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row>
    <row r="413" ht="22" customHeight="1">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row>
    <row r="414" ht="22" customHeight="1">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row>
    <row r="415" ht="22" customHeight="1">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row>
    <row r="416" ht="22" customHeight="1">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row>
    <row r="417" ht="22" customHeight="1">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row>
    <row r="418" ht="22" customHeight="1">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row>
    <row r="419" ht="22" customHeight="1">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row>
    <row r="420" ht="22" customHeight="1">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row>
    <row r="421" ht="22" customHeight="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row>
    <row r="422" ht="22" customHeight="1">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row>
    <row r="423" ht="22" customHeight="1">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row>
    <row r="424" ht="22" customHeight="1">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row>
    <row r="425" ht="22" customHeight="1">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row>
    <row r="426" ht="22" customHeight="1">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row>
    <row r="427" ht="22" customHeight="1">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row>
    <row r="428" ht="22" customHeight="1">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row>
    <row r="429" ht="22" customHeight="1">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row>
    <row r="430" ht="22" customHeight="1">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row>
    <row r="431" ht="22" customHeight="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row>
    <row r="432" ht="22" customHeight="1">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row>
    <row r="433" ht="22" customHeight="1">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row>
    <row r="434" ht="22" customHeight="1">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row>
    <row r="435" ht="22" customHeight="1">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row>
    <row r="436" ht="22" customHeight="1">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row>
    <row r="437" ht="22" customHeight="1">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row>
    <row r="438" ht="22" customHeight="1">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row>
    <row r="439" ht="22" customHeight="1">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row>
    <row r="440" ht="22" customHeight="1">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row>
    <row r="441" ht="22" customHeight="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row>
    <row r="442" ht="22" customHeight="1">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row>
    <row r="443" ht="22" customHeight="1">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row>
    <row r="444" ht="22" customHeight="1">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row>
    <row r="445" ht="22" customHeight="1">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row>
    <row r="446" ht="22" customHeight="1">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row>
    <row r="447" ht="22" customHeight="1">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row>
    <row r="448" ht="22" customHeight="1">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row>
    <row r="449" ht="22" customHeight="1">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row>
    <row r="450" ht="22" customHeight="1">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row>
    <row r="451" ht="22" customHeight="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row>
    <row r="452" ht="22" customHeight="1">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row>
    <row r="453" ht="22" customHeight="1">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row>
    <row r="454" ht="22" customHeight="1">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row>
    <row r="455" ht="22" customHeight="1">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row>
    <row r="456" ht="22" customHeight="1">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row>
    <row r="457" ht="22" customHeight="1">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row>
    <row r="458" ht="22" customHeight="1">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row>
    <row r="459" ht="22" customHeight="1">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row>
    <row r="460" ht="22" customHeight="1">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row>
    <row r="461" ht="22" customHeight="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row>
    <row r="462" ht="22" customHeight="1">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row>
    <row r="463" ht="22" customHeight="1">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row>
    <row r="464" ht="22" customHeight="1">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row>
    <row r="465" ht="22" customHeight="1">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row>
    <row r="466" ht="22" customHeight="1">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row>
    <row r="467" ht="22" customHeight="1">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row>
    <row r="468" ht="22" customHeight="1">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row>
    <row r="469" ht="22" customHeight="1">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row>
    <row r="470" ht="22" customHeight="1">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row>
    <row r="471" ht="22" customHeight="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row>
    <row r="472" ht="22" customHeight="1">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row>
    <row r="473" ht="22" customHeight="1">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row>
    <row r="474" ht="22" customHeight="1">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row>
    <row r="475" ht="22" customHeight="1">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row>
    <row r="476" ht="22" customHeight="1">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row>
    <row r="477" ht="22" customHeight="1">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row>
    <row r="478" ht="22" customHeight="1">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row>
    <row r="479" ht="22" customHeight="1">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row>
    <row r="480" ht="22" customHeight="1">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row>
    <row r="481" ht="22" customHeight="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row>
    <row r="482" ht="22" customHeight="1">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row>
    <row r="483" ht="22" customHeight="1">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row>
    <row r="484" ht="22" customHeight="1">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row>
    <row r="485" ht="22" customHeight="1">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row>
    <row r="486" ht="22" customHeight="1">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row>
    <row r="487" ht="22" customHeight="1">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row>
    <row r="488" ht="22" customHeight="1">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row>
    <row r="489" ht="22" customHeight="1">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row>
    <row r="490" ht="22" customHeight="1">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row>
    <row r="491" ht="22" customHeight="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row>
    <row r="492" ht="22" customHeight="1">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row>
    <row r="493" ht="22" customHeight="1">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row>
    <row r="494" ht="22" customHeight="1">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row>
    <row r="495" ht="22" customHeight="1">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row>
    <row r="496" ht="22" customHeight="1">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row>
    <row r="497" ht="22" customHeight="1">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row>
    <row r="498" ht="22" customHeight="1">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row>
    <row r="499" ht="22" customHeight="1">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row>
    <row r="500" ht="22" customHeight="1">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row>
  </sheetData>
  <mergeCells count="15">
    <mergeCell ref="B253:J253"/>
    <mergeCell ref="B120:J120"/>
    <mergeCell ref="B117:J117"/>
    <mergeCell ref="B251:J251"/>
    <mergeCell ref="B121:J121"/>
    <mergeCell ref="B246:J246"/>
    <mergeCell ref="B116:J116"/>
    <mergeCell ref="B122:J122"/>
    <mergeCell ref="B250:J250"/>
    <mergeCell ref="B118:J118"/>
    <mergeCell ref="B247:J247"/>
    <mergeCell ref="B119:J119"/>
    <mergeCell ref="B249:J249"/>
    <mergeCell ref="B248:J248"/>
    <mergeCell ref="B252:J252"/>
  </mergeCells>
  <pageMargins left="0.7" right="0.7" top="0.75" bottom="0.75" header="0.3" footer="0.3"/>
  <tableParts count="8">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s>
</worksheet>
</file>

<file path=xl/worksheets/sheet12.xml><?xml version="1.0" encoding="utf-8"?>
<worksheet xmlns="http://schemas.openxmlformats.org/spreadsheetml/2006/main">
  <sheetPr>
    <outlinePr summaryBelow="1" summaryRight="1"/>
    <pageSetUpPr/>
  </sheetPr>
  <dimension ref="A1:AC230"/>
  <sheetViews>
    <sheetView showGridLines="0" workbookViewId="0">
      <pane xSplit="3" ySplit="8" topLeftCell="D9" activePane="bottomRight" state="frozen"/>
      <selection activeCell="A1" sqref="A1"/>
    </sheetView>
  </sheetViews>
  <sheetFormatPr baseColWidth="8" defaultRowHeight="15"/>
  <cols>
    <col width="3" customWidth="1" min="1" max="1"/>
    <col width="27" customWidth="1" min="2" max="2"/>
    <col width="56" customWidth="1" min="3" max="3"/>
    <col width="24" customWidth="1" min="4" max="4"/>
    <col width="70"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80"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s>
  <sheetData>
    <row r="1" ht="22"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row>
    <row r="2" ht="28" customHeight="1">
      <c r="A2" s="2" t="n"/>
      <c r="B2" s="3" t="inlineStr">
        <is>
          <t>Slovakia source extract</t>
        </is>
      </c>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row>
    <row r="3" ht="22" customHeight="1">
      <c r="A3" s="2" t="n"/>
      <c r="B3" s="4" t="inlineStr">
        <is>
          <t>YES Gastro Slovakia Market Research.xlsx</t>
        </is>
      </c>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c r="AA3" s="2" t="n"/>
      <c r="AB3" s="2" t="n"/>
      <c r="AC3" s="2" t="n"/>
    </row>
    <row r="4" ht="22" customHeight="1">
      <c r="A4" s="2" t="n"/>
      <c r="B4" s="5" t="n"/>
      <c r="C4" s="5" t="n"/>
      <c r="D4" s="5" t="n"/>
      <c r="E4" s="5" t="n"/>
      <c r="F4" s="5" t="n"/>
      <c r="G4" s="5" t="n"/>
      <c r="H4" s="5" t="n"/>
      <c r="I4" s="5" t="n"/>
      <c r="J4" s="5" t="n"/>
      <c r="K4" s="5" t="n"/>
      <c r="L4" s="5" t="n"/>
      <c r="M4" s="5" t="n"/>
      <c r="N4" s="5" t="n"/>
      <c r="O4" s="2" t="n"/>
      <c r="P4" s="2" t="n"/>
      <c r="Q4" s="2" t="n"/>
      <c r="R4" s="2" t="n"/>
      <c r="S4" s="2" t="n"/>
      <c r="T4" s="2" t="n"/>
      <c r="U4" s="2" t="n"/>
      <c r="V4" s="2" t="n"/>
      <c r="W4" s="2" t="n"/>
      <c r="X4" s="2" t="n"/>
      <c r="Y4" s="2" t="n"/>
      <c r="Z4" s="2" t="n"/>
      <c r="AA4" s="2" t="n"/>
      <c r="AB4" s="2" t="n"/>
      <c r="AC4" s="2" t="n"/>
    </row>
    <row r="5" ht="22" customHeight="1">
      <c r="A5" s="2" t="n"/>
      <c r="B5" s="6" t="inlineStr">
        <is>
          <t>Original research values. Item numbers and observation counts removed; source formulas retain their original wording.</t>
        </is>
      </c>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c r="AA5" s="2" t="n"/>
      <c r="AB5" s="2" t="n"/>
      <c r="AC5" s="2" t="n"/>
    </row>
    <row r="6" ht="22" customHeight="1">
      <c r="A6" s="2" t="n"/>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c r="AA6" s="2" t="n"/>
      <c r="AB6" s="2" t="n"/>
      <c r="AC6" s="2" t="n"/>
    </row>
    <row r="7" ht="22" customHeight="1">
      <c r="A7" s="2" t="n"/>
      <c r="B7" s="7" t="inlineStr">
        <is>
          <t>Prices</t>
        </is>
      </c>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c r="AA7" s="2" t="n"/>
      <c r="AB7" s="2" t="n"/>
      <c r="AC7" s="2" t="n"/>
    </row>
    <row r="8" ht="38" customHeight="1">
      <c r="A8" s="2" t="n"/>
      <c r="B8" s="16" t="inlineStr">
        <is>
          <t>Competitor</t>
        </is>
      </c>
      <c r="C8" s="17" t="inlineStr">
        <is>
          <t>Product name</t>
        </is>
      </c>
      <c r="D8" s="17" t="inlineStr">
        <is>
          <t>Brand</t>
        </is>
      </c>
      <c r="E8" s="17" t="inlineStr">
        <is>
          <t>Product URL</t>
        </is>
      </c>
      <c r="F8" s="17" t="inlineStr">
        <is>
          <t>Listed price</t>
        </is>
      </c>
      <c r="G8" s="17" t="inlineStr">
        <is>
          <t>Currency</t>
        </is>
      </c>
      <c r="H8" s="17" t="inlineStr">
        <is>
          <t>Incl./excl. VAT</t>
        </is>
      </c>
      <c r="I8" s="17" t="inlineStr">
        <is>
          <t>VAT rate used</t>
        </is>
      </c>
      <c r="J8" s="17" t="inlineStr">
        <is>
          <t>Pack size</t>
        </is>
      </c>
      <c r="K8" s="17" t="inlineStr">
        <is>
          <t>Price basis (per pack / per piece)</t>
        </is>
      </c>
      <c r="L8" s="17" t="inlineStr">
        <is>
          <t>Net price per piece EUR</t>
        </is>
      </c>
      <c r="M8" s="17" t="inlineStr">
        <is>
          <t>Match quality</t>
        </is>
      </c>
      <c r="N8" s="17" t="inlineStr">
        <is>
          <t>Notes</t>
        </is>
      </c>
      <c r="O8" s="17" t="inlineStr">
        <is>
          <t>Date checked</t>
        </is>
      </c>
      <c r="P8" s="17" t="inlineStr">
        <is>
          <t>Summary value (EXACT/CLOSE from counted competitor)</t>
        </is>
      </c>
      <c r="Q8" s="17" t="inlineStr">
        <is>
          <t>Net price per piece EUR (saved value)</t>
        </is>
      </c>
      <c r="R8" s="18" t="inlineStr">
        <is>
          <t>Summary value (EXACT/CLOSE from counted competitor) (saved value)</t>
        </is>
      </c>
      <c r="S8" s="2" t="n"/>
      <c r="T8" s="2" t="n"/>
      <c r="U8" s="2" t="n"/>
      <c r="V8" s="2" t="n"/>
      <c r="W8" s="2" t="n"/>
      <c r="X8" s="2" t="n"/>
      <c r="Y8" s="2" t="n"/>
      <c r="Z8" s="2" t="n"/>
      <c r="AA8" s="2" t="n"/>
      <c r="AB8" s="2" t="n"/>
      <c r="AC8" s="2" t="n"/>
    </row>
    <row r="9" ht="106" customHeight="1">
      <c r="A9" s="2" t="n"/>
      <c r="B9" s="24" t="inlineStr">
        <is>
          <t>Gastromania.sk (GASTROMANIA CZ s.r.o., CZ)</t>
        </is>
      </c>
      <c r="C9" s="24" t="inlineStr">
        <is>
          <t>Polykarbonátová gastronádoba GN1/1 65 mm | CONTACTO, 8211/065</t>
        </is>
      </c>
      <c r="D9" s="24" t="inlineStr">
        <is>
          <t>Contacto</t>
        </is>
      </c>
      <c r="E9" s="25" t="inlineStr">
        <is>
          <t>https://gastromania.sk/gastronadoby-polykarbonatove/polykarbonatova-gastronadoba-gn1-1-65-mm-contacto-8211-065</t>
        </is>
      </c>
      <c r="F9" s="98" t="n">
        <v>20.48</v>
      </c>
      <c r="G9" s="24" t="inlineStr">
        <is>
          <t>EUR</t>
        </is>
      </c>
      <c r="H9" s="24" t="inlineStr">
        <is>
          <t>excl.</t>
        </is>
      </c>
      <c r="I9" s="24" t="inlineStr">
        <is>
          <t>n/a</t>
        </is>
      </c>
      <c r="J9" s="116" t="n">
        <v>1</v>
      </c>
      <c r="K9" s="24" t="inlineStr">
        <is>
          <t>per piece</t>
        </is>
      </c>
      <c r="L9" s="36" t="inlineStr">
        <is>
          <t>=IF(ISNUMBER(F2),IF(H2="incl.",F2/(1+I2),F2)/IF(K2="per pack",J2,1),"")</t>
        </is>
      </c>
      <c r="M9" s="24" t="inlineStr">
        <is>
          <t>EXACT</t>
        </is>
      </c>
      <c r="N9" s="24" t="inlineStr">
        <is>
          <t>Listed 'Cena bez DPH' 20.48 EUR / 'Cena s DPH' 25.19 EUR. PC, GN 1/1, 65 mm, 8,5 l. Promo price; base 22,75 bez DPH / 27,98 s DPH. Availability 30 days.</t>
        </is>
      </c>
      <c r="O9" s="24" t="inlineStr">
        <is>
          <t>2026-09-30</t>
        </is>
      </c>
      <c r="P9" s="36" t="inlineStr">
        <is>
          <t>=IF(AND(OR(M2="EXACT",M2="CLOSE"),ISNUMBER(L2),IFERROR(INDEX(Competitors!$M:$M,MATCH(B2,Competitors!$A:$A,0)),"no")="yes"),L2,"")</t>
        </is>
      </c>
      <c r="Q9" s="24" t="n">
        <v>20.48</v>
      </c>
      <c r="R9" s="24" t="n">
        <v>20.48</v>
      </c>
      <c r="S9" s="2" t="n"/>
      <c r="T9" s="2" t="n"/>
      <c r="U9" s="2" t="n"/>
      <c r="V9" s="2" t="n"/>
      <c r="W9" s="2" t="n"/>
      <c r="X9" s="2" t="n"/>
      <c r="Y9" s="2" t="n"/>
      <c r="Z9" s="2" t="n"/>
      <c r="AA9" s="2" t="n"/>
      <c r="AB9" s="2" t="n"/>
      <c r="AC9" s="2" t="n"/>
    </row>
    <row r="10" ht="106" customHeight="1">
      <c r="A10" s="2" t="n"/>
      <c r="B10" s="27" t="inlineStr">
        <is>
          <t>Gastrozone.sk (GASTROZONE, spol. s r.o., CZ)</t>
        </is>
      </c>
      <c r="C10" s="27" t="inlineStr">
        <is>
          <t>ARAVEN Gastronádoba GN 1/1, polykarbonát, Hĺbka: 65 mm, Objem: 8,6 L</t>
        </is>
      </c>
      <c r="D10" s="27" t="inlineStr">
        <is>
          <t>Araven</t>
        </is>
      </c>
      <c r="E10" s="28" t="inlineStr">
        <is>
          <t>https://www.gastrozone.sk/araven-gn-box-1-1-polykarbonat-hloubka-65-mm-objem-8-6-l.html</t>
        </is>
      </c>
      <c r="F10" s="102" t="n">
        <v>20.24</v>
      </c>
      <c r="G10" s="27" t="inlineStr">
        <is>
          <t>EUR</t>
        </is>
      </c>
      <c r="H10" s="27" t="inlineStr">
        <is>
          <t>incl.</t>
        </is>
      </c>
      <c r="I10" s="123" t="n">
        <v>0.23</v>
      </c>
      <c r="J10" s="117" t="n">
        <v>1</v>
      </c>
      <c r="K10" s="27" t="inlineStr">
        <is>
          <t>per piece</t>
        </is>
      </c>
      <c r="L10" s="38" t="inlineStr">
        <is>
          <t>=IF(ISNUMBER(F3),IF(H3="incl.",F3/(1+I3),F3)/IF(K3="per pack",J3,1),"")</t>
        </is>
      </c>
      <c r="M10" s="27" t="inlineStr">
        <is>
          <t>EXACT</t>
        </is>
      </c>
      <c r="N10" s="27" t="inlineStr">
        <is>
          <t>Page shows 20,24 EUR / 16,46 EUR bez DPH. Availability: to order (3-5 weeks).</t>
        </is>
      </c>
      <c r="O10" s="27" t="inlineStr">
        <is>
          <t>2026-09-30</t>
        </is>
      </c>
      <c r="P10" s="38" t="inlineStr">
        <is>
          <t>=IF(AND(OR(M3="EXACT",M3="CLOSE"),ISNUMBER(L3),IFERROR(INDEX(Competitors!$M:$M,MATCH(B3,Competitors!$A:$A,0)),"no")="yes"),L3,"")</t>
        </is>
      </c>
      <c r="Q10" s="27" t="n">
        <v>16.4552845528455</v>
      </c>
      <c r="R10" s="27" t="n">
        <v>16.4552845528455</v>
      </c>
      <c r="S10" s="2" t="n"/>
      <c r="T10" s="2" t="n"/>
      <c r="U10" s="2" t="n"/>
      <c r="V10" s="2" t="n"/>
      <c r="W10" s="2" t="n"/>
      <c r="X10" s="2" t="n"/>
      <c r="Y10" s="2" t="n"/>
      <c r="Z10" s="2" t="n"/>
      <c r="AA10" s="2" t="n"/>
      <c r="AB10" s="2" t="n"/>
      <c r="AC10" s="2" t="n"/>
    </row>
    <row r="11" ht="106" customHeight="1">
      <c r="A11" s="2" t="n"/>
      <c r="B11" s="24" t="inlineStr">
        <is>
          <t>Gastromania.sk (GASTROMANIA CZ s.r.o., CZ)</t>
        </is>
      </c>
      <c r="C11" s="24" t="inlineStr">
        <is>
          <t>Polykarbonátová gastronádoba GN1/2 150 mm | CONTACTO, 8212/150</t>
        </is>
      </c>
      <c r="D11" s="24" t="inlineStr">
        <is>
          <t>Contacto</t>
        </is>
      </c>
      <c r="E11" s="25" t="inlineStr">
        <is>
          <t>https://gastromania.sk/gastronadoby-polykarbonatove/polykarbonatova-gastronadoba-gn1-2-150-mm-contacto-8212-150</t>
        </is>
      </c>
      <c r="F11" s="98" t="n">
        <v>16.15</v>
      </c>
      <c r="G11" s="24" t="inlineStr">
        <is>
          <t>EUR</t>
        </is>
      </c>
      <c r="H11" s="24" t="inlineStr">
        <is>
          <t>excl.</t>
        </is>
      </c>
      <c r="I11" s="24" t="inlineStr">
        <is>
          <t>n/a</t>
        </is>
      </c>
      <c r="J11" s="116" t="n">
        <v>1</v>
      </c>
      <c r="K11" s="24" t="inlineStr">
        <is>
          <t>per piece</t>
        </is>
      </c>
      <c r="L11" s="36" t="inlineStr">
        <is>
          <t>=IF(ISNUMBER(F4),IF(H4="incl.",F4/(1+I4),F4)/IF(K4="per pack",J4,1),"")</t>
        </is>
      </c>
      <c r="M11" s="24" t="inlineStr">
        <is>
          <t>EXACT</t>
        </is>
      </c>
      <c r="N11" s="24" t="inlineStr">
        <is>
          <t>Listed 'Cena bez DPH' 16.15 EUR / 'Cena s DPH' 19.86 EUR. PC, GN 1/2, 150 mm, 9 l. Promo price; base 17,94 / 22,07. Availability 30 days.</t>
        </is>
      </c>
      <c r="O11" s="24" t="inlineStr">
        <is>
          <t>2026-09-30</t>
        </is>
      </c>
      <c r="P11" s="36" t="inlineStr">
        <is>
          <t>=IF(AND(OR(M4="EXACT",M4="CLOSE"),ISNUMBER(L4),IFERROR(INDEX(Competitors!$M:$M,MATCH(B4,Competitors!$A:$A,0)),"no")="yes"),L4,"")</t>
        </is>
      </c>
      <c r="Q11" s="24" t="n">
        <v>16.15</v>
      </c>
      <c r="R11" s="24" t="n">
        <v>16.15</v>
      </c>
      <c r="S11" s="2" t="n"/>
      <c r="T11" s="2" t="n"/>
      <c r="U11" s="2" t="n"/>
      <c r="V11" s="2" t="n"/>
      <c r="W11" s="2" t="n"/>
      <c r="X11" s="2" t="n"/>
      <c r="Y11" s="2" t="n"/>
      <c r="Z11" s="2" t="n"/>
      <c r="AA11" s="2" t="n"/>
      <c r="AB11" s="2" t="n"/>
      <c r="AC11" s="2" t="n"/>
    </row>
    <row r="12" ht="106" customHeight="1">
      <c r="A12" s="2" t="n"/>
      <c r="B12" s="27" t="inlineStr">
        <is>
          <t>Gastrozone.sk (GASTROZONE, spol. s r.o., CZ)</t>
        </is>
      </c>
      <c r="C12" s="27" t="inlineStr">
        <is>
          <t>ARAVEN Gastronádoba GN 1/2, polykarbonát, hĺbka: 150 mm, objem: 8 L</t>
        </is>
      </c>
      <c r="D12" s="27" t="inlineStr">
        <is>
          <t>Araven</t>
        </is>
      </c>
      <c r="E12" s="28" t="inlineStr">
        <is>
          <t>https://www.gastrozone.sk/araven-gn-nadoba-1-2-polykarbonat-hloubka-150-mm-objem-8-l.html</t>
        </is>
      </c>
      <c r="F12" s="102" t="n">
        <v>18.73</v>
      </c>
      <c r="G12" s="27" t="inlineStr">
        <is>
          <t>EUR</t>
        </is>
      </c>
      <c r="H12" s="27" t="inlineStr">
        <is>
          <t>incl.</t>
        </is>
      </c>
      <c r="I12" s="123" t="n">
        <v>0.23</v>
      </c>
      <c r="J12" s="117" t="n">
        <v>1</v>
      </c>
      <c r="K12" s="27" t="inlineStr">
        <is>
          <t>per piece</t>
        </is>
      </c>
      <c r="L12" s="38" t="inlineStr">
        <is>
          <t>=IF(ISNUMBER(F5),IF(H5="incl.",F5/(1+I5),F5)/IF(K5="per pack",J5,1),"")</t>
        </is>
      </c>
      <c r="M12" s="27" t="inlineStr">
        <is>
          <t>EXACT</t>
        </is>
      </c>
      <c r="N12" s="27" t="inlineStr">
        <is>
          <t>Page shows 18,73 EUR / 15,23 EUR bez DPH. Availability: to order (3-5 weeks).</t>
        </is>
      </c>
      <c r="O12" s="27" t="inlineStr">
        <is>
          <t>2026-09-30</t>
        </is>
      </c>
      <c r="P12" s="38" t="inlineStr">
        <is>
          <t>=IF(AND(OR(M5="EXACT",M5="CLOSE"),ISNUMBER(L5),IFERROR(INDEX(Competitors!$M:$M,MATCH(B5,Competitors!$A:$A,0)),"no")="yes"),L5,"")</t>
        </is>
      </c>
      <c r="Q12" s="27" t="n">
        <v>15.2276422764228</v>
      </c>
      <c r="R12" s="27" t="n">
        <v>15.2276422764228</v>
      </c>
      <c r="S12" s="2" t="n"/>
      <c r="T12" s="2" t="n"/>
      <c r="U12" s="2" t="n"/>
      <c r="V12" s="2" t="n"/>
      <c r="W12" s="2" t="n"/>
      <c r="X12" s="2" t="n"/>
      <c r="Y12" s="2" t="n"/>
      <c r="Z12" s="2" t="n"/>
      <c r="AA12" s="2" t="n"/>
      <c r="AB12" s="2" t="n"/>
      <c r="AC12" s="2" t="n"/>
    </row>
    <row r="13" ht="106" customHeight="1">
      <c r="A13" s="2" t="n"/>
      <c r="B13" s="24" t="inlineStr">
        <is>
          <t>Gastromania.sk (GASTROMANIA CZ s.r.o., CZ)</t>
        </is>
      </c>
      <c r="C13" s="24" t="inlineStr">
        <is>
          <t>Gastronádoba z polypropylénu GN 1/3, 100 mm | CONTACTO, 5013/100</t>
        </is>
      </c>
      <c r="D13" s="24" t="inlineStr">
        <is>
          <t>Contacto</t>
        </is>
      </c>
      <c r="E13" s="25" t="inlineStr">
        <is>
          <t>https://gastromania.sk/gastronadoby-polypropylenove/gastronadoba-z-polypropylenu-gn-1-3-100-mm-contacto-5013-100</t>
        </is>
      </c>
      <c r="F13" s="98" t="n">
        <v>17.61</v>
      </c>
      <c r="G13" s="24" t="inlineStr">
        <is>
          <t>EUR</t>
        </is>
      </c>
      <c r="H13" s="24" t="inlineStr">
        <is>
          <t>excl.</t>
        </is>
      </c>
      <c r="I13" s="24" t="inlineStr">
        <is>
          <t>n/a</t>
        </is>
      </c>
      <c r="J13" s="116" t="n">
        <v>1</v>
      </c>
      <c r="K13" s="24" t="inlineStr">
        <is>
          <t>per piece</t>
        </is>
      </c>
      <c r="L13" s="36" t="inlineStr">
        <is>
          <t>=IF(ISNUMBER(F6),IF(H6="incl.",F6/(1+I6),F6)/IF(K6="per pack",J6,1),"")</t>
        </is>
      </c>
      <c r="M13" s="24" t="inlineStr">
        <is>
          <t>CLOSE</t>
        </is>
      </c>
      <c r="N13" s="24" t="inlineStr">
        <is>
          <t>Listed 'Cena bez DPH' 17.61 EUR / 'Cena s DPH' 21.66 EUR. PP, GN 1/3, 100 mm, 4 l, but sold WITH lid and colour clips (container-only price not shown). Promo; base 19,57 / 24,07. Stock 1-2 pcs.</t>
        </is>
      </c>
      <c r="O13" s="24" t="inlineStr">
        <is>
          <t>2026-09-30</t>
        </is>
      </c>
      <c r="P13" s="36" t="inlineStr">
        <is>
          <t>=IF(AND(OR(M6="EXACT",M6="CLOSE"),ISNUMBER(L6),IFERROR(INDEX(Competitors!$M:$M,MATCH(B6,Competitors!$A:$A,0)),"no")="yes"),L6,"")</t>
        </is>
      </c>
      <c r="Q13" s="24" t="n">
        <v>17.61</v>
      </c>
      <c r="R13" s="24" t="n">
        <v>17.61</v>
      </c>
      <c r="S13" s="2" t="n"/>
      <c r="T13" s="2" t="n"/>
      <c r="U13" s="2" t="n"/>
      <c r="V13" s="2" t="n"/>
      <c r="W13" s="2" t="n"/>
      <c r="X13" s="2" t="n"/>
      <c r="Y13" s="2" t="n"/>
      <c r="Z13" s="2" t="n"/>
      <c r="AA13" s="2" t="n"/>
      <c r="AB13" s="2" t="n"/>
      <c r="AC13" s="2" t="n"/>
    </row>
    <row r="14" ht="106" customHeight="1">
      <c r="A14" s="2" t="n"/>
      <c r="B14" s="27" t="inlineStr">
        <is>
          <t>Gastrozone.sk (GASTROZONE, spol. s r.o., CZ)</t>
        </is>
      </c>
      <c r="C14" s="27" t="inlineStr">
        <is>
          <t>Gastro nádoba GN 1/3 176x325 mm, polypropylén, výška 100 mm</t>
        </is>
      </c>
      <c r="D14" s="27" t="inlineStr">
        <is>
          <t>Vollrath Pujadas</t>
        </is>
      </c>
      <c r="E14" s="28" t="inlineStr">
        <is>
          <t>https://www.gastrozone.sk/pujadas-gastro-nadoba-gn-1-3-polyprepylen-v-100-mm-176x325-mm.html</t>
        </is>
      </c>
      <c r="F14" s="102" t="n">
        <v>7.84</v>
      </c>
      <c r="G14" s="27" t="inlineStr">
        <is>
          <t>EUR</t>
        </is>
      </c>
      <c r="H14" s="27" t="inlineStr">
        <is>
          <t>incl.</t>
        </is>
      </c>
      <c r="I14" s="123" t="n">
        <v>0.23</v>
      </c>
      <c r="J14" s="117" t="n">
        <v>1</v>
      </c>
      <c r="K14" s="27" t="inlineStr">
        <is>
          <t>per piece</t>
        </is>
      </c>
      <c r="L14" s="38" t="inlineStr">
        <is>
          <t>=IF(ISNUMBER(F7),IF(H7="incl.",F7/(1+I7),F7)/IF(K7="per pack",J7,1),"")</t>
        </is>
      </c>
      <c r="M14" s="27" t="inlineStr">
        <is>
          <t>EXACT</t>
        </is>
      </c>
      <c r="N14" s="27" t="inlineStr">
        <is>
          <t>White PP, 100 mm high per description. Page shows 7,84 EUR / 6,37 EUR bez DPH. In stock.</t>
        </is>
      </c>
      <c r="O14" s="27" t="inlineStr">
        <is>
          <t>2026-09-30</t>
        </is>
      </c>
      <c r="P14" s="38" t="inlineStr">
        <is>
          <t>=IF(AND(OR(M7="EXACT",M7="CLOSE"),ISNUMBER(L7),IFERROR(INDEX(Competitors!$M:$M,MATCH(B7,Competitors!$A:$A,0)),"no")="yes"),L7,"")</t>
        </is>
      </c>
      <c r="Q14" s="27" t="n">
        <v>6.3739837398374</v>
      </c>
      <c r="R14" s="27" t="n">
        <v>6.3739837398374</v>
      </c>
      <c r="S14" s="2" t="n"/>
      <c r="T14" s="2" t="n"/>
      <c r="U14" s="2" t="n"/>
      <c r="V14" s="2" t="n"/>
      <c r="W14" s="2" t="n"/>
      <c r="X14" s="2" t="n"/>
      <c r="Y14" s="2" t="n"/>
      <c r="Z14" s="2" t="n"/>
      <c r="AA14" s="2" t="n"/>
      <c r="AB14" s="2" t="n"/>
      <c r="AC14" s="2" t="n"/>
    </row>
    <row r="15" ht="106" customHeight="1">
      <c r="A15" s="2" t="n"/>
      <c r="B15" s="24" t="inlineStr">
        <is>
          <t>Gastromania.sk (GASTROMANIA CZ s.r.o., CZ)</t>
        </is>
      </c>
      <c r="C15" s="24" t="inlineStr">
        <is>
          <t>Veko z polypropylénu pre GN1/1 5511 | CONTACTO, 5511/532</t>
        </is>
      </c>
      <c r="D15" s="24" t="inlineStr">
        <is>
          <t>Contacto</t>
        </is>
      </c>
      <c r="E15" s="25" t="inlineStr">
        <is>
          <t>https://gastromania.sk/veka-gn-polypropylenove/veko-z-polypropylenu-pre-gn1-1-5511-contacto-5511-532</t>
        </is>
      </c>
      <c r="F15" s="98" t="n">
        <v>8.460000000000001</v>
      </c>
      <c r="G15" s="24" t="inlineStr">
        <is>
          <t>EUR</t>
        </is>
      </c>
      <c r="H15" s="24" t="inlineStr">
        <is>
          <t>excl.</t>
        </is>
      </c>
      <c r="I15" s="24" t="inlineStr">
        <is>
          <t>n/a</t>
        </is>
      </c>
      <c r="J15" s="116" t="n">
        <v>1</v>
      </c>
      <c r="K15" s="24" t="inlineStr">
        <is>
          <t>per piece</t>
        </is>
      </c>
      <c r="L15" s="36" t="inlineStr">
        <is>
          <t>=IF(ISNUMBER(F8),IF(H8="incl.",F8/(1+I8),F8)/IF(K8="per pack",J8,1),"")</t>
        </is>
      </c>
      <c r="M15" s="24" t="inlineStr">
        <is>
          <t>EXACT</t>
        </is>
      </c>
      <c r="N15" s="24" t="inlineStr">
        <is>
          <t>Listed 'Cena bez DPH' 8.46 EUR / 'Cena s DPH' 10.41 EUR. PP lid GN 1/1, no seal/cut-outs. Promo; base 9,10 / 11,19. In stock 5-9 pcs.</t>
        </is>
      </c>
      <c r="O15" s="24" t="inlineStr">
        <is>
          <t>2026-09-30</t>
        </is>
      </c>
      <c r="P15" s="36" t="inlineStr">
        <is>
          <t>=IF(AND(OR(M8="EXACT",M8="CLOSE"),ISNUMBER(L8),IFERROR(INDEX(Competitors!$M:$M,MATCH(B8,Competitors!$A:$A,0)),"no")="yes"),L8,"")</t>
        </is>
      </c>
      <c r="Q15" s="24" t="n">
        <v>8.460000000000001</v>
      </c>
      <c r="R15" s="24" t="n">
        <v>8.460000000000001</v>
      </c>
      <c r="S15" s="2" t="n"/>
      <c r="T15" s="2" t="n"/>
      <c r="U15" s="2" t="n"/>
      <c r="V15" s="2" t="n"/>
      <c r="W15" s="2" t="n"/>
      <c r="X15" s="2" t="n"/>
      <c r="Y15" s="2" t="n"/>
      <c r="Z15" s="2" t="n"/>
      <c r="AA15" s="2" t="n"/>
      <c r="AB15" s="2" t="n"/>
      <c r="AC15" s="2" t="n"/>
    </row>
    <row r="16" ht="106" customHeight="1">
      <c r="A16" s="2" t="n"/>
      <c r="B16" s="27" t="inlineStr">
        <is>
          <t>Gastrozone.sk (GASTROZONE, spol. s r.o., CZ)</t>
        </is>
      </c>
      <c r="C16" s="27" t="inlineStr">
        <is>
          <t>Veko ku gastronádobe 1/1 polypropylén</t>
        </is>
      </c>
      <c r="D16" s="27" t="inlineStr">
        <is>
          <t>Vollrath Pujadas</t>
        </is>
      </c>
      <c r="E16" s="28" t="inlineStr">
        <is>
          <t>https://www.gastrozone.sk/pujadas-veko-ku-gastronadobe-1-1-polyprepylen.html</t>
        </is>
      </c>
      <c r="F16" s="102" t="n">
        <v>14.06</v>
      </c>
      <c r="G16" s="27" t="inlineStr">
        <is>
          <t>EUR</t>
        </is>
      </c>
      <c r="H16" s="27" t="inlineStr">
        <is>
          <t>incl.</t>
        </is>
      </c>
      <c r="I16" s="123" t="n">
        <v>0.23</v>
      </c>
      <c r="J16" s="117" t="n">
        <v>1</v>
      </c>
      <c r="K16" s="27" t="inlineStr">
        <is>
          <t>per piece</t>
        </is>
      </c>
      <c r="L16" s="38" t="inlineStr">
        <is>
          <t>=IF(ISNUMBER(F9),IF(H9="incl.",F9/(1+I9),F9)/IF(K9="per pack",J9,1),"")</t>
        </is>
      </c>
      <c r="M16" s="27" t="inlineStr">
        <is>
          <t>EXACT</t>
        </is>
      </c>
      <c r="N16" s="27" t="inlineStr">
        <is>
          <t>PP lid for GN 1/1. Page shows 14,06 EUR / 11,43 EUR bez DPH. In stock.</t>
        </is>
      </c>
      <c r="O16" s="27" t="inlineStr">
        <is>
          <t>2026-09-30</t>
        </is>
      </c>
      <c r="P16" s="38" t="inlineStr">
        <is>
          <t>=IF(AND(OR(M9="EXACT",M9="CLOSE"),ISNUMBER(L9),IFERROR(INDEX(Competitors!$M:$M,MATCH(B9,Competitors!$A:$A,0)),"no")="yes"),L9,"")</t>
        </is>
      </c>
      <c r="Q16" s="27" t="n">
        <v>11.4308943089431</v>
      </c>
      <c r="R16" s="27" t="n">
        <v>11.4308943089431</v>
      </c>
      <c r="S16" s="2" t="n"/>
      <c r="T16" s="2" t="n"/>
      <c r="U16" s="2" t="n"/>
      <c r="V16" s="2" t="n"/>
      <c r="W16" s="2" t="n"/>
      <c r="X16" s="2" t="n"/>
      <c r="Y16" s="2" t="n"/>
      <c r="Z16" s="2" t="n"/>
      <c r="AA16" s="2" t="n"/>
      <c r="AB16" s="2" t="n"/>
      <c r="AC16" s="2" t="n"/>
    </row>
    <row r="17" ht="106" customHeight="1">
      <c r="A17" s="2" t="n"/>
      <c r="B17" s="24" t="inlineStr">
        <is>
          <t>Gastromania.sk (GASTROMANIA CZ s.r.o., CZ)</t>
        </is>
      </c>
      <c r="C17" s="24" t="inlineStr">
        <is>
          <t>Fľaša na omáčky, 0,475 ml | NEUMARKER, FIFO</t>
        </is>
      </c>
      <c r="D17" s="24" t="inlineStr">
        <is>
          <t>Neumarker</t>
        </is>
      </c>
      <c r="E17" s="25" t="inlineStr">
        <is>
          <t>https://gastromania.sk/davkovace-omacok/flasa-na-omacky-0-475-ml-neumarker-fifo</t>
        </is>
      </c>
      <c r="F17" s="98" t="n">
        <v>13.68</v>
      </c>
      <c r="G17" s="24" t="inlineStr">
        <is>
          <t>EUR</t>
        </is>
      </c>
      <c r="H17" s="24" t="inlineStr">
        <is>
          <t>excl.</t>
        </is>
      </c>
      <c r="I17" s="24" t="inlineStr">
        <is>
          <t>n/a</t>
        </is>
      </c>
      <c r="J17" s="116" t="n">
        <v>1</v>
      </c>
      <c r="K17" s="24" t="inlineStr">
        <is>
          <t>per piece</t>
        </is>
      </c>
      <c r="L17" s="36" t="inlineStr">
        <is>
          <t>=IF(ISNUMBER(F10),IF(H10="incl.",F10/(1+I10),F10)/IF(K10="per pack",J10,1),"")</t>
        </is>
      </c>
      <c r="M17" s="24" t="inlineStr">
        <is>
          <t>APPROX</t>
        </is>
      </c>
      <c r="N17" s="24" t="inlineStr">
        <is>
          <t>Listed 'Cena bez DPH' 13.68 EUR / 'Cena s DPH' 16.83 EUR. 475 ml FIFO squeeze bottle (refilled from the bottom); MATERIAL AND TIP TYPE NOT STATED. No 500 ml PP single-tip bottle found (HENDI/Stalgast bottles are 0,35/0,7 l). Promo; base 14,40 / 17,71. Availability 40 days.</t>
        </is>
      </c>
      <c r="O17" s="24" t="inlineStr">
        <is>
          <t>2026-09-30</t>
        </is>
      </c>
      <c r="P17" s="36" t="inlineStr">
        <is>
          <t>=IF(AND(OR(M10="EXACT",M10="CLOSE"),ISNUMBER(L10),IFERROR(INDEX(Competitors!$M:$M,MATCH(B10,Competitors!$A:$A,0)),"no")="yes"),L10,"")</t>
        </is>
      </c>
      <c r="Q17" s="24" t="n">
        <v>13.68</v>
      </c>
      <c r="R17" s="24" t="n"/>
      <c r="S17" s="2" t="n"/>
      <c r="T17" s="2" t="n"/>
      <c r="U17" s="2" t="n"/>
      <c r="V17" s="2" t="n"/>
      <c r="W17" s="2" t="n"/>
      <c r="X17" s="2" t="n"/>
      <c r="Y17" s="2" t="n"/>
      <c r="Z17" s="2" t="n"/>
      <c r="AA17" s="2" t="n"/>
      <c r="AB17" s="2" t="n"/>
      <c r="AC17" s="2" t="n"/>
    </row>
    <row r="18" ht="106" customHeight="1">
      <c r="A18" s="2" t="n"/>
      <c r="B18" s="27" t="inlineStr">
        <is>
          <t>Gastrozone.sk (GASTROZONE, spol. s r.o., CZ)</t>
        </is>
      </c>
      <c r="C18" s="27" t="inlineStr">
        <is>
          <t>Dávkovacia mačkacia fľaša Schneider 500 ml</t>
        </is>
      </c>
      <c r="D18" s="27" t="inlineStr">
        <is>
          <t>Schneider</t>
        </is>
      </c>
      <c r="E18" s="28" t="inlineStr">
        <is>
          <t>https://www.gastrozone.sk/fasa-mackacie-s-uzatvaranim-0-5-l-odolna-od-40c-do-95c-transparentne-pre-styk-s-potravinama-schneider-10313.html</t>
        </is>
      </c>
      <c r="F18" s="102" t="n">
        <v>13.16</v>
      </c>
      <c r="G18" s="27" t="inlineStr">
        <is>
          <t>EUR</t>
        </is>
      </c>
      <c r="H18" s="27" t="inlineStr">
        <is>
          <t>incl.</t>
        </is>
      </c>
      <c r="I18" s="123" t="n">
        <v>0.23</v>
      </c>
      <c r="J18" s="117" t="n">
        <v>1</v>
      </c>
      <c r="K18" s="27" t="inlineStr">
        <is>
          <t>per piece</t>
        </is>
      </c>
      <c r="L18" s="38" t="inlineStr">
        <is>
          <t>=IF(ISNUMBER(F11),IF(H11="incl.",F11/(1+I11),F11)/IF(K11="per pack",J11,1),"")</t>
        </is>
      </c>
      <c r="M18" s="27" t="inlineStr">
        <is>
          <t>APPROX</t>
        </is>
      </c>
      <c r="N18" s="27" t="inlineStr">
        <is>
          <t>Material polyethylene (not PP); single nozzle with cap. No PP 500 ml squeeze bottle found. Page shows 13,16 / 10,70 bez DPH.</t>
        </is>
      </c>
      <c r="O18" s="27" t="inlineStr">
        <is>
          <t>2026-09-30</t>
        </is>
      </c>
      <c r="P18" s="38" t="inlineStr">
        <is>
          <t>=IF(AND(OR(M11="EXACT",M11="CLOSE"),ISNUMBER(L11),IFERROR(INDEX(Competitors!$M:$M,MATCH(B11,Competitors!$A:$A,0)),"no")="yes"),L11,"")</t>
        </is>
      </c>
      <c r="Q18" s="27" t="n">
        <v>10.6991869918699</v>
      </c>
      <c r="R18" s="27" t="n"/>
      <c r="S18" s="2" t="n"/>
      <c r="T18" s="2" t="n"/>
      <c r="U18" s="2" t="n"/>
      <c r="V18" s="2" t="n"/>
      <c r="W18" s="2" t="n"/>
      <c r="X18" s="2" t="n"/>
      <c r="Y18" s="2" t="n"/>
      <c r="Z18" s="2" t="n"/>
      <c r="AA18" s="2" t="n"/>
      <c r="AB18" s="2" t="n"/>
      <c r="AC18" s="2" t="n"/>
    </row>
    <row r="19" ht="106" customHeight="1">
      <c r="A19" s="2" t="n"/>
      <c r="B19" s="24" t="inlineStr">
        <is>
          <t>Gastromania.sk (GASTROMANIA CZ s.r.o., CZ)</t>
        </is>
      </c>
      <c r="C19" s="24" t="inlineStr">
        <is>
          <t>Dávkovač omáčok 1025 ml, žltý | TOM-GAST, MA-957</t>
        </is>
      </c>
      <c r="D19" s="24" t="inlineStr">
        <is>
          <t>Tom-Gast</t>
        </is>
      </c>
      <c r="E19" s="25" t="inlineStr">
        <is>
          <t>https://gastromania.sk/davkovace-omacok/davkovac-omacok-1025-ml-zlty-tom-gast-ma-957</t>
        </is>
      </c>
      <c r="F19" s="98" t="n">
        <v>1.28</v>
      </c>
      <c r="G19" s="24" t="inlineStr">
        <is>
          <t>EUR</t>
        </is>
      </c>
      <c r="H19" s="24" t="inlineStr">
        <is>
          <t>excl.</t>
        </is>
      </c>
      <c r="I19" s="24" t="inlineStr">
        <is>
          <t>n/a</t>
        </is>
      </c>
      <c r="J19" s="116" t="n">
        <v>1</v>
      </c>
      <c r="K19" s="24" t="inlineStr">
        <is>
          <t>per piece</t>
        </is>
      </c>
      <c r="L19" s="36" t="inlineStr">
        <is>
          <t>=IF(ISNUMBER(F12),IF(H12="incl.",F12/(1+I12),F12)/IF(K12="per pack",J12,1),"")</t>
        </is>
      </c>
      <c r="M19" s="24" t="inlineStr">
        <is>
          <t>CLOSE</t>
        </is>
      </c>
      <c r="N19" s="24" t="inlineStr">
        <is>
          <t>Listed 'Cena bez DPH' 1.28 EUR / 'Cena s DPH' 1.57 EUR. Squeeze bottle 1025 ml, 275 x ø80 mm; MATERIAL NOT STATED (only 'plast'). Alternative: Contacto 1465/104 PE bottle 1 l (price not checked). In stock 25-99 pcs.</t>
        </is>
      </c>
      <c r="O19" s="24" t="inlineStr">
        <is>
          <t>2026-09-30</t>
        </is>
      </c>
      <c r="P19" s="36" t="inlineStr">
        <is>
          <t>=IF(AND(OR(M12="EXACT",M12="CLOSE"),ISNUMBER(L12),IFERROR(INDEX(Competitors!$M:$M,MATCH(B12,Competitors!$A:$A,0)),"no")="yes"),L12,"")</t>
        </is>
      </c>
      <c r="Q19" s="24" t="n">
        <v>1.28</v>
      </c>
      <c r="R19" s="24" t="n">
        <v>1.28</v>
      </c>
      <c r="S19" s="2" t="n"/>
      <c r="T19" s="2" t="n"/>
      <c r="U19" s="2" t="n"/>
      <c r="V19" s="2" t="n"/>
      <c r="W19" s="2" t="n"/>
      <c r="X19" s="2" t="n"/>
      <c r="Y19" s="2" t="n"/>
      <c r="Z19" s="2" t="n"/>
      <c r="AA19" s="2" t="n"/>
      <c r="AB19" s="2" t="n"/>
      <c r="AC19" s="2" t="n"/>
    </row>
    <row r="20" ht="106" customHeight="1">
      <c r="A20" s="2" t="n"/>
      <c r="B20" s="27" t="inlineStr">
        <is>
          <t>Gastrozone.sk (GASTROZONE, spol. s r.o., CZ)</t>
        </is>
      </c>
      <c r="C20" s="27" t="inlineStr">
        <is>
          <t>Dávkovacia mačkacia fľaša Schneider 1000 ml, transparentná</t>
        </is>
      </c>
      <c r="D20" s="27" t="inlineStr">
        <is>
          <t>Schneider</t>
        </is>
      </c>
      <c r="E20" s="28" t="inlineStr">
        <is>
          <t>https://www.gastrozone.sk/schneider-davkovaci-mackaci-lahev-1000-ml-transparentni.html</t>
        </is>
      </c>
      <c r="F20" s="102" t="n">
        <v>18.72</v>
      </c>
      <c r="G20" s="27" t="inlineStr">
        <is>
          <t>EUR</t>
        </is>
      </c>
      <c r="H20" s="27" t="inlineStr">
        <is>
          <t>incl.</t>
        </is>
      </c>
      <c r="I20" s="123" t="n">
        <v>0.23</v>
      </c>
      <c r="J20" s="117" t="n">
        <v>1</v>
      </c>
      <c r="K20" s="27" t="inlineStr">
        <is>
          <t>per piece</t>
        </is>
      </c>
      <c r="L20" s="38" t="inlineStr">
        <is>
          <t>=IF(ISNUMBER(F13),IF(H13="incl.",F13/(1+I13),F13)/IF(K13="per pack",J13,1),"")</t>
        </is>
      </c>
      <c r="M20" s="27" t="inlineStr">
        <is>
          <t>APPROX</t>
        </is>
      </c>
      <c r="N20" s="27" t="inlineStr">
        <is>
          <t>Material polyethylene (not PP). Cheaper alternative: APS 1,025 l squeeze bottle 4,50 EUR (material not stated, to order). Page shows 18,72 / 15,22 bez DPH.</t>
        </is>
      </c>
      <c r="O20" s="27" t="inlineStr">
        <is>
          <t>2026-09-30</t>
        </is>
      </c>
      <c r="P20" s="38" t="inlineStr">
        <is>
          <t>=IF(AND(OR(M13="EXACT",M13="CLOSE"),ISNUMBER(L13),IFERROR(INDEX(Competitors!$M:$M,MATCH(B13,Competitors!$A:$A,0)),"no")="yes"),L13,"")</t>
        </is>
      </c>
      <c r="Q20" s="27" t="n">
        <v>15.219512195122</v>
      </c>
      <c r="R20" s="27" t="n"/>
      <c r="S20" s="2" t="n"/>
      <c r="T20" s="2" t="n"/>
      <c r="U20" s="2" t="n"/>
      <c r="V20" s="2" t="n"/>
      <c r="W20" s="2" t="n"/>
      <c r="X20" s="2" t="n"/>
      <c r="Y20" s="2" t="n"/>
      <c r="Z20" s="2" t="n"/>
      <c r="AA20" s="2" t="n"/>
      <c r="AB20" s="2" t="n"/>
      <c r="AC20" s="2" t="n"/>
    </row>
    <row r="21" ht="106" customHeight="1">
      <c r="A21" s="2" t="n"/>
      <c r="B21" s="24" t="inlineStr">
        <is>
          <t>Gastromania.sk (GASTROMANIA CZ s.r.o., CZ)</t>
        </is>
      </c>
      <c r="C21" s="24" t="inlineStr">
        <is>
          <t>Not found</t>
        </is>
      </c>
      <c r="D21" s="24" t="n"/>
      <c r="E21" s="25" t="inlineStr">
        <is>
          <t>https://gastromania.sk/products/search/language:slo?q=d%C3%A1vkova%C4%8D+om%C3%A1%C4%8Dok+3+otvory</t>
        </is>
      </c>
      <c r="F21" s="24" t="n"/>
      <c r="G21" s="24" t="n"/>
      <c r="H21" s="24" t="n"/>
      <c r="I21" s="24" t="n"/>
      <c r="J21" s="24" t="n"/>
      <c r="K21" s="24" t="n"/>
      <c r="L21" s="36" t="inlineStr">
        <is>
          <t>=IF(ISNUMBER(F14),IF(H14="incl.",F14/(1+I14),F14)/IF(K14="per pack",J14,1),"")</t>
        </is>
      </c>
      <c r="M21" s="24" t="n"/>
      <c r="N21" s="24" t="inlineStr">
        <is>
          <t>No triple-tip squeeze bottle found (searches 'dávkovač omáčok 3 trysky', '3 otvory' returned no products).</t>
        </is>
      </c>
      <c r="O21" s="24" t="inlineStr">
        <is>
          <t>2026-09-30</t>
        </is>
      </c>
      <c r="P21" s="36" t="inlineStr">
        <is>
          <t>=IF(AND(OR(M14="EXACT",M14="CLOSE"),ISNUMBER(L14),IFERROR(INDEX(Competitors!$M:$M,MATCH(B14,Competitors!$A:$A,0)),"no")="yes"),L14,"")</t>
        </is>
      </c>
      <c r="Q21" s="24" t="n"/>
      <c r="R21" s="24" t="n"/>
      <c r="S21" s="2" t="n"/>
      <c r="T21" s="2" t="n"/>
      <c r="U21" s="2" t="n"/>
      <c r="V21" s="2" t="n"/>
      <c r="W21" s="2" t="n"/>
      <c r="X21" s="2" t="n"/>
      <c r="Y21" s="2" t="n"/>
      <c r="Z21" s="2" t="n"/>
      <c r="AA21" s="2" t="n"/>
      <c r="AB21" s="2" t="n"/>
      <c r="AC21" s="2" t="n"/>
    </row>
    <row r="22" ht="106" customHeight="1">
      <c r="A22" s="2" t="n"/>
      <c r="B22" s="27" t="inlineStr">
        <is>
          <t>Gastrozone.sk (GASTROZONE, spol. s r.o., CZ)</t>
        </is>
      </c>
      <c r="C22" s="27" t="inlineStr">
        <is>
          <t>ARAVEN Stláčacia fľaša, LDPE, ø 80 mm, výška 253 mm, objem 0,75 L, 3 trysky</t>
        </is>
      </c>
      <c r="D22" s="27" t="inlineStr">
        <is>
          <t>Araven</t>
        </is>
      </c>
      <c r="E22" s="28" t="inlineStr">
        <is>
          <t>https://www.gastrozone.sk/araven-lahvicka-na-stlaceni-ldpe-o-80-mm-vyska-253-mm-objem-0-75-l-3-trysky.html</t>
        </is>
      </c>
      <c r="F22" s="102" t="n">
        <v>6.54</v>
      </c>
      <c r="G22" s="27" t="inlineStr">
        <is>
          <t>EUR</t>
        </is>
      </c>
      <c r="H22" s="27" t="inlineStr">
        <is>
          <t>incl.</t>
        </is>
      </c>
      <c r="I22" s="123" t="n">
        <v>0.23</v>
      </c>
      <c r="J22" s="117" t="n">
        <v>1</v>
      </c>
      <c r="K22" s="27" t="inlineStr">
        <is>
          <t>per piece</t>
        </is>
      </c>
      <c r="L22" s="38" t="inlineStr">
        <is>
          <t>=IF(ISNUMBER(F15),IF(H15="incl.",F15/(1+I15),F15)/IF(K15="per pack",J15,1),"")</t>
        </is>
      </c>
      <c r="M22" s="27" t="inlineStr">
        <is>
          <t>APPROX</t>
        </is>
      </c>
      <c r="N22" s="27" t="inlineStr">
        <is>
          <t>Triple tip, but 750 ml instead of 500 ml; LDPE. No 500 ml triple-tip bottle found. Page shows 6,54 / 5,32 bez DPH.</t>
        </is>
      </c>
      <c r="O22" s="27" t="inlineStr">
        <is>
          <t>2026-09-30</t>
        </is>
      </c>
      <c r="P22" s="38" t="inlineStr">
        <is>
          <t>=IF(AND(OR(M15="EXACT",M15="CLOSE"),ISNUMBER(L15),IFERROR(INDEX(Competitors!$M:$M,MATCH(B15,Competitors!$A:$A,0)),"no")="yes"),L15,"")</t>
        </is>
      </c>
      <c r="Q22" s="27" t="n">
        <v>5.31707317073171</v>
      </c>
      <c r="R22" s="27" t="n"/>
      <c r="S22" s="2" t="n"/>
      <c r="T22" s="2" t="n"/>
      <c r="U22" s="2" t="n"/>
      <c r="V22" s="2" t="n"/>
      <c r="W22" s="2" t="n"/>
      <c r="X22" s="2" t="n"/>
      <c r="Y22" s="2" t="n"/>
      <c r="Z22" s="2" t="n"/>
      <c r="AA22" s="2" t="n"/>
      <c r="AB22" s="2" t="n"/>
      <c r="AC22" s="2" t="n"/>
    </row>
    <row r="23" ht="106" customHeight="1">
      <c r="A23" s="2" t="n"/>
      <c r="B23" s="24" t="inlineStr">
        <is>
          <t>Gastromania.sk (GASTROMANIA CZ s.r.o., CZ)</t>
        </is>
      </c>
      <c r="C23" s="24" t="inlineStr">
        <is>
          <t>Polyproplylénový dávkovač omáčok, 1,5 l, 130x90x290 mm | CONTACTO, 1324/150</t>
        </is>
      </c>
      <c r="D23" s="24" t="inlineStr">
        <is>
          <t>Contacto</t>
        </is>
      </c>
      <c r="E23" s="25" t="inlineStr">
        <is>
          <t>https://gastromania.sk/davkovace-omacok/polyproplylenovy-davkovac-omacok-1-5-l-130x90x290-mm-contacto-1324-150</t>
        </is>
      </c>
      <c r="F23" s="98" t="n">
        <v>19.42</v>
      </c>
      <c r="G23" s="24" t="inlineStr">
        <is>
          <t>EUR</t>
        </is>
      </c>
      <c r="H23" s="24" t="inlineStr">
        <is>
          <t>excl.</t>
        </is>
      </c>
      <c r="I23" s="24" t="inlineStr">
        <is>
          <t>n/a</t>
        </is>
      </c>
      <c r="J23" s="116" t="n">
        <v>1</v>
      </c>
      <c r="K23" s="24" t="inlineStr">
        <is>
          <t>per piece</t>
        </is>
      </c>
      <c r="L23" s="36" t="inlineStr">
        <is>
          <t>=IF(ISNUMBER(F16),IF(H16="incl.",F16/(1+I16),F16)/IF(K16="per pack",J16,1),"")</t>
        </is>
      </c>
      <c r="M23" s="24" t="inlineStr">
        <is>
          <t>APPROX</t>
        </is>
      </c>
      <c r="N23" s="24" t="inlineStr">
        <is>
          <t>Listed 'Cena bez DPH' 19.42 EUR / 'Cena s DPH' 23.89 EUR. PP pump sauce dispenser 1,5 l; no stand mentioned. (HENDI 557983 'Držiak na dávkovač omáčok 3x 0,7 l' is a stand for bottles, sold separately, not priced here.) Stock 1-2 pcs.</t>
        </is>
      </c>
      <c r="O23" s="24" t="inlineStr">
        <is>
          <t>2026-09-30</t>
        </is>
      </c>
      <c r="P23" s="36" t="inlineStr">
        <is>
          <t>=IF(AND(OR(M16="EXACT",M16="CLOSE"),ISNUMBER(L16),IFERROR(INDEX(Competitors!$M:$M,MATCH(B16,Competitors!$A:$A,0)),"no")="yes"),L16,"")</t>
        </is>
      </c>
      <c r="Q23" s="24" t="n">
        <v>19.42</v>
      </c>
      <c r="R23" s="24" t="n"/>
      <c r="S23" s="2" t="n"/>
      <c r="T23" s="2" t="n"/>
      <c r="U23" s="2" t="n"/>
      <c r="V23" s="2" t="n"/>
      <c r="W23" s="2" t="n"/>
      <c r="X23" s="2" t="n"/>
      <c r="Y23" s="2" t="n"/>
      <c r="Z23" s="2" t="n"/>
      <c r="AA23" s="2" t="n"/>
      <c r="AB23" s="2" t="n"/>
      <c r="AC23" s="2" t="n"/>
    </row>
    <row r="24" ht="106" customHeight="1">
      <c r="A24" s="2" t="n"/>
      <c r="B24" s="27" t="inlineStr">
        <is>
          <t>Gastrozone.sk (GASTROZONE, spol. s r.o., CZ)</t>
        </is>
      </c>
      <c r="C24" s="27" t="inlineStr">
        <is>
          <t>ARAVEN Dávkovač omáčok GN 1/6, polypropylén, objem 2,6 L</t>
        </is>
      </c>
      <c r="D24" s="27" t="inlineStr">
        <is>
          <t>Araven</t>
        </is>
      </c>
      <c r="E24" s="28" t="inlineStr">
        <is>
          <t>https://www.gastrozone.sk/araven-gn-davkovac-omacek-1-6-polypropylen-obsah-2-6-l.html</t>
        </is>
      </c>
      <c r="F24" s="102" t="n">
        <v>26.69</v>
      </c>
      <c r="G24" s="27" t="inlineStr">
        <is>
          <t>EUR</t>
        </is>
      </c>
      <c r="H24" s="27" t="inlineStr">
        <is>
          <t>incl.</t>
        </is>
      </c>
      <c r="I24" s="123" t="n">
        <v>0.23</v>
      </c>
      <c r="J24" s="117" t="n">
        <v>1</v>
      </c>
      <c r="K24" s="27" t="inlineStr">
        <is>
          <t>per piece</t>
        </is>
      </c>
      <c r="L24" s="38" t="inlineStr">
        <is>
          <t>=IF(ISNUMBER(F17),IF(H17="incl.",F17/(1+I17),F17)/IF(K17="per pack",J17,1),"")</t>
        </is>
      </c>
      <c r="M24" s="27" t="inlineStr">
        <is>
          <t>APPROX</t>
        </is>
      </c>
      <c r="N24" s="27" t="inlineStr">
        <is>
          <t>PP pump dispenser in a GN 1/6 container (2,6 l); no stand. Page shows 26,69 / 21,70 bez DPH. Alternative: Contacto 3 l free-standing PE portion dispenser for ketchup/mustard, 75,35 EUR.</t>
        </is>
      </c>
      <c r="O24" s="27" t="inlineStr">
        <is>
          <t>2026-09-30</t>
        </is>
      </c>
      <c r="P24" s="38" t="inlineStr">
        <is>
          <t>=IF(AND(OR(M17="EXACT",M17="CLOSE"),ISNUMBER(L17),IFERROR(INDEX(Competitors!$M:$M,MATCH(B17,Competitors!$A:$A,0)),"no")="yes"),L17,"")</t>
        </is>
      </c>
      <c r="Q24" s="27" t="n">
        <v>21.6991869918699</v>
      </c>
      <c r="R24" s="27" t="n"/>
      <c r="S24" s="2" t="n"/>
      <c r="T24" s="2" t="n"/>
      <c r="U24" s="2" t="n"/>
      <c r="V24" s="2" t="n"/>
      <c r="W24" s="2" t="n"/>
      <c r="X24" s="2" t="n"/>
      <c r="Y24" s="2" t="n"/>
      <c r="Z24" s="2" t="n"/>
      <c r="AA24" s="2" t="n"/>
      <c r="AB24" s="2" t="n"/>
      <c r="AC24" s="2" t="n"/>
    </row>
    <row r="25" ht="106" customHeight="1">
      <c r="A25" s="2" t="n"/>
      <c r="B25" s="24" t="inlineStr">
        <is>
          <t>Gastromania.sk (GASTROMANIA CZ s.r.o., CZ)</t>
        </is>
      </c>
      <c r="C25" s="24" t="inlineStr">
        <is>
          <t>Doska na krájanie HACCP GN 1/1 fialová | HENDI, 826065</t>
        </is>
      </c>
      <c r="D25" s="24" t="inlineStr">
        <is>
          <t>Hendi</t>
        </is>
      </c>
      <c r="E25" s="25" t="inlineStr">
        <is>
          <t>https://gastromania.sk/plastove-krajacie-dosky-haccp/doska-na-krajanie-haccp-gn-1-1-fialova-hendi-826065</t>
        </is>
      </c>
      <c r="F25" s="98" t="n">
        <v>20.35</v>
      </c>
      <c r="G25" s="24" t="inlineStr">
        <is>
          <t>EUR</t>
        </is>
      </c>
      <c r="H25" s="24" t="inlineStr">
        <is>
          <t>excl.</t>
        </is>
      </c>
      <c r="I25" s="24" t="inlineStr">
        <is>
          <t>n/a</t>
        </is>
      </c>
      <c r="J25" s="116" t="n">
        <v>1</v>
      </c>
      <c r="K25" s="24" t="inlineStr">
        <is>
          <t>per piece</t>
        </is>
      </c>
      <c r="L25" s="36" t="inlineStr">
        <is>
          <t>=IF(ISNUMBER(F18),IF(H18="incl.",F18/(1+I18),F18)/IF(K18="per pack",J18,1),"")</t>
        </is>
      </c>
      <c r="M25" s="24" t="inlineStr">
        <is>
          <t>CLOSE</t>
        </is>
      </c>
      <c r="N25" s="24" t="inlineStr">
        <is>
          <t>Listed 'Cena bez DPH' 20.35 EUR / 'Cena s DPH' 25.03 EUR. HDPE 500, 530x325 mm, HACCP (purple/allergen); thickness 15 mm per parameters (18 mm per description) instead of 20 mm; not dishwasher-safe. Alternative: Contacto 1515/530 HDPE 530x325x25 mm (price not checked).</t>
        </is>
      </c>
      <c r="O25" s="24" t="inlineStr">
        <is>
          <t>2026-09-30</t>
        </is>
      </c>
      <c r="P25" s="36" t="inlineStr">
        <is>
          <t>=IF(AND(OR(M18="EXACT",M18="CLOSE"),ISNUMBER(L18),IFERROR(INDEX(Competitors!$M:$M,MATCH(B18,Competitors!$A:$A,0)),"no")="yes"),L18,"")</t>
        </is>
      </c>
      <c r="Q25" s="24" t="n">
        <v>20.35</v>
      </c>
      <c r="R25" s="24" t="n">
        <v>20.35</v>
      </c>
      <c r="S25" s="2" t="n"/>
      <c r="T25" s="2" t="n"/>
      <c r="U25" s="2" t="n"/>
      <c r="V25" s="2" t="n"/>
      <c r="W25" s="2" t="n"/>
      <c r="X25" s="2" t="n"/>
      <c r="Y25" s="2" t="n"/>
      <c r="Z25" s="2" t="n"/>
      <c r="AA25" s="2" t="n"/>
      <c r="AB25" s="2" t="n"/>
      <c r="AC25" s="2" t="n"/>
    </row>
    <row r="26" ht="106" customHeight="1">
      <c r="A26" s="2" t="n"/>
      <c r="B26" s="27" t="inlineStr">
        <is>
          <t>Gastrozone.sk (GASTROZONE, spol. s r.o., CZ)</t>
        </is>
      </c>
      <c r="C26" s="27" t="inlineStr">
        <is>
          <t>Doštička na krájanie plastová 53x32,5x2 cm GN 1/1, s drážkou, biela</t>
        </is>
      </c>
      <c r="D26" s="27" t="inlineStr">
        <is>
          <t>Gastro</t>
        </is>
      </c>
      <c r="E26" s="28" t="inlineStr">
        <is>
          <t>https://www.gastrozone.sk/gastro-dosticka-na-krajanie-plastova-53x32-5x2-cm-gn-1-1-s-drazkou-biela.html</t>
        </is>
      </c>
      <c r="F26" s="102" t="n">
        <v>63.91</v>
      </c>
      <c r="G26" s="27" t="inlineStr">
        <is>
          <t>EUR</t>
        </is>
      </c>
      <c r="H26" s="27" t="inlineStr">
        <is>
          <t>incl.</t>
        </is>
      </c>
      <c r="I26" s="123" t="n">
        <v>0.23</v>
      </c>
      <c r="J26" s="117" t="n">
        <v>1</v>
      </c>
      <c r="K26" s="27" t="inlineStr">
        <is>
          <t>per piece</t>
        </is>
      </c>
      <c r="L26" s="38" t="inlineStr">
        <is>
          <t>=IF(ISNUMBER(F19),IF(H19="incl.",F19/(1+I19),F19)/IF(K19="per pack",J19,1),"")</t>
        </is>
      </c>
      <c r="M26" s="27" t="inlineStr">
        <is>
          <t>CLOSE</t>
        </is>
      </c>
      <c r="N26" s="27" t="inlineStr">
        <is>
          <t>Size and thickness match; HACCP, sold in HACCP colours (white/yellow/red/blue/green/brown). MATERIAL NOT STATED (only 'plast') - PE not confirmed. Has juice groove and rubber feet. Board without groove/feet: 82,21 EUR.</t>
        </is>
      </c>
      <c r="O26" s="27" t="inlineStr">
        <is>
          <t>2026-09-30</t>
        </is>
      </c>
      <c r="P26" s="38" t="inlineStr">
        <is>
          <t>=IF(AND(OR(M19="EXACT",M19="CLOSE"),ISNUMBER(L19),IFERROR(INDEX(Competitors!$M:$M,MATCH(B19,Competitors!$A:$A,0)),"no")="yes"),L19,"")</t>
        </is>
      </c>
      <c r="Q26" s="27" t="n">
        <v>51.9593495934959</v>
      </c>
      <c r="R26" s="27" t="n">
        <v>51.9593495934959</v>
      </c>
      <c r="S26" s="2" t="n"/>
      <c r="T26" s="2" t="n"/>
      <c r="U26" s="2" t="n"/>
      <c r="V26" s="2" t="n"/>
      <c r="W26" s="2" t="n"/>
      <c r="X26" s="2" t="n"/>
      <c r="Y26" s="2" t="n"/>
      <c r="Z26" s="2" t="n"/>
      <c r="AA26" s="2" t="n"/>
      <c r="AB26" s="2" t="n"/>
      <c r="AC26" s="2" t="n"/>
    </row>
    <row r="27" ht="106" customHeight="1">
      <c r="A27" s="2" t="n"/>
      <c r="B27" s="24" t="inlineStr">
        <is>
          <t>Gastromania.sk (GASTROMANIA CZ s.r.o., CZ)</t>
        </is>
      </c>
      <c r="C27" s="24" t="inlineStr">
        <is>
          <t>Doska na krájanie 600x400x20 mm, červená | BARTSCHER, 60x40 R</t>
        </is>
      </c>
      <c r="D27" s="24" t="inlineStr">
        <is>
          <t>Bartscher</t>
        </is>
      </c>
      <c r="E27" s="25" t="inlineStr">
        <is>
          <t>https://gastromania.sk/plastove-krajacie-dosky-haccp/doska-na-krajanie-600x400x20-mm-cervena-bartscher-60x40-r</t>
        </is>
      </c>
      <c r="F27" s="98" t="n">
        <v>32.85</v>
      </c>
      <c r="G27" s="24" t="inlineStr">
        <is>
          <t>EUR</t>
        </is>
      </c>
      <c r="H27" s="24" t="inlineStr">
        <is>
          <t>excl.</t>
        </is>
      </c>
      <c r="I27" s="24" t="inlineStr">
        <is>
          <t>n/a</t>
        </is>
      </c>
      <c r="J27" s="116" t="n">
        <v>1</v>
      </c>
      <c r="K27" s="24" t="inlineStr">
        <is>
          <t>per piece</t>
        </is>
      </c>
      <c r="L27" s="36" t="inlineStr">
        <is>
          <t>=IF(ISNUMBER(F20),IF(H20="incl.",F20/(1+I20),F20)/IF(K20="per pack",J20,1),"")</t>
        </is>
      </c>
      <c r="M27" s="24" t="inlineStr">
        <is>
          <t>EXACT</t>
        </is>
      </c>
      <c r="N27" s="24" t="inlineStr">
        <is>
          <t>Listed 'Cena bez DPH' 32.85 EUR / 'Cena s DPH' 40.41 EUR. PE, 600x400x20 mm, HACCP colour range (red/yellow/green/blue/brown/purple/white). Promo; base 36,50 / 44,90; lowest price in 30 days 41,03 s DPH. Availability 14 days.</t>
        </is>
      </c>
      <c r="O27" s="24" t="inlineStr">
        <is>
          <t>2026-09-30</t>
        </is>
      </c>
      <c r="P27" s="36" t="inlineStr">
        <is>
          <t>=IF(AND(OR(M20="EXACT",M20="CLOSE"),ISNUMBER(L20),IFERROR(INDEX(Competitors!$M:$M,MATCH(B20,Competitors!$A:$A,0)),"no")="yes"),L20,"")</t>
        </is>
      </c>
      <c r="Q27" s="24" t="n">
        <v>32.85</v>
      </c>
      <c r="R27" s="24" t="n">
        <v>32.85</v>
      </c>
      <c r="S27" s="2" t="n"/>
      <c r="T27" s="2" t="n"/>
      <c r="U27" s="2" t="n"/>
      <c r="V27" s="2" t="n"/>
      <c r="W27" s="2" t="n"/>
      <c r="X27" s="2" t="n"/>
      <c r="Y27" s="2" t="n"/>
      <c r="Z27" s="2" t="n"/>
      <c r="AA27" s="2" t="n"/>
      <c r="AB27" s="2" t="n"/>
      <c r="AC27" s="2" t="n"/>
    </row>
    <row r="28" ht="106" customHeight="1">
      <c r="A28" s="2" t="n"/>
      <c r="B28" s="27" t="inlineStr">
        <is>
          <t>Gastrozone.sk (GASTROZONE, spol. s r.o., CZ)</t>
        </is>
      </c>
      <c r="C28" s="27" t="inlineStr">
        <is>
          <t>Doštička na krájanie plastová 60x40x3 cm, s drážkou, biela</t>
        </is>
      </c>
      <c r="D28" s="27" t="inlineStr">
        <is>
          <t>Gastro</t>
        </is>
      </c>
      <c r="E28" s="28" t="inlineStr">
        <is>
          <t>https://www.gastrozone.sk/gastrodosticka-na-krajanie-plastova-60x40x3-cm-s-drazkou-biela.html</t>
        </is>
      </c>
      <c r="F28" s="102" t="n">
        <v>93.51000000000001</v>
      </c>
      <c r="G28" s="27" t="inlineStr">
        <is>
          <t>EUR</t>
        </is>
      </c>
      <c r="H28" s="27" t="inlineStr">
        <is>
          <t>incl.</t>
        </is>
      </c>
      <c r="I28" s="123" t="n">
        <v>0.23</v>
      </c>
      <c r="J28" s="117" t="n">
        <v>1</v>
      </c>
      <c r="K28" s="27" t="inlineStr">
        <is>
          <t>per piece</t>
        </is>
      </c>
      <c r="L28" s="38" t="inlineStr">
        <is>
          <t>=IF(ISNUMBER(F21),IF(H21="incl.",F21/(1+I21),F21)/IF(K21="per pack",J21,1),"")</t>
        </is>
      </c>
      <c r="M28" s="27" t="inlineStr">
        <is>
          <t>APPROX</t>
        </is>
      </c>
      <c r="N28" s="27" t="inlineStr">
        <is>
          <t>30 mm thick instead of 20 mm AND material not stated (only 'plast'); HACCP colours available. No 600x400x20 board found.</t>
        </is>
      </c>
      <c r="O28" s="27" t="inlineStr">
        <is>
          <t>2026-09-30</t>
        </is>
      </c>
      <c r="P28" s="38" t="inlineStr">
        <is>
          <t>=IF(AND(OR(M21="EXACT",M21="CLOSE"),ISNUMBER(L21),IFERROR(INDEX(Competitors!$M:$M,MATCH(B21,Competitors!$A:$A,0)),"no")="yes"),L21,"")</t>
        </is>
      </c>
      <c r="Q28" s="27" t="n">
        <v>76.0243902439025</v>
      </c>
      <c r="R28" s="27" t="n"/>
      <c r="S28" s="2" t="n"/>
      <c r="T28" s="2" t="n"/>
      <c r="U28" s="2" t="n"/>
      <c r="V28" s="2" t="n"/>
      <c r="W28" s="2" t="n"/>
      <c r="X28" s="2" t="n"/>
      <c r="Y28" s="2" t="n"/>
      <c r="Z28" s="2" t="n"/>
      <c r="AA28" s="2" t="n"/>
      <c r="AB28" s="2" t="n"/>
      <c r="AC28" s="2" t="n"/>
    </row>
    <row r="29" ht="106" customHeight="1">
      <c r="A29" s="2" t="n"/>
      <c r="B29" s="24" t="inlineStr">
        <is>
          <t>Gastromania.sk (GASTROMANIA CZ s.r.o., CZ)</t>
        </is>
      </c>
      <c r="C29" s="24" t="inlineStr">
        <is>
          <t>Doska na krájanie s držadlom 300x200x10 mm, biela | HENDI, 826355</t>
        </is>
      </c>
      <c r="D29" s="24" t="inlineStr">
        <is>
          <t>Hendi</t>
        </is>
      </c>
      <c r="E29" s="25" t="inlineStr">
        <is>
          <t>https://gastromania.sk/plastove-krajacie-dosky-biele/doska-na-krajanie-s-drzadlom-300x200x10-mm-biela-hendi-826355</t>
        </is>
      </c>
      <c r="F29" s="98" t="n">
        <v>6.18</v>
      </c>
      <c r="G29" s="24" t="inlineStr">
        <is>
          <t>EUR</t>
        </is>
      </c>
      <c r="H29" s="24" t="inlineStr">
        <is>
          <t>excl.</t>
        </is>
      </c>
      <c r="I29" s="24" t="inlineStr">
        <is>
          <t>n/a</t>
        </is>
      </c>
      <c r="J29" s="116" t="n">
        <v>1</v>
      </c>
      <c r="K29" s="24" t="inlineStr">
        <is>
          <t>per piece</t>
        </is>
      </c>
      <c r="L29" s="36" t="inlineStr">
        <is>
          <t>=IF(ISNUMBER(F22),IF(H22="incl.",F22/(1+I22),F22)/IF(K22="per pack",J22,1),"")</t>
        </is>
      </c>
      <c r="M29" s="24" t="inlineStr">
        <is>
          <t>CLOSE</t>
        </is>
      </c>
      <c r="N29" s="24" t="inlineStr">
        <is>
          <t>Listed 'Cena bez DPH' 6.18 EUR / 'Cena s DPH' 7.60 EUR. HDPE 300x200x10 mm with integrated handle; white only (not a HACCP colour set); not dishwasher-safe. In stock 100+.</t>
        </is>
      </c>
      <c r="O29" s="24" t="inlineStr">
        <is>
          <t>2026-09-30</t>
        </is>
      </c>
      <c r="P29" s="36" t="inlineStr">
        <is>
          <t>=IF(AND(OR(M22="EXACT",M22="CLOSE"),ISNUMBER(L22),IFERROR(INDEX(Competitors!$M:$M,MATCH(B22,Competitors!$A:$A,0)),"no")="yes"),L22,"")</t>
        </is>
      </c>
      <c r="Q29" s="24" t="n">
        <v>6.18</v>
      </c>
      <c r="R29" s="24" t="n">
        <v>6.18</v>
      </c>
      <c r="S29" s="2" t="n"/>
      <c r="T29" s="2" t="n"/>
      <c r="U29" s="2" t="n"/>
      <c r="V29" s="2" t="n"/>
      <c r="W29" s="2" t="n"/>
      <c r="X29" s="2" t="n"/>
      <c r="Y29" s="2" t="n"/>
      <c r="Z29" s="2" t="n"/>
      <c r="AA29" s="2" t="n"/>
      <c r="AB29" s="2" t="n"/>
      <c r="AC29" s="2" t="n"/>
    </row>
    <row r="30" ht="106" customHeight="1">
      <c r="A30" s="2" t="n"/>
      <c r="B30" s="27" t="inlineStr">
        <is>
          <t>Gastrozone.sk (GASTROZONE, spol. s r.o., CZ)</t>
        </is>
      </c>
      <c r="C30" s="27" t="inlineStr">
        <is>
          <t>Doska na krájanie HENDI s rukoväťou, 300 × 200 mm, biela</t>
        </is>
      </c>
      <c r="D30" s="27" t="inlineStr">
        <is>
          <t>Hendi</t>
        </is>
      </c>
      <c r="E30" s="28" t="inlineStr">
        <is>
          <t>https://www.gastrozone.sk/viceucelove-krajeci-prkenko-s-rukojeti-hendi-bila-300x200mm-obdelnikove.html</t>
        </is>
      </c>
      <c r="F30" s="102" t="n">
        <v>8.609999999999999</v>
      </c>
      <c r="G30" s="27" t="inlineStr">
        <is>
          <t>EUR</t>
        </is>
      </c>
      <c r="H30" s="27" t="inlineStr">
        <is>
          <t>incl.</t>
        </is>
      </c>
      <c r="I30" s="123" t="n">
        <v>0.23</v>
      </c>
      <c r="J30" s="117" t="n">
        <v>1</v>
      </c>
      <c r="K30" s="27" t="inlineStr">
        <is>
          <t>per piece</t>
        </is>
      </c>
      <c r="L30" s="38" t="inlineStr">
        <is>
          <t>=IF(ISNUMBER(F23),IF(H23="incl.",F23/(1+I23),F23)/IF(K23="per pack",J23,1),"")</t>
        </is>
      </c>
      <c r="M30" s="27" t="inlineStr">
        <is>
          <t>CLOSE</t>
        </is>
      </c>
      <c r="N30" s="27" t="inlineStr">
        <is>
          <t>HDPE, 300x200x10 mm; integrated handle and only white/black offered (not a full HACCP colour set); not dishwasher-safe per spec. Page shows 8,61 / 7,00 bez DPH.</t>
        </is>
      </c>
      <c r="O30" s="27" t="inlineStr">
        <is>
          <t>2026-09-30</t>
        </is>
      </c>
      <c r="P30" s="38" t="inlineStr">
        <is>
          <t>=IF(AND(OR(M23="EXACT",M23="CLOSE"),ISNUMBER(L23),IFERROR(INDEX(Competitors!$M:$M,MATCH(B23,Competitors!$A:$A,0)),"no")="yes"),L23,"")</t>
        </is>
      </c>
      <c r="Q30" s="27" t="n">
        <v>7</v>
      </c>
      <c r="R30" s="27" t="n">
        <v>7</v>
      </c>
      <c r="S30" s="2" t="n"/>
      <c r="T30" s="2" t="n"/>
      <c r="U30" s="2" t="n"/>
      <c r="V30" s="2" t="n"/>
      <c r="W30" s="2" t="n"/>
      <c r="X30" s="2" t="n"/>
      <c r="Y30" s="2" t="n"/>
      <c r="Z30" s="2" t="n"/>
      <c r="AA30" s="2" t="n"/>
      <c r="AB30" s="2" t="n"/>
      <c r="AC30" s="2" t="n"/>
    </row>
    <row r="31" ht="106" customHeight="1">
      <c r="A31" s="2" t="n"/>
      <c r="B31" s="24" t="inlineStr">
        <is>
          <t>Gastromania.sk (GASTROMANIA CZ s.r.o., CZ)</t>
        </is>
      </c>
      <c r="C31" s="24" t="inlineStr">
        <is>
          <t>Nádoba na cesto na pizzu, 600x400x95 mm | HENDI, 880913</t>
        </is>
      </c>
      <c r="D31" s="24" t="inlineStr">
        <is>
          <t>Hendi</t>
        </is>
      </c>
      <c r="E31" s="25" t="inlineStr">
        <is>
          <t>https://gastromania.sk/nadoby-na-pizza-cesto/nadoba-na-cesto-na-pizzu-600x400x95-mm-hendi-880913</t>
        </is>
      </c>
      <c r="F31" s="98" t="n">
        <v>12.65</v>
      </c>
      <c r="G31" s="24" t="inlineStr">
        <is>
          <t>EUR</t>
        </is>
      </c>
      <c r="H31" s="24" t="inlineStr">
        <is>
          <t>excl.</t>
        </is>
      </c>
      <c r="I31" s="24" t="inlineStr">
        <is>
          <t>n/a</t>
        </is>
      </c>
      <c r="J31" s="116" t="n">
        <v>1</v>
      </c>
      <c r="K31" s="24" t="inlineStr">
        <is>
          <t>per piece</t>
        </is>
      </c>
      <c r="L31" s="36" t="inlineStr">
        <is>
          <t>=IF(ISNUMBER(F24),IF(H24="incl.",F24/(1+I24),F24)/IF(K24="per pack",J24,1),"")</t>
        </is>
      </c>
      <c r="M31" s="24" t="inlineStr">
        <is>
          <t>CLOSE</t>
        </is>
      </c>
      <c r="N31" s="24" t="inlineStr">
        <is>
          <t>Listed 'Cena bez DPH' 12.65 EUR / 'Cena s DPH' 15.56 EUR. Stated PP, 600x400 mm, 95 mm high (5 mm lower), 18 l. NOTE: Gastrozone lists the same 18 l HENDI/AmerBox box as PET - material conflict between sites. Alternative: Stalgast 563410 600x400x100 mm 18,04 bez DPH (title says polyethylene, parameters say PP).</t>
        </is>
      </c>
      <c r="O31" s="24" t="inlineStr">
        <is>
          <t>2026-09-30</t>
        </is>
      </c>
      <c r="P31" s="36" t="inlineStr">
        <is>
          <t>=IF(AND(OR(M24="EXACT",M24="CLOSE"),ISNUMBER(L24),IFERROR(INDEX(Competitors!$M:$M,MATCH(B24,Competitors!$A:$A,0)),"no")="yes"),L24,"")</t>
        </is>
      </c>
      <c r="Q31" s="24" t="n">
        <v>12.65</v>
      </c>
      <c r="R31" s="24" t="n">
        <v>12.65</v>
      </c>
      <c r="S31" s="2" t="n"/>
      <c r="T31" s="2" t="n"/>
      <c r="U31" s="2" t="n"/>
      <c r="V31" s="2" t="n"/>
      <c r="W31" s="2" t="n"/>
      <c r="X31" s="2" t="n"/>
      <c r="Y31" s="2" t="n"/>
      <c r="Z31" s="2" t="n"/>
      <c r="AA31" s="2" t="n"/>
      <c r="AB31" s="2" t="n"/>
      <c r="AC31" s="2" t="n"/>
    </row>
    <row r="32" ht="106" customHeight="1">
      <c r="A32" s="2" t="n"/>
      <c r="B32" s="27" t="inlineStr">
        <is>
          <t>Gastrozone.sk (GASTROZONE, spol. s r.o., CZ)</t>
        </is>
      </c>
      <c r="C32" s="27" t="inlineStr">
        <is>
          <t>Araven Pizzabox na cesto PP, polypropylén, výška 100 mm, 600 x 400 mm</t>
        </is>
      </c>
      <c r="D32" s="27" t="inlineStr">
        <is>
          <t>Araven</t>
        </is>
      </c>
      <c r="E32" s="28" t="inlineStr">
        <is>
          <t>https://www.gastrozone.sk/araven-pizzabox-pp-vyska-100-mm-delka-600-mm-sirka-400-mm.html</t>
        </is>
      </c>
      <c r="F32" s="102" t="n">
        <v>22.96</v>
      </c>
      <c r="G32" s="27" t="inlineStr">
        <is>
          <t>EUR</t>
        </is>
      </c>
      <c r="H32" s="27" t="inlineStr">
        <is>
          <t>incl.</t>
        </is>
      </c>
      <c r="I32" s="123" t="n">
        <v>0.23</v>
      </c>
      <c r="J32" s="117" t="n">
        <v>1</v>
      </c>
      <c r="K32" s="27" t="inlineStr">
        <is>
          <t>per piece</t>
        </is>
      </c>
      <c r="L32" s="38" t="inlineStr">
        <is>
          <t>=IF(ISNUMBER(F25),IF(H25="incl.",F25/(1+I25),F25)/IF(K25="per pack",J25,1),"")</t>
        </is>
      </c>
      <c r="M32" s="27" t="inlineStr">
        <is>
          <t>EXACT</t>
        </is>
      </c>
      <c r="N32" s="27" t="inlineStr">
        <is>
          <t>PP, 600x400x100 mm. Page shows 22,96 / 18,67 bez DPH. In stock.</t>
        </is>
      </c>
      <c r="O32" s="27" t="inlineStr">
        <is>
          <t>2026-09-30</t>
        </is>
      </c>
      <c r="P32" s="38" t="inlineStr">
        <is>
          <t>=IF(AND(OR(M25="EXACT",M25="CLOSE"),ISNUMBER(L25),IFERROR(INDEX(Competitors!$M:$M,MATCH(B25,Competitors!$A:$A,0)),"no")="yes"),L25,"")</t>
        </is>
      </c>
      <c r="Q32" s="27" t="n">
        <v>18.6666666666667</v>
      </c>
      <c r="R32" s="27" t="n">
        <v>18.6666666666667</v>
      </c>
      <c r="S32" s="2" t="n"/>
      <c r="T32" s="2" t="n"/>
      <c r="U32" s="2" t="n"/>
      <c r="V32" s="2" t="n"/>
      <c r="W32" s="2" t="n"/>
      <c r="X32" s="2" t="n"/>
      <c r="Y32" s="2" t="n"/>
      <c r="Z32" s="2" t="n"/>
      <c r="AA32" s="2" t="n"/>
      <c r="AB32" s="2" t="n"/>
      <c r="AC32" s="2" t="n"/>
    </row>
    <row r="33" ht="106" customHeight="1">
      <c r="A33" s="2" t="n"/>
      <c r="B33" s="24" t="inlineStr">
        <is>
          <t>Gastromania.sk (GASTROMANIA CZ s.r.o., CZ)</t>
        </is>
      </c>
      <c r="C33" s="24" t="inlineStr">
        <is>
          <t>Veko na nádobu 2510/600 | CONTACTO, 2510/601</t>
        </is>
      </c>
      <c r="D33" s="24" t="inlineStr">
        <is>
          <t>Contacto</t>
        </is>
      </c>
      <c r="E33" s="25" t="inlineStr">
        <is>
          <t>https://gastromania.sk/veka-na-nadoby-na-cesto/veko-na-nadobu-2510-600-contacto-2510-601</t>
        </is>
      </c>
      <c r="F33" s="98" t="n">
        <v>11.7</v>
      </c>
      <c r="G33" s="24" t="inlineStr">
        <is>
          <t>EUR</t>
        </is>
      </c>
      <c r="H33" s="24" t="inlineStr">
        <is>
          <t>excl.</t>
        </is>
      </c>
      <c r="I33" s="24" t="inlineStr">
        <is>
          <t>n/a</t>
        </is>
      </c>
      <c r="J33" s="116" t="n">
        <v>1</v>
      </c>
      <c r="K33" s="24" t="inlineStr">
        <is>
          <t>per piece</t>
        </is>
      </c>
      <c r="L33" s="36" t="inlineStr">
        <is>
          <t>=IF(ISNUMBER(F26),IF(H26="incl.",F26/(1+I26),F26)/IF(K26="per pack",J26,1),"")</t>
        </is>
      </c>
      <c r="M33" s="24" t="inlineStr">
        <is>
          <t>EXACT</t>
        </is>
      </c>
      <c r="N33" s="24" t="inlineStr">
        <is>
          <t>Listed 'Cena bez DPH' 11.70 EUR / 'Cena s DPH' 14.39 EUR. PE lid for Contacto 600x400 dough box. Promo; base 13,00 / 15,99. Availability 30 days.</t>
        </is>
      </c>
      <c r="O33" s="24" t="inlineStr">
        <is>
          <t>2026-09-30</t>
        </is>
      </c>
      <c r="P33" s="36" t="inlineStr">
        <is>
          <t>=IF(AND(OR(M26="EXACT",M26="CLOSE"),ISNUMBER(L26),IFERROR(INDEX(Competitors!$M:$M,MATCH(B26,Competitors!$A:$A,0)),"no")="yes"),L26,"")</t>
        </is>
      </c>
      <c r="Q33" s="24" t="n">
        <v>11.7</v>
      </c>
      <c r="R33" s="24" t="n">
        <v>11.7</v>
      </c>
      <c r="S33" s="2" t="n"/>
      <c r="T33" s="2" t="n"/>
      <c r="U33" s="2" t="n"/>
      <c r="V33" s="2" t="n"/>
      <c r="W33" s="2" t="n"/>
      <c r="X33" s="2" t="n"/>
      <c r="Y33" s="2" t="n"/>
      <c r="Z33" s="2" t="n"/>
      <c r="AA33" s="2" t="n"/>
      <c r="AB33" s="2" t="n"/>
      <c r="AC33" s="2" t="n"/>
    </row>
    <row r="34" ht="106" customHeight="1">
      <c r="A34" s="2" t="n"/>
      <c r="B34" s="27" t="inlineStr">
        <is>
          <t>Gastrozone.sk (GASTROZONE, spol. s r.o., CZ)</t>
        </is>
      </c>
      <c r="C34" s="27" t="inlineStr">
        <is>
          <t>Araven Veko na pizzabox na cesto PP, 600 x 400 mm</t>
        </is>
      </c>
      <c r="D34" s="27" t="inlineStr">
        <is>
          <t>Araven</t>
        </is>
      </c>
      <c r="E34" s="28" t="inlineStr">
        <is>
          <t>https://www.gastrozone.sk/araven-viko-k-pizzove-krabici-z-pp-delka-600-mm-sirka-400-mm.html</t>
        </is>
      </c>
      <c r="F34" s="102" t="n">
        <v>13.61</v>
      </c>
      <c r="G34" s="27" t="inlineStr">
        <is>
          <t>EUR</t>
        </is>
      </c>
      <c r="H34" s="27" t="inlineStr">
        <is>
          <t>incl.</t>
        </is>
      </c>
      <c r="I34" s="123" t="n">
        <v>0.23</v>
      </c>
      <c r="J34" s="117" t="n">
        <v>1</v>
      </c>
      <c r="K34" s="27" t="inlineStr">
        <is>
          <t>per piece</t>
        </is>
      </c>
      <c r="L34" s="38" t="inlineStr">
        <is>
          <t>=IF(ISNUMBER(F27),IF(H27="incl.",F27/(1+I27),F27)/IF(K27="per pack",J27,1),"")</t>
        </is>
      </c>
      <c r="M34" s="27" t="inlineStr">
        <is>
          <t>EXACT</t>
        </is>
      </c>
      <c r="N34" s="27" t="inlineStr">
        <is>
          <t>PP lid for 600x400 dough box. Page shows 13,61 / 11,07 bez DPH. AmerBox PET-box lid 11,50 EUR also listed.</t>
        </is>
      </c>
      <c r="O34" s="27" t="inlineStr">
        <is>
          <t>2026-09-30</t>
        </is>
      </c>
      <c r="P34" s="38" t="inlineStr">
        <is>
          <t>=IF(AND(OR(M27="EXACT",M27="CLOSE"),ISNUMBER(L27),IFERROR(INDEX(Competitors!$M:$M,MATCH(B27,Competitors!$A:$A,0)),"no")="yes"),L27,"")</t>
        </is>
      </c>
      <c r="Q34" s="27" t="n">
        <v>11.0650406504065</v>
      </c>
      <c r="R34" s="27" t="n">
        <v>11.0650406504065</v>
      </c>
      <c r="S34" s="2" t="n"/>
      <c r="T34" s="2" t="n"/>
      <c r="U34" s="2" t="n"/>
      <c r="V34" s="2" t="n"/>
      <c r="W34" s="2" t="n"/>
      <c r="X34" s="2" t="n"/>
      <c r="Y34" s="2" t="n"/>
      <c r="Z34" s="2" t="n"/>
      <c r="AA34" s="2" t="n"/>
      <c r="AB34" s="2" t="n"/>
      <c r="AC34" s="2" t="n"/>
    </row>
    <row r="35" ht="106" customHeight="1">
      <c r="A35" s="2" t="n"/>
      <c r="B35" s="24" t="inlineStr">
        <is>
          <t>Gastromania.sk (GASTROMANIA CZ s.r.o., CZ)</t>
        </is>
      </c>
      <c r="C35" s="24" t="inlineStr">
        <is>
          <t>Nádoba na pizza cesto 600x400x75 mm | CONTACTO, 2510/600</t>
        </is>
      </c>
      <c r="D35" s="24" t="inlineStr">
        <is>
          <t>Contacto</t>
        </is>
      </c>
      <c r="E35" s="25" t="inlineStr">
        <is>
          <t>https://gastromania.sk/nadoby-na-pizza-cesto/nadoba-na-pizza-cesto-600x400x75-mm-contacto-2510-600</t>
        </is>
      </c>
      <c r="F35" s="98" t="n">
        <v>15.21</v>
      </c>
      <c r="G35" s="24" t="inlineStr">
        <is>
          <t>EUR</t>
        </is>
      </c>
      <c r="H35" s="24" t="inlineStr">
        <is>
          <t>excl.</t>
        </is>
      </c>
      <c r="I35" s="24" t="inlineStr">
        <is>
          <t>n/a</t>
        </is>
      </c>
      <c r="J35" s="116" t="n">
        <v>1</v>
      </c>
      <c r="K35" s="24" t="inlineStr">
        <is>
          <t>per piece</t>
        </is>
      </c>
      <c r="L35" s="36" t="inlineStr">
        <is>
          <t>=IF(ISNUMBER(F28),IF(H28="incl.",F28/(1+I28),F28)/IF(K28="per pack",J28,1),"")</t>
        </is>
      </c>
      <c r="M35" s="24" t="inlineStr">
        <is>
          <t>EXACT</t>
        </is>
      </c>
      <c r="N35" s="24" t="inlineStr">
        <is>
          <t>Listed 'Cena bez DPH' 15.21 EUR / 'Cena s DPH' 18.71 EUR. White polyethylene, 600x400x75 mm. Promo; base 16,90 / 20,79. Availability 30 days.</t>
        </is>
      </c>
      <c r="O35" s="24" t="inlineStr">
        <is>
          <t>2026-09-30</t>
        </is>
      </c>
      <c r="P35" s="36" t="inlineStr">
        <is>
          <t>=IF(AND(OR(M28="EXACT",M28="CLOSE"),ISNUMBER(L28),IFERROR(INDEX(Competitors!$M:$M,MATCH(B28,Competitors!$A:$A,0)),"no")="yes"),L28,"")</t>
        </is>
      </c>
      <c r="Q35" s="24" t="n">
        <v>15.21</v>
      </c>
      <c r="R35" s="24" t="n">
        <v>15.21</v>
      </c>
      <c r="S35" s="2" t="n"/>
      <c r="T35" s="2" t="n"/>
      <c r="U35" s="2" t="n"/>
      <c r="V35" s="2" t="n"/>
      <c r="W35" s="2" t="n"/>
      <c r="X35" s="2" t="n"/>
      <c r="Y35" s="2" t="n"/>
      <c r="Z35" s="2" t="n"/>
      <c r="AA35" s="2" t="n"/>
      <c r="AB35" s="2" t="n"/>
      <c r="AC35" s="2" t="n"/>
    </row>
    <row r="36" ht="106" customHeight="1">
      <c r="A36" s="2" t="n"/>
      <c r="B36" s="27" t="inlineStr">
        <is>
          <t>Gastrozone.sk (GASTROZONE, spol. s r.o., CZ)</t>
        </is>
      </c>
      <c r="C36" s="27" t="inlineStr">
        <is>
          <t>Nádoba AmerBox Kitchen Line na cesto na pizzu, 600 × 400 mm, 14 l (výška 75 mm)</t>
        </is>
      </c>
      <c r="D36" s="27" t="inlineStr">
        <is>
          <t>AmerBox (HENDI)</t>
        </is>
      </c>
      <c r="E36" s="28" t="inlineStr">
        <is>
          <t>https://www.gastrozone.sk/nadoba-na-pizza-testo-600x400-amerbox-kitchen-line-14l-600x400x-h-75mm.html</t>
        </is>
      </c>
      <c r="F36" s="102" t="n">
        <v>12.3</v>
      </c>
      <c r="G36" s="27" t="inlineStr">
        <is>
          <t>EUR</t>
        </is>
      </c>
      <c r="H36" s="27" t="inlineStr">
        <is>
          <t>incl.</t>
        </is>
      </c>
      <c r="I36" s="123" t="n">
        <v>0.23</v>
      </c>
      <c r="J36" s="117" t="n">
        <v>1</v>
      </c>
      <c r="K36" s="27" t="inlineStr">
        <is>
          <t>per piece</t>
        </is>
      </c>
      <c r="L36" s="38" t="inlineStr">
        <is>
          <t>=IF(ISNUMBER(F29),IF(H29="incl.",F29/(1+I29),F29)/IF(K29="per pack",J29,1),"")</t>
        </is>
      </c>
      <c r="M36" s="27" t="inlineStr">
        <is>
          <t>APPROX</t>
        </is>
      </c>
      <c r="N36" s="27" t="inlineStr">
        <is>
          <t>600x400x75 mm but PET (polyethylene terephthalate), not PE. Page shows 12,30 / 10,00 bez DPH.</t>
        </is>
      </c>
      <c r="O36" s="27" t="inlineStr">
        <is>
          <t>2026-09-30</t>
        </is>
      </c>
      <c r="P36" s="38" t="inlineStr">
        <is>
          <t>=IF(AND(OR(M29="EXACT",M29="CLOSE"),ISNUMBER(L29),IFERROR(INDEX(Competitors!$M:$M,MATCH(B29,Competitors!$A:$A,0)),"no")="yes"),L29,"")</t>
        </is>
      </c>
      <c r="Q36" s="27" t="n">
        <v>10</v>
      </c>
      <c r="R36" s="27" t="n"/>
      <c r="S36" s="2" t="n"/>
      <c r="T36" s="2" t="n"/>
      <c r="U36" s="2" t="n"/>
      <c r="V36" s="2" t="n"/>
      <c r="W36" s="2" t="n"/>
      <c r="X36" s="2" t="n"/>
      <c r="Y36" s="2" t="n"/>
      <c r="Z36" s="2" t="n"/>
      <c r="AA36" s="2" t="n"/>
      <c r="AB36" s="2" t="n"/>
      <c r="AC36" s="2" t="n"/>
    </row>
    <row r="37" ht="106" customHeight="1">
      <c r="A37" s="2" t="n"/>
      <c r="B37" s="24" t="inlineStr">
        <is>
          <t>Gastromania.sk (GASTROMANIA CZ s.r.o., CZ)</t>
        </is>
      </c>
      <c r="C37" s="24" t="inlineStr">
        <is>
          <t>Termobox s predným plnením pre GN | CAMBRO, R-EPP400</t>
        </is>
      </c>
      <c r="D37" s="24" t="inlineStr">
        <is>
          <t>Cambro</t>
        </is>
      </c>
      <c r="E37" s="25" t="inlineStr">
        <is>
          <t>https://gastromania.sk/termoizolacne/termobox-s-prednym-plnenim-pre-gn-cambro-r-epp400</t>
        </is>
      </c>
      <c r="F37" s="98" t="n">
        <v>228.24</v>
      </c>
      <c r="G37" s="24" t="inlineStr">
        <is>
          <t>EUR</t>
        </is>
      </c>
      <c r="H37" s="24" t="inlineStr">
        <is>
          <t>excl.</t>
        </is>
      </c>
      <c r="I37" s="24" t="inlineStr">
        <is>
          <t>n/a</t>
        </is>
      </c>
      <c r="J37" s="116" t="n">
        <v>1</v>
      </c>
      <c r="K37" s="24" t="inlineStr">
        <is>
          <t>per piece</t>
        </is>
      </c>
      <c r="L37" s="36" t="inlineStr">
        <is>
          <t>=IF(ISNUMBER(F30),IF(H30="incl.",F30/(1+I30),F30)/IF(K30="per pack",J30,1),"")</t>
        </is>
      </c>
      <c r="M37" s="24" t="inlineStr">
        <is>
          <t>EXACT</t>
        </is>
      </c>
      <c r="N37" s="24" t="inlineStr">
        <is>
          <t>Listed 'Cena bez DPH' 228.24 EUR / 'Cena s DPH' 280.74 EUR. Front-loading, GN 1/1, 86 l, expanded polypropylene. In stock 5-9 pcs.</t>
        </is>
      </c>
      <c r="O37" s="24" t="inlineStr">
        <is>
          <t>2026-09-30</t>
        </is>
      </c>
      <c r="P37" s="36" t="inlineStr">
        <is>
          <t>=IF(AND(OR(M30="EXACT",M30="CLOSE"),ISNUMBER(L30),IFERROR(INDEX(Competitors!$M:$M,MATCH(B30,Competitors!$A:$A,0)),"no")="yes"),L30,"")</t>
        </is>
      </c>
      <c r="Q37" s="24" t="n">
        <v>228.24</v>
      </c>
      <c r="R37" s="24" t="n">
        <v>228.24</v>
      </c>
      <c r="S37" s="2" t="n"/>
      <c r="T37" s="2" t="n"/>
      <c r="U37" s="2" t="n"/>
      <c r="V37" s="2" t="n"/>
      <c r="W37" s="2" t="n"/>
      <c r="X37" s="2" t="n"/>
      <c r="Y37" s="2" t="n"/>
      <c r="Z37" s="2" t="n"/>
      <c r="AA37" s="2" t="n"/>
      <c r="AB37" s="2" t="n"/>
      <c r="AC37" s="2" t="n"/>
    </row>
    <row r="38" ht="106" customHeight="1">
      <c r="A38" s="2" t="n"/>
      <c r="B38" s="27" t="inlineStr">
        <is>
          <t>Gastrozone.sk (GASTROZONE, spol. s r.o., CZ)</t>
        </is>
      </c>
      <c r="C38" s="27" t="inlineStr">
        <is>
          <t>Termoizolačný box Cambro Cam GoBox, GN 1/1, 86 l, čierny</t>
        </is>
      </c>
      <c r="D38" s="27" t="inlineStr">
        <is>
          <t>Cambro</t>
        </is>
      </c>
      <c r="E38" s="28" t="inlineStr">
        <is>
          <t>https://www.gastrozone.sk/cambro-termoport-86-l-bocni-plneni.html</t>
        </is>
      </c>
      <c r="F38" s="102" t="n">
        <v>228.78</v>
      </c>
      <c r="G38" s="27" t="inlineStr">
        <is>
          <t>EUR</t>
        </is>
      </c>
      <c r="H38" s="27" t="inlineStr">
        <is>
          <t>incl.</t>
        </is>
      </c>
      <c r="I38" s="123" t="n">
        <v>0.23</v>
      </c>
      <c r="J38" s="117" t="n">
        <v>1</v>
      </c>
      <c r="K38" s="27" t="inlineStr">
        <is>
          <t>per piece</t>
        </is>
      </c>
      <c r="L38" s="38" t="inlineStr">
        <is>
          <t>=IF(ISNUMBER(F31),IF(H31="incl.",F31/(1+I31),F31)/IF(K31="per pack",J31,1),"")</t>
        </is>
      </c>
      <c r="M38" s="27" t="inlineStr">
        <is>
          <t>CLOSE</t>
        </is>
      </c>
      <c r="N38" s="27" t="inlineStr">
        <is>
          <t>86 l GN 1/1, EPP. Listing inconsistent: title says 's horným plnením' (top-loading) but URL and description say front loading with 270° door. Page shows 228,78 / 186,00 bez DPH. Cambro Ultra Pan Carrier front-loader (PE) 271,83 EUR, volume not stated.</t>
        </is>
      </c>
      <c r="O38" s="27" t="inlineStr">
        <is>
          <t>2026-09-30</t>
        </is>
      </c>
      <c r="P38" s="38" t="inlineStr">
        <is>
          <t>=IF(AND(OR(M31="EXACT",M31="CLOSE"),ISNUMBER(L31),IFERROR(INDEX(Competitors!$M:$M,MATCH(B31,Competitors!$A:$A,0)),"no")="yes"),L31,"")</t>
        </is>
      </c>
      <c r="Q38" s="27" t="n">
        <v>186</v>
      </c>
      <c r="R38" s="27" t="n">
        <v>186</v>
      </c>
      <c r="S38" s="2" t="n"/>
      <c r="T38" s="2" t="n"/>
      <c r="U38" s="2" t="n"/>
      <c r="V38" s="2" t="n"/>
      <c r="W38" s="2" t="n"/>
      <c r="X38" s="2" t="n"/>
      <c r="Y38" s="2" t="n"/>
      <c r="Z38" s="2" t="n"/>
      <c r="AA38" s="2" t="n"/>
      <c r="AB38" s="2" t="n"/>
      <c r="AC38" s="2" t="n"/>
    </row>
    <row r="39" ht="106" customHeight="1">
      <c r="A39" s="2" t="n"/>
      <c r="B39" s="24" t="inlineStr">
        <is>
          <t>Gastromania.sk (GASTROMANIA CZ s.r.o., CZ)</t>
        </is>
      </c>
      <c r="C39" s="24" t="inlineStr">
        <is>
          <t>Tácka z polypropylénu Fast Food 350x450 mm šedá | HENDI, 878804</t>
        </is>
      </c>
      <c r="D39" s="24" t="inlineStr">
        <is>
          <t>Hendi</t>
        </is>
      </c>
      <c r="E39" s="25" t="inlineStr">
        <is>
          <t>https://gastromania.sk/obdlznikove-jedalne-podnosy/tacka-z-polypropylenu-fast-food-350x450-mm-seda-hendi-878804</t>
        </is>
      </c>
      <c r="F39" s="98" t="n">
        <v>4.88</v>
      </c>
      <c r="G39" s="24" t="inlineStr">
        <is>
          <t>EUR</t>
        </is>
      </c>
      <c r="H39" s="24" t="inlineStr">
        <is>
          <t>excl.</t>
        </is>
      </c>
      <c r="I39" s="24" t="inlineStr">
        <is>
          <t>n/a</t>
        </is>
      </c>
      <c r="J39" s="116" t="n">
        <v>1</v>
      </c>
      <c r="K39" s="24" t="inlineStr">
        <is>
          <t>per piece</t>
        </is>
      </c>
      <c r="L39" s="36" t="inlineStr">
        <is>
          <t>=IF(ISNUMBER(F32),IF(H32="incl.",F32/(1+I32),F32)/IF(K32="per pack",J32,1),"")</t>
        </is>
      </c>
      <c r="M39" s="24" t="inlineStr">
        <is>
          <t>APPROX</t>
        </is>
      </c>
      <c r="N39" s="24" t="inlineStr">
        <is>
          <t>Listed 'Cena bez DPH' 4.88 EUR / 'Cena s DPH' 6.00 EUR. PP, but 350x450 mm instead of approx. 370x530 mm. 530x370 trays found are polyester/laminate/laminated wood (e.g. Contacto 4411 polyester EN 1/1, HENDI 507117 laminated wood 18,70 bez DPH).</t>
        </is>
      </c>
      <c r="O39" s="24" t="inlineStr">
        <is>
          <t>2026-09-30</t>
        </is>
      </c>
      <c r="P39" s="36" t="inlineStr">
        <is>
          <t>=IF(AND(OR(M32="EXACT",M32="CLOSE"),ISNUMBER(L32),IFERROR(INDEX(Competitors!$M:$M,MATCH(B32,Competitors!$A:$A,0)),"no")="yes"),L32,"")</t>
        </is>
      </c>
      <c r="Q39" s="24" t="n">
        <v>4.88</v>
      </c>
      <c r="R39" s="24" t="n"/>
      <c r="S39" s="2" t="n"/>
      <c r="T39" s="2" t="n"/>
      <c r="U39" s="2" t="n"/>
      <c r="V39" s="2" t="n"/>
      <c r="W39" s="2" t="n"/>
      <c r="X39" s="2" t="n"/>
      <c r="Y39" s="2" t="n"/>
      <c r="Z39" s="2" t="n"/>
      <c r="AA39" s="2" t="n"/>
      <c r="AB39" s="2" t="n"/>
      <c r="AC39" s="2" t="n"/>
    </row>
    <row r="40" ht="106" customHeight="1">
      <c r="A40" s="2" t="n"/>
      <c r="B40" s="27" t="inlineStr">
        <is>
          <t>Gastrozone.sk (GASTROZONE, spol. s r.o., CZ)</t>
        </is>
      </c>
      <c r="C40" s="27" t="inlineStr">
        <is>
          <t>APS Fast Food podnos, GN 1/1, hnedý, 530 x 325 x 20 mm</t>
        </is>
      </c>
      <c r="D40" s="27" t="inlineStr">
        <is>
          <t>APS</t>
        </is>
      </c>
      <c r="E40" s="28" t="inlineStr">
        <is>
          <t>https://www.gastrozone.sk/aps-fast-food-tablett-gn-1-1-hnede-vyska-20-mm-delka-530-mm-sirka-325-mm.html</t>
        </is>
      </c>
      <c r="F40" s="102" t="n">
        <v>11.47</v>
      </c>
      <c r="G40" s="27" t="inlineStr">
        <is>
          <t>EUR</t>
        </is>
      </c>
      <c r="H40" s="27" t="inlineStr">
        <is>
          <t>incl.</t>
        </is>
      </c>
      <c r="I40" s="123" t="n">
        <v>0.23</v>
      </c>
      <c r="J40" s="117" t="n">
        <v>1</v>
      </c>
      <c r="K40" s="27" t="inlineStr">
        <is>
          <t>per piece</t>
        </is>
      </c>
      <c r="L40" s="38" t="inlineStr">
        <is>
          <t>=IF(ISNUMBER(F33),IF(H33="incl.",F33/(1+I33),F33)/IF(K33="per pack",J33,1),"")</t>
        </is>
      </c>
      <c r="M40" s="27" t="inlineStr">
        <is>
          <t>APPROX</t>
        </is>
      </c>
      <c r="N40" s="27" t="inlineStr">
        <is>
          <t>PP, but 530x325 mm (GN 1/1) instead of approx. 530x370 mm. 530x370 trays found are other plastics: Roltex PYE (polyethylene) 40,32 EUR, Cambro fibreglass 35,31 EUR. To order (3-5 weeks).</t>
        </is>
      </c>
      <c r="O40" s="27" t="inlineStr">
        <is>
          <t>2026-09-30</t>
        </is>
      </c>
      <c r="P40" s="38" t="inlineStr">
        <is>
          <t>=IF(AND(OR(M33="EXACT",M33="CLOSE"),ISNUMBER(L33),IFERROR(INDEX(Competitors!$M:$M,MATCH(B33,Competitors!$A:$A,0)),"no")="yes"),L33,"")</t>
        </is>
      </c>
      <c r="Q40" s="27" t="n">
        <v>9.325203252032519</v>
      </c>
      <c r="R40" s="27" t="n"/>
      <c r="S40" s="2" t="n"/>
      <c r="T40" s="2" t="n"/>
      <c r="U40" s="2" t="n"/>
      <c r="V40" s="2" t="n"/>
      <c r="W40" s="2" t="n"/>
      <c r="X40" s="2" t="n"/>
      <c r="Y40" s="2" t="n"/>
      <c r="Z40" s="2" t="n"/>
      <c r="AA40" s="2" t="n"/>
      <c r="AB40" s="2" t="n"/>
      <c r="AC40" s="2" t="n"/>
    </row>
    <row r="41" ht="106" customHeight="1">
      <c r="A41" s="2" t="n"/>
      <c r="B41" s="24" t="inlineStr">
        <is>
          <t>Gastromania.sk (GASTROMANIA CZ s.r.o., CZ)</t>
        </is>
      </c>
      <c r="C41" s="24" t="inlineStr">
        <is>
          <t>Not found</t>
        </is>
      </c>
      <c r="D41" s="24" t="n"/>
      <c r="E41" s="25" t="inlineStr">
        <is>
          <t>https://gastromania.sk/products/search/language:slo?q=termoizola%C4%8Dn%C3%BD+podnos</t>
        </is>
      </c>
      <c r="F41" s="24" t="n"/>
      <c r="G41" s="24" t="n"/>
      <c r="H41" s="24" t="n"/>
      <c r="I41" s="24" t="n"/>
      <c r="J41" s="24" t="n"/>
      <c r="K41" s="24" t="n"/>
      <c r="L41" s="36" t="inlineStr">
        <is>
          <t>=IF(ISNUMBER(F34),IF(H34="incl.",F34/(1+I34),F34)/IF(K34="per pack",J34,1),"")</t>
        </is>
      </c>
      <c r="M41" s="24" t="n"/>
      <c r="N41" s="24" t="inlineStr">
        <is>
          <t>No insulated compartment tray found; search 'termoizolačný podnos' returns only trolleys/racks for thermo trays (DORA METAL), 'podnos s priehradkami' only wooden boxes.</t>
        </is>
      </c>
      <c r="O41" s="24" t="inlineStr">
        <is>
          <t>2026-09-30</t>
        </is>
      </c>
      <c r="P41" s="36" t="inlineStr">
        <is>
          <t>=IF(AND(OR(M34="EXACT",M34="CLOSE"),ISNUMBER(L34),IFERROR(INDEX(Competitors!$M:$M,MATCH(B34,Competitors!$A:$A,0)),"no")="yes"),L34,"")</t>
        </is>
      </c>
      <c r="Q41" s="24" t="n"/>
      <c r="R41" s="24" t="n"/>
      <c r="S41" s="2" t="n"/>
      <c r="T41" s="2" t="n"/>
      <c r="U41" s="2" t="n"/>
      <c r="V41" s="2" t="n"/>
      <c r="W41" s="2" t="n"/>
      <c r="X41" s="2" t="n"/>
      <c r="Y41" s="2" t="n"/>
      <c r="Z41" s="2" t="n"/>
      <c r="AA41" s="2" t="n"/>
      <c r="AB41" s="2" t="n"/>
      <c r="AC41" s="2" t="n"/>
    </row>
    <row r="42" ht="106" customHeight="1">
      <c r="A42" s="2" t="n"/>
      <c r="B42" s="27" t="inlineStr">
        <is>
          <t>Gastrozone.sk (GASTROZONE, spol. s r.o., CZ)</t>
        </is>
      </c>
      <c r="C42" s="27" t="inlineStr">
        <is>
          <t>Not found</t>
        </is>
      </c>
      <c r="D42" s="27" t="n"/>
      <c r="E42" s="28" t="inlineStr">
        <is>
          <t>https://www.gastrozone.sk/vyhladavanie/?text=termoizola%C4%8Dn%C3%BD+podnos</t>
        </is>
      </c>
      <c r="F42" s="27" t="n"/>
      <c r="G42" s="27" t="n"/>
      <c r="H42" s="27" t="n"/>
      <c r="I42" s="27" t="n"/>
      <c r="J42" s="27" t="n"/>
      <c r="K42" s="27" t="n"/>
      <c r="L42" s="38" t="inlineStr">
        <is>
          <t>=IF(ISNUMBER(F35),IF(H35="incl.",F35/(1+I35),F35)/IF(K35="per pack",J35,1),"")</t>
        </is>
      </c>
      <c r="M42" s="27" t="n"/>
      <c r="N42" s="27" t="inlineStr">
        <is>
          <t>No insulated compartment tray with lid found (searched 'termoizolačný podnos', 'termo tácka priehradky', 'podnos s priehradkami veko', 'menu box termo').</t>
        </is>
      </c>
      <c r="O42" s="27" t="inlineStr">
        <is>
          <t>2026-09-30</t>
        </is>
      </c>
      <c r="P42" s="38" t="inlineStr">
        <is>
          <t>=IF(AND(OR(M35="EXACT",M35="CLOSE"),ISNUMBER(L35),IFERROR(INDEX(Competitors!$M:$M,MATCH(B35,Competitors!$A:$A,0)),"no")="yes"),L35,"")</t>
        </is>
      </c>
      <c r="Q42" s="27" t="n"/>
      <c r="R42" s="27" t="n"/>
      <c r="S42" s="2" t="n"/>
      <c r="T42" s="2" t="n"/>
      <c r="U42" s="2" t="n"/>
      <c r="V42" s="2" t="n"/>
      <c r="W42" s="2" t="n"/>
      <c r="X42" s="2" t="n"/>
      <c r="Y42" s="2" t="n"/>
      <c r="Z42" s="2" t="n"/>
      <c r="AA42" s="2" t="n"/>
      <c r="AB42" s="2" t="n"/>
      <c r="AC42" s="2" t="n"/>
    </row>
    <row r="43" ht="31" customHeight="1">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c r="AC43" s="2" t="n"/>
    </row>
    <row r="44" ht="31" customHeight="1">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c r="AC44" s="2" t="n"/>
    </row>
    <row r="45" ht="31" customHeight="1">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c r="AC45" s="2" t="n"/>
    </row>
    <row r="46" ht="31" customHeight="1">
      <c r="A46" s="2" t="n"/>
      <c r="B46" s="7" t="inlineStr">
        <is>
          <t>Competitors</t>
        </is>
      </c>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c r="AC46" s="2" t="n"/>
    </row>
    <row r="47" ht="36" customHeight="1">
      <c r="A47" s="2" t="n"/>
      <c r="B47" s="16" t="inlineStr">
        <is>
          <t>Name</t>
        </is>
      </c>
      <c r="C47" s="17" t="inlineStr">
        <is>
          <t>URL</t>
        </is>
      </c>
      <c r="D47" s="17" t="inlineStr">
        <is>
          <t>Type (local / pan-EU / marketplace)</t>
        </is>
      </c>
      <c r="E47" s="17" t="inlineStr">
        <is>
          <t>B2B or B2C focus</t>
        </is>
      </c>
      <c r="F47" s="17" t="inlineStr">
        <is>
          <t>Prices shown incl./excl. VAT</t>
        </is>
      </c>
      <c r="G47" s="17" t="inlineStr">
        <is>
          <t>Shipping to Slovakia</t>
        </is>
      </c>
      <c r="H47" s="17" t="inlineStr">
        <is>
          <t>Shipping to Austria</t>
        </is>
      </c>
      <c r="I47" s="17" t="inlineStr">
        <is>
          <t>Shipping VAT treatment</t>
        </is>
      </c>
      <c r="J47" s="17" t="inlineStr">
        <is>
          <t>Free-shipping threshold</t>
        </is>
      </c>
      <c r="K47" s="17" t="inlineStr">
        <is>
          <t>Minimum order value</t>
        </is>
      </c>
      <c r="L47" s="17" t="inlineStr">
        <is>
          <t>Shipping/terms source URL</t>
        </is>
      </c>
      <c r="M47" s="17" t="inlineStr">
        <is>
          <t>Counted (yes/no)</t>
        </is>
      </c>
      <c r="N47" s="17" t="inlineStr">
        <is>
          <t>Notes</t>
        </is>
      </c>
      <c r="O47" s="18" t="inlineStr">
        <is>
          <t>Counted (yes/no) (saved value)</t>
        </is>
      </c>
      <c r="P47" s="2" t="n"/>
      <c r="Q47" s="2" t="n"/>
      <c r="R47" s="2" t="n"/>
      <c r="S47" s="2" t="n"/>
      <c r="T47" s="2" t="n"/>
      <c r="U47" s="2" t="n"/>
      <c r="V47" s="2" t="n"/>
      <c r="W47" s="2" t="n"/>
      <c r="X47" s="2" t="n"/>
      <c r="Y47" s="2" t="n"/>
      <c r="Z47" s="2" t="n"/>
      <c r="AA47" s="2" t="n"/>
      <c r="AB47" s="2" t="n"/>
      <c r="AC47" s="2" t="n"/>
    </row>
    <row r="48" ht="78" customHeight="1">
      <c r="A48" s="2" t="n"/>
      <c r="B48" s="24" t="inlineStr">
        <is>
          <t>METRO Slovakia</t>
        </is>
      </c>
      <c r="C48" s="25" t="inlineStr">
        <is>
          <t>https://www.metro.sk/</t>
        </is>
      </c>
      <c r="D48" s="24" t="inlineStr">
        <is>
          <t>local</t>
        </is>
      </c>
      <c r="E48" s="24" t="inlineStr">
        <is>
          <t>B2B (cash &amp; carry, registered business customers)</t>
        </is>
      </c>
      <c r="F48" s="24" t="inlineStr">
        <is>
          <t>Not readable (site blocked)</t>
        </is>
      </c>
      <c r="G48" s="24" t="inlineStr">
        <is>
          <t>Not readable</t>
        </is>
      </c>
      <c r="H48" s="24" t="inlineStr">
        <is>
          <t>Not readable</t>
        </is>
      </c>
      <c r="I48" s="24" t="inlineStr">
        <is>
          <t>Not readable</t>
        </is>
      </c>
      <c r="J48" s="24" t="inlineStr">
        <is>
          <t>Not readable</t>
        </is>
      </c>
      <c r="K48" s="24" t="inlineStr">
        <is>
          <t>Not readable</t>
        </is>
      </c>
      <c r="L48" s="25" t="inlineStr">
        <is>
          <t>https://www.metro.sk/</t>
        </is>
      </c>
      <c r="M48" s="36" t="inlineStr">
        <is>
          <t>=IF(L2&gt;=6,"yes","no")</t>
        </is>
      </c>
      <c r="N48" s="24" t="inlineStr">
        <is>
          <t>Every www.metro.sk URL (home page, robots.txt) returned HTTP 403 from a METRO-branded block page to scripts and to the web-fetch tool; shop.metro.sk / produkty.metro.sk did not resolve through the proxy. No prices recorded. Needs a manual check in a normal browser (METRO online shop typically needs a customer card login).</t>
        </is>
      </c>
      <c r="O48" s="24" t="inlineStr">
        <is>
          <t>no</t>
        </is>
      </c>
      <c r="P48" s="2" t="n"/>
      <c r="Q48" s="2" t="n"/>
      <c r="R48" s="2" t="n"/>
      <c r="S48" s="2" t="n"/>
      <c r="T48" s="2" t="n"/>
      <c r="U48" s="2" t="n"/>
      <c r="V48" s="2" t="n"/>
      <c r="W48" s="2" t="n"/>
      <c r="X48" s="2" t="n"/>
      <c r="Y48" s="2" t="n"/>
      <c r="Z48" s="2" t="n"/>
      <c r="AA48" s="2" t="n"/>
      <c r="AB48" s="2" t="n"/>
      <c r="AC48" s="2" t="n"/>
    </row>
    <row r="49" ht="148" customHeight="1">
      <c r="A49" s="2" t="n"/>
      <c r="B49" s="27" t="inlineStr">
        <is>
          <t>Gastromania.sk (GASTROMANIA CZ s.r.o., CZ)</t>
        </is>
      </c>
      <c r="C49" s="28" t="inlineStr">
        <is>
          <t>https://gastromania.sk/</t>
        </is>
      </c>
      <c r="D49" s="27" t="inlineStr">
        <is>
          <t>pan-EU</t>
        </is>
      </c>
      <c r="E49" s="27" t="inlineStr">
        <is>
          <t>B2B + B2C (HORECA specialist; B2B contract customers)</t>
        </is>
      </c>
      <c r="F49" s="27" t="inlineStr">
        <is>
          <t>Both shown on product pages: 'Cena bez DPH' (shown first) and 'Cena s DPH' (23%). T&amp;Cs state prices include VAT.</t>
        </is>
      </c>
      <c r="G49" s="27" t="inlineStr">
        <is>
          <t>SPS courier 8 EUR (bank transfer / online payment) or 9 EUR (cash on delivery), parcels max 31.5 kg and 60x60x120 cm; oversized parcels and pallet freight priced individually at order confirmation.</t>
        </is>
      </c>
      <c r="H49" s="27" t="inlineStr">
        <is>
          <t>Not offered publicly: T&amp;Cs state published delivery costs apply only within the Slovak Republic; no Austria option or price shown.</t>
        </is>
      </c>
      <c r="I49" s="27" t="inlineStr">
        <is>
          <t>Not explicitly stated for shipping; T&amp;Cs say listed prices include VAT</t>
        </is>
      </c>
      <c r="J49" s="27" t="inlineStr">
        <is>
          <t>Free delivery from 300 EUR (incl./excl. VAT not stated)</t>
        </is>
      </c>
      <c r="K49" s="27" t="inlineStr">
        <is>
          <t>None stated</t>
        </is>
      </c>
      <c r="L49" s="28" t="inlineStr">
        <is>
          <t>https://gastromania.sk/sposoby-dorucenia.html ; https://gastromania.sk/obchodne-podmienky.html ; https://gastromania.sk/b2b.html</t>
        </is>
      </c>
      <c r="M49" s="38" t="inlineStr">
        <is>
          <t>=IF(L3&gt;=6,"yes","no")</t>
        </is>
      </c>
      <c r="N49" s="27" t="inlineStr">
        <is>
          <t>Czech company (Český Těšín, IČ 28654684) with a Slovak storefront; large HORECA range (Contacto, HENDI, Stalgast, Bartscher, Cambro, APS). B2B customers sign a contract and get individual offers after login (not recorded). Many items show promotional prices with a crossed-out base price and 'lowest price in last 30 days'; the current (first-shown) price is recorded. Scripted access was repeatedly rate-limited (CAPTCHA), so product pages were read through the web-fetch tool on the same date.</t>
        </is>
      </c>
      <c r="O49" s="27" t="inlineStr">
        <is>
          <t>yes</t>
        </is>
      </c>
      <c r="P49" s="2" t="n"/>
      <c r="Q49" s="2" t="n"/>
      <c r="R49" s="2" t="n"/>
      <c r="S49" s="2" t="n"/>
      <c r="T49" s="2" t="n"/>
      <c r="U49" s="2" t="n"/>
      <c r="V49" s="2" t="n"/>
      <c r="W49" s="2" t="n"/>
      <c r="X49" s="2" t="n"/>
      <c r="Y49" s="2" t="n"/>
      <c r="Z49" s="2" t="n"/>
      <c r="AA49" s="2" t="n"/>
      <c r="AB49" s="2" t="n"/>
      <c r="AC49" s="2" t="n"/>
    </row>
    <row r="50" ht="106" customHeight="1">
      <c r="A50" s="2" t="n"/>
      <c r="B50" s="24" t="inlineStr">
        <is>
          <t>GastroMarket.sk</t>
        </is>
      </c>
      <c r="C50" s="25" t="inlineStr">
        <is>
          <t>https://www.gastromarket.sk/</t>
        </is>
      </c>
      <c r="D50" s="24" t="inlineStr">
        <is>
          <t>local</t>
        </is>
      </c>
      <c r="E50" s="24" t="inlineStr">
        <is>
          <t>Not determined (site not readable)</t>
        </is>
      </c>
      <c r="F50" s="24" t="inlineStr">
        <is>
          <t>Not readable (Cloudflare challenge)</t>
        </is>
      </c>
      <c r="G50" s="24" t="inlineStr">
        <is>
          <t>Not readable</t>
        </is>
      </c>
      <c r="H50" s="24" t="inlineStr">
        <is>
          <t>Not readable</t>
        </is>
      </c>
      <c r="I50" s="24" t="inlineStr">
        <is>
          <t>Not readable</t>
        </is>
      </c>
      <c r="J50" s="24" t="inlineStr">
        <is>
          <t>Not readable</t>
        </is>
      </c>
      <c r="K50" s="24" t="inlineStr">
        <is>
          <t>Not readable</t>
        </is>
      </c>
      <c r="L50" s="25" t="inlineStr">
        <is>
          <t>https://www.gastromarket.sk/</t>
        </is>
      </c>
      <c r="M50" s="36" t="inlineStr">
        <is>
          <t>=IF(L4&gt;=6,"yes","no")</t>
        </is>
      </c>
      <c r="N50" s="24" t="inlineStr">
        <is>
          <t>All URLs (home, robots.txt, sitemap.xml, search) return HTTP 403 with a Cloudflare 'Len chvíľu...' JavaScript challenge, both to scripts and to the web-fetch tool. No prices recorded. Web-search results associate GastroMarket with Linorex s.r.o. (Bratislava) through public-procurement contract PDFs on crz.gov.sk; those tender prices were NOT used (not current webshop prices). Needs a manual check in a normal browser.</t>
        </is>
      </c>
      <c r="O50" s="24" t="inlineStr">
        <is>
          <t>no</t>
        </is>
      </c>
      <c r="P50" s="2" t="n"/>
      <c r="Q50" s="2" t="n"/>
      <c r="R50" s="2" t="n"/>
      <c r="S50" s="2" t="n"/>
      <c r="T50" s="2" t="n"/>
      <c r="U50" s="2" t="n"/>
      <c r="V50" s="2" t="n"/>
      <c r="W50" s="2" t="n"/>
      <c r="X50" s="2" t="n"/>
      <c r="Y50" s="2" t="n"/>
      <c r="Z50" s="2" t="n"/>
      <c r="AA50" s="2" t="n"/>
      <c r="AB50" s="2" t="n"/>
      <c r="AC50" s="2" t="n"/>
    </row>
    <row r="51" ht="134" customHeight="1">
      <c r="A51" s="2" t="n"/>
      <c r="B51" s="27" t="inlineStr">
        <is>
          <t>Gastrozone.sk (GASTROZONE, spol. s r.o., CZ)</t>
        </is>
      </c>
      <c r="C51" s="28" t="inlineStr">
        <is>
          <t>https://www.gastrozone.sk/</t>
        </is>
      </c>
      <c r="D51" s="27" t="inlineStr">
        <is>
          <t>pan-EU</t>
        </is>
      </c>
      <c r="E51" s="27" t="inlineStr">
        <is>
          <t>B2C (B2B account available)</t>
        </is>
      </c>
      <c r="F51" s="27" t="inlineStr">
        <is>
          <t>incl. VAT (23% SK DPH) shown first; net 'bez DPH' also shown on product pages</t>
        </is>
      </c>
      <c r="G51" s="27" t="inlineStr">
        <is>
          <t>Home delivery (courier) 4.90 EUR; pick-up points (Packeta, GLS ParcelShop) 3.90 EUR; DPD Pickup / Express One 4.20 EUR. Cash on delivery +1.80 EUR.</t>
        </is>
      </c>
      <c r="H51" s="27" t="inlineStr">
        <is>
          <t>Not offered publicly: the shop's T&amp;Cs state published delivery costs apply only to delivery within the Slovak Republic; no Austria option shown (storefronts only SK/CZ/HU).</t>
        </is>
      </c>
      <c r="I51" s="27" t="inlineStr">
        <is>
          <t>Shipping prices shown incl. VAT with net in brackets (e.g. 4.90 EUR = 3.98 EUR bez DPH)</t>
        </is>
      </c>
      <c r="J51" s="27" t="inlineStr">
        <is>
          <t>Free delivery and pick-up for orders over 120 EUR incl. VAT (SK)</t>
        </is>
      </c>
      <c r="K51" s="27" t="inlineStr">
        <is>
          <t>None stated</t>
        </is>
      </c>
      <c r="L51" s="28" t="inlineStr">
        <is>
          <t>https://www.gastrozone.sk/informacie/doprava-a-platba/ ; https://www.gastrozone.sk/informacie/obchodne-podmienky/</t>
        </is>
      </c>
      <c r="M51" s="38" t="inlineStr">
        <is>
          <t>=IF(L5&gt;=6,"yes","no")</t>
        </is>
      </c>
      <c r="N51" s="27" t="inlineStr">
        <is>
          <t>Czech company (Tábor/Hajany, VAT ID CZ29181747) running a Slovak-language storefront; general gastro + household range (Araven, Pujadas, HENDI, APS, Cambro, Schneider). Public prices are retail; registered B2B customers see wholesale prices after login (not recorded). Slovak T&amp;Cs apply to consumers only. Several items shown 'Na objednávku (3-5 týždňov)' (to order, 3-5 weeks).</t>
        </is>
      </c>
      <c r="O51" s="27" t="inlineStr">
        <is>
          <t>yes</t>
        </is>
      </c>
      <c r="P51" s="2" t="n"/>
      <c r="Q51" s="2" t="n"/>
      <c r="R51" s="2" t="n"/>
      <c r="S51" s="2" t="n"/>
      <c r="T51" s="2" t="n"/>
      <c r="U51" s="2" t="n"/>
      <c r="V51" s="2" t="n"/>
      <c r="W51" s="2" t="n"/>
      <c r="X51" s="2" t="n"/>
      <c r="Y51" s="2" t="n"/>
      <c r="Z51" s="2" t="n"/>
      <c r="AA51" s="2" t="n"/>
      <c r="AB51" s="2" t="n"/>
      <c r="AC51" s="2" t="n"/>
    </row>
    <row r="52" ht="31" customHeight="1">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c r="AC52" s="2" t="n"/>
    </row>
    <row r="53" ht="31" customHeight="1">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c r="AC53" s="2" t="n"/>
    </row>
    <row r="54" ht="31" customHeight="1">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c r="AC54" s="2" t="n"/>
    </row>
    <row r="55" ht="31" customHeight="1">
      <c r="A55" s="2" t="n"/>
      <c r="B55" s="7" t="inlineStr">
        <is>
          <t>Summary</t>
        </is>
      </c>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c r="AC55" s="2" t="n"/>
    </row>
    <row r="56" ht="50" customHeight="1">
      <c r="A56" s="2" t="n"/>
      <c r="B56" s="16" t="inlineStr">
        <is>
          <t>Item description</t>
        </is>
      </c>
      <c r="C56" s="17" t="inlineStr">
        <is>
          <t>Min net price per piece EUR</t>
        </is>
      </c>
      <c r="D56" s="17" t="inlineStr">
        <is>
          <t>Median net price per piece EUR</t>
        </is>
      </c>
      <c r="E56" s="17" t="inlineStr">
        <is>
          <t>Max net price per piece EUR</t>
        </is>
      </c>
      <c r="F56" s="17" t="inlineStr">
        <is>
          <t>Min net price per piece EUR (saved value)</t>
        </is>
      </c>
      <c r="G56" s="17" t="inlineStr">
        <is>
          <t>Median net price per piece EUR (saved value)</t>
        </is>
      </c>
      <c r="H56" s="18" t="inlineStr">
        <is>
          <t>Max net price per piece EUR (saved value)</t>
        </is>
      </c>
      <c r="I56" s="2" t="n"/>
      <c r="J56" s="2" t="n"/>
      <c r="K56" s="2" t="n"/>
      <c r="L56" s="2" t="n"/>
      <c r="M56" s="2" t="n"/>
      <c r="N56" s="2" t="n"/>
      <c r="O56" s="2" t="n"/>
      <c r="P56" s="2" t="n"/>
      <c r="Q56" s="2" t="n"/>
      <c r="R56" s="2" t="n"/>
      <c r="S56" s="2" t="n"/>
      <c r="T56" s="2" t="n"/>
      <c r="U56" s="2" t="n"/>
      <c r="V56" s="2" t="n"/>
      <c r="W56" s="2" t="n"/>
      <c r="X56" s="2" t="n"/>
      <c r="Y56" s="2" t="n"/>
      <c r="Z56" s="2" t="n"/>
      <c r="AA56" s="2" t="n"/>
      <c r="AB56" s="2" t="n"/>
      <c r="AC56" s="2" t="n"/>
    </row>
    <row r="57" ht="78" customHeight="1">
      <c r="A57" s="2" t="n"/>
      <c r="B57" s="24" t="inlineStr">
        <is>
          <t>GN 1/1 polycarbonate container, 65 mm deep</t>
        </is>
      </c>
      <c r="C57" s="36" t="inlineStr">
        <is>
          <t>=IF(C2=0,"",_xlfn.MINIFS(Prices!$P$2:$P$35,Prices!$A$2:$A$35,A2))</t>
        </is>
      </c>
      <c r="D57" s="36" t="inlineStr">
        <is>
          <t>=IF(C2=0,"",MEDIAN(IF((Prices!$A$2:$A$35=A2)*ISNUMBER(Prices!$P$2:$P$35),Prices!$P$2:$P$35)))</t>
        </is>
      </c>
      <c r="E57" s="36" t="inlineStr">
        <is>
          <t>=IF(C2=0,"",_xlfn.MAXIFS(Prices!$P$2:$P$35,Prices!$A$2:$A$35,A2))</t>
        </is>
      </c>
      <c r="F57" s="24" t="n">
        <v>16.4552845528455</v>
      </c>
      <c r="G57" s="24" t="n">
        <v>18.4676422764228</v>
      </c>
      <c r="H57" s="24" t="n">
        <v>20.48</v>
      </c>
      <c r="I57" s="2" t="n"/>
      <c r="J57" s="2" t="n"/>
      <c r="K57" s="2" t="n"/>
      <c r="L57" s="2" t="n"/>
      <c r="M57" s="2" t="n"/>
      <c r="N57" s="2" t="n"/>
      <c r="O57" s="2" t="n"/>
      <c r="P57" s="2" t="n"/>
      <c r="Q57" s="2" t="n"/>
      <c r="R57" s="2" t="n"/>
      <c r="S57" s="2" t="n"/>
      <c r="T57" s="2" t="n"/>
      <c r="U57" s="2" t="n"/>
      <c r="V57" s="2" t="n"/>
      <c r="W57" s="2" t="n"/>
      <c r="X57" s="2" t="n"/>
      <c r="Y57" s="2" t="n"/>
      <c r="Z57" s="2" t="n"/>
      <c r="AA57" s="2" t="n"/>
      <c r="AB57" s="2" t="n"/>
      <c r="AC57" s="2" t="n"/>
    </row>
    <row r="58" ht="78" customHeight="1">
      <c r="A58" s="2" t="n"/>
      <c r="B58" s="27" t="inlineStr">
        <is>
          <t>GN 1/2 polycarbonate container, 150 mm deep</t>
        </is>
      </c>
      <c r="C58" s="38" t="inlineStr">
        <is>
          <t>=IF(C3=0,"",_xlfn.MINIFS(Prices!$P$2:$P$35,Prices!$A$2:$A$35,A3))</t>
        </is>
      </c>
      <c r="D58" s="38" t="inlineStr">
        <is>
          <t>=IF(C3=0,"",MEDIAN(IF((Prices!$A$2:$A$35=A3)*ISNUMBER(Prices!$P$2:$P$35),Prices!$P$2:$P$35)))</t>
        </is>
      </c>
      <c r="E58" s="38" t="inlineStr">
        <is>
          <t>=IF(C3=0,"",_xlfn.MAXIFS(Prices!$P$2:$P$35,Prices!$A$2:$A$35,A3))</t>
        </is>
      </c>
      <c r="F58" s="27" t="n">
        <v>15.2276422764228</v>
      </c>
      <c r="G58" s="27" t="n">
        <v>15.6888211382114</v>
      </c>
      <c r="H58" s="27" t="n">
        <v>16.15</v>
      </c>
      <c r="I58" s="2" t="n"/>
      <c r="J58" s="2" t="n"/>
      <c r="K58" s="2" t="n"/>
      <c r="L58" s="2" t="n"/>
      <c r="M58" s="2" t="n"/>
      <c r="N58" s="2" t="n"/>
      <c r="O58" s="2" t="n"/>
      <c r="P58" s="2" t="n"/>
      <c r="Q58" s="2" t="n"/>
      <c r="R58" s="2" t="n"/>
      <c r="S58" s="2" t="n"/>
      <c r="T58" s="2" t="n"/>
      <c r="U58" s="2" t="n"/>
      <c r="V58" s="2" t="n"/>
      <c r="W58" s="2" t="n"/>
      <c r="X58" s="2" t="n"/>
      <c r="Y58" s="2" t="n"/>
      <c r="Z58" s="2" t="n"/>
      <c r="AA58" s="2" t="n"/>
      <c r="AB58" s="2" t="n"/>
      <c r="AC58" s="2" t="n"/>
    </row>
    <row r="59" ht="78" customHeight="1">
      <c r="A59" s="2" t="n"/>
      <c r="B59" s="24" t="inlineStr">
        <is>
          <t>GN 1/3 polypropylene container, 100 mm deep</t>
        </is>
      </c>
      <c r="C59" s="36" t="inlineStr">
        <is>
          <t>=IF(C4=0,"",_xlfn.MINIFS(Prices!$P$2:$P$35,Prices!$A$2:$A$35,A4))</t>
        </is>
      </c>
      <c r="D59" s="36" t="inlineStr">
        <is>
          <t>=IF(C4=0,"",MEDIAN(IF((Prices!$A$2:$A$35=A4)*ISNUMBER(Prices!$P$2:$P$35),Prices!$P$2:$P$35)))</t>
        </is>
      </c>
      <c r="E59" s="36" t="inlineStr">
        <is>
          <t>=IF(C4=0,"",_xlfn.MAXIFS(Prices!$P$2:$P$35,Prices!$A$2:$A$35,A4))</t>
        </is>
      </c>
      <c r="F59" s="24" t="n">
        <v>6.3739837398374</v>
      </c>
      <c r="G59" s="24" t="n">
        <v>11.9919918699187</v>
      </c>
      <c r="H59" s="24" t="n">
        <v>17.61</v>
      </c>
      <c r="I59" s="2" t="n"/>
      <c r="J59" s="2" t="n"/>
      <c r="K59" s="2" t="n"/>
      <c r="L59" s="2" t="n"/>
      <c r="M59" s="2" t="n"/>
      <c r="N59" s="2" t="n"/>
      <c r="O59" s="2" t="n"/>
      <c r="P59" s="2" t="n"/>
      <c r="Q59" s="2" t="n"/>
      <c r="R59" s="2" t="n"/>
      <c r="S59" s="2" t="n"/>
      <c r="T59" s="2" t="n"/>
      <c r="U59" s="2" t="n"/>
      <c r="V59" s="2" t="n"/>
      <c r="W59" s="2" t="n"/>
      <c r="X59" s="2" t="n"/>
      <c r="Y59" s="2" t="n"/>
      <c r="Z59" s="2" t="n"/>
      <c r="AA59" s="2" t="n"/>
      <c r="AB59" s="2" t="n"/>
      <c r="AC59" s="2" t="n"/>
    </row>
    <row r="60" ht="78" customHeight="1">
      <c r="A60" s="2" t="n"/>
      <c r="B60" s="27" t="inlineStr">
        <is>
          <t>GN 1/1 polypropylene lid</t>
        </is>
      </c>
      <c r="C60" s="38" t="inlineStr">
        <is>
          <t>=IF(C5=0,"",_xlfn.MINIFS(Prices!$P$2:$P$35,Prices!$A$2:$A$35,A5))</t>
        </is>
      </c>
      <c r="D60" s="38" t="inlineStr">
        <is>
          <t>=IF(C5=0,"",MEDIAN(IF((Prices!$A$2:$A$35=A5)*ISNUMBER(Prices!$P$2:$P$35),Prices!$P$2:$P$35)))</t>
        </is>
      </c>
      <c r="E60" s="38" t="inlineStr">
        <is>
          <t>=IF(C5=0,"",_xlfn.MAXIFS(Prices!$P$2:$P$35,Prices!$A$2:$A$35,A5))</t>
        </is>
      </c>
      <c r="F60" s="27" t="n">
        <v>8.460000000000001</v>
      </c>
      <c r="G60" s="27" t="n">
        <v>9.94544715447155</v>
      </c>
      <c r="H60" s="27" t="n">
        <v>11.4308943089431</v>
      </c>
      <c r="I60" s="2" t="n"/>
      <c r="J60" s="2" t="n"/>
      <c r="K60" s="2" t="n"/>
      <c r="L60" s="2" t="n"/>
      <c r="M60" s="2" t="n"/>
      <c r="N60" s="2" t="n"/>
      <c r="O60" s="2" t="n"/>
      <c r="P60" s="2" t="n"/>
      <c r="Q60" s="2" t="n"/>
      <c r="R60" s="2" t="n"/>
      <c r="S60" s="2" t="n"/>
      <c r="T60" s="2" t="n"/>
      <c r="U60" s="2" t="n"/>
      <c r="V60" s="2" t="n"/>
      <c r="W60" s="2" t="n"/>
      <c r="X60" s="2" t="n"/>
      <c r="Y60" s="2" t="n"/>
      <c r="Z60" s="2" t="n"/>
      <c r="AA60" s="2" t="n"/>
      <c r="AB60" s="2" t="n"/>
      <c r="AC60" s="2" t="n"/>
    </row>
    <row r="61" ht="78" customHeight="1">
      <c r="A61" s="2" t="n"/>
      <c r="B61" s="24" t="inlineStr">
        <is>
          <t>Squeeze bottle 500 ml, polypropylene, single tip</t>
        </is>
      </c>
      <c r="C61" s="36" t="inlineStr">
        <is>
          <t>=IF(C6=0,"",_xlfn.MINIFS(Prices!$P$2:$P$35,Prices!$A$2:$A$35,A6))</t>
        </is>
      </c>
      <c r="D61" s="36" t="inlineStr">
        <is>
          <t>=IF(C6=0,"",MEDIAN(IF((Prices!$A$2:$A$35=A6)*ISNUMBER(Prices!$P$2:$P$35),Prices!$P$2:$P$35)))</t>
        </is>
      </c>
      <c r="E61" s="36" t="inlineStr">
        <is>
          <t>=IF(C6=0,"",_xlfn.MAXIFS(Prices!$P$2:$P$35,Prices!$A$2:$A$35,A6))</t>
        </is>
      </c>
      <c r="F61" s="24" t="n"/>
      <c r="G61" s="24" t="n"/>
      <c r="H61" s="24" t="n"/>
      <c r="I61" s="2" t="n"/>
      <c r="J61" s="2" t="n"/>
      <c r="K61" s="2" t="n"/>
      <c r="L61" s="2" t="n"/>
      <c r="M61" s="2" t="n"/>
      <c r="N61" s="2" t="n"/>
      <c r="O61" s="2" t="n"/>
      <c r="P61" s="2" t="n"/>
      <c r="Q61" s="2" t="n"/>
      <c r="R61" s="2" t="n"/>
      <c r="S61" s="2" t="n"/>
      <c r="T61" s="2" t="n"/>
      <c r="U61" s="2" t="n"/>
      <c r="V61" s="2" t="n"/>
      <c r="W61" s="2" t="n"/>
      <c r="X61" s="2" t="n"/>
      <c r="Y61" s="2" t="n"/>
      <c r="Z61" s="2" t="n"/>
      <c r="AA61" s="2" t="n"/>
      <c r="AB61" s="2" t="n"/>
      <c r="AC61" s="2" t="n"/>
    </row>
    <row r="62" ht="78" customHeight="1">
      <c r="A62" s="2" t="n"/>
      <c r="B62" s="27" t="inlineStr">
        <is>
          <t>Squeeze bottle 1000 ml, polypropylene, single tip</t>
        </is>
      </c>
      <c r="C62" s="38" t="inlineStr">
        <is>
          <t>=IF(C7=0,"",_xlfn.MINIFS(Prices!$P$2:$P$35,Prices!$A$2:$A$35,A7))</t>
        </is>
      </c>
      <c r="D62" s="38" t="inlineStr">
        <is>
          <t>=IF(C7=0,"",MEDIAN(IF((Prices!$A$2:$A$35=A7)*ISNUMBER(Prices!$P$2:$P$35),Prices!$P$2:$P$35)))</t>
        </is>
      </c>
      <c r="E62" s="38" t="inlineStr">
        <is>
          <t>=IF(C7=0,"",_xlfn.MAXIFS(Prices!$P$2:$P$35,Prices!$A$2:$A$35,A7))</t>
        </is>
      </c>
      <c r="F62" s="27" t="n">
        <v>1.28</v>
      </c>
      <c r="G62" s="27" t="n">
        <v>1.28</v>
      </c>
      <c r="H62" s="27" t="n">
        <v>1.28</v>
      </c>
      <c r="I62" s="2" t="n"/>
      <c r="J62" s="2" t="n"/>
      <c r="K62" s="2" t="n"/>
      <c r="L62" s="2" t="n"/>
      <c r="M62" s="2" t="n"/>
      <c r="N62" s="2" t="n"/>
      <c r="O62" s="2" t="n"/>
      <c r="P62" s="2" t="n"/>
      <c r="Q62" s="2" t="n"/>
      <c r="R62" s="2" t="n"/>
      <c r="S62" s="2" t="n"/>
      <c r="T62" s="2" t="n"/>
      <c r="U62" s="2" t="n"/>
      <c r="V62" s="2" t="n"/>
      <c r="W62" s="2" t="n"/>
      <c r="X62" s="2" t="n"/>
      <c r="Y62" s="2" t="n"/>
      <c r="Z62" s="2" t="n"/>
      <c r="AA62" s="2" t="n"/>
      <c r="AB62" s="2" t="n"/>
      <c r="AC62" s="2" t="n"/>
    </row>
    <row r="63" ht="78" customHeight="1">
      <c r="A63" s="2" t="n"/>
      <c r="B63" s="24" t="inlineStr">
        <is>
          <t>Squeeze bottle 500 ml with triple tip</t>
        </is>
      </c>
      <c r="C63" s="36" t="inlineStr">
        <is>
          <t>=IF(C8=0,"",_xlfn.MINIFS(Prices!$P$2:$P$35,Prices!$A$2:$A$35,A8))</t>
        </is>
      </c>
      <c r="D63" s="36" t="inlineStr">
        <is>
          <t>=IF(C8=0,"",MEDIAN(IF((Prices!$A$2:$A$35=A8)*ISNUMBER(Prices!$P$2:$P$35),Prices!$P$2:$P$35)))</t>
        </is>
      </c>
      <c r="E63" s="36" t="inlineStr">
        <is>
          <t>=IF(C8=0,"",_xlfn.MAXIFS(Prices!$P$2:$P$35,Prices!$A$2:$A$35,A8))</t>
        </is>
      </c>
      <c r="F63" s="24" t="n"/>
      <c r="G63" s="24" t="n"/>
      <c r="H63" s="24" t="n"/>
      <c r="I63" s="2" t="n"/>
      <c r="J63" s="2" t="n"/>
      <c r="K63" s="2" t="n"/>
      <c r="L63" s="2" t="n"/>
      <c r="M63" s="2" t="n"/>
      <c r="N63" s="2" t="n"/>
      <c r="O63" s="2" t="n"/>
      <c r="P63" s="2" t="n"/>
      <c r="Q63" s="2" t="n"/>
      <c r="R63" s="2" t="n"/>
      <c r="S63" s="2" t="n"/>
      <c r="T63" s="2" t="n"/>
      <c r="U63" s="2" t="n"/>
      <c r="V63" s="2" t="n"/>
      <c r="W63" s="2" t="n"/>
      <c r="X63" s="2" t="n"/>
      <c r="Y63" s="2" t="n"/>
      <c r="Z63" s="2" t="n"/>
      <c r="AA63" s="2" t="n"/>
      <c r="AB63" s="2" t="n"/>
      <c r="AC63" s="2" t="n"/>
    </row>
    <row r="64" ht="78" customHeight="1">
      <c r="A64" s="2" t="n"/>
      <c r="B64" s="27" t="inlineStr">
        <is>
          <t>Ketchup/sauce pump dispenser with stand</t>
        </is>
      </c>
      <c r="C64" s="38" t="inlineStr">
        <is>
          <t>=IF(C9=0,"",_xlfn.MINIFS(Prices!$P$2:$P$35,Prices!$A$2:$A$35,A9))</t>
        </is>
      </c>
      <c r="D64" s="38" t="inlineStr">
        <is>
          <t>=IF(C9=0,"",MEDIAN(IF((Prices!$A$2:$A$35=A9)*ISNUMBER(Prices!$P$2:$P$35),Prices!$P$2:$P$35)))</t>
        </is>
      </c>
      <c r="E64" s="38" t="inlineStr">
        <is>
          <t>=IF(C9=0,"",_xlfn.MAXIFS(Prices!$P$2:$P$35,Prices!$A$2:$A$35,A9))</t>
        </is>
      </c>
      <c r="F64" s="27" t="n"/>
      <c r="G64" s="27" t="n"/>
      <c r="H64" s="27" t="n"/>
      <c r="I64" s="2" t="n"/>
      <c r="J64" s="2" t="n"/>
      <c r="K64" s="2" t="n"/>
      <c r="L64" s="2" t="n"/>
      <c r="M64" s="2" t="n"/>
      <c r="N64" s="2" t="n"/>
      <c r="O64" s="2" t="n"/>
      <c r="P64" s="2" t="n"/>
      <c r="Q64" s="2" t="n"/>
      <c r="R64" s="2" t="n"/>
      <c r="S64" s="2" t="n"/>
      <c r="T64" s="2" t="n"/>
      <c r="U64" s="2" t="n"/>
      <c r="V64" s="2" t="n"/>
      <c r="W64" s="2" t="n"/>
      <c r="X64" s="2" t="n"/>
      <c r="Y64" s="2" t="n"/>
      <c r="Z64" s="2" t="n"/>
      <c r="AA64" s="2" t="n"/>
      <c r="AB64" s="2" t="n"/>
      <c r="AC64" s="2" t="n"/>
    </row>
    <row r="65" ht="78" customHeight="1">
      <c r="A65" s="2" t="n"/>
      <c r="B65" s="24" t="inlineStr">
        <is>
          <t>HACCP colour-coded PE cutting board 530 x 325 x 20 mm (GN 1/1)</t>
        </is>
      </c>
      <c r="C65" s="36" t="inlineStr">
        <is>
          <t>=IF(C10=0,"",_xlfn.MINIFS(Prices!$P$2:$P$35,Prices!$A$2:$A$35,A10))</t>
        </is>
      </c>
      <c r="D65" s="36" t="inlineStr">
        <is>
          <t>=IF(C10=0,"",MEDIAN(IF((Prices!$A$2:$A$35=A10)*ISNUMBER(Prices!$P$2:$P$35),Prices!$P$2:$P$35)))</t>
        </is>
      </c>
      <c r="E65" s="36" t="inlineStr">
        <is>
          <t>=IF(C10=0,"",_xlfn.MAXIFS(Prices!$P$2:$P$35,Prices!$A$2:$A$35,A10))</t>
        </is>
      </c>
      <c r="F65" s="24" t="n">
        <v>20.35</v>
      </c>
      <c r="G65" s="24" t="n">
        <v>36.154674796748</v>
      </c>
      <c r="H65" s="24" t="n">
        <v>51.9593495934959</v>
      </c>
      <c r="I65" s="2" t="n"/>
      <c r="J65" s="2" t="n"/>
      <c r="K65" s="2" t="n"/>
      <c r="L65" s="2" t="n"/>
      <c r="M65" s="2" t="n"/>
      <c r="N65" s="2" t="n"/>
      <c r="O65" s="2" t="n"/>
      <c r="P65" s="2" t="n"/>
      <c r="Q65" s="2" t="n"/>
      <c r="R65" s="2" t="n"/>
      <c r="S65" s="2" t="n"/>
      <c r="T65" s="2" t="n"/>
      <c r="U65" s="2" t="n"/>
      <c r="V65" s="2" t="n"/>
      <c r="W65" s="2" t="n"/>
      <c r="X65" s="2" t="n"/>
      <c r="Y65" s="2" t="n"/>
      <c r="Z65" s="2" t="n"/>
      <c r="AA65" s="2" t="n"/>
      <c r="AB65" s="2" t="n"/>
      <c r="AC65" s="2" t="n"/>
    </row>
    <row r="66" ht="78" customHeight="1">
      <c r="A66" s="2" t="n"/>
      <c r="B66" s="27" t="inlineStr">
        <is>
          <t>HACCP colour-coded PE cutting board 600 x 400 x 20 mm</t>
        </is>
      </c>
      <c r="C66" s="38" t="inlineStr">
        <is>
          <t>=IF(C11=0,"",_xlfn.MINIFS(Prices!$P$2:$P$35,Prices!$A$2:$A$35,A11))</t>
        </is>
      </c>
      <c r="D66" s="38" t="inlineStr">
        <is>
          <t>=IF(C11=0,"",MEDIAN(IF((Prices!$A$2:$A$35=A11)*ISNUMBER(Prices!$P$2:$P$35),Prices!$P$2:$P$35)))</t>
        </is>
      </c>
      <c r="E66" s="38" t="inlineStr">
        <is>
          <t>=IF(C11=0,"",_xlfn.MAXIFS(Prices!$P$2:$P$35,Prices!$A$2:$A$35,A11))</t>
        </is>
      </c>
      <c r="F66" s="27" t="n">
        <v>32.85</v>
      </c>
      <c r="G66" s="27" t="n">
        <v>32.85</v>
      </c>
      <c r="H66" s="27" t="n">
        <v>32.85</v>
      </c>
      <c r="I66" s="2" t="n"/>
      <c r="J66" s="2" t="n"/>
      <c r="K66" s="2" t="n"/>
      <c r="L66" s="2" t="n"/>
      <c r="M66" s="2" t="n"/>
      <c r="N66" s="2" t="n"/>
      <c r="O66" s="2" t="n"/>
      <c r="P66" s="2" t="n"/>
      <c r="Q66" s="2" t="n"/>
      <c r="R66" s="2" t="n"/>
      <c r="S66" s="2" t="n"/>
      <c r="T66" s="2" t="n"/>
      <c r="U66" s="2" t="n"/>
      <c r="V66" s="2" t="n"/>
      <c r="W66" s="2" t="n"/>
      <c r="X66" s="2" t="n"/>
      <c r="Y66" s="2" t="n"/>
      <c r="Z66" s="2" t="n"/>
      <c r="AA66" s="2" t="n"/>
      <c r="AB66" s="2" t="n"/>
      <c r="AC66" s="2" t="n"/>
    </row>
    <row r="67" ht="78" customHeight="1">
      <c r="A67" s="2" t="n"/>
      <c r="B67" s="24" t="inlineStr">
        <is>
          <t>HACCP colour-coded PE cutting board 300 x 200 x 10 mm</t>
        </is>
      </c>
      <c r="C67" s="36" t="inlineStr">
        <is>
          <t>=IF(C12=0,"",_xlfn.MINIFS(Prices!$P$2:$P$35,Prices!$A$2:$A$35,A12))</t>
        </is>
      </c>
      <c r="D67" s="36" t="inlineStr">
        <is>
          <t>=IF(C12=0,"",MEDIAN(IF((Prices!$A$2:$A$35=A12)*ISNUMBER(Prices!$P$2:$P$35),Prices!$P$2:$P$35)))</t>
        </is>
      </c>
      <c r="E67" s="36" t="inlineStr">
        <is>
          <t>=IF(C12=0,"",_xlfn.MAXIFS(Prices!$P$2:$P$35,Prices!$A$2:$A$35,A12))</t>
        </is>
      </c>
      <c r="F67" s="24" t="n">
        <v>6.18</v>
      </c>
      <c r="G67" s="24" t="n">
        <v>6.59</v>
      </c>
      <c r="H67" s="24" t="n">
        <v>7</v>
      </c>
      <c r="I67" s="2" t="n"/>
      <c r="J67" s="2" t="n"/>
      <c r="K67" s="2" t="n"/>
      <c r="L67" s="2" t="n"/>
      <c r="M67" s="2" t="n"/>
      <c r="N67" s="2" t="n"/>
      <c r="O67" s="2" t="n"/>
      <c r="P67" s="2" t="n"/>
      <c r="Q67" s="2" t="n"/>
      <c r="R67" s="2" t="n"/>
      <c r="S67" s="2" t="n"/>
      <c r="T67" s="2" t="n"/>
      <c r="U67" s="2" t="n"/>
      <c r="V67" s="2" t="n"/>
      <c r="W67" s="2" t="n"/>
      <c r="X67" s="2" t="n"/>
      <c r="Y67" s="2" t="n"/>
      <c r="Z67" s="2" t="n"/>
      <c r="AA67" s="2" t="n"/>
      <c r="AB67" s="2" t="n"/>
      <c r="AC67" s="2" t="n"/>
    </row>
    <row r="68" ht="78" customHeight="1">
      <c r="A68" s="2" t="n"/>
      <c r="B68" s="27" t="inlineStr">
        <is>
          <t>Pizza dough proofing box 600 x 400 x 100 mm, polypropylene</t>
        </is>
      </c>
      <c r="C68" s="38" t="inlineStr">
        <is>
          <t>=IF(C13=0,"",_xlfn.MINIFS(Prices!$P$2:$P$35,Prices!$A$2:$A$35,A13))</t>
        </is>
      </c>
      <c r="D68" s="38" t="inlineStr">
        <is>
          <t>=IF(C13=0,"",MEDIAN(IF((Prices!$A$2:$A$35=A13)*ISNUMBER(Prices!$P$2:$P$35),Prices!$P$2:$P$35)))</t>
        </is>
      </c>
      <c r="E68" s="38" t="inlineStr">
        <is>
          <t>=IF(C13=0,"",_xlfn.MAXIFS(Prices!$P$2:$P$35,Prices!$A$2:$A$35,A13))</t>
        </is>
      </c>
      <c r="F68" s="27" t="n">
        <v>12.65</v>
      </c>
      <c r="G68" s="27" t="n">
        <v>15.6583333333333</v>
      </c>
      <c r="H68" s="27" t="n">
        <v>18.6666666666667</v>
      </c>
      <c r="I68" s="2" t="n"/>
      <c r="J68" s="2" t="n"/>
      <c r="K68" s="2" t="n"/>
      <c r="L68" s="2" t="n"/>
      <c r="M68" s="2" t="n"/>
      <c r="N68" s="2" t="n"/>
      <c r="O68" s="2" t="n"/>
      <c r="P68" s="2" t="n"/>
      <c r="Q68" s="2" t="n"/>
      <c r="R68" s="2" t="n"/>
      <c r="S68" s="2" t="n"/>
      <c r="T68" s="2" t="n"/>
      <c r="U68" s="2" t="n"/>
      <c r="V68" s="2" t="n"/>
      <c r="W68" s="2" t="n"/>
      <c r="X68" s="2" t="n"/>
      <c r="Y68" s="2" t="n"/>
      <c r="Z68" s="2" t="n"/>
      <c r="AA68" s="2" t="n"/>
      <c r="AB68" s="2" t="n"/>
      <c r="AC68" s="2" t="n"/>
    </row>
    <row r="69" ht="78" customHeight="1">
      <c r="A69" s="2" t="n"/>
      <c r="B69" s="24" t="inlineStr">
        <is>
          <t>Lid for 600 x 400 mm dough box</t>
        </is>
      </c>
      <c r="C69" s="36" t="inlineStr">
        <is>
          <t>=IF(C14=0,"",_xlfn.MINIFS(Prices!$P$2:$P$35,Prices!$A$2:$A$35,A14))</t>
        </is>
      </c>
      <c r="D69" s="36" t="inlineStr">
        <is>
          <t>=IF(C14=0,"",MEDIAN(IF((Prices!$A$2:$A$35=A14)*ISNUMBER(Prices!$P$2:$P$35),Prices!$P$2:$P$35)))</t>
        </is>
      </c>
      <c r="E69" s="36" t="inlineStr">
        <is>
          <t>=IF(C14=0,"",_xlfn.MAXIFS(Prices!$P$2:$P$35,Prices!$A$2:$A$35,A14))</t>
        </is>
      </c>
      <c r="F69" s="24" t="n">
        <v>11.0650406504065</v>
      </c>
      <c r="G69" s="24" t="n">
        <v>11.3825203252033</v>
      </c>
      <c r="H69" s="24" t="n">
        <v>11.7</v>
      </c>
      <c r="I69" s="2" t="n"/>
      <c r="J69" s="2" t="n"/>
      <c r="K69" s="2" t="n"/>
      <c r="L69" s="2" t="n"/>
      <c r="M69" s="2" t="n"/>
      <c r="N69" s="2" t="n"/>
      <c r="O69" s="2" t="n"/>
      <c r="P69" s="2" t="n"/>
      <c r="Q69" s="2" t="n"/>
      <c r="R69" s="2" t="n"/>
      <c r="S69" s="2" t="n"/>
      <c r="T69" s="2" t="n"/>
      <c r="U69" s="2" t="n"/>
      <c r="V69" s="2" t="n"/>
      <c r="W69" s="2" t="n"/>
      <c r="X69" s="2" t="n"/>
      <c r="Y69" s="2" t="n"/>
      <c r="Z69" s="2" t="n"/>
      <c r="AA69" s="2" t="n"/>
      <c r="AB69" s="2" t="n"/>
      <c r="AC69" s="2" t="n"/>
    </row>
    <row r="70" ht="78" customHeight="1">
      <c r="A70" s="2" t="n"/>
      <c r="B70" s="27" t="inlineStr">
        <is>
          <t>Pizza dough proofing box 600 x 400 x 75 mm, polyethylene</t>
        </is>
      </c>
      <c r="C70" s="38" t="inlineStr">
        <is>
          <t>=IF(C15=0,"",_xlfn.MINIFS(Prices!$P$2:$P$35,Prices!$A$2:$A$35,A15))</t>
        </is>
      </c>
      <c r="D70" s="38" t="inlineStr">
        <is>
          <t>=IF(C15=0,"",MEDIAN(IF((Prices!$A$2:$A$35=A15)*ISNUMBER(Prices!$P$2:$P$35),Prices!$P$2:$P$35)))</t>
        </is>
      </c>
      <c r="E70" s="38" t="inlineStr">
        <is>
          <t>=IF(C15=0,"",_xlfn.MAXIFS(Prices!$P$2:$P$35,Prices!$A$2:$A$35,A15))</t>
        </is>
      </c>
      <c r="F70" s="27" t="n">
        <v>15.21</v>
      </c>
      <c r="G70" s="27" t="n">
        <v>15.21</v>
      </c>
      <c r="H70" s="27" t="n">
        <v>15.21</v>
      </c>
      <c r="I70" s="2" t="n"/>
      <c r="J70" s="2" t="n"/>
      <c r="K70" s="2" t="n"/>
      <c r="L70" s="2" t="n"/>
      <c r="M70" s="2" t="n"/>
      <c r="N70" s="2" t="n"/>
      <c r="O70" s="2" t="n"/>
      <c r="P70" s="2" t="n"/>
      <c r="Q70" s="2" t="n"/>
      <c r="R70" s="2" t="n"/>
      <c r="S70" s="2" t="n"/>
      <c r="T70" s="2" t="n"/>
      <c r="U70" s="2" t="n"/>
      <c r="V70" s="2" t="n"/>
      <c r="W70" s="2" t="n"/>
      <c r="X70" s="2" t="n"/>
      <c r="Y70" s="2" t="n"/>
      <c r="Z70" s="2" t="n"/>
      <c r="AA70" s="2" t="n"/>
      <c r="AB70" s="2" t="n"/>
      <c r="AC70" s="2" t="n"/>
    </row>
    <row r="71" ht="78" customHeight="1">
      <c r="A71" s="2" t="n"/>
      <c r="B71" s="24" t="inlineStr">
        <is>
          <t>Front-loading insulated thermobox for GN 1/1, approx. 80-90 l</t>
        </is>
      </c>
      <c r="C71" s="36" t="inlineStr">
        <is>
          <t>=IF(C16=0,"",_xlfn.MINIFS(Prices!$P$2:$P$35,Prices!$A$2:$A$35,A16))</t>
        </is>
      </c>
      <c r="D71" s="36" t="inlineStr">
        <is>
          <t>=IF(C16=0,"",MEDIAN(IF((Prices!$A$2:$A$35=A16)*ISNUMBER(Prices!$P$2:$P$35),Prices!$P$2:$P$35)))</t>
        </is>
      </c>
      <c r="E71" s="36" t="inlineStr">
        <is>
          <t>=IF(C16=0,"",_xlfn.MAXIFS(Prices!$P$2:$P$35,Prices!$A$2:$A$35,A16))</t>
        </is>
      </c>
      <c r="F71" s="24" t="n">
        <v>186</v>
      </c>
      <c r="G71" s="24" t="n">
        <v>207.12</v>
      </c>
      <c r="H71" s="24" t="n">
        <v>228.24</v>
      </c>
      <c r="I71" s="2" t="n"/>
      <c r="J71" s="2" t="n"/>
      <c r="K71" s="2" t="n"/>
      <c r="L71" s="2" t="n"/>
      <c r="M71" s="2" t="n"/>
      <c r="N71" s="2" t="n"/>
      <c r="O71" s="2" t="n"/>
      <c r="P71" s="2" t="n"/>
      <c r="Q71" s="2" t="n"/>
      <c r="R71" s="2" t="n"/>
      <c r="S71" s="2" t="n"/>
      <c r="T71" s="2" t="n"/>
      <c r="U71" s="2" t="n"/>
      <c r="V71" s="2" t="n"/>
      <c r="W71" s="2" t="n"/>
      <c r="X71" s="2" t="n"/>
      <c r="Y71" s="2" t="n"/>
      <c r="Z71" s="2" t="n"/>
      <c r="AA71" s="2" t="n"/>
      <c r="AB71" s="2" t="n"/>
      <c r="AC71" s="2" t="n"/>
    </row>
    <row r="72" ht="78" customHeight="1">
      <c r="A72" s="2" t="n"/>
      <c r="B72" s="27" t="inlineStr">
        <is>
          <t>Service tray approx. 370 x 530 mm, ABS/polypropylene</t>
        </is>
      </c>
      <c r="C72" s="38" t="inlineStr">
        <is>
          <t>=IF(C17=0,"",_xlfn.MINIFS(Prices!$P$2:$P$35,Prices!$A$2:$A$35,A17))</t>
        </is>
      </c>
      <c r="D72" s="38" t="inlineStr">
        <is>
          <t>=IF(C17=0,"",MEDIAN(IF((Prices!$A$2:$A$35=A17)*ISNUMBER(Prices!$P$2:$P$35),Prices!$P$2:$P$35)))</t>
        </is>
      </c>
      <c r="E72" s="38" t="inlineStr">
        <is>
          <t>=IF(C17=0,"",_xlfn.MAXIFS(Prices!$P$2:$P$35,Prices!$A$2:$A$35,A17))</t>
        </is>
      </c>
      <c r="F72" s="27" t="n"/>
      <c r="G72" s="27" t="n"/>
      <c r="H72" s="27" t="n"/>
      <c r="I72" s="2" t="n"/>
      <c r="J72" s="2" t="n"/>
      <c r="K72" s="2" t="n"/>
      <c r="L72" s="2" t="n"/>
      <c r="M72" s="2" t="n"/>
      <c r="N72" s="2" t="n"/>
      <c r="O72" s="2" t="n"/>
      <c r="P72" s="2" t="n"/>
      <c r="Q72" s="2" t="n"/>
      <c r="R72" s="2" t="n"/>
      <c r="S72" s="2" t="n"/>
      <c r="T72" s="2" t="n"/>
      <c r="U72" s="2" t="n"/>
      <c r="V72" s="2" t="n"/>
      <c r="W72" s="2" t="n"/>
      <c r="X72" s="2" t="n"/>
      <c r="Y72" s="2" t="n"/>
      <c r="Z72" s="2" t="n"/>
      <c r="AA72" s="2" t="n"/>
      <c r="AB72" s="2" t="n"/>
      <c r="AC72" s="2" t="n"/>
    </row>
    <row r="73" ht="78" customHeight="1">
      <c r="A73" s="2" t="n"/>
      <c r="B73" s="24" t="inlineStr">
        <is>
          <t>Insulated thermo tray with lid, 5-6 compartments</t>
        </is>
      </c>
      <c r="C73" s="36" t="inlineStr">
        <is>
          <t>=IF(C18=0,"",_xlfn.MINIFS(Prices!$P$2:$P$35,Prices!$A$2:$A$35,A18))</t>
        </is>
      </c>
      <c r="D73" s="36" t="inlineStr">
        <is>
          <t>=IF(C18=0,"",MEDIAN(IF((Prices!$A$2:$A$35=A18)*ISNUMBER(Prices!$P$2:$P$35),Prices!$P$2:$P$35)))</t>
        </is>
      </c>
      <c r="E73" s="36" t="inlineStr">
        <is>
          <t>=IF(C18=0,"",_xlfn.MAXIFS(Prices!$P$2:$P$35,Prices!$A$2:$A$35,A18))</t>
        </is>
      </c>
      <c r="F73" s="24" t="n"/>
      <c r="G73" s="24" t="n"/>
      <c r="H73" s="24" t="n"/>
      <c r="I73" s="2" t="n"/>
      <c r="J73" s="2" t="n"/>
      <c r="K73" s="2" t="n"/>
      <c r="L73" s="2" t="n"/>
      <c r="M73" s="2" t="n"/>
      <c r="N73" s="2" t="n"/>
      <c r="O73" s="2" t="n"/>
      <c r="P73" s="2" t="n"/>
      <c r="Q73" s="2" t="n"/>
      <c r="R73" s="2" t="n"/>
      <c r="S73" s="2" t="n"/>
      <c r="T73" s="2" t="n"/>
      <c r="U73" s="2" t="n"/>
      <c r="V73" s="2" t="n"/>
      <c r="W73" s="2" t="n"/>
      <c r="X73" s="2" t="n"/>
      <c r="Y73" s="2" t="n"/>
      <c r="Z73" s="2" t="n"/>
      <c r="AA73" s="2" t="n"/>
      <c r="AB73" s="2" t="n"/>
      <c r="AC73" s="2" t="n"/>
    </row>
    <row r="74" ht="31" customHeight="1">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c r="AC74" s="2" t="n"/>
    </row>
    <row r="75" ht="92" customHeight="1">
      <c r="A75" s="2" t="n"/>
      <c r="B75" s="24" t="inlineStr">
        <is>
          <t>Statistics use only EXACT and CLOSE primary observations from counted competitors (Prices column P), one per competitor per item.</t>
        </is>
      </c>
      <c r="I75" s="2" t="n"/>
      <c r="J75" s="2" t="n"/>
      <c r="K75" s="2" t="n"/>
      <c r="L75" s="2" t="n"/>
      <c r="M75" s="2" t="n"/>
      <c r="N75" s="2" t="n"/>
      <c r="O75" s="2" t="n"/>
      <c r="P75" s="2" t="n"/>
      <c r="Q75" s="2" t="n"/>
      <c r="R75" s="2" t="n"/>
      <c r="S75" s="2" t="n"/>
      <c r="T75" s="2" t="n"/>
      <c r="U75" s="2" t="n"/>
      <c r="V75" s="2" t="n"/>
      <c r="W75" s="2" t="n"/>
      <c r="X75" s="2" t="n"/>
      <c r="Y75" s="2" t="n"/>
      <c r="Z75" s="2" t="n"/>
      <c r="AA75" s="2" t="n"/>
      <c r="AB75" s="2" t="n"/>
      <c r="AC75" s="2" t="n"/>
    </row>
    <row r="76" ht="92" customHeight="1">
      <c r="A76" s="2" t="n"/>
      <c r="B76" s="24" t="inlineStr">
        <is>
          <t>Net price per piece = listed price / 1.23 when the listed price includes Slovak VAT (23%), divided by pack size when priced per pack.</t>
        </is>
      </c>
      <c r="I76" s="2" t="n"/>
      <c r="J76" s="2" t="n"/>
      <c r="K76" s="2" t="n"/>
      <c r="L76" s="2" t="n"/>
      <c r="M76" s="2" t="n"/>
      <c r="N76" s="2" t="n"/>
      <c r="O76" s="2" t="n"/>
      <c r="P76" s="2" t="n"/>
      <c r="Q76" s="2" t="n"/>
      <c r="R76" s="2" t="n"/>
      <c r="S76" s="2" t="n"/>
      <c r="T76" s="2" t="n"/>
      <c r="U76" s="2" t="n"/>
      <c r="V76" s="2" t="n"/>
      <c r="W76" s="2" t="n"/>
      <c r="X76" s="2" t="n"/>
      <c r="Y76" s="2" t="n"/>
      <c r="Z76" s="2" t="n"/>
      <c r="AA76" s="2" t="n"/>
      <c r="AB76" s="2" t="n"/>
      <c r="AC76" s="2" t="n"/>
    </row>
    <row r="77" ht="78" customHeight="1">
      <c r="A77" s="2" t="n"/>
      <c r="B77" s="24" t="inlineStr">
        <is>
          <t>Blank statistics = no qualifying observation. APPROX matches are listed on the Prices sheet but excluded here.</t>
        </is>
      </c>
      <c r="I77" s="2" t="n"/>
      <c r="J77" s="2" t="n"/>
      <c r="K77" s="2" t="n"/>
      <c r="L77" s="2" t="n"/>
      <c r="M77" s="2" t="n"/>
      <c r="N77" s="2" t="n"/>
      <c r="O77" s="2" t="n"/>
      <c r="P77" s="2" t="n"/>
      <c r="Q77" s="2" t="n"/>
      <c r="R77" s="2" t="n"/>
      <c r="S77" s="2" t="n"/>
      <c r="T77" s="2" t="n"/>
      <c r="U77" s="2" t="n"/>
      <c r="V77" s="2" t="n"/>
      <c r="W77" s="2" t="n"/>
      <c r="X77" s="2" t="n"/>
      <c r="Y77" s="2" t="n"/>
      <c r="Z77" s="2" t="n"/>
      <c r="AA77" s="2" t="n"/>
      <c r="AB77" s="2" t="n"/>
      <c r="AC77" s="2" t="n"/>
    </row>
    <row r="78" ht="31" customHeight="1">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c r="AC78" s="2" t="n"/>
    </row>
    <row r="79" ht="31" customHeight="1">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c r="AC79" s="2" t="n"/>
    </row>
    <row r="80" ht="31" customHeight="1">
      <c r="A80" s="2" t="n"/>
      <c r="B80" s="7" t="inlineStr">
        <is>
          <t>Not accessible</t>
        </is>
      </c>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c r="AC80" s="2" t="n"/>
    </row>
    <row r="81" ht="31" customHeight="1">
      <c r="A81" s="2" t="n"/>
      <c r="B81" s="16" t="inlineStr">
        <is>
          <t>Competitor / page</t>
        </is>
      </c>
      <c r="C81" s="17" t="inlineStr">
        <is>
          <t>URL</t>
        </is>
      </c>
      <c r="D81" s="17" t="inlineStr">
        <is>
          <t>Reason</t>
        </is>
      </c>
      <c r="E81" s="17" t="inlineStr">
        <is>
          <t>Date checked</t>
        </is>
      </c>
      <c r="F81" s="18" t="inlineStr">
        <is>
          <t>Notes</t>
        </is>
      </c>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c r="AC81" s="2" t="n"/>
    </row>
    <row r="82" ht="162" customHeight="1">
      <c r="A82" s="2" t="n"/>
      <c r="B82" s="24" t="inlineStr">
        <is>
          <t>METRO Slovakia</t>
        </is>
      </c>
      <c r="C82" s="25" t="inlineStr">
        <is>
          <t>https://www.metro.sk/</t>
        </is>
      </c>
      <c r="D82" s="24" t="inlineStr">
        <is>
          <t>Access error: HTTP 403 block page on all www.metro.sk URLs (scripts and web-fetch tool); shop.metro.sk and produkty.metro.sk unreachable. METRO online prices are normally shown only to registered customers.</t>
        </is>
      </c>
      <c r="E82" s="24" t="inlineStr">
        <is>
          <t>2026-09-30</t>
        </is>
      </c>
      <c r="F82" s="24" t="inlineStr">
        <is>
          <t>Not counted. No price evidence gathered; no search-snippet prices used.</t>
        </is>
      </c>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c r="AC82" s="2" t="n"/>
    </row>
    <row r="83" ht="106" customHeight="1">
      <c r="A83" s="2" t="n"/>
      <c r="B83" s="27" t="inlineStr">
        <is>
          <t>GastroMarket.sk</t>
        </is>
      </c>
      <c r="C83" s="28" t="inlineStr">
        <is>
          <t>https://www.gastromarket.sk/</t>
        </is>
      </c>
      <c r="D83" s="27" t="inlineStr">
        <is>
          <t>Access error: Cloudflare JavaScript bot challenge (HTTP 403 'Len chvíľu...') on every URL incl. robots.txt, sitemap and search.</t>
        </is>
      </c>
      <c r="E83" s="27" t="inlineStr">
        <is>
          <t>2026-09-30</t>
        </is>
      </c>
      <c r="F83" s="27" t="inlineStr">
        <is>
          <t>Not counted. No prices could be read; web search found only public-procurement PDFs (crz.gov.sk), not used as price evidence.</t>
        </is>
      </c>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c r="AC83" s="2" t="n"/>
    </row>
    <row r="84" ht="148" customHeight="1">
      <c r="A84" s="2" t="n"/>
      <c r="B84" s="24" t="inlineStr">
        <is>
          <t>Gastromania.sk (scripted access only)</t>
        </is>
      </c>
      <c r="C84" s="25" t="inlineStr">
        <is>
          <t>https://gastromania.sk/</t>
        </is>
      </c>
      <c r="D84" s="24" t="inlineStr">
        <is>
          <t>Partial access issue: after about 20 scripted requests the site returned a 'Security check' CAPTCHA page (IP rate limit). Listing pages load prices by JavaScript; product pages show prices in HTML.</t>
        </is>
      </c>
      <c r="E84" s="24" t="inlineStr">
        <is>
          <t>2026-09-30</t>
        </is>
      </c>
      <c r="F84" s="24" t="inlineStr">
        <is>
          <t>Competitor IS counted: prices were read from the live product pages via the web-fetch tool on the same date. Listed here only to document the access limitation.</t>
        </is>
      </c>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c r="AC84" s="2" t="n"/>
    </row>
    <row r="85" ht="31" customHeight="1">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c r="AC85" s="2" t="n"/>
    </row>
    <row r="86" ht="31" customHeight="1">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c r="AC86" s="2" t="n"/>
    </row>
    <row r="87" ht="31" customHeight="1">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c r="AC87" s="2" t="n"/>
    </row>
    <row r="88" ht="22" customHeight="1">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c r="AC88" s="2" t="n"/>
    </row>
    <row r="89" ht="22" customHeight="1">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c r="AC89" s="2" t="n"/>
    </row>
    <row r="90" ht="22" customHeight="1">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c r="AC90" s="2" t="n"/>
    </row>
    <row r="91" ht="22" customHeight="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c r="AC91" s="2" t="n"/>
    </row>
    <row r="92" ht="22" customHeight="1">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c r="AC92" s="2" t="n"/>
    </row>
    <row r="93" ht="22" customHeight="1">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c r="AC93" s="2" t="n"/>
    </row>
    <row r="94" ht="22" customHeight="1">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c r="AC94" s="2" t="n"/>
    </row>
    <row r="95" ht="22" customHeight="1">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c r="AC95" s="2" t="n"/>
    </row>
    <row r="96" ht="22" customHeight="1">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c r="AC96" s="2" t="n"/>
    </row>
    <row r="97" ht="22" customHeight="1">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c r="AC97" s="2" t="n"/>
    </row>
    <row r="98" ht="22" customHeight="1">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c r="AC98" s="2" t="n"/>
    </row>
    <row r="99" ht="22" customHeight="1">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c r="AC99" s="2" t="n"/>
    </row>
    <row r="100" ht="22" customHeight="1">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c r="AC100" s="2" t="n"/>
    </row>
    <row r="101" ht="22" customHeight="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c r="AC101" s="2" t="n"/>
    </row>
    <row r="102" ht="22" customHeight="1">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c r="AC102" s="2" t="n"/>
    </row>
    <row r="103" ht="22" customHeight="1">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c r="AC103" s="2" t="n"/>
    </row>
    <row r="104" ht="22" customHeight="1">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c r="AC104" s="2" t="n"/>
    </row>
    <row r="105" ht="22" customHeight="1">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c r="AC105" s="2" t="n"/>
    </row>
    <row r="106" ht="22" customHeight="1">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c r="AC106" s="2" t="n"/>
    </row>
    <row r="107" ht="22" customHeight="1">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c r="AC107" s="2" t="n"/>
    </row>
    <row r="108" ht="22" customHeight="1">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c r="AC108" s="2" t="n"/>
    </row>
    <row r="109" ht="22" customHeight="1">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c r="AC109" s="2" t="n"/>
    </row>
    <row r="110" ht="22" customHeight="1">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c r="AC110" s="2" t="n"/>
    </row>
    <row r="111" ht="22" customHeight="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c r="AC111" s="2" t="n"/>
    </row>
    <row r="112" ht="22" customHeight="1">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c r="AC112" s="2" t="n"/>
    </row>
    <row r="113" ht="22" customHeight="1">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c r="AC113" s="2" t="n"/>
    </row>
    <row r="114" ht="22" customHeight="1">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c r="AC114" s="2" t="n"/>
    </row>
    <row r="115" ht="22" customHeight="1">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c r="AC115" s="2" t="n"/>
    </row>
    <row r="116" ht="22" customHeight="1">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c r="AC116" s="2" t="n"/>
    </row>
    <row r="117" ht="22" customHeight="1">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c r="AC117" s="2" t="n"/>
    </row>
    <row r="118" ht="22" customHeight="1">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c r="AC118" s="2" t="n"/>
    </row>
    <row r="119" ht="22" customHeight="1">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c r="AC119" s="2" t="n"/>
    </row>
    <row r="120" ht="22" customHeight="1">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c r="AC120" s="2" t="n"/>
    </row>
    <row r="121" ht="22" customHeight="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row>
    <row r="122" ht="22" customHeight="1">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row>
    <row r="123" ht="22" customHeight="1">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row>
    <row r="124" ht="22" customHeight="1">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row>
    <row r="125" ht="22" customHeight="1">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row>
    <row r="126" ht="22" customHeight="1">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row>
    <row r="127" ht="22" customHeight="1">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row>
    <row r="128" ht="22" customHeight="1">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row>
    <row r="129" ht="22" customHeight="1">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row>
    <row r="130" ht="22" customHeight="1">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row>
    <row r="131" ht="22" customHeight="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row>
    <row r="132" ht="22" customHeight="1">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row>
    <row r="133" ht="22" customHeight="1">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row>
    <row r="134" ht="22" customHeight="1">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row>
    <row r="135" ht="22" customHeight="1">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row>
    <row r="136" ht="22" customHeight="1">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row>
    <row r="137" ht="22" customHeight="1">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row>
    <row r="138" ht="22" customHeight="1">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row>
    <row r="139" ht="22" customHeight="1">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row>
    <row r="140" ht="22" customHeight="1">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row>
    <row r="141" ht="22" customHeight="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row>
    <row r="142" ht="22" customHeight="1">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row>
    <row r="143" ht="22" customHeight="1">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row>
    <row r="144" ht="22" customHeight="1">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row>
    <row r="145" ht="22" customHeight="1">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row>
    <row r="146" ht="22" customHeight="1">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row>
    <row r="147" ht="22" customHeight="1">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row>
    <row r="148" ht="22" customHeight="1">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row>
    <row r="149" ht="22" customHeight="1">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row>
    <row r="150" ht="22" customHeight="1">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row>
    <row r="151" ht="22" customHeight="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row>
    <row r="152" ht="22" customHeight="1">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row>
    <row r="153" ht="22" customHeight="1">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row>
    <row r="154" ht="22" customHeight="1">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row>
    <row r="155" ht="22" customHeight="1">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row>
    <row r="156" ht="22" customHeight="1">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row>
    <row r="157" ht="22" customHeight="1">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row>
    <row r="158" ht="22" customHeight="1">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row>
    <row r="159" ht="22" customHeight="1">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row>
    <row r="160" ht="22" customHeight="1">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row>
    <row r="161" ht="22" customHeight="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row>
    <row r="162" ht="22" customHeight="1">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row>
    <row r="163" ht="22" customHeight="1">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row>
    <row r="164" ht="22" customHeight="1">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row>
    <row r="165" ht="22" customHeight="1">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row>
    <row r="166" ht="22" customHeight="1">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row>
    <row r="167" ht="22" customHeight="1">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row>
    <row r="168" ht="22" customHeight="1">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row>
    <row r="169" ht="22" customHeight="1">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row>
    <row r="170" ht="22" customHeight="1">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row>
    <row r="171" ht="22" customHeight="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row>
    <row r="172" ht="22" customHeight="1">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row>
    <row r="173" ht="22" customHeight="1">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row>
    <row r="174" ht="22" customHeight="1">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row>
    <row r="175" ht="22" customHeight="1">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row>
    <row r="176" ht="22" customHeight="1">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row>
    <row r="177" ht="22" customHeight="1">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row>
    <row r="178" ht="22" customHeight="1">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row>
    <row r="179" ht="22" customHeight="1">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row>
    <row r="180" ht="22" customHeight="1">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row>
    <row r="181" ht="22" customHeight="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row>
    <row r="182" ht="22" customHeight="1">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row>
    <row r="183" ht="22" customHeight="1">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row>
    <row r="184" ht="22" customHeight="1">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row>
    <row r="185" ht="22" customHeight="1">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row>
    <row r="186" ht="22" customHeight="1">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row>
    <row r="187" ht="22" customHeight="1">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row>
    <row r="188" ht="22" customHeight="1">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row>
    <row r="189" ht="22" customHeight="1">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row>
    <row r="190" ht="22" customHeight="1">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row>
    <row r="191" ht="22" customHeight="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row>
    <row r="192" ht="22" customHeight="1">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row>
    <row r="193" ht="22" customHeight="1">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row>
    <row r="194" ht="22" customHeight="1">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row>
    <row r="195" ht="22" customHeight="1">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row>
    <row r="196" ht="22" customHeight="1">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row>
    <row r="197" ht="22" customHeight="1">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row>
    <row r="198" ht="22" customHeight="1">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row>
    <row r="199" ht="22" customHeight="1">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row>
    <row r="200" ht="22" customHeight="1">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row>
    <row r="201" ht="22" customHeight="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row>
    <row r="202" ht="22" customHeight="1">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row>
    <row r="203" ht="22" customHeight="1">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row>
    <row r="204" ht="22" customHeight="1">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row>
    <row r="205" ht="22" customHeight="1">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row>
    <row r="206" ht="22" customHeight="1">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row>
    <row r="207" ht="22" customHeight="1">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row>
    <row r="208" ht="22" customHeight="1">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row>
    <row r="209" ht="22" customHeight="1">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row>
    <row r="210" ht="22" customHeight="1">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row>
    <row r="211" ht="22" customHeight="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row>
    <row r="212" ht="22" customHeight="1">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row>
    <row r="213" ht="22" customHeight="1">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row>
    <row r="214" ht="22" customHeight="1">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row>
    <row r="215" ht="22" customHeight="1">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row>
    <row r="216" ht="22" customHeight="1">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row>
    <row r="217" ht="22" customHeight="1">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row>
    <row r="218" ht="22" customHeight="1">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row>
    <row r="219" ht="22" customHeight="1">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row>
    <row r="220" ht="22" customHeight="1">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row>
    <row r="221" ht="22" customHeight="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row>
    <row r="222" ht="22" customHeight="1">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row>
    <row r="223" ht="22" customHeight="1">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row>
    <row r="224" ht="22" customHeight="1">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row>
    <row r="225" ht="22" customHeight="1">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row>
    <row r="226" ht="22" customHeight="1">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row>
    <row r="227" ht="22" customHeight="1">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row>
    <row r="228" ht="22" customHeight="1">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row>
    <row r="229" ht="22" customHeight="1">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row>
    <row r="230" ht="22" customHeight="1">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row>
  </sheetData>
  <mergeCells count="3">
    <mergeCell ref="B76:H76"/>
    <mergeCell ref="B75:H75"/>
    <mergeCell ref="B77:H77"/>
  </mergeCells>
  <pageMargins left="0.7" right="0.7" top="0.75" bottom="0.75" header="0.3" footer="0.3"/>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2026-09-30T21:21:52Z</dcterms:created>
  <dcterms:modified xsi:type="dcterms:W3CDTF">2026-09-30T21:21:53Z</dcterms:modified>
</cp:coreProperties>
</file>