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  <sheet name="Prices" sheetId="2" state="visible" r:id="rId2"/>
    <sheet name="Summary" sheetId="3" state="visible" r:id="rId3"/>
    <sheet name="Not accessible" sheetId="4" state="visible" r:id="rId4"/>
  </sheets>
  <definedNames>
    <definedName name="_xlnm._FilterDatabase" localSheetId="0" hidden="1">'Competitors'!$A$1:$O$8</definedName>
    <definedName name="_xlnm._FilterDatabase" localSheetId="1" hidden="1">'Prices'!$A$1:$R$73</definedName>
    <definedName name="_xlnm._FilterDatabase" localSheetId="2" hidden="1">'Summary'!$A$1:$I$18</definedName>
    <definedName name="_xlnm._FilterDatabase" localSheetId="3" hidden="1">'Not accessible'!$A$1:$E$8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mgast.cz/" TargetMode="External" Id="rId1" /><Relationship Type="http://schemas.openxmlformats.org/officeDocument/2006/relationships/hyperlink" Target="https://www.tomgast.cz/doprava-a-platba/" TargetMode="External" Id="rId2" /><Relationship Type="http://schemas.openxmlformats.org/officeDocument/2006/relationships/hyperlink" Target="https://eshop.gastronovotny.cz/" TargetMode="External" Id="rId3" /><Relationship Type="http://schemas.openxmlformats.org/officeDocument/2006/relationships/hyperlink" Target="https://eshop.gastronovotny.cz/obchodni-podminky/" TargetMode="External" Id="rId4" /><Relationship Type="http://schemas.openxmlformats.org/officeDocument/2006/relationships/hyperlink" Target="https://www.gastrozone.cz/" TargetMode="External" Id="rId5" /><Relationship Type="http://schemas.openxmlformats.org/officeDocument/2006/relationships/hyperlink" Target="https://www.gastrozone.cz/informace/doprava-a-platba/" TargetMode="External" Id="rId6" /><Relationship Type="http://schemas.openxmlformats.org/officeDocument/2006/relationships/hyperlink" Target="https://www.gastromania.cz/" TargetMode="External" Id="rId7" /><Relationship Type="http://schemas.openxmlformats.org/officeDocument/2006/relationships/hyperlink" Target="https://www.gastromania.cz/zpusoby-dopravy.html" TargetMode="External" Id="rId8" /><Relationship Type="http://schemas.openxmlformats.org/officeDocument/2006/relationships/hyperlink" Target="https://www.ggmgastro.com/cs-cz-czk/" TargetMode="External" Id="rId9" /><Relationship Type="http://schemas.openxmlformats.org/officeDocument/2006/relationships/hyperlink" Target="https://www.ggmgastro.com/cs-cz-czk/shipping-cost" TargetMode="External" Id="rId10" /><Relationship Type="http://schemas.openxmlformats.org/officeDocument/2006/relationships/hyperlink" Target="https://www.makro.cz/" TargetMode="External" Id="rId11" /><Relationship Type="http://schemas.openxmlformats.org/officeDocument/2006/relationships/hyperlink" Target="https://www.makro.cz/makro-distribuce" TargetMode="External" Id="rId12" /><Relationship Type="http://schemas.openxmlformats.org/officeDocument/2006/relationships/hyperlink" Target="https://agastro.cz/" TargetMode="External" Id="rId13" /><Relationship Type="http://schemas.openxmlformats.org/officeDocument/2006/relationships/hyperlink" Target="https://agastro.cz/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gmgastro.com/cs-cz-czk/6-ks-gastronadoba-gn-gn-1-1-polykarbonat-cira-vyska-65-mm-gpcp1165" TargetMode="External" Id="rId1" /><Relationship Type="http://schemas.openxmlformats.org/officeDocument/2006/relationships/hyperlink" Target="https://eshop.gastronovotny.cz/gastronadoba-pc-1-1-100--0835126/" TargetMode="External" Id="rId2" /><Relationship Type="http://schemas.openxmlformats.org/officeDocument/2006/relationships/hyperlink" Target="https://www.gastromania.cz/gastronadoby-polykarbonatove/gastronadoba-z-polykarbonatu-gn-1-1-65-mm-hendi-profi-line" TargetMode="External" Id="rId3" /><Relationship Type="http://schemas.openxmlformats.org/officeDocument/2006/relationships/hyperlink" Target="https://www.gastrozone.cz/araven-gn-box-1-1-polykarbonat-hloubka-65-mm-objem-8-6-l.html" TargetMode="External" Id="rId4" /><Relationship Type="http://schemas.openxmlformats.org/officeDocument/2006/relationships/hyperlink" Target="https://www.tomgast.cz/gastronadoba-polykarbonatova-gn-1-1-65-mm/" TargetMode="External" Id="rId5" /><Relationship Type="http://schemas.openxmlformats.org/officeDocument/2006/relationships/hyperlink" Target="https://www.ggmgastro.com/cs-cz-czk/6-ks-cambro-camview-r-kopolymerove-nadoby-gn-1-2-pruhledne-vyska-150-mm-bez-bpa-26cv135" TargetMode="External" Id="rId6" /><Relationship Type="http://schemas.openxmlformats.org/officeDocument/2006/relationships/hyperlink" Target="https://eshop.gastronovotny.cz/gastronadoba-pc-1-2-150--0835123/" TargetMode="External" Id="rId7" /><Relationship Type="http://schemas.openxmlformats.org/officeDocument/2006/relationships/hyperlink" Target="https://www.gastromania.cz/kuchynsky-inventar/gastronadoba-gn-1-2-polykarbonatova-150-mm-redfox-gnp-1-2-150" TargetMode="External" Id="rId8" /><Relationship Type="http://schemas.openxmlformats.org/officeDocument/2006/relationships/hyperlink" Target="https://www.gastrozone.cz/araven-gn-nadoba-1-2-polykarbonat-hloubka-150-mm-objem-8-l.html" TargetMode="External" Id="rId9" /><Relationship Type="http://schemas.openxmlformats.org/officeDocument/2006/relationships/hyperlink" Target="https://www.tomgast.cz/gastronadoba-polykarbonatova-gn-1-2-150-mm-2/" TargetMode="External" Id="rId10" /><Relationship Type="http://schemas.openxmlformats.org/officeDocument/2006/relationships/hyperlink" Target="https://www.ggmgastro.com/cs-cz-czk/12-ks-gastronadoba-polypropylen-gn-1-3-mlecna-vyska-100-mm-gpp13100" TargetMode="External" Id="rId11" /><Relationship Type="http://schemas.openxmlformats.org/officeDocument/2006/relationships/hyperlink" Target="https://eshop.gastronovotny.cz/gastronadoba-1-3-100-polypropylen-/" TargetMode="External" Id="rId12" /><Relationship Type="http://schemas.openxmlformats.org/officeDocument/2006/relationships/hyperlink" Target="https://www.gastromania.cz/gastronadoby-polypropylenove/gastronadoba-gn-1-3-100-polypropylenova-redfox-gnpp-1-3-100" TargetMode="External" Id="rId13" /><Relationship Type="http://schemas.openxmlformats.org/officeDocument/2006/relationships/hyperlink" Target="https://www.gastrozone.cz/aps-gn-nadoba-z-polypropylenu-gn-1-3-objem-3-60-litru-hloubka-100-mm.html" TargetMode="External" Id="rId14" /><Relationship Type="http://schemas.openxmlformats.org/officeDocument/2006/relationships/hyperlink" Target="https://www.tomgast.cz/gastronadoba-polypropylenova-gn-1-3-100-mm-2/" TargetMode="External" Id="rId15" /><Relationship Type="http://schemas.openxmlformats.org/officeDocument/2006/relationships/hyperlink" Target="https://www.ggmgastro.com/cs-cz-czk/6-kusu-cambro-safetrak-polypropylenove-viko-gn-1-1-cervene-10ppcwsc544" TargetMode="External" Id="rId16" /><Relationship Type="http://schemas.openxmlformats.org/officeDocument/2006/relationships/hyperlink" Target="https://eshop.gastronovotny.cz/viko-1-1-polypropylen-barevne--1814722-11/" TargetMode="External" Id="rId17" /><Relationship Type="http://schemas.openxmlformats.org/officeDocument/2006/relationships/hyperlink" Target="https://www.gastromania.cz/vika-gn-polypropylenove/viko-na-nadobu-gn-1-1-aps-82101" TargetMode="External" Id="rId18" /><Relationship Type="http://schemas.openxmlformats.org/officeDocument/2006/relationships/hyperlink" Target="https://www.gastrozone.cz/viko-na-gastronadobu-gn-1-1-polypropylen-pujadas.html" TargetMode="External" Id="rId19" /><Relationship Type="http://schemas.openxmlformats.org/officeDocument/2006/relationships/hyperlink" Target="https://www.tomgast.cz/tesnici-viko-pro-gastronadobu-gn-1-1/" TargetMode="External" Id="rId20" /><Relationship Type="http://schemas.openxmlformats.org/officeDocument/2006/relationships/hyperlink" Target="https://www.ggmgastro.com/cs-cz-czk/12-ks-stlacovaci-lahev-na-omacky-se-stredovou-membranou-473-ml-ffo-002" TargetMode="External" Id="rId21" /><Relationship Type="http://schemas.openxmlformats.org/officeDocument/2006/relationships/hyperlink" Target="https://eshop.gastronovotny.cz/lahev-plastova-davkovaci-cira-354ml--255046026/" TargetMode="External" Id="rId22" /><Relationship Type="http://schemas.openxmlformats.org/officeDocument/2006/relationships/hyperlink" Target="https://www.gastromania.cz/davkovace-omacek/lahev-na-omacky-0-475-ml-neumarker-fifo" TargetMode="External" Id="rId23" /><Relationship Type="http://schemas.openxmlformats.org/officeDocument/2006/relationships/hyperlink" Target="https://www.gastrozone.cz/lahev-mackaci-s-uzaviranim-0-5-l-odolna-od-40c-do-95c-transparentni-pro-styk-s-potravinama-schneider-10134.html" TargetMode="External" Id="rId24" /><Relationship Type="http://schemas.openxmlformats.org/officeDocument/2006/relationships/hyperlink" Target="https://www.tomgast.cz/davkovac-na-omacky-400-ml/" TargetMode="External" Id="rId25" /><Relationship Type="http://schemas.openxmlformats.org/officeDocument/2006/relationships/hyperlink" Target="https://www.ggmgastro.com/cs-cz-czk/6-ks-stlacovaci-lahev-na-omacky-se-stredovou-membranou-946-ml-se-sroubovacim-uzaverem-a-uzaviraci-cepickou-ffo-005" TargetMode="External" Id="rId26" /><Relationship Type="http://schemas.openxmlformats.org/officeDocument/2006/relationships/hyperlink" Target="https://www.gastromania.cz/davkovace-omacek/zasobnik-na-omacku-1-025-l-bily-aps-93259" TargetMode="External" Id="rId27" /><Relationship Type="http://schemas.openxmlformats.org/officeDocument/2006/relationships/hyperlink" Target="https://www.gastrozone.cz/schneider-davkovaci-mackaci-lahev-1000-ml-transparentni.html" TargetMode="External" Id="rId28" /><Relationship Type="http://schemas.openxmlformats.org/officeDocument/2006/relationships/hyperlink" Target="https://www.tomgast.cz/davkovac-na-omacky-1025-ml--zluty/" TargetMode="External" Id="rId29" /><Relationship Type="http://schemas.openxmlformats.org/officeDocument/2006/relationships/hyperlink" Target="https://www.gastrozone.cz/araven-lahvicka-na-stlaceni-ldpe-o-80-mm-vyska-253-mm-objem-0-75-l-3-trysky.html" TargetMode="External" Id="rId30" /><Relationship Type="http://schemas.openxmlformats.org/officeDocument/2006/relationships/hyperlink" Target="https://www.ggmgastro.com/cs-cz-czk/davkovac-omacky-2-l-vc-nerezoveho-podstavce-ssh12" TargetMode="External" Id="rId31" /><Relationship Type="http://schemas.openxmlformats.org/officeDocument/2006/relationships/hyperlink" Target="https://www.gastromania.cz/davkovace-omacek/davkovac-na-omacky-s-pumpickou-2-5-l-cerveny-hendi-203521" TargetMode="External" Id="rId32" /><Relationship Type="http://schemas.openxmlformats.org/officeDocument/2006/relationships/hyperlink" Target="https://www.gastrozone.cz/contacto-davkovac-omacky-3-l.html" TargetMode="External" Id="rId33" /><Relationship Type="http://schemas.openxmlformats.org/officeDocument/2006/relationships/hyperlink" Target="https://www.tomgast.cz/davkovac-1-5-l/" TargetMode="External" Id="rId34" /><Relationship Type="http://schemas.openxmlformats.org/officeDocument/2006/relationships/hyperlink" Target="https://www.ggmgastro.com/cs-cz-czk/krajeci-deska-325x530-mm-dle-haccp-bila-sbp53w" TargetMode="External" Id="rId35" /><Relationship Type="http://schemas.openxmlformats.org/officeDocument/2006/relationships/hyperlink" Target="https://eshop.gastronovotny.cz/deska-polyethylen-gn-1-1--53x32-5x2cm--nozicky-pe-hd--cervena/" TargetMode="External" Id="rId36" /><Relationship Type="http://schemas.openxmlformats.org/officeDocument/2006/relationships/hyperlink" Target="https://www.gastromania.cz/plastove-krajeci-desky-haccp/deska-na-krajeni-haccp-530x325x25-mm-cervena-contacto-1524-539" TargetMode="External" Id="rId37" /><Relationship Type="http://schemas.openxmlformats.org/officeDocument/2006/relationships/hyperlink" Target="https://www.gastrozone.cz/gastro-prkenko-krajeci-plastove-53x32-5x2-cm-gn-1-1-s-drazkou-cervene.html" TargetMode="External" Id="rId38" /><Relationship Type="http://schemas.openxmlformats.org/officeDocument/2006/relationships/hyperlink" Target="https://www.tomgast.cz/deska-500--325--20-mm--cervena/" TargetMode="External" Id="rId39" /><Relationship Type="http://schemas.openxmlformats.org/officeDocument/2006/relationships/hyperlink" Target="https://www.ggmgastro.com/cs-cz-czk/krajeci-deska-en-600x400-dle-haccp-bila-sbp46w" TargetMode="External" Id="rId40" /><Relationship Type="http://schemas.openxmlformats.org/officeDocument/2006/relationships/hyperlink" Target="https://eshop.gastronovotny.cz/deska-polyethylen-60x40x2cm-nozicky-pe-hd-bila/" TargetMode="External" Id="rId41" /><Relationship Type="http://schemas.openxmlformats.org/officeDocument/2006/relationships/hyperlink" Target="https://www.gastromania.cz/plastove-krajeci-desky-haccp/krajeci-deska-600x400x20-mm-cervena-yato-yg-02180" TargetMode="External" Id="rId42" /><Relationship Type="http://schemas.openxmlformats.org/officeDocument/2006/relationships/hyperlink" Target="https://www.gastrozone.cz/gastro-prkenko-krajeci-plastove-60x40x3-cm-s-drazkou-cervene.html" TargetMode="External" Id="rId43" /><Relationship Type="http://schemas.openxmlformats.org/officeDocument/2006/relationships/hyperlink" Target="https://www.tomgast.cz/deska-600--400--20-mm--cervena/" TargetMode="External" Id="rId44" /><Relationship Type="http://schemas.openxmlformats.org/officeDocument/2006/relationships/hyperlink" Target="https://www.ggmgastro.com/cs-cz-czk/krajeci-deska-en-250x400-dle-haccp-bila-sbp25w" TargetMode="External" Id="rId45" /><Relationship Type="http://schemas.openxmlformats.org/officeDocument/2006/relationships/hyperlink" Target="https://www.gastromania.cz/plastove-krajeci-desky-haccp/prkenko-na-krajeni-s-uchytem-30x20x1-cm-cerne-hendi-826485" TargetMode="External" Id="rId46" /><Relationship Type="http://schemas.openxmlformats.org/officeDocument/2006/relationships/hyperlink" Target="https://www.gastrozone.cz/viceucelove-krajeci-prkenko-s-rukojeti-hendi-bila-300x200mm-obdelnikove.html" TargetMode="External" Id="rId47" /><Relationship Type="http://schemas.openxmlformats.org/officeDocument/2006/relationships/hyperlink" Target="https://www.tomgast.cz/deska-krajeci-20--30--1-2-cm/" TargetMode="External" Id="rId48" /><Relationship Type="http://schemas.openxmlformats.org/officeDocument/2006/relationships/hyperlink" Target="https://www.ggmgastro.com/cs-cz-czk/9-tlg-prepravka-na-testo-set-8-nadob-und-1-viko-en-600x400-vyska-100-mm-polypropylen-bila-tbpp6410" TargetMode="External" Id="rId49" /><Relationship Type="http://schemas.openxmlformats.org/officeDocument/2006/relationships/hyperlink" Target="https://eshop.gastronovotny.cz/prepravka-na-pizzu-60x40x9cm--1841762-09/" TargetMode="External" Id="rId50" /><Relationship Type="http://schemas.openxmlformats.org/officeDocument/2006/relationships/hyperlink" Target="https://www.gastromania.cz/kose-na-pizza-testo/nadoba-na-testo-na-pizzu-polyetylenova-600x400x100-mm-stalgast-563410" TargetMode="External" Id="rId51" /><Relationship Type="http://schemas.openxmlformats.org/officeDocument/2006/relationships/hyperlink" Target="https://www.gastrozone.cz/araven-pizzabox-pp-vyska-100-mm-delka-600-mm-sirka-400-mm.html" TargetMode="External" Id="rId52" /><Relationship Type="http://schemas.openxmlformats.org/officeDocument/2006/relationships/hyperlink" Target="https://www.tomgast.cz/prepravka-na-pizzu-60--40--7-5-cm/" TargetMode="External" Id="rId53" /><Relationship Type="http://schemas.openxmlformats.org/officeDocument/2006/relationships/hyperlink" Target="https://www.gastromania.cz/vika-na-kose-na-testo/viko-k-prepravce-na-pizzu-60x40-cm-tom-gast-zt-6040-1" TargetMode="External" Id="rId54" /><Relationship Type="http://schemas.openxmlformats.org/officeDocument/2006/relationships/hyperlink" Target="https://www.gastrozone.cz/araven-viko-k-pizzove-krabici-z-pp-delka-600-mm-sirka-400-mm.html" TargetMode="External" Id="rId55" /><Relationship Type="http://schemas.openxmlformats.org/officeDocument/2006/relationships/hyperlink" Target="https://www.tomgast.cz/viko-k-prepravce-na-pizzu-60--40-cm/" TargetMode="External" Id="rId56" /><Relationship Type="http://schemas.openxmlformats.org/officeDocument/2006/relationships/hyperlink" Target="https://www.ggmgastro.com/cs-cz-czk/9-tlg-prepravka-na-testo-set-8-nadob-und-1-viko-en-600x400-vyska-75-mm-polypropylen-bila-tbpp647" TargetMode="External" Id="rId57" /><Relationship Type="http://schemas.openxmlformats.org/officeDocument/2006/relationships/hyperlink" Target="https://eshop.gastronovotny.cz/prepravka-na-pizzu-60x40x9cm--1841762-09/" TargetMode="External" Id="rId58" /><Relationship Type="http://schemas.openxmlformats.org/officeDocument/2006/relationships/hyperlink" Target="https://www.gastromania.cz/kose-na-pizza-testo/nadoba-na-pizza-testo-600x400x75-mm-contacto-2510-600" TargetMode="External" Id="rId59" /><Relationship Type="http://schemas.openxmlformats.org/officeDocument/2006/relationships/hyperlink" Target="https://www.gastrozone.cz/nadoba-na-pizza-testo-600x400-amerbox-kitchen-line-14l-600x400x-h-75mm.html" TargetMode="External" Id="rId60" /><Relationship Type="http://schemas.openxmlformats.org/officeDocument/2006/relationships/hyperlink" Target="https://www.tomgast.cz/prepravka-na-pizzu-60--40--7-5-cm/" TargetMode="External" Id="rId61" /><Relationship Type="http://schemas.openxmlformats.org/officeDocument/2006/relationships/hyperlink" Target="https://www.ggmgastro.com/cs-cz-czk/cambro-cam-gobox-r-termobox-frontloader-s-prednim-plnenim-gn-1-1-cerny-epp400110" TargetMode="External" Id="rId62" /><Relationship Type="http://schemas.openxmlformats.org/officeDocument/2006/relationships/hyperlink" Target="https://eshop.gastronovotny.cz/termoport-predni-plneni-6xgn1-1-65--403191201/" TargetMode="External" Id="rId63" /><Relationship Type="http://schemas.openxmlformats.org/officeDocument/2006/relationships/hyperlink" Target="https://www.gastromania.cz/termoizolacni/termobox-s-prednim-plnenim-pro-gn-cambro-r-epp400" TargetMode="External" Id="rId64" /><Relationship Type="http://schemas.openxmlformats.org/officeDocument/2006/relationships/hyperlink" Target="https://www.gastrozone.cz/cambro-termoport-86-l-bocni-plneni.html" TargetMode="External" Id="rId65" /><Relationship Type="http://schemas.openxmlformats.org/officeDocument/2006/relationships/hyperlink" Target="https://www.tomgast.cz/termobox-s-prednim-plnenim-pro-gn/" TargetMode="External" Id="rId66" /><Relationship Type="http://schemas.openxmlformats.org/officeDocument/2006/relationships/hyperlink" Target="https://www.ggmgastro.com/cs-cz-czk/10-ks-jidelni-podnos-abs-plast-370x530-mm-hnedy-gst3753-10" TargetMode="External" Id="rId67" /><Relationship Type="http://schemas.openxmlformats.org/officeDocument/2006/relationships/hyperlink" Target="https://eshop.gastronovotny.cz/podnos-euronorm-530x370mm--14100503/" TargetMode="External" Id="rId68" /><Relationship Type="http://schemas.openxmlformats.org/officeDocument/2006/relationships/hyperlink" Target="https://www.gastromania.cz/obdelnikove-jidelni-podnosy/podnos-jidelni-37x53-cm-seda-cambro-versa" TargetMode="External" Id="rId69" /><Relationship Type="http://schemas.openxmlformats.org/officeDocument/2006/relationships/hyperlink" Target="https://www.gastrozone.cz/versa-1.html" TargetMode="External" Id="rId70" /><Relationship Type="http://schemas.openxmlformats.org/officeDocument/2006/relationships/hyperlink" Target="https://www.tomgast.cz/versa-podnos-jidelni-37--53-cm--seda/" TargetMode="External" Id="rId71" /><Relationship Type="http://schemas.openxmlformats.org/officeDocument/2006/relationships/hyperlink" Target="https://www.gastrozone.cz/menumobil-eco-classic-box-epp.html" TargetMode="External" Id="rId72" /></Relationships>
</file>

<file path=xl/worksheets/_rels/sheet4.xml.rels><Relationships xmlns="http://schemas.openxmlformats.org/package/2006/relationships"><Relationship Type="http://schemas.openxmlformats.org/officeDocument/2006/relationships/hyperlink" Target="https://sortiment.makro.cz/shop/search?q=gastron%C3%A1doba%20polykarbon%C3%A1t" TargetMode="External" Id="rId1" /><Relationship Type="http://schemas.openxmlformats.org/officeDocument/2006/relationships/hyperlink" Target="https://www.makro.cz/metro/services/idamstream/login?returnUrl=/" TargetMode="External" Id="rId2" /><Relationship Type="http://schemas.openxmlformats.org/officeDocument/2006/relationships/hyperlink" Target="https://agastro.cz/" TargetMode="External" Id="rId3" /><Relationship Type="http://schemas.openxmlformats.org/officeDocument/2006/relationships/hyperlink" Target="https://agastro.cz/gastronadoby-vacbox/" TargetMode="External" Id="rId4" /><Relationship Type="http://schemas.openxmlformats.org/officeDocument/2006/relationships/hyperlink" Target="https://www.ggmgastro.com/cs-cz-czk/search?q=polykarbon%C3%A1t" TargetMode="External" Id="rId5" /><Relationship Type="http://schemas.openxmlformats.org/officeDocument/2006/relationships/hyperlink" Target="https://www.ggmgastro.com/cs-cz-czk/6-ks-stlacovaci-lahev-na-omacky-1-020-ml-o-80-mm-se-sroubovacim-uzaverem-a-uzaviraci-cepickou-transparentni-93259-6" TargetMode="External" Id="rId6" /><Relationship Type="http://schemas.openxmlformats.org/officeDocument/2006/relationships/hyperlink" Target="https://www.gastromania.cz/products/search/language:cze?q=polykarbon%C3%A1t+GN+1%2F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4" customWidth="1" min="4" max="4"/>
    <col width="30" customWidth="1" min="5" max="5"/>
    <col width="40" customWidth="1" min="6" max="6"/>
    <col width="40" customWidth="1" min="7" max="7"/>
    <col width="32" customWidth="1" min="8" max="8"/>
    <col width="30" customWidth="1" min="9" max="9"/>
    <col width="22" customWidth="1" min="10" max="10"/>
    <col width="45" customWidth="1" min="11" max="11"/>
    <col width="14" customWidth="1" min="12" max="12"/>
    <col width="12" customWidth="1" min="13" max="13"/>
    <col width="10" customWidth="1" min="14" max="14"/>
    <col width="60" customWidth="1" min="15" max="15"/>
  </cols>
  <sheetData>
    <row r="1" ht="45" customHeight="1">
      <c r="A1" s="1" t="inlineStr">
        <is>
          <t>Name</t>
        </is>
      </c>
      <c r="B1" s="1" t="inlineStr">
        <is>
          <t>URL</t>
        </is>
      </c>
      <c r="C1" s="1" t="inlineStr">
        <is>
          <t>Type (local / pan-EU / marketplace)</t>
        </is>
      </c>
      <c r="D1" s="1" t="inlineStr">
        <is>
          <t>B2B / B2C focus</t>
        </is>
      </c>
      <c r="E1" s="1" t="inlineStr">
        <is>
          <t>Prices shown incl./excl. VAT</t>
        </is>
      </c>
      <c r="F1" s="1" t="inlineStr">
        <is>
          <t>Shipping to Czechia</t>
        </is>
      </c>
      <c r="G1" s="1" t="inlineStr">
        <is>
          <t>Shipping to Austria (business address)</t>
        </is>
      </c>
      <c r="H1" s="1" t="inlineStr">
        <is>
          <t>Shipping VAT treatment</t>
        </is>
      </c>
      <c r="I1" s="1" t="inlineStr">
        <is>
          <t>Free-shipping threshold</t>
        </is>
      </c>
      <c r="J1" s="1" t="inlineStr">
        <is>
          <t>Minimum order value</t>
        </is>
      </c>
      <c r="K1" s="1" t="inlineStr">
        <is>
          <t>Shipping / terms source URL(s)</t>
        </is>
      </c>
      <c r="L1" s="1" t="inlineStr">
        <is>
          <t>Distinct basket items with price (any match)</t>
        </is>
      </c>
      <c r="M1" s="1" t="inlineStr">
        <is>
          <t>of which EXACT/CLOSE</t>
        </is>
      </c>
      <c r="N1" s="1" t="inlineStr">
        <is>
          <t>Counted (yes/no)</t>
        </is>
      </c>
      <c r="O1" s="1" t="inlineStr">
        <is>
          <t>Notes</t>
        </is>
      </c>
    </row>
    <row r="2">
      <c r="A2" s="2" t="inlineStr">
        <is>
          <t>TOMGAST</t>
        </is>
      </c>
      <c r="B2" s="3" t="inlineStr">
        <is>
          <t>https://www.tomgast.cz/</t>
        </is>
      </c>
      <c r="C2" s="2" t="inlineStr">
        <is>
          <t>local</t>
        </is>
      </c>
      <c r="D2" s="2" t="inlineStr">
        <is>
          <t>B2B + B2C (HORECA specialist; sells to consumers and businesses)</t>
        </is>
      </c>
      <c r="E2" s="2" t="inlineStr">
        <is>
          <t>Both shown: incl. 21% VAT as main price, "bez DPH" (excl. VAT) shown alongside</t>
        </is>
      </c>
      <c r="F2" s="2" t="inlineStr">
        <is>
          <t>GLS 149 CZK or PPL to address 149 CZK; personal pick-up Karviná free; cash on delivery +39 CZK</t>
        </is>
      </c>
      <c r="G2" s="2" t="inlineStr">
        <is>
          <t>Not offered: checkout country list contains only Czech Republic and Slovakia (checked in cart 2026-09-30). No Austrian shipping rate published.</t>
        </is>
      </c>
      <c r="H2" s="2" t="inlineStr">
        <is>
          <t>Shipping incl. 21% VAT (checkout: 1,440 CZK item + 149 CZK shipping = 1,589 CZK total, 1,313.22 CZK excl. VAT)</t>
        </is>
      </c>
      <c r="I2" s="2" t="inlineStr">
        <is>
          <t>Over 6,000 CZK (shipping page says "nad 6 000 Kč"; site header says "Objednávky nad 6 000 Kč bez DPH doručíme zdarma" i.e. 6,000 CZK excl. VAT)</t>
        </is>
      </c>
      <c r="J2" s="2" t="inlineStr">
        <is>
          <t>Not stated</t>
        </is>
      </c>
      <c r="K2" s="3" t="inlineStr">
        <is>
          <t>https://www.tomgast.cz/doprava-a-platba/ ; https://www.tomgast.cz/obchodni-podminky/ ; checkout https://www.tomgast.cz/objednavka/krok-1/</t>
        </is>
      </c>
      <c r="L2" s="2">
        <f>COUNTIFS(Prices!$C$2:$C$600,A2,Prices!$G$2:$G$600,"&lt;&gt;")</f>
        <v/>
      </c>
      <c r="M2" s="2">
        <f>COUNTIFS(Prices!$C$2:$C$600,A2,Prices!$G$2:$G$600,"&lt;&gt;",Prices!$N$2:$N$600,"EXACT")+COUNTIFS(Prices!$C$2:$C$600,A2,Prices!$G$2:$G$600,"&lt;&gt;",Prices!$N$2:$N$600,"CLOSE")</f>
        <v/>
      </c>
      <c r="N2" s="2">
        <f>IF(L2&gt;=6,"yes","no")</f>
        <v/>
      </c>
      <c r="O2" s="2" t="inlineStr">
        <is>
          <t>Karviná-based HORECA wholesaler (TOMGAST Czech Republic s.r.o.), large Cambro range. Prices public without login. Stock status shown per item; some chosen items are "Očekáváme naskladnění" (awaiting stock).</t>
        </is>
      </c>
    </row>
    <row r="3">
      <c r="A3" s="2" t="inlineStr">
        <is>
          <t>Gastro Novotný</t>
        </is>
      </c>
      <c r="B3" s="3" t="inlineStr">
        <is>
          <t>https://eshop.gastronovotny.cz/</t>
        </is>
      </c>
      <c r="C3" s="2" t="inlineStr">
        <is>
          <t>local</t>
        </is>
      </c>
      <c r="D3" s="2" t="inlineStr">
        <is>
          <t>B2B-oriented wholesale ("Velkoobchod s gastro vybavením"), also sells to consumers (consumer withdrawal rights in T&amp;C)</t>
        </is>
      </c>
      <c r="E3" s="2" t="inlineStr">
        <is>
          <t>Main price excl. VAT; "včetně DPH" (incl. 21% VAT) shown alongside</t>
        </is>
      </c>
      <c r="F3" s="2" t="inlineStr">
        <is>
          <t>Checkout options: PPL up to 20 kg 275 CZK; TopTrans (large/atypical items) 990 CZK; personal pick-up Brno free; cash on delivery +45 CZK</t>
        </is>
      </c>
      <c r="G3" s="2" t="inlineStr">
        <is>
          <t>Not offered: checkout step 2 offers only "Česká republika" as billing/delivery country (checked 2026-09-30). No Austrian rate published.</t>
        </is>
      </c>
      <c r="H3" s="2" t="inlineStr">
        <is>
          <t>Shipping prices shown excl. VAT (PPL 275 CZK = 332.75 CZK incl. VAT in checkout)</t>
        </is>
      </c>
      <c r="I3" s="2" t="inlineStr">
        <is>
          <t>No general free-shipping threshold published; some individual products (e.g. Liebherr appliances) flagged "Doprava ZDARMA"</t>
        </is>
      </c>
      <c r="J3" s="2" t="inlineStr">
        <is>
          <t>500 CZK excl. VAT (cart: "Minimální cena objednávky je 500 Kč bez DPH")</t>
        </is>
      </c>
      <c r="K3" s="3" t="inlineStr">
        <is>
          <t>https://eshop.gastronovotny.cz/obchodni-podminky/ ; checkout https://eshop.gastronovotny.cz/objednavka/krok-1/</t>
        </is>
      </c>
      <c r="L3" s="2">
        <f>COUNTIFS(Prices!$C$2:$C$600,A3,Prices!$G$2:$G$600,"&lt;&gt;")</f>
        <v/>
      </c>
      <c r="M3" s="2">
        <f>COUNTIFS(Prices!$C$2:$C$600,A3,Prices!$G$2:$G$600,"&lt;&gt;",Prices!$N$2:$N$600,"EXACT")+COUNTIFS(Prices!$C$2:$C$600,A3,Prices!$G$2:$G$600,"&lt;&gt;",Prices!$N$2:$N$600,"CLOSE")</f>
        <v/>
      </c>
      <c r="N3" s="2">
        <f>IF(L3&gt;=6,"yes","no")</f>
        <v/>
      </c>
      <c r="O3" s="2" t="inlineStr">
        <is>
          <t>GASTRO NOVOTNÝ, družstvo, Brno. Prices public without login. Many items show availability "Na dotaz" (availability on request) while the price is displayed - recorded as listed prices; noted per item. No squeeze bottle near 1,000 ml, no triple-tip bottle, no pump dispenser, no 300 x 200 board, no dough-box lid, no thermo tray found.</t>
        </is>
      </c>
    </row>
    <row r="4">
      <c r="A4" s="2" t="inlineStr">
        <is>
          <t>Gastrozone</t>
        </is>
      </c>
      <c r="B4" s="3" t="inlineStr">
        <is>
          <t>https://www.gastrozone.cz/</t>
        </is>
      </c>
      <c r="C4" s="2" t="inlineStr">
        <is>
          <t>local</t>
        </is>
      </c>
      <c r="D4" s="2" t="inlineStr">
        <is>
          <t>B2C + B2B (gastro and household range; published T&amp;C are written for consumers and state they do not apply to business buyers)</t>
        </is>
      </c>
      <c r="E4" s="2" t="inlineStr">
        <is>
          <t>Main price incl. 21% VAT; "bez DPH" (excl. VAT) shown below on product pages</t>
        </is>
      </c>
      <c r="F4" s="2" t="inlineStr">
        <is>
          <t>Address delivery (DPD/GLS/PPL, carrier chosen by shop) 95 CZK; pick-up points 49-79 CZK (GLS ParcelShop 49, Balíkovna 59, Zásilkovna 65, PPL Smart 69, DPD Pickup 79); cash on delivery +35 CZK approx.; pick-up Tábor warehouse free. Bulky goods: special transport agreed individually.</t>
        </is>
      </c>
      <c r="G4" s="2" t="inlineStr">
        <is>
          <t>No published rate: "Doprava do zahraničí" - price set individually from carriers' tariffs and quoted on request before order confirmation; invoiced under destination-country VAT rules. Quote required.</t>
        </is>
      </c>
      <c r="H4" s="2" t="inlineStr">
        <is>
          <t>Shipping prices shown incl. VAT ("s DPH")</t>
        </is>
      </c>
      <c r="I4" s="2" t="inlineStr">
        <is>
          <t>All CZ delivery and pick-up options free for orders over 3,000 CZK incl. VAT (CZ only)</t>
        </is>
      </c>
      <c r="J4" s="2" t="inlineStr">
        <is>
          <t>Not stated</t>
        </is>
      </c>
      <c r="K4" s="3" t="inlineStr">
        <is>
          <t>https://www.gastrozone.cz/informace/doprava-a-platba/ ; https://www.gastrozone.cz/informace/obchodni-podminky/</t>
        </is>
      </c>
      <c r="L4" s="2">
        <f>COUNTIFS(Prices!$C$2:$C$600,A4,Prices!$G$2:$G$600,"&lt;&gt;")</f>
        <v/>
      </c>
      <c r="M4" s="2">
        <f>COUNTIFS(Prices!$C$2:$C$600,A4,Prices!$G$2:$G$600,"&lt;&gt;",Prices!$N$2:$N$600,"EXACT")+COUNTIFS(Prices!$C$2:$C$600,A4,Prices!$G$2:$G$600,"&lt;&gt;",Prices!$N$2:$N$600,"CLOSE")</f>
        <v/>
      </c>
      <c r="N4" s="2">
        <f>IF(L4&gt;=6,"yes","no")</f>
        <v/>
      </c>
      <c r="O4" s="2" t="inlineStr">
        <is>
          <t>GASTROZONE, spol. s r.o., Tábor. Broad multi-brand range (Araven, APS, Pujadas, Cambro, Hendi, Schneider, Contacto). Prices public without login. Several chosen items are "Na objednávku (3-5 týdnů)" (to order); noted per item.</t>
        </is>
      </c>
    </row>
    <row r="5">
      <c r="A5" s="2" t="inlineStr">
        <is>
          <t>Gastromania</t>
        </is>
      </c>
      <c r="B5" s="3" t="inlineStr">
        <is>
          <t>https://www.gastromania.cz/</t>
        </is>
      </c>
      <c r="C5" s="2" t="inlineStr">
        <is>
          <t>local</t>
        </is>
      </c>
      <c r="D5" s="2" t="inlineStr">
        <is>
          <t>B2B + B2C (HORECA equipment "velkoobchod"; consumer T&amp;C; separate B2B reseller programme)</t>
        </is>
      </c>
      <c r="E5" s="2" t="inlineStr">
        <is>
          <t>Both shown: "bez DPH" (excl.) and "s DPH" (incl. 21% VAT); prices injected by JavaScript (read with a rendering browser)</t>
        </is>
      </c>
      <c r="F5" s="2" t="inlineStr">
        <is>
          <t>PPL: 109 CZK with bank transfer/online payment, 169 CZK cash on delivery (parcels up to 31.5 kg, max 60x60x120 cm); oversize, &gt;31.5 kg or pallet shipments priced individually at order confirmation</t>
        </is>
      </c>
      <c r="G5" s="2" t="inlineStr">
        <is>
          <t>Not published: T&amp;C state that published delivery costs apply only to delivery within the Czech Republic; no Austrian rate or foreign-delivery terms found (quote would be needed).</t>
        </is>
      </c>
      <c r="H5" s="2" t="inlineStr">
        <is>
          <t>Shipping VAT treatment not stated explicitly for the 109/169 CZK fees (free-shipping threshold is stated incl. VAT)</t>
        </is>
      </c>
      <c r="I5" s="2" t="inlineStr">
        <is>
          <t>Over 7,000 CZK incl. VAT ("Při nákupu nad 7000 Kč s DPH je doprava zdarma")</t>
        </is>
      </c>
      <c r="J5" s="2" t="inlineStr">
        <is>
          <t>Not stated (20% deposit required for orders over 10,000 CZK incl. VAT and made-to-order goods)</t>
        </is>
      </c>
      <c r="K5" s="3" t="inlineStr">
        <is>
          <t>https://www.gastromania.cz/zpusoby-dopravy.html ; https://www.gastromania.cz/obchodni-podminky.html</t>
        </is>
      </c>
      <c r="L5" s="2">
        <f>COUNTIFS(Prices!$C$2:$C$600,A5,Prices!$G$2:$G$600,"&lt;&gt;")</f>
        <v/>
      </c>
      <c r="M5" s="2">
        <f>COUNTIFS(Prices!$C$2:$C$600,A5,Prices!$G$2:$G$600,"&lt;&gt;",Prices!$N$2:$N$600,"EXACT")+COUNTIFS(Prices!$C$2:$C$600,A5,Prices!$G$2:$G$600,"&lt;&gt;",Prices!$N$2:$N$600,"CLOSE")</f>
        <v/>
      </c>
      <c r="N5" s="2">
        <f>IF(L5&gt;=6,"yes","no")</f>
        <v/>
      </c>
      <c r="O5" s="2" t="inlineStr">
        <is>
          <t>Ostrava-area HORECA shop with CZ/SK storefronts. Multi-brand (Hendi, Contacto, Stalgast, APS, Redfox, Cambro, Yato) and also lists TOMGAST-branded items at identical prices to tomgast.cz. Many items show a crossed-out base price with a current discounted price; the current price for 1 pc is recorded and discounts noted. Where several variants match equally, the lowest current price was taken.</t>
        </is>
      </c>
    </row>
    <row r="6">
      <c r="A6" s="2" t="inlineStr">
        <is>
          <t>GGM Gastro (CZ storefront)</t>
        </is>
      </c>
      <c r="B6" s="3" t="inlineStr">
        <is>
          <t>https://www.ggmgastro.com/cs-cz-czk/</t>
        </is>
      </c>
      <c r="C6" s="2" t="inlineStr">
        <is>
          <t>pan-EU</t>
        </is>
      </c>
      <c r="D6" s="2" t="inlineStr">
        <is>
          <t>B2B only (site footer: offers aimed exclusively at commercial customers per §14 BGB, not consumers)</t>
        </is>
      </c>
      <c r="E6" s="2" t="inlineStr">
        <is>
          <t>Excl. VAT (net CZK) shown as main price; gross shown "vč. 19% DPH" - the CZ storefront applies German 19% VAT, not Czech 21%</t>
        </is>
      </c>
      <c r="F6" s="2" t="inlineStr">
        <is>
          <t>Product pages show "Doprava zdarma**" and footnote "Všechny ceny plus DPH 19 %, včetně dodávky" (prices include delivery); site banner "Doprava zdarma po celé Evropě na všechny objednávky". ** = mainland only; island surcharge.</t>
        </is>
      </c>
      <c r="G6" s="2" t="inlineStr">
        <is>
          <t>No specific Austrian rate on the CZ storefront; site banner claims free delivery across Europe on all orders, but the shipping-cost page (English text) says its listed rates (free from 30 EUR net; insured 9.90 EUR, lifting platform 19.90/29.90 EUR, express from 49.90 EUR) apply to the German mainland only and other European countries must request a quote. Austrian customers are normally served via the de-at-eur storefront.</t>
        </is>
      </c>
      <c r="H6" s="2" t="inlineStr">
        <is>
          <t>Shipping stated as included in prices (net); where charged, rates on shipping-cost page are in EUR net</t>
        </is>
      </c>
      <c r="I6" s="2" t="inlineStr">
        <is>
          <t>Free shipping claimed on all orders (Europe-wide banner); shipping-cost page: free from 30 EUR net purchase value (German mainland)</t>
        </is>
      </c>
      <c r="J6" s="2" t="inlineStr">
        <is>
          <t>Not stated (free-shipping reference value 30 EUR net)</t>
        </is>
      </c>
      <c r="K6" s="3" t="inlineStr">
        <is>
          <t>https://www.ggmgastro.com/cs-cz-czk/shipping-cost ; https://www.ggmgastro.com/cs-cz-czk/terms</t>
        </is>
      </c>
      <c r="L6" s="2">
        <f>COUNTIFS(Prices!$C$2:$C$600,A6,Prices!$G$2:$G$600,"&lt;&gt;")</f>
        <v/>
      </c>
      <c r="M6" s="2">
        <f>COUNTIFS(Prices!$C$2:$C$600,A6,Prices!$G$2:$G$600,"&lt;&gt;",Prices!$N$2:$N$600,"EXACT")+COUNTIFS(Prices!$C$2:$C$600,A6,Prices!$G$2:$G$600,"&lt;&gt;",Prices!$N$2:$N$600,"CLOSE")</f>
        <v/>
      </c>
      <c r="N6" s="2">
        <f>IF(L6&gt;=6,"yes","no")</f>
        <v/>
      </c>
      <c r="O6" s="2" t="inlineStr">
        <is>
          <t>GGM Gastro International GmbH (Germany), Czech-language CZK storefront. Site search and pages are JavaScript-rendered and block headless browsers; products were located via the public product sitemap and read in a full (non-headless) browser. Many products are sold in multi-packs (price per pack; per-piece net computed). Some pages show odd bulk banners (e.g. "30 929,19 Kč Sleva-10%") not used. No 300 x 200 board, no triple-tip bottle (only a 3-hole membrane accessory FFO-055), no separate 600x400 dough-box lid and no thermo tray found.</t>
        </is>
      </c>
    </row>
    <row r="7">
      <c r="A7" s="2" t="inlineStr">
        <is>
          <t>MAKRO Czechia</t>
        </is>
      </c>
      <c r="B7" s="3" t="inlineStr">
        <is>
          <t>https://www.makro.cz/</t>
        </is>
      </c>
      <c r="C7" s="2" t="inlineStr">
        <is>
          <t>local</t>
        </is>
      </c>
      <c r="D7" s="2" t="inlineStr">
        <is>
          <t>B2B (cash &amp; carry wholesaler; makro customer card / registration)</t>
        </is>
      </c>
      <c r="E7" s="2" t="inlineStr">
        <is>
          <t>Hidden: product listings on sortiment.makro.cz show "Pro zobrazení cen se prosím přihlaste" (log in to see prices)</t>
        </is>
      </c>
      <c r="F7" s="2" t="inlineStr">
        <is>
          <t>"makro distribuce" delivery service (m-objednávka) for registered customers; only requirement stated is a minimum order value (amount not published publicly). Otherwise in-store purchase ("Nakoupíte v obchodě").</t>
        </is>
      </c>
      <c r="G7" s="2" t="inlineStr">
        <is>
          <t>Not offered / not published</t>
        </is>
      </c>
      <c r="H7" s="2" t="inlineStr">
        <is>
          <t>Not published</t>
        </is>
      </c>
      <c r="I7" s="2" t="inlineStr">
        <is>
          <t>Not published</t>
        </is>
      </c>
      <c r="J7" s="2" t="inlineStr">
        <is>
          <t>Minimum order value required for makro distribuce - amount not shown publicly</t>
        </is>
      </c>
      <c r="K7" s="3" t="inlineStr">
        <is>
          <t>https://www.makro.cz/makro-distribuce ; https://sortiment.makro.cz/shop/search?q=gastron%C3%A1doba%20polykarbon%C3%A1t</t>
        </is>
      </c>
      <c r="L7" s="2">
        <f>COUNTIFS(Prices!$C$2:$C$600,A7,Prices!$G$2:$G$600,"&lt;&gt;")</f>
        <v/>
      </c>
      <c r="M7" s="2">
        <f>COUNTIFS(Prices!$C$2:$C$600,A7,Prices!$G$2:$G$600,"&lt;&gt;",Prices!$N$2:$N$600,"EXACT")+COUNTIFS(Prices!$C$2:$C$600,A7,Prices!$G$2:$G$600,"&lt;&gt;",Prices!$N$2:$N$600,"CLOSE")</f>
        <v/>
      </c>
      <c r="N7" s="2" t="inlineStr">
        <is>
          <t>no</t>
        </is>
      </c>
      <c r="O7" s="2" t="inlineStr">
        <is>
          <t>Login-only prices - NOT COUNTED. Relevant items exist in the catalogue (e.g. METRO PROFESSIONAL polycarbonate GN 1/1 and 1/2 150 mm containers, APS and Hendi GN containers) but no price is publicly readable. www.makro.cz returns HTTP 403 to plain scripts; readable in a browser.</t>
        </is>
      </c>
    </row>
    <row r="8">
      <c r="A8" s="2" t="inlineStr">
        <is>
          <t>A GASTRO</t>
        </is>
      </c>
      <c r="B8" s="3" t="inlineStr">
        <is>
          <t>https://agastro.cz/</t>
        </is>
      </c>
      <c r="C8" s="2" t="inlineStr">
        <is>
          <t>local</t>
        </is>
      </c>
      <c r="D8" s="2" t="inlineStr">
        <is>
          <t>Unknown (HORECA equipment shop per search-engine snippets)</t>
        </is>
      </c>
      <c r="E8" s="2" t="inlineStr">
        <is>
          <t>Not readable - site blocked (Cloudflare security check / HTTP 403)</t>
        </is>
      </c>
      <c r="F8" s="2" t="inlineStr">
        <is>
          <t>Not readable</t>
        </is>
      </c>
      <c r="G8" s="2" t="inlineStr">
        <is>
          <t>Not readable</t>
        </is>
      </c>
      <c r="H8" s="2" t="inlineStr">
        <is>
          <t>Not readable</t>
        </is>
      </c>
      <c r="I8" s="2" t="inlineStr">
        <is>
          <t>Not readable</t>
        </is>
      </c>
      <c r="J8" s="2" t="inlineStr">
        <is>
          <t>Not readable</t>
        </is>
      </c>
      <c r="K8" s="3" t="inlineStr">
        <is>
          <t>https://agastro.cz/</t>
        </is>
      </c>
      <c r="L8" s="2">
        <f>COUNTIFS(Prices!$C$2:$C$600,A8,Prices!$G$2:$G$600,"&lt;&gt;")</f>
        <v/>
      </c>
      <c r="M8" s="2">
        <f>COUNTIFS(Prices!$C$2:$C$600,A8,Prices!$G$2:$G$600,"&lt;&gt;",Prices!$N$2:$N$600,"EXACT")+COUNTIFS(Prices!$C$2:$C$600,A8,Prices!$G$2:$G$600,"&lt;&gt;",Prices!$N$2:$N$600,"CLOSE")</f>
        <v/>
      </c>
      <c r="N8" s="2" t="inlineStr">
        <is>
          <t>no</t>
        </is>
      </c>
      <c r="O8" s="2" t="inlineStr">
        <is>
          <t>NOT COUNTED - access error. Every URL tried (home, robots.txt, sitemap.xml, www/eshop subdomains, category pages) returns HTTP 403 or a Cloudflare "Provádění bezpečnostního ověření" challenge, both to scripts and to a full browser; the web-fetch tool also gets 403. Search-engine results show category pages such as /gastronadoby-vacbox/, /gastronadoby-zmrlinove/ and /detail/21689/, but no price could be verified, so none recorded. Needs a manual check in a normal browser.</t>
        </is>
      </c>
    </row>
  </sheetData>
  <autoFilter ref="A1:O8"/>
  <hyperlinks>
    <hyperlink xmlns:r="http://schemas.openxmlformats.org/officeDocument/2006/relationships" ref="B2" r:id="rId1"/>
    <hyperlink xmlns:r="http://schemas.openxmlformats.org/officeDocument/2006/relationships" ref="K2" r:id="rId2"/>
    <hyperlink xmlns:r="http://schemas.openxmlformats.org/officeDocument/2006/relationships" ref="B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K4" r:id="rId6"/>
    <hyperlink xmlns:r="http://schemas.openxmlformats.org/officeDocument/2006/relationships" ref="B5" r:id="rId7"/>
    <hyperlink xmlns:r="http://schemas.openxmlformats.org/officeDocument/2006/relationships" ref="K5" r:id="rId8"/>
    <hyperlink xmlns:r="http://schemas.openxmlformats.org/officeDocument/2006/relationships" ref="B6" r:id="rId9"/>
    <hyperlink xmlns:r="http://schemas.openxmlformats.org/officeDocument/2006/relationships" ref="K6" r:id="rId10"/>
    <hyperlink xmlns:r="http://schemas.openxmlformats.org/officeDocument/2006/relationships" ref="B7" r:id="rId11"/>
    <hyperlink xmlns:r="http://schemas.openxmlformats.org/officeDocument/2006/relationships" ref="K7" r:id="rId12"/>
    <hyperlink xmlns:r="http://schemas.openxmlformats.org/officeDocument/2006/relationships" ref="B8" r:id="rId13"/>
    <hyperlink xmlns:r="http://schemas.openxmlformats.org/officeDocument/2006/relationships" ref="K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40" customWidth="1" min="4" max="4"/>
    <col width="14" customWidth="1" min="5" max="5"/>
    <col width="40" customWidth="1" min="6" max="6"/>
    <col width="11" customWidth="1" min="7" max="7"/>
    <col width="8" customWidth="1" min="8" max="8"/>
    <col width="10" customWidth="1" min="9" max="9"/>
    <col width="9" customWidth="1" min="10" max="10"/>
    <col width="8" customWidth="1" min="11" max="11"/>
    <col width="12" customWidth="1" min="12" max="12"/>
    <col width="12" customWidth="1" min="13" max="13"/>
    <col width="10" customWidth="1" min="14" max="14"/>
    <col width="70" customWidth="1" min="15" max="15"/>
    <col width="11" customWidth="1" min="16" max="16"/>
    <col width="11" customWidth="1" min="17" max="17"/>
    <col width="11" customWidth="1" min="18" max="18"/>
  </cols>
  <sheetData>
    <row r="1" ht="45" customHeight="1">
      <c r="A1" s="1" t="inlineStr">
        <is>
          <t>Basket item no.</t>
        </is>
      </c>
      <c r="B1" s="1" t="inlineStr">
        <is>
          <t>Basket item</t>
        </is>
      </c>
      <c r="C1" s="1" t="inlineStr">
        <is>
          <t>Competitor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Product URL</t>
        </is>
      </c>
      <c r="G1" s="1" t="inlineStr">
        <is>
          <t>Listed price</t>
        </is>
      </c>
      <c r="H1" s="1" t="inlineStr">
        <is>
          <t>Currency</t>
        </is>
      </c>
      <c r="I1" s="1" t="inlineStr">
        <is>
          <t>Incl./excl. VAT</t>
        </is>
      </c>
      <c r="J1" s="1" t="inlineStr">
        <is>
          <t>VAT rate used</t>
        </is>
      </c>
      <c r="K1" s="1" t="inlineStr">
        <is>
          <t>Pack size (pcs)</t>
        </is>
      </c>
      <c r="L1" s="1" t="inlineStr">
        <is>
          <t>Price basis (per pack / per piece)</t>
        </is>
      </c>
      <c r="M1" s="1" t="inlineStr">
        <is>
          <t>Net price per piece CZK</t>
        </is>
      </c>
      <c r="N1" s="1" t="inlineStr">
        <is>
          <t>Match quality</t>
        </is>
      </c>
      <c r="O1" s="1" t="inlineStr">
        <is>
          <t>Notes</t>
        </is>
      </c>
      <c r="P1" s="1" t="inlineStr">
        <is>
          <t>Date checked</t>
        </is>
      </c>
      <c r="Q1" s="1" t="inlineStr">
        <is>
          <t>Competitor counted?</t>
        </is>
      </c>
      <c r="R1" s="1" t="inlineStr">
        <is>
          <t>Used in Summary?</t>
        </is>
      </c>
    </row>
    <row r="2">
      <c r="A2" s="2" t="n">
        <v>1</v>
      </c>
      <c r="B2" s="2" t="inlineStr">
        <is>
          <t>GN 1/1 polycarbonate container, 65 mm deep</t>
        </is>
      </c>
      <c r="C2" s="2" t="inlineStr">
        <is>
          <t>GGM Gastro (CZ storefront)</t>
        </is>
      </c>
      <c r="D2" s="2" t="inlineStr">
        <is>
          <t>(6 ks) Gastronádoba GN GN 1/1 - polykarbonát - čirá - Výška: 65 mm</t>
        </is>
      </c>
      <c r="E2" s="2" t="inlineStr">
        <is>
          <t>GGM</t>
        </is>
      </c>
      <c r="F2" s="3" t="inlineStr">
        <is>
          <t>https://www.ggmgastro.com/cs-cz-czk/6-ks-gastronadoba-gn-gn-1-1-polykarbonat-cira-vyska-65-mm-gpcp1165</t>
        </is>
      </c>
      <c r="G2" s="4" t="n">
        <v>1143.69</v>
      </c>
      <c r="H2" s="2" t="inlineStr">
        <is>
          <t>CZK</t>
        </is>
      </c>
      <c r="I2" s="2" t="inlineStr">
        <is>
          <t>excl.</t>
        </is>
      </c>
      <c r="J2" s="5" t="n">
        <v>0.19</v>
      </c>
      <c r="K2" s="2" t="n">
        <v>6</v>
      </c>
      <c r="L2" s="2" t="inlineStr">
        <is>
          <t>per pack</t>
        </is>
      </c>
      <c r="M2" s="4">
        <f>IF(OR(G2="",J2="",K2=""),"",ROUND(IF(I2="incl.",G2/(1+J2),G2)/IF(L2="per pack",K2,1),2))</f>
        <v/>
      </c>
      <c r="N2" s="2" t="inlineStr">
        <is>
          <t>EXACT</t>
        </is>
      </c>
      <c r="O2" s="2" t="inlineStr">
        <is>
          <t>Net CZK price as displayed; page footnote: "* čistá cena | hrubá cena vč. 19% DPH" (German VAT 19% used on the CZ storefront). SKU GPCP1165, pack of 6; gross 1,360.99 CZK; delivery 5-6 weeks.</t>
        </is>
      </c>
      <c r="P2" s="2" t="inlineStr">
        <is>
          <t>2026-09-30</t>
        </is>
      </c>
      <c r="Q2" s="2">
        <f>IFERROR(INDEX(Competitors!$N$2:$N$50,MATCH(C2,Competitors!$A$2:$A$50,0)),"no")</f>
        <v/>
      </c>
      <c r="R2" s="2">
        <f>IF(AND(Q2="yes",OR(N2="EXACT",N2="CLOSE"),ISNUMBER(M2)),"yes","no")</f>
        <v/>
      </c>
    </row>
    <row r="3">
      <c r="A3" s="2" t="n">
        <v>1</v>
      </c>
      <c r="B3" s="2" t="inlineStr">
        <is>
          <t>GN 1/1 polycarbonate container, 65 mm deep</t>
        </is>
      </c>
      <c r="C3" s="2" t="inlineStr">
        <is>
          <t>Gastro Novotný</t>
        </is>
      </c>
      <c r="D3" s="2" t="inlineStr">
        <is>
          <t>Gastronádoba PC 1/1 100</t>
        </is>
      </c>
      <c r="E3" s="2" t="inlineStr"/>
      <c r="F3" s="3" t="inlineStr">
        <is>
          <t>https://eshop.gastronovotny.cz/gastronadoba-pc-1-1-100--0835126/</t>
        </is>
      </c>
      <c r="G3" s="4" t="n">
        <v>289</v>
      </c>
      <c r="H3" s="2" t="inlineStr">
        <is>
          <t>CZK</t>
        </is>
      </c>
      <c r="I3" s="2" t="inlineStr">
        <is>
          <t>excl.</t>
        </is>
      </c>
      <c r="J3" s="5" t="n">
        <v>0.21</v>
      </c>
      <c r="K3" s="2" t="n">
        <v>1</v>
      </c>
      <c r="L3" s="2" t="inlineStr">
        <is>
          <t>per piece</t>
        </is>
      </c>
      <c r="M3" s="4">
        <f>IF(OR(G3="",J3="",K3=""),"",ROUND(IF(I3="incl.",G3/(1+J3),G3)/IF(L3="per pack",K3,1),2))</f>
        <v/>
      </c>
      <c r="N3" s="2" t="inlineStr">
        <is>
          <t>APPROX</t>
        </is>
      </c>
      <c r="O3" s="2" t="inlineStr">
        <is>
          <t>Polycarbonate GN 1/1 but 100 mm deep (no 65 mm PC listed; PC range 1/1 = 100 and 200 mm only). 349.69 CZK incl. VAT. Availability "Na dotaz".</t>
        </is>
      </c>
      <c r="P3" s="2" t="inlineStr">
        <is>
          <t>2026-09-30</t>
        </is>
      </c>
      <c r="Q3" s="2">
        <f>IFERROR(INDEX(Competitors!$N$2:$N$50,MATCH(C3,Competitors!$A$2:$A$50,0)),"no")</f>
        <v/>
      </c>
      <c r="R3" s="2">
        <f>IF(AND(Q3="yes",OR(N3="EXACT",N3="CLOSE"),ISNUMBER(M3)),"yes","no")</f>
        <v/>
      </c>
    </row>
    <row r="4">
      <c r="A4" s="2" t="n">
        <v>1</v>
      </c>
      <c r="B4" s="2" t="inlineStr">
        <is>
          <t>GN 1/1 polycarbonate container, 65 mm deep</t>
        </is>
      </c>
      <c r="C4" s="2" t="inlineStr">
        <is>
          <t>Gastromania</t>
        </is>
      </c>
      <c r="D4" s="2" t="inlineStr">
        <is>
          <t>Gastronádoba z polykarbonátu GN 1/1 65 mm | HENDI, Profi Line</t>
        </is>
      </c>
      <c r="E4" s="2" t="inlineStr">
        <is>
          <t>Hendi</t>
        </is>
      </c>
      <c r="F4" s="3" t="inlineStr">
        <is>
          <t>https://www.gastromania.cz/gastronadoby-polykarbonatove/gastronadoba-z-polykarbonatu-gn-1-1-65-mm-hendi-profi-line</t>
        </is>
      </c>
      <c r="G4" s="4" t="n">
        <v>262</v>
      </c>
      <c r="H4" s="2" t="inlineStr">
        <is>
          <t>CZK</t>
        </is>
      </c>
      <c r="I4" s="2" t="inlineStr">
        <is>
          <t>excl.</t>
        </is>
      </c>
      <c r="J4" s="5" t="n">
        <v>0.21</v>
      </c>
      <c r="K4" s="2" t="n">
        <v>1</v>
      </c>
      <c r="L4" s="2" t="inlineStr">
        <is>
          <t>per piece</t>
        </is>
      </c>
      <c r="M4" s="4">
        <f>IF(OR(G4="",J4="",K4=""),"",ROUND(IF(I4="incl.",G4/(1+J4),G4)/IF(L4="per pack",K4,1),2))</f>
        <v/>
      </c>
      <c r="N4" s="2" t="inlineStr">
        <is>
          <t>EXACT</t>
        </is>
      </c>
      <c r="O4" s="2" t="inlineStr">
        <is>
          <t>PC, 9 l. Current price 262 CZK excl. / 317 incl. is an "Outlet" discount from 368 excl. / 445 incl. (30-day low shown 445). Regular-priced alternative: Stalgast Bufet PC GN 1/1 65 mm 286 excl. / 346 incl.</t>
        </is>
      </c>
      <c r="P4" s="2" t="inlineStr">
        <is>
          <t>2026-09-30</t>
        </is>
      </c>
      <c r="Q4" s="2">
        <f>IFERROR(INDEX(Competitors!$N$2:$N$50,MATCH(C4,Competitors!$A$2:$A$50,0)),"no")</f>
        <v/>
      </c>
      <c r="R4" s="2">
        <f>IF(AND(Q4="yes",OR(N4="EXACT",N4="CLOSE"),ISNUMBER(M4)),"yes","no")</f>
        <v/>
      </c>
    </row>
    <row r="5">
      <c r="A5" s="2" t="n">
        <v>1</v>
      </c>
      <c r="B5" s="2" t="inlineStr">
        <is>
          <t>GN 1/1 polycarbonate container, 65 mm deep</t>
        </is>
      </c>
      <c r="C5" s="2" t="inlineStr">
        <is>
          <t>Gastrozone</t>
        </is>
      </c>
      <c r="D5" s="2" t="inlineStr">
        <is>
          <t>ARAVEN Gastronádoba GN 1/1, polykarbonát, hloubka: 65 mm, objem: 8,6 L</t>
        </is>
      </c>
      <c r="E5" s="2" t="inlineStr">
        <is>
          <t>Araven</t>
        </is>
      </c>
      <c r="F5" s="3" t="inlineStr">
        <is>
          <t>https://www.gastrozone.cz/araven-gn-box-1-1-polykarbonat-hloubka-65-mm-objem-8-6-l.html</t>
        </is>
      </c>
      <c r="G5" s="4" t="n">
        <v>502</v>
      </c>
      <c r="H5" s="2" t="inlineStr">
        <is>
          <t>CZK</t>
        </is>
      </c>
      <c r="I5" s="2" t="inlineStr">
        <is>
          <t>incl.</t>
        </is>
      </c>
      <c r="J5" s="5" t="n">
        <v>0.21</v>
      </c>
      <c r="K5" s="2" t="n">
        <v>1</v>
      </c>
      <c r="L5" s="2" t="inlineStr">
        <is>
          <t>per piece</t>
        </is>
      </c>
      <c r="M5" s="4">
        <f>IF(OR(G5="",J5="",K5=""),"",ROUND(IF(I5="incl.",G5/(1+J5),G5)/IF(L5="per pack",K5,1),2))</f>
        <v/>
      </c>
      <c r="N5" s="2" t="inlineStr">
        <is>
          <t>EXACT</t>
        </is>
      </c>
      <c r="O5" s="2" t="inlineStr">
        <is>
          <t>414.88 CZK bez DPH; availability "Na objednávku (3-5 týdnů)". In-stock alternative: ARAVEN PC GN 1/1 65 mm with integrated label 601 CZK.</t>
        </is>
      </c>
      <c r="P5" s="2" t="inlineStr">
        <is>
          <t>2026-09-30</t>
        </is>
      </c>
      <c r="Q5" s="2">
        <f>IFERROR(INDEX(Competitors!$N$2:$N$50,MATCH(C5,Competitors!$A$2:$A$50,0)),"no")</f>
        <v/>
      </c>
      <c r="R5" s="2">
        <f>IF(AND(Q5="yes",OR(N5="EXACT",N5="CLOSE"),ISNUMBER(M5)),"yes","no")</f>
        <v/>
      </c>
    </row>
    <row r="6">
      <c r="A6" s="2" t="n">
        <v>1</v>
      </c>
      <c r="B6" s="2" t="inlineStr">
        <is>
          <t>GN 1/1 polycarbonate container, 65 mm deep</t>
        </is>
      </c>
      <c r="C6" s="2" t="inlineStr">
        <is>
          <t>TOMGAST</t>
        </is>
      </c>
      <c r="D6" s="2" t="inlineStr">
        <is>
          <t>Gastronádoba polykarbonátová GN 1/1 65 mm</t>
        </is>
      </c>
      <c r="E6" s="2" t="inlineStr">
        <is>
          <t>Cambro</t>
        </is>
      </c>
      <c r="F6" s="3" t="inlineStr">
        <is>
          <t>https://www.tomgast.cz/gastronadoba-polykarbonatova-gn-1-1-65-mm/</t>
        </is>
      </c>
      <c r="G6" s="4" t="n">
        <v>401</v>
      </c>
      <c r="H6" s="2" t="inlineStr">
        <is>
          <t>CZK</t>
        </is>
      </c>
      <c r="I6" s="2" t="inlineStr">
        <is>
          <t>incl.</t>
        </is>
      </c>
      <c r="J6" s="5" t="n">
        <v>0.21</v>
      </c>
      <c r="K6" s="2" t="n">
        <v>1</v>
      </c>
      <c r="L6" s="2" t="inlineStr">
        <is>
          <t>per piece</t>
        </is>
      </c>
      <c r="M6" s="4">
        <f>IF(OR(G6="",J6="",K6=""),"",ROUND(IF(I6="incl.",G6/(1+J6),G6)/IF(L6="per pack",K6,1),2))</f>
        <v/>
      </c>
      <c r="N6" s="2" t="inlineStr">
        <is>
          <t>EXACT</t>
        </is>
      </c>
      <c r="O6" s="2" t="inlineStr">
        <is>
          <t>Code R-M211065; site shows 331 CZK bez DPH; in stock</t>
        </is>
      </c>
      <c r="P6" s="2" t="inlineStr">
        <is>
          <t>2026-09-30</t>
        </is>
      </c>
      <c r="Q6" s="2">
        <f>IFERROR(INDEX(Competitors!$N$2:$N$50,MATCH(C6,Competitors!$A$2:$A$50,0)),"no")</f>
        <v/>
      </c>
      <c r="R6" s="2">
        <f>IF(AND(Q6="yes",OR(N6="EXACT",N6="CLOSE"),ISNUMBER(M6)),"yes","no")</f>
        <v/>
      </c>
    </row>
    <row r="7">
      <c r="A7" s="2" t="n">
        <v>2</v>
      </c>
      <c r="B7" s="2" t="inlineStr">
        <is>
          <t>GN 1/2 polycarbonate container, 150 mm deep</t>
        </is>
      </c>
      <c r="C7" s="2" t="inlineStr">
        <is>
          <t>GGM Gastro (CZ storefront)</t>
        </is>
      </c>
      <c r="D7" s="2" t="inlineStr">
        <is>
          <t>(6 ks) CAMBRO Camview – kopolymerové nádoby GN 1/2 – průhledné – výška: 150 mm – bez BPA</t>
        </is>
      </c>
      <c r="E7" s="2" t="inlineStr">
        <is>
          <t>Cambro</t>
        </is>
      </c>
      <c r="F7" s="3" t="inlineStr">
        <is>
          <t>https://www.ggmgastro.com/cs-cz-czk/6-ks-cambro-camview-r-kopolymerove-nadoby-gn-1-2-pruhledne-vyska-150-mm-bez-bpa-26cv135</t>
        </is>
      </c>
      <c r="G7" s="4" t="n">
        <v>1460.1</v>
      </c>
      <c r="H7" s="2" t="inlineStr">
        <is>
          <t>CZK</t>
        </is>
      </c>
      <c r="I7" s="2" t="inlineStr">
        <is>
          <t>excl.</t>
        </is>
      </c>
      <c r="J7" s="5" t="n">
        <v>0.19</v>
      </c>
      <c r="K7" s="2" t="n">
        <v>6</v>
      </c>
      <c r="L7" s="2" t="inlineStr">
        <is>
          <t>per pack</t>
        </is>
      </c>
      <c r="M7" s="4">
        <f>IF(OR(G7="",J7="",K7=""),"",ROUND(IF(I7="incl.",G7/(1+J7),G7)/IF(L7="per pack",K7,1),2))</f>
        <v/>
      </c>
      <c r="N7" s="2" t="inlineStr">
        <is>
          <t>CLOSE</t>
        </is>
      </c>
      <c r="O7" s="2" t="inlineStr">
        <is>
          <t>Net CZK price as displayed; page footnote: "* čistá cena | hrubá cena vč. 19% DPH" (German VAT 19% used on the CZ storefront). SKU 26CV135, pack of 6; copolymer (Camview), not polycarbonate - no clear PC GN 1/2 150 mm listed. Gross 1,737.52 CZK; in stock 3-5 days.</t>
        </is>
      </c>
      <c r="P7" s="2" t="inlineStr">
        <is>
          <t>2026-09-30</t>
        </is>
      </c>
      <c r="Q7" s="2">
        <f>IFERROR(INDEX(Competitors!$N$2:$N$50,MATCH(C7,Competitors!$A$2:$A$50,0)),"no")</f>
        <v/>
      </c>
      <c r="R7" s="2">
        <f>IF(AND(Q7="yes",OR(N7="EXACT",N7="CLOSE"),ISNUMBER(M7)),"yes","no")</f>
        <v/>
      </c>
    </row>
    <row r="8">
      <c r="A8" s="2" t="n">
        <v>2</v>
      </c>
      <c r="B8" s="2" t="inlineStr">
        <is>
          <t>GN 1/2 polycarbonate container, 150 mm deep</t>
        </is>
      </c>
      <c r="C8" s="2" t="inlineStr">
        <is>
          <t>Gastro Novotný</t>
        </is>
      </c>
      <c r="D8" s="2" t="inlineStr">
        <is>
          <t>Gastronádoba PC 1/2 150</t>
        </is>
      </c>
      <c r="E8" s="2" t="inlineStr"/>
      <c r="F8" s="3" t="inlineStr">
        <is>
          <t>https://eshop.gastronovotny.cz/gastronadoba-pc-1-2-150--0835123/</t>
        </is>
      </c>
      <c r="G8" s="4" t="n">
        <v>270</v>
      </c>
      <c r="H8" s="2" t="inlineStr">
        <is>
          <t>CZK</t>
        </is>
      </c>
      <c r="I8" s="2" t="inlineStr">
        <is>
          <t>excl.</t>
        </is>
      </c>
      <c r="J8" s="5" t="n">
        <v>0.21</v>
      </c>
      <c r="K8" s="2" t="n">
        <v>1</v>
      </c>
      <c r="L8" s="2" t="inlineStr">
        <is>
          <t>per piece</t>
        </is>
      </c>
      <c r="M8" s="4">
        <f>IF(OR(G8="",J8="",K8=""),"",ROUND(IF(I8="incl.",G8/(1+J8),G8)/IF(L8="per pack",K8,1),2))</f>
        <v/>
      </c>
      <c r="N8" s="2" t="inlineStr">
        <is>
          <t>EXACT</t>
        </is>
      </c>
      <c r="O8" s="2" t="inlineStr">
        <is>
          <t>Code 0835123; 326.70 CZK incl. VAT; availability "Na dotaz"</t>
        </is>
      </c>
      <c r="P8" s="2" t="inlineStr">
        <is>
          <t>2026-09-30</t>
        </is>
      </c>
      <c r="Q8" s="2">
        <f>IFERROR(INDEX(Competitors!$N$2:$N$50,MATCH(C8,Competitors!$A$2:$A$50,0)),"no")</f>
        <v/>
      </c>
      <c r="R8" s="2">
        <f>IF(AND(Q8="yes",OR(N8="EXACT",N8="CLOSE"),ISNUMBER(M8)),"yes","no")</f>
        <v/>
      </c>
    </row>
    <row r="9">
      <c r="A9" s="2" t="n">
        <v>2</v>
      </c>
      <c r="B9" s="2" t="inlineStr">
        <is>
          <t>GN 1/2 polycarbonate container, 150 mm deep</t>
        </is>
      </c>
      <c r="C9" s="2" t="inlineStr">
        <is>
          <t>Gastromania</t>
        </is>
      </c>
      <c r="D9" s="2" t="inlineStr">
        <is>
          <t>Gastronádoba GN 1/2 polykarbonátová 150 mm | REDFOX, GNP-1/2-150</t>
        </is>
      </c>
      <c r="E9" s="2" t="inlineStr">
        <is>
          <t>Redfox</t>
        </is>
      </c>
      <c r="F9" s="3" t="inlineStr">
        <is>
          <t>https://www.gastromania.cz/kuchynsky-inventar/gastronadoba-gn-1-2-polykarbonatova-150-mm-redfox-gnp-1-2-150</t>
        </is>
      </c>
      <c r="G9" s="4" t="n">
        <v>239</v>
      </c>
      <c r="H9" s="2" t="inlineStr">
        <is>
          <t>CZK</t>
        </is>
      </c>
      <c r="I9" s="2" t="inlineStr">
        <is>
          <t>excl.</t>
        </is>
      </c>
      <c r="J9" s="5" t="n">
        <v>0.21</v>
      </c>
      <c r="K9" s="2" t="n">
        <v>1</v>
      </c>
      <c r="L9" s="2" t="inlineStr">
        <is>
          <t>per piece</t>
        </is>
      </c>
      <c r="M9" s="4">
        <f>IF(OR(G9="",J9="",K9=""),"",ROUND(IF(I9="incl.",G9/(1+J9),G9)/IF(L9="per pack",K9,1),2))</f>
        <v/>
      </c>
      <c r="N9" s="2" t="inlineStr">
        <is>
          <t>EXACT</t>
        </is>
      </c>
      <c r="O9" s="2" t="inlineStr">
        <is>
          <t>PC, 9.2 l; 289 CZK incl.; availability 5 days. (APS 82116 at 132 excl. is named polycarbonate but its parameters say polypropylene - conflicting, not used.)</t>
        </is>
      </c>
      <c r="P9" s="2" t="inlineStr">
        <is>
          <t>2026-09-30</t>
        </is>
      </c>
      <c r="Q9" s="2">
        <f>IFERROR(INDEX(Competitors!$N$2:$N$50,MATCH(C9,Competitors!$A$2:$A$50,0)),"no")</f>
        <v/>
      </c>
      <c r="R9" s="2">
        <f>IF(AND(Q9="yes",OR(N9="EXACT",N9="CLOSE"),ISNUMBER(M9)),"yes","no")</f>
        <v/>
      </c>
    </row>
    <row r="10">
      <c r="A10" s="2" t="n">
        <v>2</v>
      </c>
      <c r="B10" s="2" t="inlineStr">
        <is>
          <t>GN 1/2 polycarbonate container, 150 mm deep</t>
        </is>
      </c>
      <c r="C10" s="2" t="inlineStr">
        <is>
          <t>Gastrozone</t>
        </is>
      </c>
      <c r="D10" s="2" t="inlineStr">
        <is>
          <t>ARAVEN Gastronádoba GN 1/2, polykarbonát, Hloubka: 150 mm, Objem: 8 L</t>
        </is>
      </c>
      <c r="E10" s="2" t="inlineStr">
        <is>
          <t>Araven</t>
        </is>
      </c>
      <c r="F10" s="3" t="inlineStr">
        <is>
          <t>https://www.gastrozone.cz/araven-gn-nadoba-1-2-polykarbonat-hloubka-150-mm-objem-8-l.html</t>
        </is>
      </c>
      <c r="G10" s="4" t="n">
        <v>464</v>
      </c>
      <c r="H10" s="2" t="inlineStr">
        <is>
          <t>CZK</t>
        </is>
      </c>
      <c r="I10" s="2" t="inlineStr">
        <is>
          <t>incl.</t>
        </is>
      </c>
      <c r="J10" s="5" t="n">
        <v>0.21</v>
      </c>
      <c r="K10" s="2" t="n">
        <v>1</v>
      </c>
      <c r="L10" s="2" t="inlineStr">
        <is>
          <t>per piece</t>
        </is>
      </c>
      <c r="M10" s="4">
        <f>IF(OR(G10="",J10="",K10=""),"",ROUND(IF(I10="incl.",G10/(1+J10),G10)/IF(L10="per pack",K10,1),2))</f>
        <v/>
      </c>
      <c r="N10" s="2" t="inlineStr">
        <is>
          <t>EXACT</t>
        </is>
      </c>
      <c r="O10" s="2" t="inlineStr">
        <is>
          <t>383.47 CZK bez DPH; to order 3-5 weeks. In-stock alternative: Pujadas GN 1/2 PC 150 mm 630 CZK.</t>
        </is>
      </c>
      <c r="P10" s="2" t="inlineStr">
        <is>
          <t>2026-09-30</t>
        </is>
      </c>
      <c r="Q10" s="2">
        <f>IFERROR(INDEX(Competitors!$N$2:$N$50,MATCH(C10,Competitors!$A$2:$A$50,0)),"no")</f>
        <v/>
      </c>
      <c r="R10" s="2">
        <f>IF(AND(Q10="yes",OR(N10="EXACT",N10="CLOSE"),ISNUMBER(M10)),"yes","no")</f>
        <v/>
      </c>
    </row>
    <row r="11">
      <c r="A11" s="2" t="n">
        <v>2</v>
      </c>
      <c r="B11" s="2" t="inlineStr">
        <is>
          <t>GN 1/2 polycarbonate container, 150 mm deep</t>
        </is>
      </c>
      <c r="C11" s="2" t="inlineStr">
        <is>
          <t>TOMGAST</t>
        </is>
      </c>
      <c r="D11" s="2" t="inlineStr">
        <is>
          <t>Gastronádoba polykarbonátová GN 1/2 150 mm</t>
        </is>
      </c>
      <c r="E11" s="2" t="inlineStr">
        <is>
          <t>Cambro</t>
        </is>
      </c>
      <c r="F11" s="3" t="inlineStr">
        <is>
          <t>https://www.tomgast.cz/gastronadoba-polykarbonatova-gn-1-2-150-mm-2/</t>
        </is>
      </c>
      <c r="G11" s="4" t="n">
        <v>356</v>
      </c>
      <c r="H11" s="2" t="inlineStr">
        <is>
          <t>CZK</t>
        </is>
      </c>
      <c r="I11" s="2" t="inlineStr">
        <is>
          <t>incl.</t>
        </is>
      </c>
      <c r="J11" s="5" t="n">
        <v>0.21</v>
      </c>
      <c r="K11" s="2" t="n">
        <v>1</v>
      </c>
      <c r="L11" s="2" t="inlineStr">
        <is>
          <t>per piece</t>
        </is>
      </c>
      <c r="M11" s="4">
        <f>IF(OR(G11="",J11="",K11=""),"",ROUND(IF(I11="incl.",G11/(1+J11),G11)/IF(L11="per pack",K11,1),2))</f>
        <v/>
      </c>
      <c r="N11" s="2" t="inlineStr">
        <is>
          <t>EXACT</t>
        </is>
      </c>
      <c r="O11" s="2" t="inlineStr">
        <is>
          <t>Code R-M212150; 294 CZK bez DPH; in stock</t>
        </is>
      </c>
      <c r="P11" s="2" t="inlineStr">
        <is>
          <t>2026-09-30</t>
        </is>
      </c>
      <c r="Q11" s="2">
        <f>IFERROR(INDEX(Competitors!$N$2:$N$50,MATCH(C11,Competitors!$A$2:$A$50,0)),"no")</f>
        <v/>
      </c>
      <c r="R11" s="2">
        <f>IF(AND(Q11="yes",OR(N11="EXACT",N11="CLOSE"),ISNUMBER(M11)),"yes","no")</f>
        <v/>
      </c>
    </row>
    <row r="12">
      <c r="A12" s="2" t="n">
        <v>3</v>
      </c>
      <c r="B12" s="2" t="inlineStr">
        <is>
          <t>GN 1/3 polypropylene container, 100 mm deep</t>
        </is>
      </c>
      <c r="C12" s="2" t="inlineStr">
        <is>
          <t>GGM Gastro (CZ storefront)</t>
        </is>
      </c>
      <c r="D12" s="2" t="inlineStr">
        <is>
          <t>(12 ks) Gastronádoba polypropylen GN 1/3 - Mléčná - Výška: 100 mm</t>
        </is>
      </c>
      <c r="E12" s="2" t="inlineStr">
        <is>
          <t>GGM</t>
        </is>
      </c>
      <c r="F12" s="3" t="inlineStr">
        <is>
          <t>https://www.ggmgastro.com/cs-cz-czk/12-ks-gastronadoba-polypropylen-gn-1-3-mlecna-vyska-100-mm-gpp13100</t>
        </is>
      </c>
      <c r="G12" s="4" t="n">
        <v>973.3200000000001</v>
      </c>
      <c r="H12" s="2" t="inlineStr">
        <is>
          <t>CZK</t>
        </is>
      </c>
      <c r="I12" s="2" t="inlineStr">
        <is>
          <t>excl.</t>
        </is>
      </c>
      <c r="J12" s="5" t="n">
        <v>0.19</v>
      </c>
      <c r="K12" s="2" t="n">
        <v>12</v>
      </c>
      <c r="L12" s="2" t="inlineStr">
        <is>
          <t>per pack</t>
        </is>
      </c>
      <c r="M12" s="4">
        <f>IF(OR(G12="",J12="",K12=""),"",ROUND(IF(I12="incl.",G12/(1+J12),G12)/IF(L12="per pack",K12,1),2))</f>
        <v/>
      </c>
      <c r="N12" s="2" t="inlineStr">
        <is>
          <t>EXACT</t>
        </is>
      </c>
      <c r="O12" s="2" t="inlineStr">
        <is>
          <t>Net CZK price as displayed; page footnote: "* čistá cena | hrubá cena vč. 19% DPH" (German VAT 19% used on the CZ storefront). SKU GPP13100, pack of 12 (3.6 l); gross 1,158.25 CZK. A 6-pack SKU GPP13100#6 is listed at 4,040.03 CZK net (anomalous, ~8x the per-piece price) - not used.</t>
        </is>
      </c>
      <c r="P12" s="2" t="inlineStr">
        <is>
          <t>2026-09-30</t>
        </is>
      </c>
      <c r="Q12" s="2">
        <f>IFERROR(INDEX(Competitors!$N$2:$N$50,MATCH(C12,Competitors!$A$2:$A$50,0)),"no")</f>
        <v/>
      </c>
      <c r="R12" s="2">
        <f>IF(AND(Q12="yes",OR(N12="EXACT",N12="CLOSE"),ISNUMBER(M12)),"yes","no")</f>
        <v/>
      </c>
    </row>
    <row r="13">
      <c r="A13" s="2" t="n">
        <v>3</v>
      </c>
      <c r="B13" s="2" t="inlineStr">
        <is>
          <t>GN 1/3 polypropylene container, 100 mm deep</t>
        </is>
      </c>
      <c r="C13" s="2" t="inlineStr">
        <is>
          <t>Gastro Novotný</t>
        </is>
      </c>
      <c r="D13" s="2" t="inlineStr">
        <is>
          <t>Gastronádoba 1/3 100 polypropylen</t>
        </is>
      </c>
      <c r="E13" s="2" t="inlineStr"/>
      <c r="F13" s="3" t="inlineStr">
        <is>
          <t>https://eshop.gastronovotny.cz/gastronadoba-1-3-100-polypropylen-/</t>
        </is>
      </c>
      <c r="G13" s="4" t="n">
        <v>100</v>
      </c>
      <c r="H13" s="2" t="inlineStr">
        <is>
          <t>CZK</t>
        </is>
      </c>
      <c r="I13" s="2" t="inlineStr">
        <is>
          <t>excl.</t>
        </is>
      </c>
      <c r="J13" s="5" t="n">
        <v>0.21</v>
      </c>
      <c r="K13" s="2" t="n">
        <v>1</v>
      </c>
      <c r="L13" s="2" t="inlineStr">
        <is>
          <t>per piece</t>
        </is>
      </c>
      <c r="M13" s="4">
        <f>IF(OR(G13="",J13="",K13=""),"",ROUND(IF(I13="incl.",G13/(1+J13),G13)/IF(L13="per pack",K13,1),2))</f>
        <v/>
      </c>
      <c r="N13" s="2" t="inlineStr">
        <is>
          <t>EXACT</t>
        </is>
      </c>
      <c r="O13" s="2" t="inlineStr">
        <is>
          <t>Code 1814707-10; 325x180x100 mm, 3.6 l; 121 CZK incl. VAT; in stock</t>
        </is>
      </c>
      <c r="P13" s="2" t="inlineStr">
        <is>
          <t>2026-09-30</t>
        </is>
      </c>
      <c r="Q13" s="2">
        <f>IFERROR(INDEX(Competitors!$N$2:$N$50,MATCH(C13,Competitors!$A$2:$A$50,0)),"no")</f>
        <v/>
      </c>
      <c r="R13" s="2">
        <f>IF(AND(Q13="yes",OR(N13="EXACT",N13="CLOSE"),ISNUMBER(M13)),"yes","no")</f>
        <v/>
      </c>
    </row>
    <row r="14">
      <c r="A14" s="2" t="n">
        <v>3</v>
      </c>
      <c r="B14" s="2" t="inlineStr">
        <is>
          <t>GN 1/3 polypropylene container, 100 mm deep</t>
        </is>
      </c>
      <c r="C14" s="2" t="inlineStr">
        <is>
          <t>Gastromania</t>
        </is>
      </c>
      <c r="D14" s="2" t="inlineStr">
        <is>
          <t>Gastronádoba GN 1/3 - 100 polypropylenová | REDFOX, GNPP 1/3-100</t>
        </is>
      </c>
      <c r="E14" s="2" t="inlineStr">
        <is>
          <t>Redfox</t>
        </is>
      </c>
      <c r="F14" s="3" t="inlineStr">
        <is>
          <t>https://www.gastromania.cz/gastronadoby-polypropylenove/gastronadoba-gn-1-3-100-polypropylenova-redfox-gnpp-1-3-100</t>
        </is>
      </c>
      <c r="G14" s="4" t="n">
        <v>99</v>
      </c>
      <c r="H14" s="2" t="inlineStr">
        <is>
          <t>CZK</t>
        </is>
      </c>
      <c r="I14" s="2" t="inlineStr">
        <is>
          <t>excl.</t>
        </is>
      </c>
      <c r="J14" s="5" t="n">
        <v>0.21</v>
      </c>
      <c r="K14" s="2" t="n">
        <v>1</v>
      </c>
      <c r="L14" s="2" t="inlineStr">
        <is>
          <t>per piece</t>
        </is>
      </c>
      <c r="M14" s="4">
        <f>IF(OR(G14="",J14="",K14=""),"",ROUND(IF(I14="incl.",G14/(1+J14),G14)/IF(L14="per pack",K14,1),2))</f>
        <v/>
      </c>
      <c r="N14" s="2" t="inlineStr">
        <is>
          <t>EXACT</t>
        </is>
      </c>
      <c r="O14" s="2" t="inlineStr">
        <is>
          <t>PP, 4 l; 120 CZK incl.; availability 5 days; new item.</t>
        </is>
      </c>
      <c r="P14" s="2" t="inlineStr">
        <is>
          <t>2026-09-30</t>
        </is>
      </c>
      <c r="Q14" s="2">
        <f>IFERROR(INDEX(Competitors!$N$2:$N$50,MATCH(C14,Competitors!$A$2:$A$50,0)),"no")</f>
        <v/>
      </c>
      <c r="R14" s="2">
        <f>IF(AND(Q14="yes",OR(N14="EXACT",N14="CLOSE"),ISNUMBER(M14)),"yes","no")</f>
        <v/>
      </c>
    </row>
    <row r="15">
      <c r="A15" s="2" t="n">
        <v>3</v>
      </c>
      <c r="B15" s="2" t="inlineStr">
        <is>
          <t>GN 1/3 polypropylene container, 100 mm deep</t>
        </is>
      </c>
      <c r="C15" s="2" t="inlineStr">
        <is>
          <t>Gastrozone</t>
        </is>
      </c>
      <c r="D15" s="2" t="inlineStr">
        <is>
          <t>APS GN-nádoba polypropylen, GN 1/3, objem: 3,60 litru, hloubka: 100 mm</t>
        </is>
      </c>
      <c r="E15" s="2" t="inlineStr">
        <is>
          <t>APS</t>
        </is>
      </c>
      <c r="F15" s="3" t="inlineStr">
        <is>
          <t>https://www.gastrozone.cz/aps-gn-nadoba-z-polypropylenu-gn-1-3-objem-3-60-litru-hloubka-100-mm.html</t>
        </is>
      </c>
      <c r="G15" s="4" t="n">
        <v>180</v>
      </c>
      <c r="H15" s="2" t="inlineStr">
        <is>
          <t>CZK</t>
        </is>
      </c>
      <c r="I15" s="2" t="inlineStr">
        <is>
          <t>incl.</t>
        </is>
      </c>
      <c r="J15" s="5" t="n">
        <v>0.21</v>
      </c>
      <c r="K15" s="2" t="n">
        <v>1</v>
      </c>
      <c r="L15" s="2" t="inlineStr">
        <is>
          <t>per piece</t>
        </is>
      </c>
      <c r="M15" s="4">
        <f>IF(OR(G15="",J15="",K15=""),"",ROUND(IF(I15="incl.",G15/(1+J15),G15)/IF(L15="per pack",K15,1),2))</f>
        <v/>
      </c>
      <c r="N15" s="2" t="inlineStr">
        <is>
          <t>EXACT</t>
        </is>
      </c>
      <c r="O15" s="2" t="inlineStr">
        <is>
          <t>148.76 CZK bez DPH; to order 3-5 weeks. In-stock alternative: Pujadas GN 1/3 PP 100 mm 196 CZK.</t>
        </is>
      </c>
      <c r="P15" s="2" t="inlineStr">
        <is>
          <t>2026-09-30</t>
        </is>
      </c>
      <c r="Q15" s="2">
        <f>IFERROR(INDEX(Competitors!$N$2:$N$50,MATCH(C15,Competitors!$A$2:$A$50,0)),"no")</f>
        <v/>
      </c>
      <c r="R15" s="2">
        <f>IF(AND(Q15="yes",OR(N15="EXACT",N15="CLOSE"),ISNUMBER(M15)),"yes","no")</f>
        <v/>
      </c>
    </row>
    <row r="16">
      <c r="A16" s="2" t="n">
        <v>3</v>
      </c>
      <c r="B16" s="2" t="inlineStr">
        <is>
          <t>GN 1/3 polypropylene container, 100 mm deep</t>
        </is>
      </c>
      <c r="C16" s="2" t="inlineStr">
        <is>
          <t>TOMGAST</t>
        </is>
      </c>
      <c r="D16" s="2" t="inlineStr">
        <is>
          <t>Gastronádoba polypropylenová GN 1/3 100 mm</t>
        </is>
      </c>
      <c r="E16" s="2" t="inlineStr">
        <is>
          <t>Cambro</t>
        </is>
      </c>
      <c r="F16" s="3" t="inlineStr">
        <is>
          <t>https://www.tomgast.cz/gastronadoba-polypropylenova-gn-1-3-100-mm-2/</t>
        </is>
      </c>
      <c r="G16" s="4" t="n">
        <v>143</v>
      </c>
      <c r="H16" s="2" t="inlineStr">
        <is>
          <t>CZK</t>
        </is>
      </c>
      <c r="I16" s="2" t="inlineStr">
        <is>
          <t>incl.</t>
        </is>
      </c>
      <c r="J16" s="5" t="n">
        <v>0.21</v>
      </c>
      <c r="K16" s="2" t="n">
        <v>1</v>
      </c>
      <c r="L16" s="2" t="inlineStr">
        <is>
          <t>per piece</t>
        </is>
      </c>
      <c r="M16" s="4">
        <f>IF(OR(G16="",J16="",K16=""),"",ROUND(IF(I16="incl.",G16/(1+J16),G16)/IF(L16="per pack",K16,1),2))</f>
        <v/>
      </c>
      <c r="N16" s="2" t="inlineStr">
        <is>
          <t>EXACT</t>
        </is>
      </c>
      <c r="O16" s="2" t="inlineStr">
        <is>
          <t>Code R-MP13100; 118 CZK bez DPH; in stock</t>
        </is>
      </c>
      <c r="P16" s="2" t="inlineStr">
        <is>
          <t>2026-09-30</t>
        </is>
      </c>
      <c r="Q16" s="2">
        <f>IFERROR(INDEX(Competitors!$N$2:$N$50,MATCH(C16,Competitors!$A$2:$A$50,0)),"no")</f>
        <v/>
      </c>
      <c r="R16" s="2">
        <f>IF(AND(Q16="yes",OR(N16="EXACT",N16="CLOSE"),ISNUMBER(M16)),"yes","no")</f>
        <v/>
      </c>
    </row>
    <row r="17">
      <c r="A17" s="2" t="n">
        <v>4</v>
      </c>
      <c r="B17" s="2" t="inlineStr">
        <is>
          <t>GN 1/1 polypropylene lid</t>
        </is>
      </c>
      <c r="C17" s="2" t="inlineStr">
        <is>
          <t>GGM Gastro (CZ storefront)</t>
        </is>
      </c>
      <c r="D17" s="2" t="inlineStr">
        <is>
          <t>(6 kusů) CAMBRO SafeTrak - Polypropylenové víko GN 1/1 - červené</t>
        </is>
      </c>
      <c r="E17" s="2" t="inlineStr">
        <is>
          <t>Cambro</t>
        </is>
      </c>
      <c r="F17" s="3" t="inlineStr">
        <is>
          <t>https://www.ggmgastro.com/cs-cz-czk/6-kusu-cambro-safetrak-polypropylenove-viko-gn-1-1-cervene-10ppcwsc544</t>
        </is>
      </c>
      <c r="G17" s="4" t="n">
        <v>802.9400000000001</v>
      </c>
      <c r="H17" s="2" t="inlineStr">
        <is>
          <t>CZK</t>
        </is>
      </c>
      <c r="I17" s="2" t="inlineStr">
        <is>
          <t>excl.</t>
        </is>
      </c>
      <c r="J17" s="5" t="n">
        <v>0.19</v>
      </c>
      <c r="K17" s="2" t="n">
        <v>6</v>
      </c>
      <c r="L17" s="2" t="inlineStr">
        <is>
          <t>per pack</t>
        </is>
      </c>
      <c r="M17" s="4">
        <f>IF(OR(G17="",J17="",K17=""),"",ROUND(IF(I17="incl.",G17/(1+J17),G17)/IF(L17="per pack",K17,1),2))</f>
        <v/>
      </c>
      <c r="N17" s="2" t="inlineStr">
        <is>
          <t>EXACT</t>
        </is>
      </c>
      <c r="O17" s="2" t="inlineStr">
        <is>
          <t>Net CZK price as displayed; page footnote: "* čistá cena | hrubá cena vč. 19% DPH" (German VAT 19% used on the CZ storefront). SKU 10PPCWSC544, PP, pack of 6; gross 955.50 CZK; in stock. GGM own-brand PP lid GPPL11-12 (717.76 CZK) has conflicting pack size (title 12 pcs, specs 6 pcs) and is available only from 19.10.2026 - not used.</t>
        </is>
      </c>
      <c r="P17" s="2" t="inlineStr">
        <is>
          <t>2026-09-30</t>
        </is>
      </c>
      <c r="Q17" s="2">
        <f>IFERROR(INDEX(Competitors!$N$2:$N$50,MATCH(C17,Competitors!$A$2:$A$50,0)),"no")</f>
        <v/>
      </c>
      <c r="R17" s="2">
        <f>IF(AND(Q17="yes",OR(N17="EXACT",N17="CLOSE"),ISNUMBER(M17)),"yes","no")</f>
        <v/>
      </c>
    </row>
    <row r="18">
      <c r="A18" s="2" t="n">
        <v>4</v>
      </c>
      <c r="B18" s="2" t="inlineStr">
        <is>
          <t>GN 1/1 polypropylene lid</t>
        </is>
      </c>
      <c r="C18" s="2" t="inlineStr">
        <is>
          <t>Gastro Novotný</t>
        </is>
      </c>
      <c r="D18" s="2" t="inlineStr">
        <is>
          <t>Víko 1/1 polypropylen barevné</t>
        </is>
      </c>
      <c r="E18" s="2" t="inlineStr"/>
      <c r="F18" s="3" t="inlineStr">
        <is>
          <t>https://eshop.gastronovotny.cz/viko-1-1-polypropylen-barevne--1814722-11/</t>
        </is>
      </c>
      <c r="G18" s="4" t="n">
        <v>105</v>
      </c>
      <c r="H18" s="2" t="inlineStr">
        <is>
          <t>CZK</t>
        </is>
      </c>
      <c r="I18" s="2" t="inlineStr">
        <is>
          <t>excl.</t>
        </is>
      </c>
      <c r="J18" s="5" t="n">
        <v>0.21</v>
      </c>
      <c r="K18" s="2" t="n">
        <v>1</v>
      </c>
      <c r="L18" s="2" t="inlineStr">
        <is>
          <t>per piece</t>
        </is>
      </c>
      <c r="M18" s="4">
        <f>IF(OR(G18="",J18="",K18=""),"",ROUND(IF(I18="incl.",G18/(1+J18),G18)/IF(L18="per pack",K18,1),2))</f>
        <v/>
      </c>
      <c r="N18" s="2" t="inlineStr">
        <is>
          <t>EXACT</t>
        </is>
      </c>
      <c r="O18" s="2" t="inlineStr">
        <is>
          <t>Code 1814722-11; PP lid 530x325 mm, coloured; 127.05 CZK incl. VAT. Alternative: Víko 1/1 polypropylen PIAZZA 119.01 CZK excl.</t>
        </is>
      </c>
      <c r="P18" s="2" t="inlineStr">
        <is>
          <t>2026-09-30</t>
        </is>
      </c>
      <c r="Q18" s="2">
        <f>IFERROR(INDEX(Competitors!$N$2:$N$50,MATCH(C18,Competitors!$A$2:$A$50,0)),"no")</f>
        <v/>
      </c>
      <c r="R18" s="2">
        <f>IF(AND(Q18="yes",OR(N18="EXACT",N18="CLOSE"),ISNUMBER(M18)),"yes","no")</f>
        <v/>
      </c>
    </row>
    <row r="19">
      <c r="A19" s="2" t="n">
        <v>4</v>
      </c>
      <c r="B19" s="2" t="inlineStr">
        <is>
          <t>GN 1/1 polypropylene lid</t>
        </is>
      </c>
      <c r="C19" s="2" t="inlineStr">
        <is>
          <t>Gastromania</t>
        </is>
      </c>
      <c r="D19" s="2" t="inlineStr">
        <is>
          <t>Víko na nádobu GN 1/1 | APS, 82101</t>
        </is>
      </c>
      <c r="E19" s="2" t="inlineStr">
        <is>
          <t>APS</t>
        </is>
      </c>
      <c r="F19" s="3" t="inlineStr">
        <is>
          <t>https://www.gastromania.cz/vika-gn-polypropylenove/viko-na-nadobu-gn-1-1-aps-82101</t>
        </is>
      </c>
      <c r="G19" s="4" t="n">
        <v>97</v>
      </c>
      <c r="H19" s="2" t="inlineStr">
        <is>
          <t>CZK</t>
        </is>
      </c>
      <c r="I19" s="2" t="inlineStr">
        <is>
          <t>excl.</t>
        </is>
      </c>
      <c r="J19" s="5" t="n">
        <v>0.21</v>
      </c>
      <c r="K19" s="2" t="n">
        <v>1</v>
      </c>
      <c r="L19" s="2" t="inlineStr">
        <is>
          <t>per piece</t>
        </is>
      </c>
      <c r="M19" s="4">
        <f>IF(OR(G19="",J19="",K19=""),"",ROUND(IF(I19="incl.",G19/(1+J19),G19)/IF(L19="per pack",K19,1),2))</f>
        <v/>
      </c>
      <c r="N19" s="2" t="inlineStr">
        <is>
          <t>EXACT</t>
        </is>
      </c>
      <c r="O19" s="2" t="inlineStr">
        <is>
          <t>PP lid 530x325; 117 CZK incl. Discounted from 190 excl. / 230 incl. (30-day low 207); availability 21 days. Regular-priced alternative: Redfox VPP 1/1 99 excl. / 120 incl.</t>
        </is>
      </c>
      <c r="P19" s="2" t="inlineStr">
        <is>
          <t>2026-09-30</t>
        </is>
      </c>
      <c r="Q19" s="2">
        <f>IFERROR(INDEX(Competitors!$N$2:$N$50,MATCH(C19,Competitors!$A$2:$A$50,0)),"no")</f>
        <v/>
      </c>
      <c r="R19" s="2">
        <f>IF(AND(Q19="yes",OR(N19="EXACT",N19="CLOSE"),ISNUMBER(M19)),"yes","no")</f>
        <v/>
      </c>
    </row>
    <row r="20">
      <c r="A20" s="2" t="n">
        <v>4</v>
      </c>
      <c r="B20" s="2" t="inlineStr">
        <is>
          <t>GN 1/1 polypropylene lid</t>
        </is>
      </c>
      <c r="C20" s="2" t="inlineStr">
        <is>
          <t>Gastrozone</t>
        </is>
      </c>
      <c r="D20" s="2" t="inlineStr">
        <is>
          <t>víko na gastronádobu GN 1/1 polypropylen Pujadas</t>
        </is>
      </c>
      <c r="E20" s="2" t="inlineStr">
        <is>
          <t>Vollrath Pujadas</t>
        </is>
      </c>
      <c r="F20" s="3" t="inlineStr">
        <is>
          <t>https://www.gastrozone.cz/viko-na-gastronadobu-gn-1-1-polypropylen-pujadas.html</t>
        </is>
      </c>
      <c r="G20" s="4" t="n">
        <v>350</v>
      </c>
      <c r="H20" s="2" t="inlineStr">
        <is>
          <t>CZK</t>
        </is>
      </c>
      <c r="I20" s="2" t="inlineStr">
        <is>
          <t>incl.</t>
        </is>
      </c>
      <c r="J20" s="5" t="n">
        <v>0.21</v>
      </c>
      <c r="K20" s="2" t="n">
        <v>1</v>
      </c>
      <c r="L20" s="2" t="inlineStr">
        <is>
          <t>per piece</t>
        </is>
      </c>
      <c r="M20" s="4">
        <f>IF(OR(G20="",J20="",K20=""),"",ROUND(IF(I20="incl.",G20/(1+J20),G20)/IF(L20="per pack",K20,1),2))</f>
        <v/>
      </c>
      <c r="N20" s="2" t="inlineStr">
        <is>
          <t>EXACT</t>
        </is>
      </c>
      <c r="O20" s="2" t="inlineStr">
        <is>
          <t>289.26 CZK bez DPH; in stock</t>
        </is>
      </c>
      <c r="P20" s="2" t="inlineStr">
        <is>
          <t>2026-09-30</t>
        </is>
      </c>
      <c r="Q20" s="2">
        <f>IFERROR(INDEX(Competitors!$N$2:$N$50,MATCH(C20,Competitors!$A$2:$A$50,0)),"no")</f>
        <v/>
      </c>
      <c r="R20" s="2">
        <f>IF(AND(Q20="yes",OR(N20="EXACT",N20="CLOSE"),ISNUMBER(M20)),"yes","no")</f>
        <v/>
      </c>
    </row>
    <row r="21">
      <c r="A21" s="2" t="n">
        <v>4</v>
      </c>
      <c r="B21" s="2" t="inlineStr">
        <is>
          <t>GN 1/1 polypropylene lid</t>
        </is>
      </c>
      <c r="C21" s="2" t="inlineStr">
        <is>
          <t>TOMGAST</t>
        </is>
      </c>
      <c r="D21" s="2" t="inlineStr">
        <is>
          <t>Těsnící víko pro gastronádobu GN 1/1</t>
        </is>
      </c>
      <c r="E21" s="2" t="inlineStr">
        <is>
          <t>Cambro</t>
        </is>
      </c>
      <c r="F21" s="3" t="inlineStr">
        <is>
          <t>https://www.tomgast.cz/tesnici-viko-pro-gastronadobu-gn-1-1/</t>
        </is>
      </c>
      <c r="G21" s="4" t="n">
        <v>204</v>
      </c>
      <c r="H21" s="2" t="inlineStr">
        <is>
          <t>CZK</t>
        </is>
      </c>
      <c r="I21" s="2" t="inlineStr">
        <is>
          <t>incl.</t>
        </is>
      </c>
      <c r="J21" s="5" t="n">
        <v>0.21</v>
      </c>
      <c r="K21" s="2" t="n">
        <v>1</v>
      </c>
      <c r="L21" s="2" t="inlineStr">
        <is>
          <t>per piece</t>
        </is>
      </c>
      <c r="M21" s="4">
        <f>IF(OR(G21="",J21="",K21=""),"",ROUND(IF(I21="incl.",G21/(1+J21),G21)/IF(L21="per pack",K21,1),2))</f>
        <v/>
      </c>
      <c r="N21" s="2" t="inlineStr">
        <is>
          <t>CLOSE</t>
        </is>
      </c>
      <c r="O21" s="2" t="inlineStr">
        <is>
          <t>Code R-MP11001 (seal cover for PC and PP containers). Product page states material "polykarbonát", not polypropylene - material differs/unclear. Page text "Cena uvedena za 1 kus/6 ks v balení": price read as per piece. 169 CZK bez DPH. No PP GN 1/1 lid found.</t>
        </is>
      </c>
      <c r="P21" s="2" t="inlineStr">
        <is>
          <t>2026-09-30</t>
        </is>
      </c>
      <c r="Q21" s="2">
        <f>IFERROR(INDEX(Competitors!$N$2:$N$50,MATCH(C21,Competitors!$A$2:$A$50,0)),"no")</f>
        <v/>
      </c>
      <c r="R21" s="2">
        <f>IF(AND(Q21="yes",OR(N21="EXACT",N21="CLOSE"),ISNUMBER(M21)),"yes","no")</f>
        <v/>
      </c>
    </row>
    <row r="22">
      <c r="A22" s="2" t="n">
        <v>5</v>
      </c>
      <c r="B22" s="2" t="inlineStr">
        <is>
          <t>Squeeze bottle 500 ml, polypropylene, single tip</t>
        </is>
      </c>
      <c r="C22" s="2" t="inlineStr">
        <is>
          <t>GGM Gastro (CZ storefront)</t>
        </is>
      </c>
      <c r="D22" s="2" t="inlineStr">
        <is>
          <t>(12 ks) Stlačovací lahev na omáčky se středovou membránou - 473 ml</t>
        </is>
      </c>
      <c r="E22" s="2" t="inlineStr">
        <is>
          <t>GGM</t>
        </is>
      </c>
      <c r="F22" s="3" t="inlineStr">
        <is>
          <t>https://www.ggmgastro.com/cs-cz-czk/12-ks-stlacovaci-lahev-na-omacky-se-stredovou-membranou-473-ml-ffo-002</t>
        </is>
      </c>
      <c r="G22" s="4" t="n">
        <v>1241.05</v>
      </c>
      <c r="H22" s="2" t="inlineStr">
        <is>
          <t>CZK</t>
        </is>
      </c>
      <c r="I22" s="2" t="inlineStr">
        <is>
          <t>excl.</t>
        </is>
      </c>
      <c r="J22" s="5" t="n">
        <v>0.19</v>
      </c>
      <c r="K22" s="2" t="n">
        <v>12</v>
      </c>
      <c r="L22" s="2" t="inlineStr">
        <is>
          <t>per pack</t>
        </is>
      </c>
      <c r="M22" s="4">
        <f>IF(OR(G22="",J22="",K22=""),"",ROUND(IF(I22="incl.",G22/(1+J22),G22)/IF(L22="per pack",K22,1),2))</f>
        <v/>
      </c>
      <c r="N22" s="2" t="inlineStr">
        <is>
          <t>CLOSE</t>
        </is>
      </c>
      <c r="O22" s="2" t="inlineStr">
        <is>
          <t>Net CZK price as displayed; page footnote: "* čistá cena | hrubá cena vč. 19% DPH" (German VAT 19% used on the CZ storefront). SKU FFO-002, 473 ml, pack of 12, valve (membrane) nozzle; material NOT stated (flagged). Gross 1,476.85 CZK. 3-pack version with screw cap FFO-007: 486.54 CZK.</t>
        </is>
      </c>
      <c r="P22" s="2" t="inlineStr">
        <is>
          <t>2026-09-30</t>
        </is>
      </c>
      <c r="Q22" s="2">
        <f>IFERROR(INDEX(Competitors!$N$2:$N$50,MATCH(C22,Competitors!$A$2:$A$50,0)),"no")</f>
        <v/>
      </c>
      <c r="R22" s="2">
        <f>IF(AND(Q22="yes",OR(N22="EXACT",N22="CLOSE"),ISNUMBER(M22)),"yes","no")</f>
        <v/>
      </c>
    </row>
    <row r="23">
      <c r="A23" s="2" t="n">
        <v>5</v>
      </c>
      <c r="B23" s="2" t="inlineStr">
        <is>
          <t>Squeeze bottle 500 ml, polypropylene, single tip</t>
        </is>
      </c>
      <c r="C23" s="2" t="inlineStr">
        <is>
          <t>Gastro Novotný</t>
        </is>
      </c>
      <c r="D23" s="2" t="inlineStr">
        <is>
          <t>Láhev plastová dávkovací čirá 354ml</t>
        </is>
      </c>
      <c r="E23" s="2" t="inlineStr"/>
      <c r="F23" s="3" t="inlineStr">
        <is>
          <t>https://eshop.gastronovotny.cz/lahev-plastova-davkovaci-cira-354ml--255046026/</t>
        </is>
      </c>
      <c r="G23" s="4" t="n">
        <v>29</v>
      </c>
      <c r="H23" s="2" t="inlineStr">
        <is>
          <t>CZK</t>
        </is>
      </c>
      <c r="I23" s="2" t="inlineStr">
        <is>
          <t>excl.</t>
        </is>
      </c>
      <c r="J23" s="5" t="n">
        <v>0.21</v>
      </c>
      <c r="K23" s="2" t="n">
        <v>1</v>
      </c>
      <c r="L23" s="2" t="inlineStr">
        <is>
          <t>per piece</t>
        </is>
      </c>
      <c r="M23" s="4">
        <f>IF(OR(G23="",J23="",K23=""),"",ROUND(IF(I23="incl.",G23/(1+J23),G23)/IF(L23="per pack",K23,1),2))</f>
        <v/>
      </c>
      <c r="N23" s="2" t="inlineStr">
        <is>
          <t>APPROX</t>
        </is>
      </c>
      <c r="O23" s="2" t="inlineStr">
        <is>
          <t>354 ml instead of 500 ml; plastic type not stated. 35.09 CZK incl. VAT. Red variant same price. Largest squeeze bottle is a 708 ml "zdobící" (decorating) bottle, 39 CZK excl.</t>
        </is>
      </c>
      <c r="P23" s="2" t="inlineStr">
        <is>
          <t>2026-09-30</t>
        </is>
      </c>
      <c r="Q23" s="2">
        <f>IFERROR(INDEX(Competitors!$N$2:$N$50,MATCH(C23,Competitors!$A$2:$A$50,0)),"no")</f>
        <v/>
      </c>
      <c r="R23" s="2">
        <f>IF(AND(Q23="yes",OR(N23="EXACT",N23="CLOSE"),ISNUMBER(M23)),"yes","no")</f>
        <v/>
      </c>
    </row>
    <row r="24">
      <c r="A24" s="2" t="n">
        <v>5</v>
      </c>
      <c r="B24" s="2" t="inlineStr">
        <is>
          <t>Squeeze bottle 500 ml, polypropylene, single tip</t>
        </is>
      </c>
      <c r="C24" s="2" t="inlineStr">
        <is>
          <t>Gastromania</t>
        </is>
      </c>
      <c r="D24" s="2" t="inlineStr">
        <is>
          <t>Láhev na omáčky, 0,475 ml | NEUMARKER, FIFO</t>
        </is>
      </c>
      <c r="E24" s="2" t="inlineStr">
        <is>
          <t>Neumarker</t>
        </is>
      </c>
      <c r="F24" s="3" t="inlineStr">
        <is>
          <t>https://www.gastromania.cz/davkovace-omacek/lahev-na-omacky-0-475-ml-neumarker-fifo</t>
        </is>
      </c>
      <c r="G24" s="4" t="n">
        <v>352</v>
      </c>
      <c r="H24" s="2" t="inlineStr">
        <is>
          <t>CZK</t>
        </is>
      </c>
      <c r="I24" s="2" t="inlineStr">
        <is>
          <t>excl.</t>
        </is>
      </c>
      <c r="J24" s="5" t="n">
        <v>0.21</v>
      </c>
      <c r="K24" s="2" t="n">
        <v>1</v>
      </c>
      <c r="L24" s="2" t="inlineStr">
        <is>
          <t>per piece</t>
        </is>
      </c>
      <c r="M24" s="4">
        <f>IF(OR(G24="",J24="",K24=""),"",ROUND(IF(I24="incl.",G24/(1+J24),G24)/IF(L24="per pack",K24,1),2))</f>
        <v/>
      </c>
      <c r="N24" s="2" t="inlineStr">
        <is>
          <t>CLOSE</t>
        </is>
      </c>
      <c r="O24" s="2" t="inlineStr">
        <is>
          <t>475 ml FIFO squeeze bottle (refilled from the bottom); material NOT stated (flagged). 425 CZK incl.; discounted from 370 excl.; availability 40 days. Standard PE bottles only in 350/400/700 ml (e.g. Tomgast 400 ml PE 48 excl.).</t>
        </is>
      </c>
      <c r="P24" s="2" t="inlineStr">
        <is>
          <t>2026-09-30</t>
        </is>
      </c>
      <c r="Q24" s="2">
        <f>IFERROR(INDEX(Competitors!$N$2:$N$50,MATCH(C24,Competitors!$A$2:$A$50,0)),"no")</f>
        <v/>
      </c>
      <c r="R24" s="2">
        <f>IF(AND(Q24="yes",OR(N24="EXACT",N24="CLOSE"),ISNUMBER(M24)),"yes","no")</f>
        <v/>
      </c>
    </row>
    <row r="25">
      <c r="A25" s="2" t="n">
        <v>5</v>
      </c>
      <c r="B25" s="2" t="inlineStr">
        <is>
          <t>Squeeze bottle 500 ml, polypropylene, single tip</t>
        </is>
      </c>
      <c r="C25" s="2" t="inlineStr">
        <is>
          <t>Gastrozone</t>
        </is>
      </c>
      <c r="D25" s="2" t="inlineStr">
        <is>
          <t>Dávkovací mačkací láhev Schneider 500 ml</t>
        </is>
      </c>
      <c r="E25" s="2" t="inlineStr">
        <is>
          <t>Schneider</t>
        </is>
      </c>
      <c r="F25" s="3" t="inlineStr">
        <is>
          <t>https://www.gastrozone.cz/lahev-mackaci-s-uzaviranim-0-5-l-odolna-od-40c-do-95c-transparentni-pro-styk-s-potravinama-schneider-10134.html</t>
        </is>
      </c>
      <c r="G25" s="4" t="n">
        <v>313</v>
      </c>
      <c r="H25" s="2" t="inlineStr">
        <is>
          <t>CZK</t>
        </is>
      </c>
      <c r="I25" s="2" t="inlineStr">
        <is>
          <t>incl.</t>
        </is>
      </c>
      <c r="J25" s="5" t="n">
        <v>0.21</v>
      </c>
      <c r="K25" s="2" t="n">
        <v>1</v>
      </c>
      <c r="L25" s="2" t="inlineStr">
        <is>
          <t>per piece</t>
        </is>
      </c>
      <c r="M25" s="4">
        <f>IF(OR(G25="",J25="",K25=""),"",ROUND(IF(I25="incl.",G25/(1+J25),G25)/IF(L25="per pack",K25,1),2))</f>
        <v/>
      </c>
      <c r="N25" s="2" t="inlineStr">
        <is>
          <t>CLOSE</t>
        </is>
      </c>
      <c r="O25" s="2" t="inlineStr">
        <is>
          <t>500 ml, single nozzle with closure; material polyethylene (not PP). 259 CZK bez DPH. Cheaper non-500 ml options exist (Hendi 0.35/0.7 l from 67 CZK).</t>
        </is>
      </c>
      <c r="P25" s="2" t="inlineStr">
        <is>
          <t>2026-09-30</t>
        </is>
      </c>
      <c r="Q25" s="2">
        <f>IFERROR(INDEX(Competitors!$N$2:$N$50,MATCH(C25,Competitors!$A$2:$A$50,0)),"no")</f>
        <v/>
      </c>
      <c r="R25" s="2">
        <f>IF(AND(Q25="yes",OR(N25="EXACT",N25="CLOSE"),ISNUMBER(M25)),"yes","no")</f>
        <v/>
      </c>
    </row>
    <row r="26">
      <c r="A26" s="2" t="n">
        <v>5</v>
      </c>
      <c r="B26" s="2" t="inlineStr">
        <is>
          <t>Squeeze bottle 500 ml, polypropylene, single tip</t>
        </is>
      </c>
      <c r="C26" s="2" t="inlineStr">
        <is>
          <t>TOMGAST</t>
        </is>
      </c>
      <c r="D26" s="2" t="inlineStr">
        <is>
          <t>Dávkovač na omáčky 400 ml</t>
        </is>
      </c>
      <c r="E26" s="2" t="inlineStr">
        <is>
          <t>Laco</t>
        </is>
      </c>
      <c r="F26" s="3" t="inlineStr">
        <is>
          <t>https://www.tomgast.cz/davkovac-na-omacky-400-ml/</t>
        </is>
      </c>
      <c r="G26" s="4" t="n">
        <v>58</v>
      </c>
      <c r="H26" s="2" t="inlineStr">
        <is>
          <t>CZK</t>
        </is>
      </c>
      <c r="I26" s="2" t="inlineStr">
        <is>
          <t>incl.</t>
        </is>
      </c>
      <c r="J26" s="5" t="n">
        <v>0.21</v>
      </c>
      <c r="K26" s="2" t="n">
        <v>1</v>
      </c>
      <c r="L26" s="2" t="inlineStr">
        <is>
          <t>per piece</t>
        </is>
      </c>
      <c r="M26" s="4">
        <f>IF(OR(G26="",J26="",K26=""),"",ROUND(IF(I26="incl.",G26/(1+J26),G26)/IF(L26="per pack",K26,1),2))</f>
        <v/>
      </c>
      <c r="N26" s="2" t="inlineStr">
        <is>
          <t>APPROX</t>
        </is>
      </c>
      <c r="O26" s="2" t="inlineStr">
        <is>
          <t>400 ml instead of 500 ml AND polyethylene instead of PP. 48 CZK bez DPH. No 500 ml bottle listed (sizes 250/360/400/700/720/1025 ml).</t>
        </is>
      </c>
      <c r="P26" s="2" t="inlineStr">
        <is>
          <t>2026-09-30</t>
        </is>
      </c>
      <c r="Q26" s="2">
        <f>IFERROR(INDEX(Competitors!$N$2:$N$50,MATCH(C26,Competitors!$A$2:$A$50,0)),"no")</f>
        <v/>
      </c>
      <c r="R26" s="2">
        <f>IF(AND(Q26="yes",OR(N26="EXACT",N26="CLOSE"),ISNUMBER(M26)),"yes","no")</f>
        <v/>
      </c>
    </row>
    <row r="27">
      <c r="A27" s="2" t="n">
        <v>6</v>
      </c>
      <c r="B27" s="2" t="inlineStr">
        <is>
          <t>Squeeze bottle 1000 ml, polypropylene, single tip</t>
        </is>
      </c>
      <c r="C27" s="2" t="inlineStr">
        <is>
          <t>GGM Gastro (CZ storefront)</t>
        </is>
      </c>
      <c r="D27" s="2" t="inlineStr">
        <is>
          <t>(6 ks) Stlačovací lahev na omáčky se středovou membránou - 946 ml - se šroubovacím uzávěrem a uzavírací čepičkou</t>
        </is>
      </c>
      <c r="E27" s="2" t="inlineStr">
        <is>
          <t>GGM</t>
        </is>
      </c>
      <c r="F27" s="3" t="inlineStr">
        <is>
          <t>https://www.ggmgastro.com/cs-cz-czk/6-ks-stlacovaci-lahev-na-omacky-se-stredovou-membranou-946-ml-se-sroubovacim-uzaverem-a-uzaviraci-cepickou-ffo-005</t>
        </is>
      </c>
      <c r="G27" s="4" t="n">
        <v>851.62</v>
      </c>
      <c r="H27" s="2" t="inlineStr">
        <is>
          <t>CZK</t>
        </is>
      </c>
      <c r="I27" s="2" t="inlineStr">
        <is>
          <t>excl.</t>
        </is>
      </c>
      <c r="J27" s="5" t="n">
        <v>0.19</v>
      </c>
      <c r="K27" s="2" t="n">
        <v>6</v>
      </c>
      <c r="L27" s="2" t="inlineStr">
        <is>
          <t>per pack</t>
        </is>
      </c>
      <c r="M27" s="4">
        <f>IF(OR(G27="",J27="",K27=""),"",ROUND(IF(I27="incl.",G27/(1+J27),G27)/IF(L27="per pack",K27,1),2))</f>
        <v/>
      </c>
      <c r="N27" s="2" t="inlineStr">
        <is>
          <t>CLOSE</t>
        </is>
      </c>
      <c r="O27" s="2" t="inlineStr">
        <is>
          <t>Net CZK price as displayed; page footnote: "* čistá cena | hrubá cena vč. 19% DPH" (German VAT 19% used on the CZ storefront). SKU FFO-005, 946 ml, pack of 6; material NOT stated (flagged). Gross 1,013.43 CZK. (APS 1,020 ml PE 6-pack 93259#6 shown as not available for the selected delivery country.)</t>
        </is>
      </c>
      <c r="P27" s="2" t="inlineStr">
        <is>
          <t>2026-09-30</t>
        </is>
      </c>
      <c r="Q27" s="2">
        <f>IFERROR(INDEX(Competitors!$N$2:$N$50,MATCH(C27,Competitors!$A$2:$A$50,0)),"no")</f>
        <v/>
      </c>
      <c r="R27" s="2">
        <f>IF(AND(Q27="yes",OR(N27="EXACT",N27="CLOSE"),ISNUMBER(M27)),"yes","no")</f>
        <v/>
      </c>
    </row>
    <row r="28">
      <c r="A28" s="2" t="n">
        <v>6</v>
      </c>
      <c r="B28" s="2" t="inlineStr">
        <is>
          <t>Squeeze bottle 1000 ml, polypropylene, single tip</t>
        </is>
      </c>
      <c r="C28" s="2" t="inlineStr">
        <is>
          <t>Gastromania</t>
        </is>
      </c>
      <c r="D28" s="2" t="inlineStr">
        <is>
          <t>Zásobník na omáčku 1,025 l, bílý | APS, 93259</t>
        </is>
      </c>
      <c r="E28" s="2" t="inlineStr">
        <is>
          <t>APS</t>
        </is>
      </c>
      <c r="F28" s="3" t="inlineStr">
        <is>
          <t>https://www.gastromania.cz/davkovace-omacek/zasobnik-na-omacku-1-025-l-bily-aps-93259</t>
        </is>
      </c>
      <c r="G28" s="4" t="n">
        <v>73</v>
      </c>
      <c r="H28" s="2" t="inlineStr">
        <is>
          <t>CZK</t>
        </is>
      </c>
      <c r="I28" s="2" t="inlineStr">
        <is>
          <t>excl.</t>
        </is>
      </c>
      <c r="J28" s="5" t="n">
        <v>0.21</v>
      </c>
      <c r="K28" s="2" t="n">
        <v>1</v>
      </c>
      <c r="L28" s="2" t="inlineStr">
        <is>
          <t>per piece</t>
        </is>
      </c>
      <c r="M28" s="4">
        <f>IF(OR(G28="",J28="",K28=""),"",ROUND(IF(I28="incl.",G28/(1+J28),G28)/IF(L28="per pack",K28,1),2))</f>
        <v/>
      </c>
      <c r="N28" s="2" t="inlineStr">
        <is>
          <t>CLOSE</t>
        </is>
      </c>
      <c r="O28" s="2" t="inlineStr">
        <is>
          <t>1.025 l squeeze bottle with screw cap; polyethylene, not PP. 88 CZK incl.; discounted from 77 excl.; in stock.</t>
        </is>
      </c>
      <c r="P28" s="2" t="inlineStr">
        <is>
          <t>2026-09-30</t>
        </is>
      </c>
      <c r="Q28" s="2">
        <f>IFERROR(INDEX(Competitors!$N$2:$N$50,MATCH(C28,Competitors!$A$2:$A$50,0)),"no")</f>
        <v/>
      </c>
      <c r="R28" s="2">
        <f>IF(AND(Q28="yes",OR(N28="EXACT",N28="CLOSE"),ISNUMBER(M28)),"yes","no")</f>
        <v/>
      </c>
    </row>
    <row r="29">
      <c r="A29" s="2" t="n">
        <v>6</v>
      </c>
      <c r="B29" s="2" t="inlineStr">
        <is>
          <t>Squeeze bottle 1000 ml, polypropylene, single tip</t>
        </is>
      </c>
      <c r="C29" s="2" t="inlineStr">
        <is>
          <t>Gastrozone</t>
        </is>
      </c>
      <c r="D29" s="2" t="inlineStr">
        <is>
          <t>Dávkovací mačkací láhev Schneider 1000 ml, transparentní</t>
        </is>
      </c>
      <c r="E29" s="2" t="inlineStr">
        <is>
          <t>Schneider</t>
        </is>
      </c>
      <c r="F29" s="3" t="inlineStr">
        <is>
          <t>https://www.gastrozone.cz/schneider-davkovaci-mackaci-lahev-1000-ml-transparentni.html</t>
        </is>
      </c>
      <c r="G29" s="4" t="n">
        <v>446</v>
      </c>
      <c r="H29" s="2" t="inlineStr">
        <is>
          <t>CZK</t>
        </is>
      </c>
      <c r="I29" s="2" t="inlineStr">
        <is>
          <t>incl.</t>
        </is>
      </c>
      <c r="J29" s="5" t="n">
        <v>0.21</v>
      </c>
      <c r="K29" s="2" t="n">
        <v>1</v>
      </c>
      <c r="L29" s="2" t="inlineStr">
        <is>
          <t>per piece</t>
        </is>
      </c>
      <c r="M29" s="4">
        <f>IF(OR(G29="",J29="",K29=""),"",ROUND(IF(I29="incl.",G29/(1+J29),G29)/IF(L29="per pack",K29,1),2))</f>
        <v/>
      </c>
      <c r="N29" s="2" t="inlineStr">
        <is>
          <t>CLOSE</t>
        </is>
      </c>
      <c r="O29" s="2" t="inlineStr">
        <is>
          <t>1000 ml; material polyethylene (not PP). 369 CZK bez DPH.</t>
        </is>
      </c>
      <c r="P29" s="2" t="inlineStr">
        <is>
          <t>2026-09-30</t>
        </is>
      </c>
      <c r="Q29" s="2">
        <f>IFERROR(INDEX(Competitors!$N$2:$N$50,MATCH(C29,Competitors!$A$2:$A$50,0)),"no")</f>
        <v/>
      </c>
      <c r="R29" s="2">
        <f>IF(AND(Q29="yes",OR(N29="EXACT",N29="CLOSE"),ISNUMBER(M29)),"yes","no")</f>
        <v/>
      </c>
    </row>
    <row r="30">
      <c r="A30" s="2" t="n">
        <v>6</v>
      </c>
      <c r="B30" s="2" t="inlineStr">
        <is>
          <t>Squeeze bottle 1000 ml, polypropylene, single tip</t>
        </is>
      </c>
      <c r="C30" s="2" t="inlineStr">
        <is>
          <t>TOMGAST</t>
        </is>
      </c>
      <c r="D30" s="2" t="inlineStr">
        <is>
          <t>Dávkovač na omáčky 1025 ml, žlutý</t>
        </is>
      </c>
      <c r="E30" s="2" t="inlineStr">
        <is>
          <t>TOMGAST</t>
        </is>
      </c>
      <c r="F30" s="3" t="inlineStr">
        <is>
          <t>https://www.tomgast.cz/davkovac-na-omacky-1025-ml--zluty/</t>
        </is>
      </c>
      <c r="G30" s="4" t="n">
        <v>48</v>
      </c>
      <c r="H30" s="2" t="inlineStr">
        <is>
          <t>CZK</t>
        </is>
      </c>
      <c r="I30" s="2" t="inlineStr">
        <is>
          <t>incl.</t>
        </is>
      </c>
      <c r="J30" s="5" t="n">
        <v>0.21</v>
      </c>
      <c r="K30" s="2" t="n">
        <v>1</v>
      </c>
      <c r="L30" s="2" t="inlineStr">
        <is>
          <t>per piece</t>
        </is>
      </c>
      <c r="M30" s="4">
        <f>IF(OR(G30="",J30="",K30=""),"",ROUND(IF(I30="incl.",G30/(1+J30),G30)/IF(L30="per pack",K30,1),2))</f>
        <v/>
      </c>
      <c r="N30" s="2" t="inlineStr">
        <is>
          <t>CLOSE</t>
        </is>
      </c>
      <c r="O30" s="2" t="inlineStr">
        <is>
          <t>1025 ml; material only "plast" (plastic type not stated - flagged); single thin nozzle. 40 CZK bez DPH. Transparent/red variants same price but awaiting stock.</t>
        </is>
      </c>
      <c r="P30" s="2" t="inlineStr">
        <is>
          <t>2026-09-30</t>
        </is>
      </c>
      <c r="Q30" s="2">
        <f>IFERROR(INDEX(Competitors!$N$2:$N$50,MATCH(C30,Competitors!$A$2:$A$50,0)),"no")</f>
        <v/>
      </c>
      <c r="R30" s="2">
        <f>IF(AND(Q30="yes",OR(N30="EXACT",N30="CLOSE"),ISNUMBER(M30)),"yes","no")</f>
        <v/>
      </c>
    </row>
    <row r="31">
      <c r="A31" s="2" t="n">
        <v>7</v>
      </c>
      <c r="B31" s="2" t="inlineStr">
        <is>
          <t>Squeeze bottle 500 ml with triple tip</t>
        </is>
      </c>
      <c r="C31" s="2" t="inlineStr">
        <is>
          <t>Gastrozone</t>
        </is>
      </c>
      <c r="D31" s="2" t="inlineStr">
        <is>
          <t>ARAVEN Mačkací láhev, LDPE, průměr: 80 mm, výška: 253 mm, objem: 0,75 L, 3 trysky</t>
        </is>
      </c>
      <c r="E31" s="2" t="inlineStr">
        <is>
          <t>Araven</t>
        </is>
      </c>
      <c r="F31" s="3" t="inlineStr">
        <is>
          <t>https://www.gastrozone.cz/araven-lahvicka-na-stlaceni-ldpe-o-80-mm-vyska-253-mm-objem-0-75-l-3-trysky.html</t>
        </is>
      </c>
      <c r="G31" s="4" t="n">
        <v>156</v>
      </c>
      <c r="H31" s="2" t="inlineStr">
        <is>
          <t>CZK</t>
        </is>
      </c>
      <c r="I31" s="2" t="inlineStr">
        <is>
          <t>incl.</t>
        </is>
      </c>
      <c r="J31" s="5" t="n">
        <v>0.21</v>
      </c>
      <c r="K31" s="2" t="n">
        <v>1</v>
      </c>
      <c r="L31" s="2" t="inlineStr">
        <is>
          <t>per piece</t>
        </is>
      </c>
      <c r="M31" s="4">
        <f>IF(OR(G31="",J31="",K31=""),"",ROUND(IF(I31="incl.",G31/(1+J31),G31)/IF(L31="per pack",K31,1),2))</f>
        <v/>
      </c>
      <c r="N31" s="2" t="inlineStr">
        <is>
          <t>APPROX</t>
        </is>
      </c>
      <c r="O31" s="2" t="inlineStr">
        <is>
          <t>Triple-tip squeeze bottle but 750 ml (not 500 ml); LDPE. 129 CZK bez DPH.</t>
        </is>
      </c>
      <c r="P31" s="2" t="inlineStr">
        <is>
          <t>2026-09-30</t>
        </is>
      </c>
      <c r="Q31" s="2">
        <f>IFERROR(INDEX(Competitors!$N$2:$N$50,MATCH(C31,Competitors!$A$2:$A$50,0)),"no")</f>
        <v/>
      </c>
      <c r="R31" s="2">
        <f>IF(AND(Q31="yes",OR(N31="EXACT",N31="CLOSE"),ISNUMBER(M31)),"yes","no")</f>
        <v/>
      </c>
    </row>
    <row r="32">
      <c r="A32" s="2" t="n">
        <v>8</v>
      </c>
      <c r="B32" s="2" t="inlineStr">
        <is>
          <t>Ketchup/sauce pump dispenser with stand</t>
        </is>
      </c>
      <c r="C32" s="2" t="inlineStr">
        <is>
          <t>GGM Gastro (CZ storefront)</t>
        </is>
      </c>
      <c r="D32" s="2" t="inlineStr">
        <is>
          <t>Dávkovač omáčky - 2 L - Vč. nerezového podstavce</t>
        </is>
      </c>
      <c r="E32" s="2" t="inlineStr">
        <is>
          <t>GGM</t>
        </is>
      </c>
      <c r="F32" s="3" t="inlineStr">
        <is>
          <t>https://www.ggmgastro.com/cs-cz-czk/davkovac-omacky-2-l-vc-nerezoveho-podstavce-ssh12</t>
        </is>
      </c>
      <c r="G32" s="4" t="n">
        <v>997.66</v>
      </c>
      <c r="H32" s="2" t="inlineStr">
        <is>
          <t>CZK</t>
        </is>
      </c>
      <c r="I32" s="2" t="inlineStr">
        <is>
          <t>excl.</t>
        </is>
      </c>
      <c r="J32" s="5" t="n">
        <v>0.19</v>
      </c>
      <c r="K32" s="2" t="n">
        <v>1</v>
      </c>
      <c r="L32" s="2" t="inlineStr">
        <is>
          <t>per piece</t>
        </is>
      </c>
      <c r="M32" s="4">
        <f>IF(OR(G32="",J32="",K32=""),"",ROUND(IF(I32="incl.",G32/(1+J32),G32)/IF(L32="per pack",K32,1),2))</f>
        <v/>
      </c>
      <c r="N32" s="2" t="inlineStr">
        <is>
          <t>EXACT</t>
        </is>
      </c>
      <c r="O32" s="2" t="inlineStr">
        <is>
          <t>Net CZK price as displayed; page footnote: "* čistá cena | hrubá cena vč. 19% DPH" (German VAT 19% used on the CZ storefront). SKU SSH12: PP container with portion pump (30 ml adjustable) on stainless-steel stand. Gross 1,187.22 CZK. Stand-less pump dispenser KSP2 2 l: 681.25 CZK.</t>
        </is>
      </c>
      <c r="P32" s="2" t="inlineStr">
        <is>
          <t>2026-09-30</t>
        </is>
      </c>
      <c r="Q32" s="2">
        <f>IFERROR(INDEX(Competitors!$N$2:$N$50,MATCH(C32,Competitors!$A$2:$A$50,0)),"no")</f>
        <v/>
      </c>
      <c r="R32" s="2">
        <f>IF(AND(Q32="yes",OR(N32="EXACT",N32="CLOSE"),ISNUMBER(M32)),"yes","no")</f>
        <v/>
      </c>
    </row>
    <row r="33">
      <c r="A33" s="2" t="n">
        <v>8</v>
      </c>
      <c r="B33" s="2" t="inlineStr">
        <is>
          <t>Ketchup/sauce pump dispenser with stand</t>
        </is>
      </c>
      <c r="C33" s="2" t="inlineStr">
        <is>
          <t>Gastromania</t>
        </is>
      </c>
      <c r="D33" s="2" t="inlineStr">
        <is>
          <t>Dávkovač na omáčky s pumpičkou 2,5 l, červený | HENDI, 203521</t>
        </is>
      </c>
      <c r="E33" s="2" t="inlineStr">
        <is>
          <t>Hendi</t>
        </is>
      </c>
      <c r="F33" s="3" t="inlineStr">
        <is>
          <t>https://www.gastromania.cz/davkovace-omacek/davkovac-na-omacky-s-pumpickou-2-5-l-cerveny-hendi-203521</t>
        </is>
      </c>
      <c r="G33" s="4" t="n">
        <v>636</v>
      </c>
      <c r="H33" s="2" t="inlineStr">
        <is>
          <t>CZK</t>
        </is>
      </c>
      <c r="I33" s="2" t="inlineStr">
        <is>
          <t>excl.</t>
        </is>
      </c>
      <c r="J33" s="5" t="n">
        <v>0.21</v>
      </c>
      <c r="K33" s="2" t="n">
        <v>1</v>
      </c>
      <c r="L33" s="2" t="inlineStr">
        <is>
          <t>per piece</t>
        </is>
      </c>
      <c r="M33" s="4">
        <f>IF(OR(G33="",J33="",K33=""),"",ROUND(IF(I33="incl.",G33/(1+J33),G33)/IF(L33="per pack",K33,1),2))</f>
        <v/>
      </c>
      <c r="N33" s="2" t="inlineStr">
        <is>
          <t>CLOSE</t>
        </is>
      </c>
      <c r="O33" s="2" t="inlineStr">
        <is>
          <t>Free-standing pump dispenser: ABS housing, PP inner container and removable pump, 2.5 l, 20 ml dose; separate stand not mentioned. 770 CZK incl.; in stock.</t>
        </is>
      </c>
      <c r="P33" s="2" t="inlineStr">
        <is>
          <t>2026-09-30</t>
        </is>
      </c>
      <c r="Q33" s="2">
        <f>IFERROR(INDEX(Competitors!$N$2:$N$50,MATCH(C33,Competitors!$A$2:$A$50,0)),"no")</f>
        <v/>
      </c>
      <c r="R33" s="2">
        <f>IF(AND(Q33="yes",OR(N33="EXACT",N33="CLOSE"),ISNUMBER(M33)),"yes","no")</f>
        <v/>
      </c>
    </row>
    <row r="34">
      <c r="A34" s="2" t="n">
        <v>8</v>
      </c>
      <c r="B34" s="2" t="inlineStr">
        <is>
          <t>Ketchup/sauce pump dispenser with stand</t>
        </is>
      </c>
      <c r="C34" s="2" t="inlineStr">
        <is>
          <t>Gastrozone</t>
        </is>
      </c>
      <c r="D34" s="2" t="inlineStr">
        <is>
          <t>Dávkovač omáčky Contacto 3 l</t>
        </is>
      </c>
      <c r="E34" s="2" t="inlineStr">
        <is>
          <t>Contacto</t>
        </is>
      </c>
      <c r="F34" s="3" t="inlineStr">
        <is>
          <t>https://www.gastrozone.cz/contacto-davkovac-omacky-3-l.html</t>
        </is>
      </c>
      <c r="G34" s="4" t="n">
        <v>1446</v>
      </c>
      <c r="H34" s="2" t="inlineStr">
        <is>
          <t>CZK</t>
        </is>
      </c>
      <c r="I34" s="2" t="inlineStr">
        <is>
          <t>incl.</t>
        </is>
      </c>
      <c r="J34" s="5" t="n">
        <v>0.21</v>
      </c>
      <c r="K34" s="2" t="n">
        <v>1</v>
      </c>
      <c r="L34" s="2" t="inlineStr">
        <is>
          <t>per piece</t>
        </is>
      </c>
      <c r="M34" s="4">
        <f>IF(OR(G34="",J34="",K34=""),"",ROUND(IF(I34="incl.",G34/(1+J34),G34)/IF(L34="per pack",K34,1),2))</f>
        <v/>
      </c>
      <c r="N34" s="2" t="inlineStr">
        <is>
          <t>CLOSE</t>
        </is>
      </c>
      <c r="O34" s="2" t="inlineStr">
        <is>
          <t>Countertop pump dispenser for ketchup/mustard, white PE, ~30 ml portion, sliding cover, removable pump; free-standing unit - separate stand not mentioned. 1,195 CZK bez DPH.</t>
        </is>
      </c>
      <c r="P34" s="2" t="inlineStr">
        <is>
          <t>2026-09-30</t>
        </is>
      </c>
      <c r="Q34" s="2">
        <f>IFERROR(INDEX(Competitors!$N$2:$N$50,MATCH(C34,Competitors!$A$2:$A$50,0)),"no")</f>
        <v/>
      </c>
      <c r="R34" s="2">
        <f>IF(AND(Q34="yes",OR(N34="EXACT",N34="CLOSE"),ISNUMBER(M34)),"yes","no")</f>
        <v/>
      </c>
    </row>
    <row r="35">
      <c r="A35" s="2" t="n">
        <v>8</v>
      </c>
      <c r="B35" s="2" t="inlineStr">
        <is>
          <t>Ketchup/sauce pump dispenser with stand</t>
        </is>
      </c>
      <c r="C35" s="2" t="inlineStr">
        <is>
          <t>TOMGAST</t>
        </is>
      </c>
      <c r="D35" s="2" t="inlineStr">
        <is>
          <t>Dávkovač 1,5 l</t>
        </is>
      </c>
      <c r="E35" s="2" t="inlineStr">
        <is>
          <t>TOMGAST</t>
        </is>
      </c>
      <c r="F35" s="3" t="inlineStr">
        <is>
          <t>https://www.tomgast.cz/davkovac-1-5-l/</t>
        </is>
      </c>
      <c r="G35" s="4" t="n">
        <v>877</v>
      </c>
      <c r="H35" s="2" t="inlineStr">
        <is>
          <t>CZK</t>
        </is>
      </c>
      <c r="I35" s="2" t="inlineStr">
        <is>
          <t>incl.</t>
        </is>
      </c>
      <c r="J35" s="5" t="n">
        <v>0.21</v>
      </c>
      <c r="K35" s="2" t="n">
        <v>1</v>
      </c>
      <c r="L35" s="2" t="inlineStr">
        <is>
          <t>per piece</t>
        </is>
      </c>
      <c r="M35" s="4">
        <f>IF(OR(G35="",J35="",K35=""),"",ROUND(IF(I35="incl.",G35/(1+J35),G35)/IF(L35="per pack",K35,1),2))</f>
        <v/>
      </c>
      <c r="N35" s="2" t="inlineStr">
        <is>
          <t>APPROX</t>
        </is>
      </c>
      <c r="O35" s="2" t="inlineStr">
        <is>
          <t>Push-button portion dispenser (30 ml dose), polyethylene, 1.5 l; no stand/base mentioned - not a pump-on-stand unit. 725 CZK bez DPH.</t>
        </is>
      </c>
      <c r="P35" s="2" t="inlineStr">
        <is>
          <t>2026-09-30</t>
        </is>
      </c>
      <c r="Q35" s="2">
        <f>IFERROR(INDEX(Competitors!$N$2:$N$50,MATCH(C35,Competitors!$A$2:$A$50,0)),"no")</f>
        <v/>
      </c>
      <c r="R35" s="2">
        <f>IF(AND(Q35="yes",OR(N35="EXACT",N35="CLOSE"),ISNUMBER(M35)),"yes","no")</f>
        <v/>
      </c>
    </row>
    <row r="36">
      <c r="A36" s="2" t="n">
        <v>9</v>
      </c>
      <c r="B36" s="2" t="inlineStr">
        <is>
          <t>HACCP PE cutting board 530 x 325 x 20 mm (GN 1/1)</t>
        </is>
      </c>
      <c r="C36" s="2" t="inlineStr">
        <is>
          <t>GGM Gastro (CZ storefront)</t>
        </is>
      </c>
      <c r="D36" s="2" t="inlineStr">
        <is>
          <t>Krájecí deska - 325x530 mm - Dle HACCP - Bílá</t>
        </is>
      </c>
      <c r="E36" s="2" t="inlineStr">
        <is>
          <t>GGM</t>
        </is>
      </c>
      <c r="F36" s="3" t="inlineStr">
        <is>
          <t>https://www.ggmgastro.com/cs-cz-czk/krajeci-deska-325x530-mm-dle-haccp-bila-sbp53w</t>
        </is>
      </c>
      <c r="G36" s="4" t="n">
        <v>632.5700000000001</v>
      </c>
      <c r="H36" s="2" t="inlineStr">
        <is>
          <t>CZK</t>
        </is>
      </c>
      <c r="I36" s="2" t="inlineStr">
        <is>
          <t>excl.</t>
        </is>
      </c>
      <c r="J36" s="5" t="n">
        <v>0.19</v>
      </c>
      <c r="K36" s="2" t="n">
        <v>1</v>
      </c>
      <c r="L36" s="2" t="inlineStr">
        <is>
          <t>per piece</t>
        </is>
      </c>
      <c r="M36" s="4">
        <f>IF(OR(G36="",J36="",K36=""),"",ROUND(IF(I36="incl.",G36/(1+J36),G36)/IF(L36="per pack",K36,1),2))</f>
        <v/>
      </c>
      <c r="N36" s="2" t="inlineStr">
        <is>
          <t>EXACT</t>
        </is>
      </c>
      <c r="O36" s="2" t="inlineStr">
        <is>
          <t>Net CZK price as displayed; page footnote: "* čistá cena | hrubá cena vč. 19% DPH" (German VAT 19% used on the CZ storefront). SKU SBP53W, PE, 325 x 530 x 20 mm, HACCP colours (same price red etc.). Gross 752.76 CZK.</t>
        </is>
      </c>
      <c r="P36" s="2" t="inlineStr">
        <is>
          <t>2026-09-30</t>
        </is>
      </c>
      <c r="Q36" s="2">
        <f>IFERROR(INDEX(Competitors!$N$2:$N$50,MATCH(C36,Competitors!$A$2:$A$50,0)),"no")</f>
        <v/>
      </c>
      <c r="R36" s="2">
        <f>IF(AND(Q36="yes",OR(N36="EXACT",N36="CLOSE"),ISNUMBER(M36)),"yes","no")</f>
        <v/>
      </c>
    </row>
    <row r="37">
      <c r="A37" s="2" t="n">
        <v>9</v>
      </c>
      <c r="B37" s="2" t="inlineStr">
        <is>
          <t>HACCP PE cutting board 530 x 325 x 20 mm (GN 1/1)</t>
        </is>
      </c>
      <c r="C37" s="2" t="inlineStr">
        <is>
          <t>Gastro Novotný</t>
        </is>
      </c>
      <c r="D37" s="2" t="inlineStr">
        <is>
          <t>Deska polyethylen GN 1/1 53x32,5x2cm nožičky, PE-HD červená</t>
        </is>
      </c>
      <c r="E37" s="2" t="inlineStr"/>
      <c r="F37" s="3" t="inlineStr">
        <is>
          <t>https://eshop.gastronovotny.cz/deska-polyethylen-gn-1-1--53x32-5x2cm--nozicky-pe-hd--cervena/</t>
        </is>
      </c>
      <c r="G37" s="4" t="n">
        <v>1090</v>
      </c>
      <c r="H37" s="2" t="inlineStr">
        <is>
          <t>CZK</t>
        </is>
      </c>
      <c r="I37" s="2" t="inlineStr">
        <is>
          <t>excl.</t>
        </is>
      </c>
      <c r="J37" s="5" t="n">
        <v>0.21</v>
      </c>
      <c r="K37" s="2" t="n">
        <v>1</v>
      </c>
      <c r="L37" s="2" t="inlineStr">
        <is>
          <t>per piece</t>
        </is>
      </c>
      <c r="M37" s="4">
        <f>IF(OR(G37="",J37="",K37=""),"",ROUND(IF(I37="incl.",G37/(1+J37),G37)/IF(L37="per pack",K37,1),2))</f>
        <v/>
      </c>
      <c r="N37" s="2" t="inlineStr">
        <is>
          <t>EXACT</t>
        </is>
      </c>
      <c r="O37" s="2" t="inlineStr">
        <is>
          <t>HDPE, feet, colours white/yellow/red/blue/green/brown/black; 1,318.90 CZK incl. VAT; availability "Na dotaz" (some colours 3-6 weeks)</t>
        </is>
      </c>
      <c r="P37" s="2" t="inlineStr">
        <is>
          <t>2026-09-30</t>
        </is>
      </c>
      <c r="Q37" s="2">
        <f>IFERROR(INDEX(Competitors!$N$2:$N$50,MATCH(C37,Competitors!$A$2:$A$50,0)),"no")</f>
        <v/>
      </c>
      <c r="R37" s="2">
        <f>IF(AND(Q37="yes",OR(N37="EXACT",N37="CLOSE"),ISNUMBER(M37)),"yes","no")</f>
        <v/>
      </c>
    </row>
    <row r="38">
      <c r="A38" s="2" t="n">
        <v>9</v>
      </c>
      <c r="B38" s="2" t="inlineStr">
        <is>
          <t>HACCP PE cutting board 530 x 325 x 20 mm (GN 1/1)</t>
        </is>
      </c>
      <c r="C38" s="2" t="inlineStr">
        <is>
          <t>Gastromania</t>
        </is>
      </c>
      <c r="D38" s="2" t="inlineStr">
        <is>
          <t>Deska na krájení HACCP 530x325x25 mm, červená | CONTACTO, 1524/539</t>
        </is>
      </c>
      <c r="E38" s="2" t="inlineStr">
        <is>
          <t>Contacto</t>
        </is>
      </c>
      <c r="F38" s="3" t="inlineStr">
        <is>
          <t>https://www.gastromania.cz/plastove-krajeci-desky-haccp/deska-na-krajeni-haccp-530x325x25-mm-cervena-contacto-1524-539</t>
        </is>
      </c>
      <c r="G38" s="4" t="n">
        <v>1172</v>
      </c>
      <c r="H38" s="2" t="inlineStr">
        <is>
          <t>CZK</t>
        </is>
      </c>
      <c r="I38" s="2" t="inlineStr">
        <is>
          <t>excl.</t>
        </is>
      </c>
      <c r="J38" s="5" t="n">
        <v>0.21</v>
      </c>
      <c r="K38" s="2" t="n">
        <v>1</v>
      </c>
      <c r="L38" s="2" t="inlineStr">
        <is>
          <t>per piece</t>
        </is>
      </c>
      <c r="M38" s="4">
        <f>IF(OR(G38="",J38="",K38=""),"",ROUND(IF(I38="incl.",G38/(1+J38),G38)/IF(L38="per pack",K38,1),2))</f>
        <v/>
      </c>
      <c r="N38" s="2" t="inlineStr">
        <is>
          <t>CLOSE</t>
        </is>
      </c>
      <c r="O38" s="2" t="inlineStr">
        <is>
          <t>PE, HACCP colours, anti-slip feet; 25 mm thick (no 20 mm PE GN 1/1 board found). 1,418 CZK incl.; availability 30 days. Thinner options: Hendi 530x325x15 (PE/PP conflicting) 523 excl.; Hendi 10 mm 297 excl.</t>
        </is>
      </c>
      <c r="P38" s="2" t="inlineStr">
        <is>
          <t>2026-09-30</t>
        </is>
      </c>
      <c r="Q38" s="2">
        <f>IFERROR(INDEX(Competitors!$N$2:$N$50,MATCH(C38,Competitors!$A$2:$A$50,0)),"no")</f>
        <v/>
      </c>
      <c r="R38" s="2">
        <f>IF(AND(Q38="yes",OR(N38="EXACT",N38="CLOSE"),ISNUMBER(M38)),"yes","no")</f>
        <v/>
      </c>
    </row>
    <row r="39">
      <c r="A39" s="2" t="n">
        <v>9</v>
      </c>
      <c r="B39" s="2" t="inlineStr">
        <is>
          <t>HACCP PE cutting board 530 x 325 x 20 mm (GN 1/1)</t>
        </is>
      </c>
      <c r="C39" s="2" t="inlineStr">
        <is>
          <t>Gastrozone</t>
        </is>
      </c>
      <c r="D39" s="2" t="inlineStr">
        <is>
          <t>Prkénko krájecí plastové 53x32,5x2 cm GN 1/1, s drážkou, červené</t>
        </is>
      </c>
      <c r="E39" s="2" t="inlineStr">
        <is>
          <t>Gastro</t>
        </is>
      </c>
      <c r="F39" s="3" t="inlineStr">
        <is>
          <t>https://www.gastrozone.cz/gastro-prkenko-krajeci-plastove-53x32-5x2-cm-gn-1-1-s-drazkou-cervene.html</t>
        </is>
      </c>
      <c r="G39" s="4" t="n">
        <v>1531</v>
      </c>
      <c r="H39" s="2" t="inlineStr">
        <is>
          <t>CZK</t>
        </is>
      </c>
      <c r="I39" s="2" t="inlineStr">
        <is>
          <t>incl.</t>
        </is>
      </c>
      <c r="J39" s="5" t="n">
        <v>0.21</v>
      </c>
      <c r="K39" s="2" t="n">
        <v>1</v>
      </c>
      <c r="L39" s="2" t="inlineStr">
        <is>
          <t>per piece</t>
        </is>
      </c>
      <c r="M39" s="4">
        <f>IF(OR(G39="",J39="",K39=""),"",ROUND(IF(I39="incl.",G39/(1+J39),G39)/IF(L39="per pack",K39,1),2))</f>
        <v/>
      </c>
      <c r="N39" s="2" t="inlineStr">
        <is>
          <t>CLOSE</t>
        </is>
      </c>
      <c r="O39" s="2" t="inlineStr">
        <is>
          <t>530 x 325 x 20 mm, HACCP colours; material only "plast" (plastic type not stated - flagged); has juice groove and rubber feet. 1,265 CZK bez DPH.</t>
        </is>
      </c>
      <c r="P39" s="2" t="inlineStr">
        <is>
          <t>2026-09-30</t>
        </is>
      </c>
      <c r="Q39" s="2">
        <f>IFERROR(INDEX(Competitors!$N$2:$N$50,MATCH(C39,Competitors!$A$2:$A$50,0)),"no")</f>
        <v/>
      </c>
      <c r="R39" s="2">
        <f>IF(AND(Q39="yes",OR(N39="EXACT",N39="CLOSE"),ISNUMBER(M39)),"yes","no")</f>
        <v/>
      </c>
    </row>
    <row r="40">
      <c r="A40" s="2" t="n">
        <v>9</v>
      </c>
      <c r="B40" s="2" t="inlineStr">
        <is>
          <t>HACCP PE cutting board 530 x 325 x 20 mm (GN 1/1)</t>
        </is>
      </c>
      <c r="C40" s="2" t="inlineStr">
        <is>
          <t>TOMGAST</t>
        </is>
      </c>
      <c r="D40" s="2" t="inlineStr">
        <is>
          <t>Deska 500 × 325 × 20 mm, červená</t>
        </is>
      </c>
      <c r="E40" s="2" t="inlineStr">
        <is>
          <t>TOMGAST</t>
        </is>
      </c>
      <c r="F40" s="3" t="inlineStr">
        <is>
          <t>https://www.tomgast.cz/deska-500--325--20-mm--cervena/</t>
        </is>
      </c>
      <c r="G40" s="4" t="n">
        <v>1016</v>
      </c>
      <c r="H40" s="2" t="inlineStr">
        <is>
          <t>CZK</t>
        </is>
      </c>
      <c r="I40" s="2" t="inlineStr">
        <is>
          <t>incl.</t>
        </is>
      </c>
      <c r="J40" s="5" t="n">
        <v>0.21</v>
      </c>
      <c r="K40" s="2" t="n">
        <v>1</v>
      </c>
      <c r="L40" s="2" t="inlineStr">
        <is>
          <t>per piece</t>
        </is>
      </c>
      <c r="M40" s="4">
        <f>IF(OR(G40="",J40="",K40=""),"",ROUND(IF(I40="incl.",G40/(1+J40),G40)/IF(L40="per pack",K40,1),2))</f>
        <v/>
      </c>
      <c r="N40" s="2" t="inlineStr">
        <is>
          <t>APPROX</t>
        </is>
      </c>
      <c r="O40" s="2" t="inlineStr">
        <is>
          <t>PE, colour range (white/red/blue/green/yellow/brown), anti-slip feet; 500 mm long, not GN 1/1 530 mm. 840 CZK bez DPH. No 530 x 325 PE board listed.</t>
        </is>
      </c>
      <c r="P40" s="2" t="inlineStr">
        <is>
          <t>2026-09-30</t>
        </is>
      </c>
      <c r="Q40" s="2">
        <f>IFERROR(INDEX(Competitors!$N$2:$N$50,MATCH(C40,Competitors!$A$2:$A$50,0)),"no")</f>
        <v/>
      </c>
      <c r="R40" s="2">
        <f>IF(AND(Q40="yes",OR(N40="EXACT",N40="CLOSE"),ISNUMBER(M40)),"yes","no")</f>
        <v/>
      </c>
    </row>
    <row r="41">
      <c r="A41" s="2" t="n">
        <v>10</v>
      </c>
      <c r="B41" s="2" t="inlineStr">
        <is>
          <t>HACCP PE cutting board 600 x 400 x 20 mm</t>
        </is>
      </c>
      <c r="C41" s="2" t="inlineStr">
        <is>
          <t>GGM Gastro (CZ storefront)</t>
        </is>
      </c>
      <c r="D41" s="2" t="inlineStr">
        <is>
          <t>Krájecí deska - EN 600x400 - Dle HACCP - Bílá</t>
        </is>
      </c>
      <c r="E41" s="2" t="inlineStr">
        <is>
          <t>GGM</t>
        </is>
      </c>
      <c r="F41" s="3" t="inlineStr">
        <is>
          <t>https://www.ggmgastro.com/cs-cz-czk/krajeci-deska-en-600x400-dle-haccp-bila-sbp46w</t>
        </is>
      </c>
      <c r="G41" s="4" t="n">
        <v>717.76</v>
      </c>
      <c r="H41" s="2" t="inlineStr">
        <is>
          <t>CZK</t>
        </is>
      </c>
      <c r="I41" s="2" t="inlineStr">
        <is>
          <t>excl.</t>
        </is>
      </c>
      <c r="J41" s="5" t="n">
        <v>0.19</v>
      </c>
      <c r="K41" s="2" t="n">
        <v>1</v>
      </c>
      <c r="L41" s="2" t="inlineStr">
        <is>
          <t>per piece</t>
        </is>
      </c>
      <c r="M41" s="4">
        <f>IF(OR(G41="",J41="",K41=""),"",ROUND(IF(I41="incl.",G41/(1+J41),G41)/IF(L41="per pack",K41,1),2))</f>
        <v/>
      </c>
      <c r="N41" s="2" t="inlineStr">
        <is>
          <t>EXACT</t>
        </is>
      </c>
      <c r="O41" s="2" t="inlineStr">
        <is>
          <t>Net CZK price as displayed; page footnote: "* čistá cena | hrubá cena vč. 19% DPH" (German VAT 19% used on the CZ storefront). SKU SBP46W, PE, 600 x 400 x 20 mm, HACCP colours. Gross 854.13 CZK.</t>
        </is>
      </c>
      <c r="P41" s="2" t="inlineStr">
        <is>
          <t>2026-09-30</t>
        </is>
      </c>
      <c r="Q41" s="2">
        <f>IFERROR(INDEX(Competitors!$N$2:$N$50,MATCH(C41,Competitors!$A$2:$A$50,0)),"no")</f>
        <v/>
      </c>
      <c r="R41" s="2">
        <f>IF(AND(Q41="yes",OR(N41="EXACT",N41="CLOSE"),ISNUMBER(M41)),"yes","no")</f>
        <v/>
      </c>
    </row>
    <row r="42">
      <c r="A42" s="2" t="n">
        <v>10</v>
      </c>
      <c r="B42" s="2" t="inlineStr">
        <is>
          <t>HACCP PE cutting board 600 x 400 x 20 mm</t>
        </is>
      </c>
      <c r="C42" s="2" t="inlineStr">
        <is>
          <t>Gastro Novotný</t>
        </is>
      </c>
      <c r="D42" s="2" t="inlineStr">
        <is>
          <t>Deska polyethylen 60x40x2cm nožičky PE-HD -bílá</t>
        </is>
      </c>
      <c r="E42" s="2" t="inlineStr"/>
      <c r="F42" s="3" t="inlineStr">
        <is>
          <t>https://eshop.gastronovotny.cz/deska-polyethylen-60x40x2cm-nozicky-pe-hd-bila/</t>
        </is>
      </c>
      <c r="G42" s="4" t="n">
        <v>1350</v>
      </c>
      <c r="H42" s="2" t="inlineStr">
        <is>
          <t>CZK</t>
        </is>
      </c>
      <c r="I42" s="2" t="inlineStr">
        <is>
          <t>excl.</t>
        </is>
      </c>
      <c r="J42" s="5" t="n">
        <v>0.21</v>
      </c>
      <c r="K42" s="2" t="n">
        <v>1</v>
      </c>
      <c r="L42" s="2" t="inlineStr">
        <is>
          <t>per piece</t>
        </is>
      </c>
      <c r="M42" s="4">
        <f>IF(OR(G42="",J42="",K42=""),"",ROUND(IF(I42="incl.",G42/(1+J42),G42)/IF(L42="per pack",K42,1),2))</f>
        <v/>
      </c>
      <c r="N42" s="2" t="inlineStr">
        <is>
          <t>EXACT</t>
        </is>
      </c>
      <c r="O42" s="2" t="inlineStr">
        <is>
          <t>HDPE, feet; colour range (white/yellow/red/green/brown/black); white is the lowest-priced colour; 1,633.50 CZK incl. VAT; white on order 3-6 weeks (red 1,460 CZK excl., in stock).</t>
        </is>
      </c>
      <c r="P42" s="2" t="inlineStr">
        <is>
          <t>2026-09-30</t>
        </is>
      </c>
      <c r="Q42" s="2">
        <f>IFERROR(INDEX(Competitors!$N$2:$N$50,MATCH(C42,Competitors!$A$2:$A$50,0)),"no")</f>
        <v/>
      </c>
      <c r="R42" s="2">
        <f>IF(AND(Q42="yes",OR(N42="EXACT",N42="CLOSE"),ISNUMBER(M42)),"yes","no")</f>
        <v/>
      </c>
    </row>
    <row r="43">
      <c r="A43" s="2" t="n">
        <v>10</v>
      </c>
      <c r="B43" s="2" t="inlineStr">
        <is>
          <t>HACCP PE cutting board 600 x 400 x 20 mm</t>
        </is>
      </c>
      <c r="C43" s="2" t="inlineStr">
        <is>
          <t>Gastromania</t>
        </is>
      </c>
      <c r="D43" s="2" t="inlineStr">
        <is>
          <t>Krájecí deska 600x400x20 mm, červená | YATO, YG-02180</t>
        </is>
      </c>
      <c r="E43" s="2" t="inlineStr">
        <is>
          <t>Yato</t>
        </is>
      </c>
      <c r="F43" s="3" t="inlineStr">
        <is>
          <t>https://www.gastromania.cz/plastove-krajeci-desky-haccp/krajeci-deska-600x400x20-mm-cervena-yato-yg-02180</t>
        </is>
      </c>
      <c r="G43" s="4" t="n">
        <v>574</v>
      </c>
      <c r="H43" s="2" t="inlineStr">
        <is>
          <t>CZK</t>
        </is>
      </c>
      <c r="I43" s="2" t="inlineStr">
        <is>
          <t>excl.</t>
        </is>
      </c>
      <c r="J43" s="5" t="n">
        <v>0.21</v>
      </c>
      <c r="K43" s="2" t="n">
        <v>1</v>
      </c>
      <c r="L43" s="2" t="inlineStr">
        <is>
          <t>per piece</t>
        </is>
      </c>
      <c r="M43" s="4">
        <f>IF(OR(G43="",J43="",K43=""),"",ROUND(IF(I43="incl.",G43/(1+J43),G43)/IF(L43="per pack",K43,1),2))</f>
        <v/>
      </c>
      <c r="N43" s="2" t="inlineStr">
        <is>
          <t>EXACT</t>
        </is>
      </c>
      <c r="O43" s="2" t="inlineStr">
        <is>
          <t>PE, 20 mm, HACCP colours (white/red/blue/green/yellow/brown); 695 CZK incl.; availability 5 days.</t>
        </is>
      </c>
      <c r="P43" s="2" t="inlineStr">
        <is>
          <t>2026-09-30</t>
        </is>
      </c>
      <c r="Q43" s="2">
        <f>IFERROR(INDEX(Competitors!$N$2:$N$50,MATCH(C43,Competitors!$A$2:$A$50,0)),"no")</f>
        <v/>
      </c>
      <c r="R43" s="2">
        <f>IF(AND(Q43="yes",OR(N43="EXACT",N43="CLOSE"),ISNUMBER(M43)),"yes","no")</f>
        <v/>
      </c>
    </row>
    <row r="44">
      <c r="A44" s="2" t="n">
        <v>10</v>
      </c>
      <c r="B44" s="2" t="inlineStr">
        <is>
          <t>HACCP PE cutting board 600 x 400 x 20 mm</t>
        </is>
      </c>
      <c r="C44" s="2" t="inlineStr">
        <is>
          <t>Gastrozone</t>
        </is>
      </c>
      <c r="D44" s="2" t="inlineStr">
        <is>
          <t>Prkénko krájecí plastové 60x40x3 cm, s drážkou, červené</t>
        </is>
      </c>
      <c r="E44" s="2" t="inlineStr">
        <is>
          <t>Gastro</t>
        </is>
      </c>
      <c r="F44" s="3" t="inlineStr">
        <is>
          <t>https://www.gastrozone.cz/gastro-prkenko-krajeci-plastove-60x40x3-cm-s-drazkou-cervene.html</t>
        </is>
      </c>
      <c r="G44" s="4" t="n">
        <v>2225</v>
      </c>
      <c r="H44" s="2" t="inlineStr">
        <is>
          <t>CZK</t>
        </is>
      </c>
      <c r="I44" s="2" t="inlineStr">
        <is>
          <t>incl.</t>
        </is>
      </c>
      <c r="J44" s="5" t="n">
        <v>0.21</v>
      </c>
      <c r="K44" s="2" t="n">
        <v>1</v>
      </c>
      <c r="L44" s="2" t="inlineStr">
        <is>
          <t>per piece</t>
        </is>
      </c>
      <c r="M44" s="4">
        <f>IF(OR(G44="",J44="",K44=""),"",ROUND(IF(I44="incl.",G44/(1+J44),G44)/IF(L44="per pack",K44,1),2))</f>
        <v/>
      </c>
      <c r="N44" s="2" t="inlineStr">
        <is>
          <t>CLOSE</t>
        </is>
      </c>
      <c r="O44" s="2" t="inlineStr">
        <is>
          <t>600 x 400 but 30 mm thick (no 20 mm version); material only "plast" (flagged); HACCP colours; white 2,003 CZK. 1,839 CZK bez DPH.</t>
        </is>
      </c>
      <c r="P44" s="2" t="inlineStr">
        <is>
          <t>2026-09-30</t>
        </is>
      </c>
      <c r="Q44" s="2">
        <f>IFERROR(INDEX(Competitors!$N$2:$N$50,MATCH(C44,Competitors!$A$2:$A$50,0)),"no")</f>
        <v/>
      </c>
      <c r="R44" s="2">
        <f>IF(AND(Q44="yes",OR(N44="EXACT",N44="CLOSE"),ISNUMBER(M44)),"yes","no")</f>
        <v/>
      </c>
    </row>
    <row r="45">
      <c r="A45" s="2" t="n">
        <v>10</v>
      </c>
      <c r="B45" s="2" t="inlineStr">
        <is>
          <t>HACCP PE cutting board 600 x 400 x 20 mm</t>
        </is>
      </c>
      <c r="C45" s="2" t="inlineStr">
        <is>
          <t>TOMGAST</t>
        </is>
      </c>
      <c r="D45" s="2" t="inlineStr">
        <is>
          <t>Deska 600 × 400 × 20 mm, červená</t>
        </is>
      </c>
      <c r="E45" s="2" t="inlineStr">
        <is>
          <t>TOMGAST</t>
        </is>
      </c>
      <c r="F45" s="3" t="inlineStr">
        <is>
          <t>https://www.tomgast.cz/deska-600--400--20-mm--cervena/</t>
        </is>
      </c>
      <c r="G45" s="4" t="n">
        <v>1440</v>
      </c>
      <c r="H45" s="2" t="inlineStr">
        <is>
          <t>CZK</t>
        </is>
      </c>
      <c r="I45" s="2" t="inlineStr">
        <is>
          <t>incl.</t>
        </is>
      </c>
      <c r="J45" s="5" t="n">
        <v>0.21</v>
      </c>
      <c r="K45" s="2" t="n">
        <v>1</v>
      </c>
      <c r="L45" s="2" t="inlineStr">
        <is>
          <t>per piece</t>
        </is>
      </c>
      <c r="M45" s="4">
        <f>IF(OR(G45="",J45="",K45=""),"",ROUND(IF(I45="incl.",G45/(1+J45),G45)/IF(L45="per pack",K45,1),2))</f>
        <v/>
      </c>
      <c r="N45" s="2" t="inlineStr">
        <is>
          <t>EXACT</t>
        </is>
      </c>
      <c r="O45" s="2" t="inlineStr">
        <is>
          <t>PE, colours white/red/blue/green/yellow/brown; 1,190 CZK bez DPH</t>
        </is>
      </c>
      <c r="P45" s="2" t="inlineStr">
        <is>
          <t>2026-09-30</t>
        </is>
      </c>
      <c r="Q45" s="2">
        <f>IFERROR(INDEX(Competitors!$N$2:$N$50,MATCH(C45,Competitors!$A$2:$A$50,0)),"no")</f>
        <v/>
      </c>
      <c r="R45" s="2">
        <f>IF(AND(Q45="yes",OR(N45="EXACT",N45="CLOSE"),ISNUMBER(M45)),"yes","no")</f>
        <v/>
      </c>
    </row>
    <row r="46">
      <c r="A46" s="2" t="n">
        <v>11</v>
      </c>
      <c r="B46" s="2" t="inlineStr">
        <is>
          <t>HACCP PE cutting board 300 x 200 x 10 mm</t>
        </is>
      </c>
      <c r="C46" s="2" t="inlineStr">
        <is>
          <t>GGM Gastro (CZ storefront)</t>
        </is>
      </c>
      <c r="D46" s="2" t="inlineStr">
        <is>
          <t>Krájecí deska - EN 250x400 - Dle HACCP - Bílá</t>
        </is>
      </c>
      <c r="E46" s="2" t="inlineStr">
        <is>
          <t>GGM</t>
        </is>
      </c>
      <c r="F46" s="3" t="inlineStr">
        <is>
          <t>https://www.ggmgastro.com/cs-cz-czk/krajeci-deska-en-250x400-dle-haccp-bila-sbp25w</t>
        </is>
      </c>
      <c r="G46" s="4" t="n">
        <v>437.86</v>
      </c>
      <c r="H46" s="2" t="inlineStr">
        <is>
          <t>CZK</t>
        </is>
      </c>
      <c r="I46" s="2" t="inlineStr">
        <is>
          <t>excl.</t>
        </is>
      </c>
      <c r="J46" s="5" t="n">
        <v>0.19</v>
      </c>
      <c r="K46" s="2" t="n">
        <v>1</v>
      </c>
      <c r="L46" s="2" t="inlineStr">
        <is>
          <t>per piece</t>
        </is>
      </c>
      <c r="M46" s="4">
        <f>IF(OR(G46="",J46="",K46=""),"",ROUND(IF(I46="incl.",G46/(1+J46),G46)/IF(L46="per pack",K46,1),2))</f>
        <v/>
      </c>
      <c r="N46" s="2" t="inlineStr">
        <is>
          <t>APPROX</t>
        </is>
      </c>
      <c r="O46" s="2" t="inlineStr">
        <is>
          <t>Net CZK price as displayed; page footnote: "* čistá cena | hrubá cena vč. 19% DPH" (German VAT 19% used on the CZ storefront). Smallest HACCP board: 250 x 400 x 20 mm PE (vs 300 x 200 x 10). Gross 521.05 CZK.</t>
        </is>
      </c>
      <c r="P46" s="2" t="inlineStr">
        <is>
          <t>2026-09-30</t>
        </is>
      </c>
      <c r="Q46" s="2">
        <f>IFERROR(INDEX(Competitors!$N$2:$N$50,MATCH(C46,Competitors!$A$2:$A$50,0)),"no")</f>
        <v/>
      </c>
      <c r="R46" s="2">
        <f>IF(AND(Q46="yes",OR(N46="EXACT",N46="CLOSE"),ISNUMBER(M46)),"yes","no")</f>
        <v/>
      </c>
    </row>
    <row r="47">
      <c r="A47" s="2" t="n">
        <v>11</v>
      </c>
      <c r="B47" s="2" t="inlineStr">
        <is>
          <t>HACCP PE cutting board 300 x 200 x 10 mm</t>
        </is>
      </c>
      <c r="C47" s="2" t="inlineStr">
        <is>
          <t>Gastromania</t>
        </is>
      </c>
      <c r="D47" s="2" t="inlineStr">
        <is>
          <t>Prkénko na krájení s úchytem 30x20x1 cm, černé | HENDI, 826485</t>
        </is>
      </c>
      <c r="E47" s="2" t="inlineStr">
        <is>
          <t>Hendi</t>
        </is>
      </c>
      <c r="F47" s="3" t="inlineStr">
        <is>
          <t>https://www.gastromania.cz/plastove-krajeci-desky-haccp/prkenko-na-krajeni-s-uchytem-30x20x1-cm-cerne-hendi-826485</t>
        </is>
      </c>
      <c r="G47" s="4" t="n">
        <v>159</v>
      </c>
      <c r="H47" s="2" t="inlineStr">
        <is>
          <t>CZK</t>
        </is>
      </c>
      <c r="I47" s="2" t="inlineStr">
        <is>
          <t>excl.</t>
        </is>
      </c>
      <c r="J47" s="5" t="n">
        <v>0.21</v>
      </c>
      <c r="K47" s="2" t="n">
        <v>1</v>
      </c>
      <c r="L47" s="2" t="inlineStr">
        <is>
          <t>per piece</t>
        </is>
      </c>
      <c r="M47" s="4">
        <f>IF(OR(G47="",J47="",K47=""),"",ROUND(IF(I47="incl.",G47/(1+J47),G47)/IF(L47="per pack",K47,1),2))</f>
        <v/>
      </c>
      <c r="N47" s="2" t="inlineStr">
        <is>
          <t>CLOSE</t>
        </is>
      </c>
      <c r="O47" s="2" t="inlineStr">
        <is>
          <t>HDPE 300 x 200 x 10 mm with handle; black only (not HACCP colour set). 192 CZK incl. Parameter list says "cena za: sadu" (price per set) while title/description describe one board - unit unclear, treated as 1 piece.</t>
        </is>
      </c>
      <c r="P47" s="2" t="inlineStr">
        <is>
          <t>2026-09-30</t>
        </is>
      </c>
      <c r="Q47" s="2">
        <f>IFERROR(INDEX(Competitors!$N$2:$N$50,MATCH(C47,Competitors!$A$2:$A$50,0)),"no")</f>
        <v/>
      </c>
      <c r="R47" s="2">
        <f>IF(AND(Q47="yes",OR(N47="EXACT",N47="CLOSE"),ISNUMBER(M47)),"yes","no")</f>
        <v/>
      </c>
    </row>
    <row r="48">
      <c r="A48" s="2" t="n">
        <v>11</v>
      </c>
      <c r="B48" s="2" t="inlineStr">
        <is>
          <t>HACCP PE cutting board 300 x 200 x 10 mm</t>
        </is>
      </c>
      <c r="C48" s="2" t="inlineStr">
        <is>
          <t>Gastrozone</t>
        </is>
      </c>
      <c r="D48" s="2" t="inlineStr">
        <is>
          <t>Krájecí prkénko HENDI s rukojetí, 300 × 200 mm, bílé</t>
        </is>
      </c>
      <c r="E48" s="2" t="inlineStr">
        <is>
          <t>Hendi</t>
        </is>
      </c>
      <c r="F48" s="3" t="inlineStr">
        <is>
          <t>https://www.gastrozone.cz/viceucelove-krajeci-prkenko-s-rukojeti-hendi-bila-300x200mm-obdelnikove.html</t>
        </is>
      </c>
      <c r="G48" s="4" t="n">
        <v>183</v>
      </c>
      <c r="H48" s="2" t="inlineStr">
        <is>
          <t>CZK</t>
        </is>
      </c>
      <c r="I48" s="2" t="inlineStr">
        <is>
          <t>incl.</t>
        </is>
      </c>
      <c r="J48" s="5" t="n">
        <v>0.21</v>
      </c>
      <c r="K48" s="2" t="n">
        <v>1</v>
      </c>
      <c r="L48" s="2" t="inlineStr">
        <is>
          <t>per piece</t>
        </is>
      </c>
      <c r="M48" s="4">
        <f>IF(OR(G48="",J48="",K48=""),"",ROUND(IF(I48="incl.",G48/(1+J48),G48)/IF(L48="per pack",K48,1),2))</f>
        <v/>
      </c>
      <c r="N48" s="2" t="inlineStr">
        <is>
          <t>CLOSE</t>
        </is>
      </c>
      <c r="O48" s="2" t="inlineStr">
        <is>
          <t>HDPE 300 x 200 x 10 mm with integrated handle; only white/black (no full HACCP colour set). 151 CZK bez DPH.</t>
        </is>
      </c>
      <c r="P48" s="2" t="inlineStr">
        <is>
          <t>2026-09-30</t>
        </is>
      </c>
      <c r="Q48" s="2">
        <f>IFERROR(INDEX(Competitors!$N$2:$N$50,MATCH(C48,Competitors!$A$2:$A$50,0)),"no")</f>
        <v/>
      </c>
      <c r="R48" s="2">
        <f>IF(AND(Q48="yes",OR(N48="EXACT",N48="CLOSE"),ISNUMBER(M48)),"yes","no")</f>
        <v/>
      </c>
    </row>
    <row r="49">
      <c r="A49" s="2" t="n">
        <v>11</v>
      </c>
      <c r="B49" s="2" t="inlineStr">
        <is>
          <t>HACCP PE cutting board 300 x 200 x 10 mm</t>
        </is>
      </c>
      <c r="C49" s="2" t="inlineStr">
        <is>
          <t>TOMGAST</t>
        </is>
      </c>
      <c r="D49" s="2" t="inlineStr">
        <is>
          <t>Deska krájecí 20 × 30 × 1,2 cm</t>
        </is>
      </c>
      <c r="E49" s="2" t="inlineStr">
        <is>
          <t>TOMGAST</t>
        </is>
      </c>
      <c r="F49" s="3" t="inlineStr">
        <is>
          <t>https://www.tomgast.cz/deska-krajeci-20--30--1-2-cm/</t>
        </is>
      </c>
      <c r="G49" s="4" t="n">
        <v>115</v>
      </c>
      <c r="H49" s="2" t="inlineStr">
        <is>
          <t>CZK</t>
        </is>
      </c>
      <c r="I49" s="2" t="inlineStr">
        <is>
          <t>incl.</t>
        </is>
      </c>
      <c r="J49" s="5" t="n">
        <v>0.21</v>
      </c>
      <c r="K49" s="2" t="n">
        <v>1</v>
      </c>
      <c r="L49" s="2" t="inlineStr">
        <is>
          <t>per piece</t>
        </is>
      </c>
      <c r="M49" s="4">
        <f>IF(OR(G49="",J49="",K49=""),"",ROUND(IF(I49="incl.",G49/(1+J49),G49)/IF(L49="per pack",K49,1),2))</f>
        <v/>
      </c>
      <c r="N49" s="2" t="inlineStr">
        <is>
          <t>CLOSE</t>
        </is>
      </c>
      <c r="O49" s="2" t="inlineStr">
        <is>
          <t>PE 300 x 200 mm but 12 mm thick; white only (no colour range). 95 CZK bez DPH.</t>
        </is>
      </c>
      <c r="P49" s="2" t="inlineStr">
        <is>
          <t>2026-09-30</t>
        </is>
      </c>
      <c r="Q49" s="2">
        <f>IFERROR(INDEX(Competitors!$N$2:$N$50,MATCH(C49,Competitors!$A$2:$A$50,0)),"no")</f>
        <v/>
      </c>
      <c r="R49" s="2">
        <f>IF(AND(Q49="yes",OR(N49="EXACT",N49="CLOSE"),ISNUMBER(M49)),"yes","no")</f>
        <v/>
      </c>
    </row>
    <row r="50">
      <c r="A50" s="2" t="n">
        <v>12</v>
      </c>
      <c r="B50" s="2" t="inlineStr">
        <is>
          <t>Pizza dough proofing box 600 x 400 x 100 mm, polypropylene</t>
        </is>
      </c>
      <c r="C50" s="2" t="inlineStr">
        <is>
          <t>GGM Gastro (CZ storefront)</t>
        </is>
      </c>
      <c r="D50" s="2" t="inlineStr">
        <is>
          <t>(9 tlg) Přepravka na těsto-set - 8 nádob &amp; 1 víko - EN 600x400 - Výška: 100 mm - Polypropylen - bílá</t>
        </is>
      </c>
      <c r="E50" s="2" t="inlineStr">
        <is>
          <t>GGM</t>
        </is>
      </c>
      <c r="F50" s="3" t="inlineStr">
        <is>
          <t>https://www.ggmgastro.com/cs-cz-czk/9-tlg-prepravka-na-testo-set-8-nadob-und-1-viko-en-600x400-vyska-100-mm-polypropylen-bila-tbpp6410</t>
        </is>
      </c>
      <c r="G50" s="4" t="n">
        <v>2044.23</v>
      </c>
      <c r="H50" s="2" t="inlineStr">
        <is>
          <t>CZK</t>
        </is>
      </c>
      <c r="I50" s="2" t="inlineStr">
        <is>
          <t>excl.</t>
        </is>
      </c>
      <c r="J50" s="5" t="n">
        <v>0.19</v>
      </c>
      <c r="K50" s="2" t="n">
        <v>8</v>
      </c>
      <c r="L50" s="2" t="inlineStr">
        <is>
          <t>per pack</t>
        </is>
      </c>
      <c r="M50" s="4">
        <f>IF(OR(G50="",J50="",K50=""),"",ROUND(IF(I50="incl.",G50/(1+J50),G50)/IF(L50="per pack",K50,1),2))</f>
        <v/>
      </c>
      <c r="N50" s="2" t="inlineStr">
        <is>
          <t>CLOSE</t>
        </is>
      </c>
      <c r="O50" s="2" t="inlineStr">
        <is>
          <t>Net CZK price as displayed; page footnote: "* čistá cena | hrubá cena vč. 19% DPH" (German VAT 19% used on the CZ storefront). SKU TBPP6410: set of 8 PP boxes 600x400x100 + 1 lid (not sold singly); per-piece value = set price / 8 boxes and therefore includes the lid - flagged. Gross 2,432.63 CZK.</t>
        </is>
      </c>
      <c r="P50" s="2" t="inlineStr">
        <is>
          <t>2026-09-30</t>
        </is>
      </c>
      <c r="Q50" s="2">
        <f>IFERROR(INDEX(Competitors!$N$2:$N$50,MATCH(C50,Competitors!$A$2:$A$50,0)),"no")</f>
        <v/>
      </c>
      <c r="R50" s="2">
        <f>IF(AND(Q50="yes",OR(N50="EXACT",N50="CLOSE"),ISNUMBER(M50)),"yes","no")</f>
        <v/>
      </c>
    </row>
    <row r="51">
      <c r="A51" s="2" t="n">
        <v>12</v>
      </c>
      <c r="B51" s="2" t="inlineStr">
        <is>
          <t>Pizza dough proofing box 600 x 400 x 100 mm, polypropylene</t>
        </is>
      </c>
      <c r="C51" s="2" t="inlineStr">
        <is>
          <t>Gastro Novotný</t>
        </is>
      </c>
      <c r="D51" s="2" t="inlineStr">
        <is>
          <t>Přepravka na pizzu 60x40x9cm</t>
        </is>
      </c>
      <c r="E51" s="2" t="inlineStr"/>
      <c r="F51" s="3" t="inlineStr">
        <is>
          <t>https://eshop.gastronovotny.cz/prepravka-na-pizzu-60x40x9cm--1841762-09/</t>
        </is>
      </c>
      <c r="G51" s="4" t="n">
        <v>390</v>
      </c>
      <c r="H51" s="2" t="inlineStr">
        <is>
          <t>CZK</t>
        </is>
      </c>
      <c r="I51" s="2" t="inlineStr">
        <is>
          <t>excl.</t>
        </is>
      </c>
      <c r="J51" s="5" t="n">
        <v>0.21</v>
      </c>
      <c r="K51" s="2" t="n">
        <v>1</v>
      </c>
      <c r="L51" s="2" t="inlineStr">
        <is>
          <t>per piece</t>
        </is>
      </c>
      <c r="M51" s="4">
        <f>IF(OR(G51="",J51="",K51=""),"",ROUND(IF(I51="incl.",G51/(1+J51),G51)/IF(L51="per pack",K51,1),2))</f>
        <v/>
      </c>
      <c r="N51" s="2" t="inlineStr">
        <is>
          <t>CLOSE</t>
        </is>
      </c>
      <c r="O51" s="2" t="inlineStr">
        <is>
          <t>600 x 400 x 90 mm (not 100 mm); material NOT stated on page (flagged). 471.90 CZK incl. VAT. Availability "Na dotaz". No lid listed.</t>
        </is>
      </c>
      <c r="P51" s="2" t="inlineStr">
        <is>
          <t>2026-09-30</t>
        </is>
      </c>
      <c r="Q51" s="2">
        <f>IFERROR(INDEX(Competitors!$N$2:$N$50,MATCH(C51,Competitors!$A$2:$A$50,0)),"no")</f>
        <v/>
      </c>
      <c r="R51" s="2">
        <f>IF(AND(Q51="yes",OR(N51="EXACT",N51="CLOSE"),ISNUMBER(M51)),"yes","no")</f>
        <v/>
      </c>
    </row>
    <row r="52">
      <c r="A52" s="2" t="n">
        <v>12</v>
      </c>
      <c r="B52" s="2" t="inlineStr">
        <is>
          <t>Pizza dough proofing box 600 x 400 x 100 mm, polypropylene</t>
        </is>
      </c>
      <c r="C52" s="2" t="inlineStr">
        <is>
          <t>Gastromania</t>
        </is>
      </c>
      <c r="D52" s="2" t="inlineStr">
        <is>
          <t>Nádoba na těsto na pizzu, polyetylenová, 600x400x100 mm | STALGAST, 563410</t>
        </is>
      </c>
      <c r="E52" s="2" t="inlineStr">
        <is>
          <t>Stalgast</t>
        </is>
      </c>
      <c r="F52" s="3" t="inlineStr">
        <is>
          <t>https://www.gastromania.cz/kose-na-pizza-testo/nadoba-na-testo-na-pizzu-polyetylenova-600x400x100-mm-stalgast-563410</t>
        </is>
      </c>
      <c r="G52" s="4" t="n">
        <v>463</v>
      </c>
      <c r="H52" s="2" t="inlineStr">
        <is>
          <t>CZK</t>
        </is>
      </c>
      <c r="I52" s="2" t="inlineStr">
        <is>
          <t>excl.</t>
        </is>
      </c>
      <c r="J52" s="5" t="n">
        <v>0.21</v>
      </c>
      <c r="K52" s="2" t="n">
        <v>1</v>
      </c>
      <c r="L52" s="2" t="inlineStr">
        <is>
          <t>per piece</t>
        </is>
      </c>
      <c r="M52" s="4">
        <f>IF(OR(G52="",J52="",K52=""),"",ROUND(IF(I52="incl.",G52/(1+J52),G52)/IF(L52="per pack",K52,1),2))</f>
        <v/>
      </c>
      <c r="N52" s="2" t="inlineStr">
        <is>
          <t>CLOSE</t>
        </is>
      </c>
      <c r="O52" s="2" t="inlineStr">
        <is>
          <t>600 x 400 x 100 mm; material conflicting: title says polyethylene, parameters say polypropylene (flagged). 560 CZK incl.; in stock.</t>
        </is>
      </c>
      <c r="P52" s="2" t="inlineStr">
        <is>
          <t>2026-09-30</t>
        </is>
      </c>
      <c r="Q52" s="2">
        <f>IFERROR(INDEX(Competitors!$N$2:$N$50,MATCH(C52,Competitors!$A$2:$A$50,0)),"no")</f>
        <v/>
      </c>
      <c r="R52" s="2">
        <f>IF(AND(Q52="yes",OR(N52="EXACT",N52="CLOSE"),ISNUMBER(M52)),"yes","no")</f>
        <v/>
      </c>
    </row>
    <row r="53">
      <c r="A53" s="2" t="n">
        <v>12</v>
      </c>
      <c r="B53" s="2" t="inlineStr">
        <is>
          <t>Pizza dough proofing box 600 x 400 x 100 mm, polypropylene</t>
        </is>
      </c>
      <c r="C53" s="2" t="inlineStr">
        <is>
          <t>Gastrozone</t>
        </is>
      </c>
      <c r="D53" s="2" t="inlineStr">
        <is>
          <t>Araven Pizzabox na těsto PP, polypropylen, výška: 100 mm, délka: 600 mm, šířka: 400 mm</t>
        </is>
      </c>
      <c r="E53" s="2" t="inlineStr">
        <is>
          <t>Araven</t>
        </is>
      </c>
      <c r="F53" s="3" t="inlineStr">
        <is>
          <t>https://www.gastrozone.cz/araven-pizzabox-pp-vyska-100-mm-delka-600-mm-sirka-400-mm.html</t>
        </is>
      </c>
      <c r="G53" s="4" t="n">
        <v>546</v>
      </c>
      <c r="H53" s="2" t="inlineStr">
        <is>
          <t>CZK</t>
        </is>
      </c>
      <c r="I53" s="2" t="inlineStr">
        <is>
          <t>incl.</t>
        </is>
      </c>
      <c r="J53" s="5" t="n">
        <v>0.21</v>
      </c>
      <c r="K53" s="2" t="n">
        <v>1</v>
      </c>
      <c r="L53" s="2" t="inlineStr">
        <is>
          <t>per piece</t>
        </is>
      </c>
      <c r="M53" s="4">
        <f>IF(OR(G53="",J53="",K53=""),"",ROUND(IF(I53="incl.",G53/(1+J53),G53)/IF(L53="per pack",K53,1),2))</f>
        <v/>
      </c>
      <c r="N53" s="2" t="inlineStr">
        <is>
          <t>EXACT</t>
        </is>
      </c>
      <c r="O53" s="2" t="inlineStr">
        <is>
          <t>451 CZK bez DPH</t>
        </is>
      </c>
      <c r="P53" s="2" t="inlineStr">
        <is>
          <t>2026-09-30</t>
        </is>
      </c>
      <c r="Q53" s="2">
        <f>IFERROR(INDEX(Competitors!$N$2:$N$50,MATCH(C53,Competitors!$A$2:$A$50,0)),"no")</f>
        <v/>
      </c>
      <c r="R53" s="2">
        <f>IF(AND(Q53="yes",OR(N53="EXACT",N53="CLOSE"),ISNUMBER(M53)),"yes","no")</f>
        <v/>
      </c>
    </row>
    <row r="54">
      <c r="A54" s="2" t="n">
        <v>12</v>
      </c>
      <c r="B54" s="2" t="inlineStr">
        <is>
          <t>Pizza dough proofing box 600 x 400 x 100 mm, polypropylene</t>
        </is>
      </c>
      <c r="C54" s="2" t="inlineStr">
        <is>
          <t>TOMGAST</t>
        </is>
      </c>
      <c r="D54" s="2" t="inlineStr">
        <is>
          <t>Přepravka na pizzu 60 × 40 × 7,5 cm</t>
        </is>
      </c>
      <c r="E54" s="2" t="inlineStr">
        <is>
          <t>TOMGAST</t>
        </is>
      </c>
      <c r="F54" s="3" t="inlineStr">
        <is>
          <t>https://www.tomgast.cz/prepravka-na-pizzu-60--40--7-5-cm/</t>
        </is>
      </c>
      <c r="G54" s="4" t="n">
        <v>339</v>
      </c>
      <c r="H54" s="2" t="inlineStr">
        <is>
          <t>CZK</t>
        </is>
      </c>
      <c r="I54" s="2" t="inlineStr">
        <is>
          <t>incl.</t>
        </is>
      </c>
      <c r="J54" s="5" t="n">
        <v>0.21</v>
      </c>
      <c r="K54" s="2" t="n">
        <v>1</v>
      </c>
      <c r="L54" s="2" t="inlineStr">
        <is>
          <t>per piece</t>
        </is>
      </c>
      <c r="M54" s="4">
        <f>IF(OR(G54="",J54="",K54=""),"",ROUND(IF(I54="incl.",G54/(1+J54),G54)/IF(L54="per pack",K54,1),2))</f>
        <v/>
      </c>
      <c r="N54" s="2" t="inlineStr">
        <is>
          <t>APPROX</t>
        </is>
      </c>
      <c r="O54" s="2" t="inlineStr">
        <is>
          <t>PP dough box but 75 mm deep, not 100 mm (15 l). Parameter table inconsistently says 60 x 40 x 2 cm. 280 CZK bez DPH. Lid sold separately.</t>
        </is>
      </c>
      <c r="P54" s="2" t="inlineStr">
        <is>
          <t>2026-09-30</t>
        </is>
      </c>
      <c r="Q54" s="2">
        <f>IFERROR(INDEX(Competitors!$N$2:$N$50,MATCH(C54,Competitors!$A$2:$A$50,0)),"no")</f>
        <v/>
      </c>
      <c r="R54" s="2">
        <f>IF(AND(Q54="yes",OR(N54="EXACT",N54="CLOSE"),ISNUMBER(M54)),"yes","no")</f>
        <v/>
      </c>
    </row>
    <row r="55">
      <c r="A55" s="2" t="n">
        <v>13</v>
      </c>
      <c r="B55" s="2" t="inlineStr">
        <is>
          <t>Lid for 600 x 400 mm dough box</t>
        </is>
      </c>
      <c r="C55" s="2" t="inlineStr">
        <is>
          <t>Gastromania</t>
        </is>
      </c>
      <c r="D55" s="2" t="inlineStr">
        <is>
          <t>Víko k přepravce na pizzu 60x40 cm | TOM-GAST, ZT-6040-1</t>
        </is>
      </c>
      <c r="E55" s="2" t="inlineStr">
        <is>
          <t>TOMGAST</t>
        </is>
      </c>
      <c r="F55" s="3" t="inlineStr">
        <is>
          <t>https://www.gastromania.cz/vika-na-kose-na-testo/viko-k-prepravce-na-pizzu-60x40-cm-tom-gast-zt-6040-1</t>
        </is>
      </c>
      <c r="G55" s="4" t="n">
        <v>195</v>
      </c>
      <c r="H55" s="2" t="inlineStr">
        <is>
          <t>CZK</t>
        </is>
      </c>
      <c r="I55" s="2" t="inlineStr">
        <is>
          <t>excl.</t>
        </is>
      </c>
      <c r="J55" s="5" t="n">
        <v>0.21</v>
      </c>
      <c r="K55" s="2" t="n">
        <v>1</v>
      </c>
      <c r="L55" s="2" t="inlineStr">
        <is>
          <t>per piece</t>
        </is>
      </c>
      <c r="M55" s="4">
        <f>IF(OR(G55="",J55="",K55=""),"",ROUND(IF(I55="incl.",G55/(1+J55),G55)/IF(L55="per pack",K55,1),2))</f>
        <v/>
      </c>
      <c r="N55" s="2" t="inlineStr">
        <is>
          <t>EXACT</t>
        </is>
      </c>
      <c r="O55" s="2" t="inlineStr">
        <is>
          <t>Lid for 600x400 dough box; 236 CZK incl. (same item/price as tomgast.cz).</t>
        </is>
      </c>
      <c r="P55" s="2" t="inlineStr">
        <is>
          <t>2026-09-30</t>
        </is>
      </c>
      <c r="Q55" s="2">
        <f>IFERROR(INDEX(Competitors!$N$2:$N$50,MATCH(C55,Competitors!$A$2:$A$50,0)),"no")</f>
        <v/>
      </c>
      <c r="R55" s="2">
        <f>IF(AND(Q55="yes",OR(N55="EXACT",N55="CLOSE"),ISNUMBER(M55)),"yes","no")</f>
        <v/>
      </c>
    </row>
    <row r="56">
      <c r="A56" s="2" t="n">
        <v>13</v>
      </c>
      <c r="B56" s="2" t="inlineStr">
        <is>
          <t>Lid for 600 x 400 mm dough box</t>
        </is>
      </c>
      <c r="C56" s="2" t="inlineStr">
        <is>
          <t>Gastrozone</t>
        </is>
      </c>
      <c r="D56" s="2" t="inlineStr">
        <is>
          <t>Araven Víko na pizzabox na těsto PP, polypropylen, délka: 600 mm, šířka: 400 mm</t>
        </is>
      </c>
      <c r="E56" s="2" t="inlineStr">
        <is>
          <t>Araven</t>
        </is>
      </c>
      <c r="F56" s="3" t="inlineStr">
        <is>
          <t>https://www.gastrozone.cz/araven-viko-k-pizzove-krabici-z-pp-delka-600-mm-sirka-400-mm.html</t>
        </is>
      </c>
      <c r="G56" s="4" t="n">
        <v>324</v>
      </c>
      <c r="H56" s="2" t="inlineStr">
        <is>
          <t>CZK</t>
        </is>
      </c>
      <c r="I56" s="2" t="inlineStr">
        <is>
          <t>incl.</t>
        </is>
      </c>
      <c r="J56" s="5" t="n">
        <v>0.21</v>
      </c>
      <c r="K56" s="2" t="n">
        <v>1</v>
      </c>
      <c r="L56" s="2" t="inlineStr">
        <is>
          <t>per piece</t>
        </is>
      </c>
      <c r="M56" s="4">
        <f>IF(OR(G56="",J56="",K56=""),"",ROUND(IF(I56="incl.",G56/(1+J56),G56)/IF(L56="per pack",K56,1),2))</f>
        <v/>
      </c>
      <c r="N56" s="2" t="inlineStr">
        <is>
          <t>EXACT</t>
        </is>
      </c>
      <c r="O56" s="2" t="inlineStr">
        <is>
          <t>268 CZK bez DPH. Cheaper AmerBox 600x400 lid 228 CZK.</t>
        </is>
      </c>
      <c r="P56" s="2" t="inlineStr">
        <is>
          <t>2026-09-30</t>
        </is>
      </c>
      <c r="Q56" s="2">
        <f>IFERROR(INDEX(Competitors!$N$2:$N$50,MATCH(C56,Competitors!$A$2:$A$50,0)),"no")</f>
        <v/>
      </c>
      <c r="R56" s="2">
        <f>IF(AND(Q56="yes",OR(N56="EXACT",N56="CLOSE"),ISNUMBER(M56)),"yes","no")</f>
        <v/>
      </c>
    </row>
    <row r="57">
      <c r="A57" s="2" t="n">
        <v>13</v>
      </c>
      <c r="B57" s="2" t="inlineStr">
        <is>
          <t>Lid for 600 x 400 mm dough box</t>
        </is>
      </c>
      <c r="C57" s="2" t="inlineStr">
        <is>
          <t>TOMGAST</t>
        </is>
      </c>
      <c r="D57" s="2" t="inlineStr">
        <is>
          <t>Víko k přepravce na pizzu 60 × 40 cm</t>
        </is>
      </c>
      <c r="E57" s="2" t="inlineStr">
        <is>
          <t>TOMGAST</t>
        </is>
      </c>
      <c r="F57" s="3" t="inlineStr">
        <is>
          <t>https://www.tomgast.cz/viko-k-prepravce-na-pizzu-60--40-cm/</t>
        </is>
      </c>
      <c r="G57" s="4" t="n">
        <v>236</v>
      </c>
      <c r="H57" s="2" t="inlineStr">
        <is>
          <t>CZK</t>
        </is>
      </c>
      <c r="I57" s="2" t="inlineStr">
        <is>
          <t>incl.</t>
        </is>
      </c>
      <c r="J57" s="5" t="n">
        <v>0.21</v>
      </c>
      <c r="K57" s="2" t="n">
        <v>1</v>
      </c>
      <c r="L57" s="2" t="inlineStr">
        <is>
          <t>per piece</t>
        </is>
      </c>
      <c r="M57" s="4">
        <f>IF(OR(G57="",J57="",K57=""),"",ROUND(IF(I57="incl.",G57/(1+J57),G57)/IF(L57="per pack",K57,1),2))</f>
        <v/>
      </c>
      <c r="N57" s="2" t="inlineStr">
        <is>
          <t>EXACT</t>
        </is>
      </c>
      <c r="O57" s="2" t="inlineStr">
        <is>
          <t>Lid for ZT-6040 dough box; material "plast". 195 CZK bez DPH.</t>
        </is>
      </c>
      <c r="P57" s="2" t="inlineStr">
        <is>
          <t>2026-09-30</t>
        </is>
      </c>
      <c r="Q57" s="2">
        <f>IFERROR(INDEX(Competitors!$N$2:$N$50,MATCH(C57,Competitors!$A$2:$A$50,0)),"no")</f>
        <v/>
      </c>
      <c r="R57" s="2">
        <f>IF(AND(Q57="yes",OR(N57="EXACT",N57="CLOSE"),ISNUMBER(M57)),"yes","no")</f>
        <v/>
      </c>
    </row>
    <row r="58">
      <c r="A58" s="2" t="n">
        <v>14</v>
      </c>
      <c r="B58" s="2" t="inlineStr">
        <is>
          <t>Pizza dough proofing box 600 x 400 x 75 mm, polyethylene</t>
        </is>
      </c>
      <c r="C58" s="2" t="inlineStr">
        <is>
          <t>GGM Gastro (CZ storefront)</t>
        </is>
      </c>
      <c r="D58" s="2" t="inlineStr">
        <is>
          <t>(9 tlg) Přepravka na těsto-set - 8 nádob &amp; 1 víko - EN 600x400 - Výška: 75 mm - Polypropylen - bílá</t>
        </is>
      </c>
      <c r="E58" s="2" t="inlineStr">
        <is>
          <t>GGM</t>
        </is>
      </c>
      <c r="F58" s="3" t="inlineStr">
        <is>
          <t>https://www.ggmgastro.com/cs-cz-czk/9-tlg-prepravka-na-testo-set-8-nadob-und-1-viko-en-600x400-vyska-75-mm-polypropylen-bila-tbpp647</t>
        </is>
      </c>
      <c r="G58" s="4" t="n">
        <v>1752.16</v>
      </c>
      <c r="H58" s="2" t="inlineStr">
        <is>
          <t>CZK</t>
        </is>
      </c>
      <c r="I58" s="2" t="inlineStr">
        <is>
          <t>excl.</t>
        </is>
      </c>
      <c r="J58" s="5" t="n">
        <v>0.19</v>
      </c>
      <c r="K58" s="2" t="n">
        <v>8</v>
      </c>
      <c r="L58" s="2" t="inlineStr">
        <is>
          <t>per pack</t>
        </is>
      </c>
      <c r="M58" s="4">
        <f>IF(OR(G58="",J58="",K58=""),"",ROUND(IF(I58="incl.",G58/(1+J58),G58)/IF(L58="per pack",K58,1),2))</f>
        <v/>
      </c>
      <c r="N58" s="2" t="inlineStr">
        <is>
          <t>CLOSE</t>
        </is>
      </c>
      <c r="O58" s="2" t="inlineStr">
        <is>
          <t>Net CZK price as displayed; page footnote: "* čistá cena | hrubá cena vč. 19% DPH" (German VAT 19% used on the CZ storefront). SKU TBPP647: set of 8 boxes 600x400x75 + 1 lid; polypropylene, not polyethylene; per-piece = set / 8 (includes lid) - flagged. Gross 2,085.07 CZK. Alternative 8-pack TBP647 (70 mm, no lid) 1,873.86 CZK.</t>
        </is>
      </c>
      <c r="P58" s="2" t="inlineStr">
        <is>
          <t>2026-09-30</t>
        </is>
      </c>
      <c r="Q58" s="2">
        <f>IFERROR(INDEX(Competitors!$N$2:$N$50,MATCH(C58,Competitors!$A$2:$A$50,0)),"no")</f>
        <v/>
      </c>
      <c r="R58" s="2">
        <f>IF(AND(Q58="yes",OR(N58="EXACT",N58="CLOSE"),ISNUMBER(M58)),"yes","no")</f>
        <v/>
      </c>
    </row>
    <row r="59">
      <c r="A59" s="2" t="n">
        <v>14</v>
      </c>
      <c r="B59" s="2" t="inlineStr">
        <is>
          <t>Pizza dough proofing box 600 x 400 x 75 mm, polyethylene</t>
        </is>
      </c>
      <c r="C59" s="2" t="inlineStr">
        <is>
          <t>Gastro Novotný</t>
        </is>
      </c>
      <c r="D59" s="2" t="inlineStr">
        <is>
          <t>Přepravka na pizzu 60x40x9cm</t>
        </is>
      </c>
      <c r="E59" s="2" t="inlineStr"/>
      <c r="F59" s="3" t="inlineStr">
        <is>
          <t>https://eshop.gastronovotny.cz/prepravka-na-pizzu-60x40x9cm--1841762-09/</t>
        </is>
      </c>
      <c r="G59" s="4" t="n">
        <v>390</v>
      </c>
      <c r="H59" s="2" t="inlineStr">
        <is>
          <t>CZK</t>
        </is>
      </c>
      <c r="I59" s="2" t="inlineStr">
        <is>
          <t>excl.</t>
        </is>
      </c>
      <c r="J59" s="5" t="n">
        <v>0.21</v>
      </c>
      <c r="K59" s="2" t="n">
        <v>1</v>
      </c>
      <c r="L59" s="2" t="inlineStr">
        <is>
          <t>per piece</t>
        </is>
      </c>
      <c r="M59" s="4">
        <f>IF(OR(G59="",J59="",K59=""),"",ROUND(IF(I59="incl.",G59/(1+J59),G59)/IF(L59="per pack",K59,1),2))</f>
        <v/>
      </c>
      <c r="N59" s="2" t="inlineStr">
        <is>
          <t>APPROX</t>
        </is>
      </c>
      <c r="O59" s="2" t="inlineStr">
        <is>
          <t>90 mm deep instead of 75 mm and material not stated. 471.90 CZK incl. VAT.</t>
        </is>
      </c>
      <c r="P59" s="2" t="inlineStr">
        <is>
          <t>2026-09-30</t>
        </is>
      </c>
      <c r="Q59" s="2">
        <f>IFERROR(INDEX(Competitors!$N$2:$N$50,MATCH(C59,Competitors!$A$2:$A$50,0)),"no")</f>
        <v/>
      </c>
      <c r="R59" s="2">
        <f>IF(AND(Q59="yes",OR(N59="EXACT",N59="CLOSE"),ISNUMBER(M59)),"yes","no")</f>
        <v/>
      </c>
    </row>
    <row r="60">
      <c r="A60" s="2" t="n">
        <v>14</v>
      </c>
      <c r="B60" s="2" t="inlineStr">
        <is>
          <t>Pizza dough proofing box 600 x 400 x 75 mm, polyethylene</t>
        </is>
      </c>
      <c r="C60" s="2" t="inlineStr">
        <is>
          <t>Gastromania</t>
        </is>
      </c>
      <c r="D60" s="2" t="inlineStr">
        <is>
          <t>Nádoba na pizza těsto 600x400x75 mm | CONTACTO, 2510/600</t>
        </is>
      </c>
      <c r="E60" s="2" t="inlineStr">
        <is>
          <t>Contacto</t>
        </is>
      </c>
      <c r="F60" s="3" t="inlineStr">
        <is>
          <t>https://www.gastromania.cz/kose-na-pizza-testo/nadoba-na-pizza-testo-600x400x75-mm-contacto-2510-600</t>
        </is>
      </c>
      <c r="G60" s="4" t="n">
        <v>391</v>
      </c>
      <c r="H60" s="2" t="inlineStr">
        <is>
          <t>CZK</t>
        </is>
      </c>
      <c r="I60" s="2" t="inlineStr">
        <is>
          <t>excl.</t>
        </is>
      </c>
      <c r="J60" s="5" t="n">
        <v>0.21</v>
      </c>
      <c r="K60" s="2" t="n">
        <v>1</v>
      </c>
      <c r="L60" s="2" t="inlineStr">
        <is>
          <t>per piece</t>
        </is>
      </c>
      <c r="M60" s="4">
        <f>IF(OR(G60="",J60="",K60=""),"",ROUND(IF(I60="incl.",G60/(1+J60),G60)/IF(L60="per pack",K60,1),2))</f>
        <v/>
      </c>
      <c r="N60" s="2" t="inlineStr">
        <is>
          <t>EXACT</t>
        </is>
      </c>
      <c r="O60" s="2" t="inlineStr">
        <is>
          <t>PE, 600 x 400 x 75 mm; 473 CZK incl.; discounted from 434 excl. / 526 incl.; availability 30 days.</t>
        </is>
      </c>
      <c r="P60" s="2" t="inlineStr">
        <is>
          <t>2026-09-30</t>
        </is>
      </c>
      <c r="Q60" s="2">
        <f>IFERROR(INDEX(Competitors!$N$2:$N$50,MATCH(C60,Competitors!$A$2:$A$50,0)),"no")</f>
        <v/>
      </c>
      <c r="R60" s="2">
        <f>IF(AND(Q60="yes",OR(N60="EXACT",N60="CLOSE"),ISNUMBER(M60)),"yes","no")</f>
        <v/>
      </c>
    </row>
    <row r="61">
      <c r="A61" s="2" t="n">
        <v>14</v>
      </c>
      <c r="B61" s="2" t="inlineStr">
        <is>
          <t>Pizza dough proofing box 600 x 400 x 75 mm, polyethylene</t>
        </is>
      </c>
      <c r="C61" s="2" t="inlineStr">
        <is>
          <t>Gastrozone</t>
        </is>
      </c>
      <c r="D61" s="2" t="inlineStr">
        <is>
          <t>Nádoba AmerBox Kitchen Line na pizza těsto, 600 × 400 mm, 14 l</t>
        </is>
      </c>
      <c r="E61" s="2" t="inlineStr">
        <is>
          <t>AmerBox (Hendi)</t>
        </is>
      </c>
      <c r="F61" s="3" t="inlineStr">
        <is>
          <t>https://www.gastrozone.cz/nadoba-na-pizza-testo-600x400-amerbox-kitchen-line-14l-600x400x-h-75mm.html</t>
        </is>
      </c>
      <c r="G61" s="4" t="n">
        <v>285</v>
      </c>
      <c r="H61" s="2" t="inlineStr">
        <is>
          <t>CZK</t>
        </is>
      </c>
      <c r="I61" s="2" t="inlineStr">
        <is>
          <t>incl.</t>
        </is>
      </c>
      <c r="J61" s="5" t="n">
        <v>0.21</v>
      </c>
      <c r="K61" s="2" t="n">
        <v>1</v>
      </c>
      <c r="L61" s="2" t="inlineStr">
        <is>
          <t>per piece</t>
        </is>
      </c>
      <c r="M61" s="4">
        <f>IF(OR(G61="",J61="",K61=""),"",ROUND(IF(I61="incl.",G61/(1+J61),G61)/IF(L61="per pack",K61,1),2))</f>
        <v/>
      </c>
      <c r="N61" s="2" t="inlineStr">
        <is>
          <t>CLOSE</t>
        </is>
      </c>
      <c r="O61" s="2" t="inlineStr">
        <is>
          <t>600 x 400 x 75 mm, 14 l, but PET (polyethylene terephthalate), not PE. 236 CZK bez DPH.</t>
        </is>
      </c>
      <c r="P61" s="2" t="inlineStr">
        <is>
          <t>2026-09-30</t>
        </is>
      </c>
      <c r="Q61" s="2">
        <f>IFERROR(INDEX(Competitors!$N$2:$N$50,MATCH(C61,Competitors!$A$2:$A$50,0)),"no")</f>
        <v/>
      </c>
      <c r="R61" s="2">
        <f>IF(AND(Q61="yes",OR(N61="EXACT",N61="CLOSE"),ISNUMBER(M61)),"yes","no")</f>
        <v/>
      </c>
    </row>
    <row r="62">
      <c r="A62" s="2" t="n">
        <v>14</v>
      </c>
      <c r="B62" s="2" t="inlineStr">
        <is>
          <t>Pizza dough proofing box 600 x 400 x 75 mm, polyethylene</t>
        </is>
      </c>
      <c r="C62" s="2" t="inlineStr">
        <is>
          <t>TOMGAST</t>
        </is>
      </c>
      <c r="D62" s="2" t="inlineStr">
        <is>
          <t>Přepravka na pizzu 60 × 40 × 7,5 cm</t>
        </is>
      </c>
      <c r="E62" s="2" t="inlineStr">
        <is>
          <t>TOMGAST</t>
        </is>
      </c>
      <c r="F62" s="3" t="inlineStr">
        <is>
          <t>https://www.tomgast.cz/prepravka-na-pizzu-60--40--7-5-cm/</t>
        </is>
      </c>
      <c r="G62" s="4" t="n">
        <v>339</v>
      </c>
      <c r="H62" s="2" t="inlineStr">
        <is>
          <t>CZK</t>
        </is>
      </c>
      <c r="I62" s="2" t="inlineStr">
        <is>
          <t>incl.</t>
        </is>
      </c>
      <c r="J62" s="5" t="n">
        <v>0.21</v>
      </c>
      <c r="K62" s="2" t="n">
        <v>1</v>
      </c>
      <c r="L62" s="2" t="inlineStr">
        <is>
          <t>per piece</t>
        </is>
      </c>
      <c r="M62" s="4">
        <f>IF(OR(G62="",J62="",K62=""),"",ROUND(IF(I62="incl.",G62/(1+J62),G62)/IF(L62="per pack",K62,1),2))</f>
        <v/>
      </c>
      <c r="N62" s="2" t="inlineStr">
        <is>
          <t>CLOSE</t>
        </is>
      </c>
      <c r="O62" s="2" t="inlineStr">
        <is>
          <t>600 x 400 x 75 mm but polypropylene, not polyethylene. 280 CZK bez DPH.</t>
        </is>
      </c>
      <c r="P62" s="2" t="inlineStr">
        <is>
          <t>2026-09-30</t>
        </is>
      </c>
      <c r="Q62" s="2">
        <f>IFERROR(INDEX(Competitors!$N$2:$N$50,MATCH(C62,Competitors!$A$2:$A$50,0)),"no")</f>
        <v/>
      </c>
      <c r="R62" s="2">
        <f>IF(AND(Q62="yes",OR(N62="EXACT",N62="CLOSE"),ISNUMBER(M62)),"yes","no")</f>
        <v/>
      </c>
    </row>
    <row r="63">
      <c r="A63" s="2" t="n">
        <v>15</v>
      </c>
      <c r="B63" s="2" t="inlineStr">
        <is>
          <t>Front-loading insulated thermobox for GN 1/1, approx. 80-90 l</t>
        </is>
      </c>
      <c r="C63" s="2" t="inlineStr">
        <is>
          <t>GGM Gastro (CZ storefront)</t>
        </is>
      </c>
      <c r="D63" s="2" t="inlineStr">
        <is>
          <t>CAMBRO | CAM GOBOX - Termobox - Frontloader s předním plněním GN 1/1 - černý</t>
        </is>
      </c>
      <c r="E63" s="2" t="inlineStr">
        <is>
          <t>Cambro</t>
        </is>
      </c>
      <c r="F63" s="3" t="inlineStr">
        <is>
          <t>https://www.ggmgastro.com/cs-cz-czk/cambro-cam-gobox-r-termobox-frontloader-s-prednim-plnenim-gn-1-1-cerny-epp400110</t>
        </is>
      </c>
      <c r="G63" s="4" t="n">
        <v>4088.71</v>
      </c>
      <c r="H63" s="2" t="inlineStr">
        <is>
          <t>CZK</t>
        </is>
      </c>
      <c r="I63" s="2" t="inlineStr">
        <is>
          <t>excl.</t>
        </is>
      </c>
      <c r="J63" s="5" t="n">
        <v>0.19</v>
      </c>
      <c r="K63" s="2" t="n">
        <v>1</v>
      </c>
      <c r="L63" s="2" t="inlineStr">
        <is>
          <t>per piece</t>
        </is>
      </c>
      <c r="M63" s="4">
        <f>IF(OR(G63="",J63="",K63=""),"",ROUND(IF(I63="incl.",G63/(1+J63),G63)/IF(L63="per pack",K63,1),2))</f>
        <v/>
      </c>
      <c r="N63" s="2" t="inlineStr">
        <is>
          <t>EXACT</t>
        </is>
      </c>
      <c r="O63" s="2" t="inlineStr">
        <is>
          <t>Net CZK price as displayed; page footnote: "* čistá cena | hrubá cena vč. 19% DPH" (German VAT 19% used on the CZ storefront). SKU EPP400110, EPP, 86 l, front loading. Gross 4,865.56 CZK; in stock 3-5 days. Alternative Porter PLB-300 83 l: 6,936.37 CZK.</t>
        </is>
      </c>
      <c r="P63" s="2" t="inlineStr">
        <is>
          <t>2026-09-30</t>
        </is>
      </c>
      <c r="Q63" s="2">
        <f>IFERROR(INDEX(Competitors!$N$2:$N$50,MATCH(C63,Competitors!$A$2:$A$50,0)),"no")</f>
        <v/>
      </c>
      <c r="R63" s="2">
        <f>IF(AND(Q63="yes",OR(N63="EXACT",N63="CLOSE"),ISNUMBER(M63)),"yes","no")</f>
        <v/>
      </c>
    </row>
    <row r="64">
      <c r="A64" s="2" t="n">
        <v>15</v>
      </c>
      <c r="B64" s="2" t="inlineStr">
        <is>
          <t>Front-loading insulated thermobox for GN 1/1, approx. 80-90 l</t>
        </is>
      </c>
      <c r="C64" s="2" t="inlineStr">
        <is>
          <t>Gastro Novotný</t>
        </is>
      </c>
      <c r="D64" s="2" t="inlineStr">
        <is>
          <t>Termoport přední plnění 6xGN1/1 65</t>
        </is>
      </c>
      <c r="E64" s="2" t="inlineStr">
        <is>
          <t>Thermo Case P-600M</t>
        </is>
      </c>
      <c r="F64" s="3" t="inlineStr">
        <is>
          <t>https://eshop.gastronovotny.cz/termoport-predni-plneni-6xgn1-1-65--403191201/</t>
        </is>
      </c>
      <c r="G64" s="4" t="n">
        <v>5900</v>
      </c>
      <c r="H64" s="2" t="inlineStr">
        <is>
          <t>CZK</t>
        </is>
      </c>
      <c r="I64" s="2" t="inlineStr">
        <is>
          <t>excl.</t>
        </is>
      </c>
      <c r="J64" s="5" t="n">
        <v>0.21</v>
      </c>
      <c r="K64" s="2" t="n">
        <v>1</v>
      </c>
      <c r="L64" s="2" t="inlineStr">
        <is>
          <t>per piece</t>
        </is>
      </c>
      <c r="M64" s="4">
        <f>IF(OR(G64="",J64="",K64=""),"",ROUND(IF(I64="incl.",G64/(1+J64),G64)/IF(L64="per pack",K64,1),2))</f>
        <v/>
      </c>
      <c r="N64" s="2" t="inlineStr">
        <is>
          <t>CLOSE</t>
        </is>
      </c>
      <c r="O64" s="2" t="inlineStr">
        <is>
          <t>Front-loading, polypropylene, holds 6 x GN 1/1 65 mm; volume in litres NOT stated (flagged). 7,139 CZK incl. VAT. Availability "Na dotaz". Alternative: Termoport GN 1/1 Front 20-TERMOP-F 7,089.26 CZK excl. (smaller: 3 x GN 1/1 65).</t>
        </is>
      </c>
      <c r="P64" s="2" t="inlineStr">
        <is>
          <t>2026-09-30</t>
        </is>
      </c>
      <c r="Q64" s="2">
        <f>IFERROR(INDEX(Competitors!$N$2:$N$50,MATCH(C64,Competitors!$A$2:$A$50,0)),"no")</f>
        <v/>
      </c>
      <c r="R64" s="2">
        <f>IF(AND(Q64="yes",OR(N64="EXACT",N64="CLOSE"),ISNUMBER(M64)),"yes","no")</f>
        <v/>
      </c>
    </row>
    <row r="65">
      <c r="A65" s="2" t="n">
        <v>15</v>
      </c>
      <c r="B65" s="2" t="inlineStr">
        <is>
          <t>Front-loading insulated thermobox for GN 1/1, approx. 80-90 l</t>
        </is>
      </c>
      <c r="C65" s="2" t="inlineStr">
        <is>
          <t>Gastromania</t>
        </is>
      </c>
      <c r="D65" s="2" t="inlineStr">
        <is>
          <t>Termobox s předním plněním pro GN | CAMBRO, R-EPP400</t>
        </is>
      </c>
      <c r="E65" s="2" t="inlineStr">
        <is>
          <t>Cambro</t>
        </is>
      </c>
      <c r="F65" s="3" t="inlineStr">
        <is>
          <t>https://www.gastromania.cz/termoizolacni/termobox-s-prednim-plnenim-pro-gn-cambro-r-epp400</t>
        </is>
      </c>
      <c r="G65" s="4" t="n">
        <v>5706</v>
      </c>
      <c r="H65" s="2" t="inlineStr">
        <is>
          <t>CZK</t>
        </is>
      </c>
      <c r="I65" s="2" t="inlineStr">
        <is>
          <t>excl.</t>
        </is>
      </c>
      <c r="J65" s="5" t="n">
        <v>0.21</v>
      </c>
      <c r="K65" s="2" t="n">
        <v>1</v>
      </c>
      <c r="L65" s="2" t="inlineStr">
        <is>
          <t>per piece</t>
        </is>
      </c>
      <c r="M65" s="4">
        <f>IF(OR(G65="",J65="",K65=""),"",ROUND(IF(I65="incl.",G65/(1+J65),G65)/IF(L65="per pack",K65,1),2))</f>
        <v/>
      </c>
      <c r="N65" s="2" t="inlineStr">
        <is>
          <t>EXACT</t>
        </is>
      </c>
      <c r="O65" s="2" t="inlineStr">
        <is>
          <t>Same Cambro EPP400 front-loader (86 l) as TOMGAST, same price; 6,904 CZK incl.; in stock.</t>
        </is>
      </c>
      <c r="P65" s="2" t="inlineStr">
        <is>
          <t>2026-09-30</t>
        </is>
      </c>
      <c r="Q65" s="2">
        <f>IFERROR(INDEX(Competitors!$N$2:$N$50,MATCH(C65,Competitors!$A$2:$A$50,0)),"no")</f>
        <v/>
      </c>
      <c r="R65" s="2">
        <f>IF(AND(Q65="yes",OR(N65="EXACT",N65="CLOSE"),ISNUMBER(M65)),"yes","no")</f>
        <v/>
      </c>
    </row>
    <row r="66">
      <c r="A66" s="2" t="n">
        <v>15</v>
      </c>
      <c r="B66" s="2" t="inlineStr">
        <is>
          <t>Front-loading insulated thermobox for GN 1/1, approx. 80-90 l</t>
        </is>
      </c>
      <c r="C66" s="2" t="inlineStr">
        <is>
          <t>Gastrozone</t>
        </is>
      </c>
      <c r="D66" s="2" t="inlineStr">
        <is>
          <t>Termoizolační box Cambro Cam GoBox s horním plněním, GN 1/1, 86 l, černý</t>
        </is>
      </c>
      <c r="E66" s="2" t="inlineStr">
        <is>
          <t>Cambro</t>
        </is>
      </c>
      <c r="F66" s="3" t="inlineStr">
        <is>
          <t>https://www.gastrozone.cz/cambro-termoport-86-l-bocni-plneni.html</t>
        </is>
      </c>
      <c r="G66" s="4" t="n">
        <v>5446</v>
      </c>
      <c r="H66" s="2" t="inlineStr">
        <is>
          <t>CZK</t>
        </is>
      </c>
      <c r="I66" s="2" t="inlineStr">
        <is>
          <t>incl.</t>
        </is>
      </c>
      <c r="J66" s="5" t="n">
        <v>0.21</v>
      </c>
      <c r="K66" s="2" t="n">
        <v>1</v>
      </c>
      <c r="L66" s="2" t="inlineStr">
        <is>
          <t>per piece</t>
        </is>
      </c>
      <c r="M66" s="4">
        <f>IF(OR(G66="",J66="",K66=""),"",ROUND(IF(I66="incl.",G66/(1+J66),G66)/IF(L66="per pack",K66,1),2))</f>
        <v/>
      </c>
      <c r="N66" s="2" t="inlineStr">
        <is>
          <t>CLOSE</t>
        </is>
      </c>
      <c r="O66" s="2" t="inlineStr">
        <is>
          <t>86 l, GN 1/1, EPP; product title says "s horním plněním" (top loading) but description and URL say side/front loading ("boční plnění", door) - conflicting, flagged. Promotional price (-42%, was 9,455 CZK). 4,501 CZK bez DPH. Alternative: Cambro Ultra Pan Carrier front-loading GN 1/1 (PE) 6,536 CZK, volume not stated.</t>
        </is>
      </c>
      <c r="P66" s="2" t="inlineStr">
        <is>
          <t>2026-09-30</t>
        </is>
      </c>
      <c r="Q66" s="2">
        <f>IFERROR(INDEX(Competitors!$N$2:$N$50,MATCH(C66,Competitors!$A$2:$A$50,0)),"no")</f>
        <v/>
      </c>
      <c r="R66" s="2">
        <f>IF(AND(Q66="yes",OR(N66="EXACT",N66="CLOSE"),ISNUMBER(M66)),"yes","no")</f>
        <v/>
      </c>
    </row>
    <row r="67">
      <c r="A67" s="2" t="n">
        <v>15</v>
      </c>
      <c r="B67" s="2" t="inlineStr">
        <is>
          <t>Front-loading insulated thermobox for GN 1/1, approx. 80-90 l</t>
        </is>
      </c>
      <c r="C67" s="2" t="inlineStr">
        <is>
          <t>TOMGAST</t>
        </is>
      </c>
      <c r="D67" s="2" t="inlineStr">
        <is>
          <t>Termobox s předním plněním pro GN</t>
        </is>
      </c>
      <c r="E67" s="2" t="inlineStr">
        <is>
          <t>Cambro</t>
        </is>
      </c>
      <c r="F67" s="3" t="inlineStr">
        <is>
          <t>https://www.tomgast.cz/termobox-s-prednim-plnenim-pro-gn/</t>
        </is>
      </c>
      <c r="G67" s="4" t="n">
        <v>6904</v>
      </c>
      <c r="H67" s="2" t="inlineStr">
        <is>
          <t>CZK</t>
        </is>
      </c>
      <c r="I67" s="2" t="inlineStr">
        <is>
          <t>incl.</t>
        </is>
      </c>
      <c r="J67" s="5" t="n">
        <v>0.21</v>
      </c>
      <c r="K67" s="2" t="n">
        <v>1</v>
      </c>
      <c r="L67" s="2" t="inlineStr">
        <is>
          <t>per piece</t>
        </is>
      </c>
      <c r="M67" s="4">
        <f>IF(OR(G67="",J67="",K67=""),"",ROUND(IF(I67="incl.",G67/(1+J67),G67)/IF(L67="per pack",K67,1),2))</f>
        <v/>
      </c>
      <c r="N67" s="2" t="inlineStr">
        <is>
          <t>EXACT</t>
        </is>
      </c>
      <c r="O67" s="2" t="inlineStr">
        <is>
          <t>Code R-EPP400, EPP, front loading, 86 l, GN 1/1, 12 fixed rails. 5,706 CZK bez DPH.</t>
        </is>
      </c>
      <c r="P67" s="2" t="inlineStr">
        <is>
          <t>2026-09-30</t>
        </is>
      </c>
      <c r="Q67" s="2">
        <f>IFERROR(INDEX(Competitors!$N$2:$N$50,MATCH(C67,Competitors!$A$2:$A$50,0)),"no")</f>
        <v/>
      </c>
      <c r="R67" s="2">
        <f>IF(AND(Q67="yes",OR(N67="EXACT",N67="CLOSE"),ISNUMBER(M67)),"yes","no")</f>
        <v/>
      </c>
    </row>
    <row r="68">
      <c r="A68" s="2" t="n">
        <v>16</v>
      </c>
      <c r="B68" s="2" t="inlineStr">
        <is>
          <t>Service tray approx. 370 x 530 mm, ABS/polypropylene</t>
        </is>
      </c>
      <c r="C68" s="2" t="inlineStr">
        <is>
          <t>GGM Gastro (CZ storefront)</t>
        </is>
      </c>
      <c r="D68" s="2" t="inlineStr">
        <is>
          <t>(10 ks) Jídelní podnos - ABS plast - 370x530 mm - Hnědý</t>
        </is>
      </c>
      <c r="E68" s="2" t="inlineStr">
        <is>
          <t>GGM</t>
        </is>
      </c>
      <c r="F68" s="3" t="inlineStr">
        <is>
          <t>https://www.ggmgastro.com/cs-cz-czk/10-ks-jidelni-podnos-abs-plast-370x530-mm-hnedy-gst3753-10</t>
        </is>
      </c>
      <c r="G68" s="4" t="n">
        <v>1825.18</v>
      </c>
      <c r="H68" s="2" t="inlineStr">
        <is>
          <t>CZK</t>
        </is>
      </c>
      <c r="I68" s="2" t="inlineStr">
        <is>
          <t>excl.</t>
        </is>
      </c>
      <c r="J68" s="5" t="n">
        <v>0.19</v>
      </c>
      <c r="K68" s="2" t="n">
        <v>10</v>
      </c>
      <c r="L68" s="2" t="inlineStr">
        <is>
          <t>per pack</t>
        </is>
      </c>
      <c r="M68" s="4">
        <f>IF(OR(G68="",J68="",K68=""),"",ROUND(IF(I68="incl.",G68/(1+J68),G68)/IF(L68="per pack",K68,1),2))</f>
        <v/>
      </c>
      <c r="N68" s="2" t="inlineStr">
        <is>
          <t>EXACT</t>
        </is>
      </c>
      <c r="O68" s="2" t="inlineStr">
        <is>
          <t>Net CZK price as displayed; page footnote: "* čistá cena | hrubá cena vč. 19% DPH" (German VAT 19% used on the CZ storefront). SKU GST3753#10, ABS, 370 x 530 mm, pack of 10. Gross 2,171.96 CZK.</t>
        </is>
      </c>
      <c r="P68" s="2" t="inlineStr">
        <is>
          <t>2026-09-30</t>
        </is>
      </c>
      <c r="Q68" s="2">
        <f>IFERROR(INDEX(Competitors!$N$2:$N$50,MATCH(C68,Competitors!$A$2:$A$50,0)),"no")</f>
        <v/>
      </c>
      <c r="R68" s="2">
        <f>IF(AND(Q68="yes",OR(N68="EXACT",N68="CLOSE"),ISNUMBER(M68)),"yes","no")</f>
        <v/>
      </c>
    </row>
    <row r="69">
      <c r="A69" s="2" t="n">
        <v>16</v>
      </c>
      <c r="B69" s="2" t="inlineStr">
        <is>
          <t>Service tray approx. 370 x 530 mm, ABS/polypropylene</t>
        </is>
      </c>
      <c r="C69" s="2" t="inlineStr">
        <is>
          <t>Gastro Novotný</t>
        </is>
      </c>
      <c r="D69" s="2" t="inlineStr">
        <is>
          <t>Podnos EURONORM 530x370mm</t>
        </is>
      </c>
      <c r="E69" s="2" t="inlineStr"/>
      <c r="F69" s="3" t="inlineStr">
        <is>
          <t>https://eshop.gastronovotny.cz/podnos-euronorm-530x370mm--14100503/</t>
        </is>
      </c>
      <c r="G69" s="4" t="n">
        <v>300</v>
      </c>
      <c r="H69" s="2" t="inlineStr">
        <is>
          <t>CZK</t>
        </is>
      </c>
      <c r="I69" s="2" t="inlineStr">
        <is>
          <t>excl.</t>
        </is>
      </c>
      <c r="J69" s="5" t="n">
        <v>0.21</v>
      </c>
      <c r="K69" s="2" t="n">
        <v>1</v>
      </c>
      <c r="L69" s="2" t="inlineStr">
        <is>
          <t>per piece</t>
        </is>
      </c>
      <c r="M69" s="4">
        <f>IF(OR(G69="",J69="",K69=""),"",ROUND(IF(I69="incl.",G69/(1+J69),G69)/IF(L69="per pack",K69,1),2))</f>
        <v/>
      </c>
      <c r="N69" s="2" t="inlineStr">
        <is>
          <t>EXACT</t>
        </is>
      </c>
      <c r="O69" s="2" t="inlineStr">
        <is>
          <t>100% PP, 530 x 370 mm, 30 colours; 363 CZK incl. VAT. Description mentions "balení 20ks" (carton of 20) but price/stock are shown per piece ("ks") - treated as per piece. Availability "Na dotaz".</t>
        </is>
      </c>
      <c r="P69" s="2" t="inlineStr">
        <is>
          <t>2026-09-30</t>
        </is>
      </c>
      <c r="Q69" s="2">
        <f>IFERROR(INDEX(Competitors!$N$2:$N$50,MATCH(C69,Competitors!$A$2:$A$50,0)),"no")</f>
        <v/>
      </c>
      <c r="R69" s="2">
        <f>IF(AND(Q69="yes",OR(N69="EXACT",N69="CLOSE"),ISNUMBER(M69)),"yes","no")</f>
        <v/>
      </c>
    </row>
    <row r="70">
      <c r="A70" s="2" t="n">
        <v>16</v>
      </c>
      <c r="B70" s="2" t="inlineStr">
        <is>
          <t>Service tray approx. 370 x 530 mm, ABS/polypropylene</t>
        </is>
      </c>
      <c r="C70" s="2" t="inlineStr">
        <is>
          <t>Gastromania</t>
        </is>
      </c>
      <c r="D70" s="2" t="inlineStr">
        <is>
          <t>Podnos jídelní 37x53 cm, šedá | CAMBRO, Versa</t>
        </is>
      </c>
      <c r="E70" s="2" t="inlineStr">
        <is>
          <t>Cambro</t>
        </is>
      </c>
      <c r="F70" s="3" t="inlineStr">
        <is>
          <t>https://www.gastromania.cz/obdelnikove-jidelni-podnosy/podnos-jidelni-37x53-cm-seda-cambro-versa</t>
        </is>
      </c>
      <c r="G70" s="4" t="n">
        <v>239</v>
      </c>
      <c r="H70" s="2" t="inlineStr">
        <is>
          <t>CZK</t>
        </is>
      </c>
      <c r="I70" s="2" t="inlineStr">
        <is>
          <t>excl.</t>
        </is>
      </c>
      <c r="J70" s="5" t="n">
        <v>0.21</v>
      </c>
      <c r="K70" s="2" t="n">
        <v>1</v>
      </c>
      <c r="L70" s="2" t="inlineStr">
        <is>
          <t>per piece</t>
        </is>
      </c>
      <c r="M70" s="4">
        <f>IF(OR(G70="",J70="",K70=""),"",ROUND(IF(I70="incl.",G70/(1+J70),G70)/IF(L70="per pack",K70,1),2))</f>
        <v/>
      </c>
      <c r="N70" s="2" t="inlineStr">
        <is>
          <t>APPROX</t>
        </is>
      </c>
      <c r="O70" s="2" t="inlineStr">
        <is>
          <t>370 x 530 mm but polyester/fibreglass, not ABS/PP. 289 CZK incl. PP trays listed only up to 350 x 450 mm and GN 1/1 530 x 325.</t>
        </is>
      </c>
      <c r="P70" s="2" t="inlineStr">
        <is>
          <t>2026-09-30</t>
        </is>
      </c>
      <c r="Q70" s="2">
        <f>IFERROR(INDEX(Competitors!$N$2:$N$50,MATCH(C70,Competitors!$A$2:$A$50,0)),"no")</f>
        <v/>
      </c>
      <c r="R70" s="2">
        <f>IF(AND(Q70="yes",OR(N70="EXACT",N70="CLOSE"),ISNUMBER(M70)),"yes","no")</f>
        <v/>
      </c>
    </row>
    <row r="71">
      <c r="A71" s="2" t="n">
        <v>16</v>
      </c>
      <c r="B71" s="2" t="inlineStr">
        <is>
          <t>Service tray approx. 370 x 530 mm, ABS/polypropylene</t>
        </is>
      </c>
      <c r="C71" s="2" t="inlineStr">
        <is>
          <t>Gastrozone</t>
        </is>
      </c>
      <c r="D71" s="2" t="inlineStr">
        <is>
          <t>CAMBRO Versa Podnos ze sklolaminátu 53 x 37 cm, černý</t>
        </is>
      </c>
      <c r="E71" s="2" t="inlineStr">
        <is>
          <t>Cambro</t>
        </is>
      </c>
      <c r="F71" s="3" t="inlineStr">
        <is>
          <t>https://www.gastrozone.cz/versa-1.html</t>
        </is>
      </c>
      <c r="G71" s="4" t="n">
        <v>575</v>
      </c>
      <c r="H71" s="2" t="inlineStr">
        <is>
          <t>CZK</t>
        </is>
      </c>
      <c r="I71" s="2" t="inlineStr">
        <is>
          <t>incl.</t>
        </is>
      </c>
      <c r="J71" s="5" t="n">
        <v>0.21</v>
      </c>
      <c r="K71" s="2" t="n">
        <v>1</v>
      </c>
      <c r="L71" s="2" t="inlineStr">
        <is>
          <t>per piece</t>
        </is>
      </c>
      <c r="M71" s="4">
        <f>IF(OR(G71="",J71="",K71=""),"",ROUND(IF(I71="incl.",G71/(1+J71),G71)/IF(L71="per pack",K71,1),2))</f>
        <v/>
      </c>
      <c r="N71" s="2" t="inlineStr">
        <is>
          <t>APPROX</t>
        </is>
      </c>
      <c r="O71" s="2" t="inlineStr">
        <is>
          <t>530 x 370 mm but fibreglass-reinforced polyester, not ABS/PP (parameter table inconsistently shows width 265 mm). 475 CZK bez DPH. PP fast-food trays only up to 530 x 325 / 450 x 355 mm.</t>
        </is>
      </c>
      <c r="P71" s="2" t="inlineStr">
        <is>
          <t>2026-09-30</t>
        </is>
      </c>
      <c r="Q71" s="2">
        <f>IFERROR(INDEX(Competitors!$N$2:$N$50,MATCH(C71,Competitors!$A$2:$A$50,0)),"no")</f>
        <v/>
      </c>
      <c r="R71" s="2">
        <f>IF(AND(Q71="yes",OR(N71="EXACT",N71="CLOSE"),ISNUMBER(M71)),"yes","no")</f>
        <v/>
      </c>
    </row>
    <row r="72">
      <c r="A72" s="2" t="n">
        <v>16</v>
      </c>
      <c r="B72" s="2" t="inlineStr">
        <is>
          <t>Service tray approx. 370 x 530 mm, ABS/polypropylene</t>
        </is>
      </c>
      <c r="C72" s="2" t="inlineStr">
        <is>
          <t>TOMGAST</t>
        </is>
      </c>
      <c r="D72" s="2" t="inlineStr">
        <is>
          <t>Versa podnos jídelní 37 × 53 cm, šedá</t>
        </is>
      </c>
      <c r="E72" s="2" t="inlineStr">
        <is>
          <t>Cambro</t>
        </is>
      </c>
      <c r="F72" s="3" t="inlineStr">
        <is>
          <t>https://www.tomgast.cz/versa-podnos-jidelni-37--53-cm--seda/</t>
        </is>
      </c>
      <c r="G72" s="4" t="n">
        <v>289</v>
      </c>
      <c r="H72" s="2" t="inlineStr">
        <is>
          <t>CZK</t>
        </is>
      </c>
      <c r="I72" s="2" t="inlineStr">
        <is>
          <t>incl.</t>
        </is>
      </c>
      <c r="J72" s="5" t="n">
        <v>0.21</v>
      </c>
      <c r="K72" s="2" t="n">
        <v>1</v>
      </c>
      <c r="L72" s="2" t="inlineStr">
        <is>
          <t>per piece</t>
        </is>
      </c>
      <c r="M72" s="4">
        <f>IF(OR(G72="",J72="",K72=""),"",ROUND(IF(I72="incl.",G72/(1+J72),G72)/IF(L72="per pack",K72,1),2))</f>
        <v/>
      </c>
      <c r="N72" s="2" t="inlineStr">
        <is>
          <t>APPROX</t>
        </is>
      </c>
      <c r="O72" s="2" t="inlineStr">
        <is>
          <t>370 x 530 mm but polyester + fibreglass, not ABS/PP. 239 CZK bez DPH. No ABS/PP 37 x 53 tray listed.</t>
        </is>
      </c>
      <c r="P72" s="2" t="inlineStr">
        <is>
          <t>2026-09-30</t>
        </is>
      </c>
      <c r="Q72" s="2">
        <f>IFERROR(INDEX(Competitors!$N$2:$N$50,MATCH(C72,Competitors!$A$2:$A$50,0)),"no")</f>
        <v/>
      </c>
      <c r="R72" s="2">
        <f>IF(AND(Q72="yes",OR(N72="EXACT",N72="CLOSE"),ISNUMBER(M72)),"yes","no")</f>
        <v/>
      </c>
    </row>
    <row r="73">
      <c r="A73" s="2" t="n">
        <v>17</v>
      </c>
      <c r="B73" s="2" t="inlineStr">
        <is>
          <t>Insulated thermo tray with lid, 5-6 compartments</t>
        </is>
      </c>
      <c r="C73" s="2" t="inlineStr">
        <is>
          <t>Gastrozone</t>
        </is>
      </c>
      <c r="D73" s="2" t="inlineStr">
        <is>
          <t>MENÜMOBIL ECO-Classic-Box EPP</t>
        </is>
      </c>
      <c r="E73" s="2" t="inlineStr">
        <is>
          <t>MENÜMOBIL</t>
        </is>
      </c>
      <c r="F73" s="3" t="inlineStr">
        <is>
          <t>https://www.gastrozone.cz/menumobil-eco-classic-box-epp.html</t>
        </is>
      </c>
      <c r="G73" s="4" t="n">
        <v>2150</v>
      </c>
      <c r="H73" s="2" t="inlineStr">
        <is>
          <t>CZK</t>
        </is>
      </c>
      <c r="I73" s="2" t="inlineStr">
        <is>
          <t>incl.</t>
        </is>
      </c>
      <c r="J73" s="5" t="n">
        <v>0.21</v>
      </c>
      <c r="K73" s="2" t="n">
        <v>1</v>
      </c>
      <c r="L73" s="2" t="inlineStr">
        <is>
          <t>per piece</t>
        </is>
      </c>
      <c r="M73" s="4">
        <f>IF(OR(G73="",J73="",K73=""),"",ROUND(IF(I73="incl.",G73/(1+J73),G73)/IF(L73="per pack",K73,1),2))</f>
        <v/>
      </c>
      <c r="N73" s="2" t="inlineStr">
        <is>
          <t>APPROX</t>
        </is>
      </c>
      <c r="O73" s="2" t="inlineStr">
        <is>
          <t>Insulated EPP meal-tray transport box (400 x 310 x 110 mm) for plates/bowls; number of compartments not stated and dishes sold separately - not a moulded 5-6 compartment thermo tray. 1,777 CZK bez DPH.</t>
        </is>
      </c>
      <c r="P73" s="2" t="inlineStr">
        <is>
          <t>2026-09-30</t>
        </is>
      </c>
      <c r="Q73" s="2">
        <f>IFERROR(INDEX(Competitors!$N$2:$N$50,MATCH(C73,Competitors!$A$2:$A$50,0)),"no")</f>
        <v/>
      </c>
      <c r="R73" s="2">
        <f>IF(AND(Q73="yes",OR(N73="EXACT",N73="CLOSE"),ISNUMBER(M73)),"yes","no")</f>
        <v/>
      </c>
    </row>
    <row r="74">
      <c r="A74" s="2" t="n">
        <v>18</v>
      </c>
      <c r="B74" s="2" t="inlineStr">
        <is>
          <t>GN 1/1 container, PP, 65 mm</t>
        </is>
      </c>
      <c r="C74" s="2" t="inlineStr">
        <is>
          <t>GGM Gastro (CZ storefront)</t>
        </is>
      </c>
      <c r="D74" s="2" t="inlineStr">
        <is>
          <t>(6 ks) Polypropylenová nádoba GN 1/1 - Mléčná - Výška: 65 mm</t>
        </is>
      </c>
      <c r="E74" s="2" t="inlineStr">
        <is>
          <t>GGM</t>
        </is>
      </c>
      <c r="F74" s="3" t="inlineStr">
        <is>
          <t>https://www.ggmgastro.com/cs-cz-czk/6-ks-polypropylenova-nadoba-gn-1-1-mlecna-vyska-65-mm-gpp1165-6</t>
        </is>
      </c>
      <c r="G74" s="4" t="n">
        <v>1046.33</v>
      </c>
      <c r="H74" s="2" t="inlineStr">
        <is>
          <t>CZK</t>
        </is>
      </c>
      <c r="I74" s="2" t="inlineStr">
        <is>
          <t>excl.</t>
        </is>
      </c>
      <c r="J74" s="5" t="n">
        <v>0.19</v>
      </c>
      <c r="K74" s="2" t="n">
        <v>6</v>
      </c>
      <c r="L74" s="2" t="inlineStr">
        <is>
          <t>per pack</t>
        </is>
      </c>
      <c r="M74" s="4">
        <f>IF(OR(G74="",J74="",K74=""),"",ROUND(IF(I74="incl.",G74/(1+J74),G74)/IF(L74="per pack",K74,1),2))</f>
        <v/>
      </c>
      <c r="N74" s="2" t="inlineStr">
        <is>
          <t>EXACT</t>
        </is>
      </c>
      <c r="O74" s="2" t="inlineStr">
        <is>
          <t>Net CZK as displayed (gross 1,245.13 at German 19%); SKU GPP1165-6</t>
        </is>
      </c>
      <c r="P74" s="2" t="inlineStr">
        <is>
          <t>2026-09-30</t>
        </is>
      </c>
      <c r="Q74" s="2">
        <f>IFERROR(INDEX(Competitors!$N$2:$N$50,MATCH(C74,Competitors!$A$2:$A$50,0)),"no")</f>
        <v/>
      </c>
      <c r="R74" s="2">
        <f>IF(AND(Q74="yes",OR(N74="EXACT",N74="CLOSE"),ISNUMBER(M74)),"yes","no")</f>
        <v/>
      </c>
    </row>
    <row r="75">
      <c r="A75" s="2" t="n">
        <v>18</v>
      </c>
      <c r="B75" s="2" t="inlineStr">
        <is>
          <t>GN 1/1 container, PP, 65 mm</t>
        </is>
      </c>
      <c r="C75" s="2" t="inlineStr">
        <is>
          <t>Gastro Novotný</t>
        </is>
      </c>
      <c r="D75" s="2" t="inlineStr">
        <is>
          <t>Gastronádoba 1/1 100 polypropylen</t>
        </is>
      </c>
      <c r="E75" s="2" t="n"/>
      <c r="F75" s="3" t="inlineStr">
        <is>
          <t>https://eshop.gastronovotny.cz/gastronadoba-1-1-100-polypropylen--1814702-10/</t>
        </is>
      </c>
      <c r="G75" s="4" t="n">
        <v>220</v>
      </c>
      <c r="H75" s="2" t="inlineStr">
        <is>
          <t>CZK</t>
        </is>
      </c>
      <c r="I75" s="2" t="inlineStr">
        <is>
          <t>excl.</t>
        </is>
      </c>
      <c r="J75" s="5" t="n">
        <v>0.21</v>
      </c>
      <c r="K75" s="2" t="n">
        <v>1</v>
      </c>
      <c r="L75" s="2" t="inlineStr">
        <is>
          <t>per piece</t>
        </is>
      </c>
      <c r="M75" s="4">
        <f>IF(OR(G75="",J75="",K75=""),"",ROUND(IF(I75="incl.",G75/(1+J75),G75)/IF(L75="per pack",K75,1),2))</f>
        <v/>
      </c>
      <c r="N75" s="2" t="inlineStr">
        <is>
          <t>APPROX</t>
        </is>
      </c>
      <c r="O75" s="2" t="inlineStr">
        <is>
          <t>Code 1814702-10; PP GN 1/1 but 100 mm deep (PP 1/1 range is 100/150/200 mm only, no 65 mm); 266.20 CZK incl. VAT</t>
        </is>
      </c>
      <c r="P75" s="2" t="inlineStr">
        <is>
          <t>2026-09-30</t>
        </is>
      </c>
      <c r="Q75" s="2">
        <f>IFERROR(INDEX(Competitors!$N$2:$N$50,MATCH(C75,Competitors!$A$2:$A$50,0)),"no")</f>
        <v/>
      </c>
      <c r="R75" s="2">
        <f>IF(AND(Q75="yes",OR(N75="EXACT",N75="CLOSE"),ISNUMBER(M75)),"yes","no")</f>
        <v/>
      </c>
    </row>
    <row r="76">
      <c r="A76" s="2" t="n">
        <v>18</v>
      </c>
      <c r="B76" s="2" t="inlineStr">
        <is>
          <t>GN 1/1 container, PP, 65 mm</t>
        </is>
      </c>
      <c r="C76" s="2" t="inlineStr">
        <is>
          <t>Gastromania</t>
        </is>
      </c>
      <c r="D76" s="2" t="inlineStr">
        <is>
          <t>Nádoba z polypropylenu, GN 1/1, 65 mm | STALGAST, Bufet</t>
        </is>
      </c>
      <c r="E76" s="2" t="inlineStr">
        <is>
          <t>Stalgast</t>
        </is>
      </c>
      <c r="F76" s="3" t="inlineStr">
        <is>
          <t>https://www.gastromania.cz/gastronadoby-polypropylenove/nadoba-z-polypropylenu-gn-1-1-65-mm-stalgast-bufet</t>
        </is>
      </c>
      <c r="G76" s="4" t="n">
        <v>215</v>
      </c>
      <c r="H76" s="2" t="inlineStr">
        <is>
          <t>CZK</t>
        </is>
      </c>
      <c r="I76" s="2" t="inlineStr">
        <is>
          <t>incl.</t>
        </is>
      </c>
      <c r="J76" s="5" t="n">
        <v>0.21</v>
      </c>
      <c r="K76" s="2" t="n">
        <v>1</v>
      </c>
      <c r="L76" s="2" t="inlineStr">
        <is>
          <t>per piece</t>
        </is>
      </c>
      <c r="M76" s="4">
        <f>IF(OR(G76="",J76="",K76=""),"",ROUND(IF(I76="incl.",G76/(1+J76),G76)/IF(L76="per pack",K76,1),2))</f>
        <v/>
      </c>
      <c r="N76" s="2" t="inlineStr">
        <is>
          <t>EXACT</t>
        </is>
      </c>
      <c r="O76" s="2" t="inlineStr">
        <is>
          <t>Lowest PP GN 1/1 65 listed; Cambro R-MP11065 234 CZK. (APS 82104 207 CZK named polycarbonate but listed under PP - conflicting, not used); price incl. 21% VAT as published in product data (current price, in stock)</t>
        </is>
      </c>
      <c r="P76" s="2" t="inlineStr">
        <is>
          <t>2026-09-30</t>
        </is>
      </c>
      <c r="Q76" s="2">
        <f>IFERROR(INDEX(Competitors!$N$2:$N$50,MATCH(C76,Competitors!$A$2:$A$50,0)),"no")</f>
        <v/>
      </c>
      <c r="R76" s="2">
        <f>IF(AND(Q76="yes",OR(N76="EXACT",N76="CLOSE"),ISNUMBER(M76)),"yes","no")</f>
        <v/>
      </c>
    </row>
    <row r="77">
      <c r="A77" s="2" t="n">
        <v>18</v>
      </c>
      <c r="B77" s="2" t="inlineStr">
        <is>
          <t>GN 1/1 container, PP, 65 mm</t>
        </is>
      </c>
      <c r="C77" s="2" t="inlineStr">
        <is>
          <t>Gastrozone</t>
        </is>
      </c>
      <c r="D77" s="2" t="inlineStr">
        <is>
          <t>Pujadas gastro nádoba GN 1/1 530x325 mm polypropylen v=65 mm</t>
        </is>
      </c>
      <c r="E77" s="2" t="inlineStr">
        <is>
          <t>Pujadas</t>
        </is>
      </c>
      <c r="F77" s="3" t="inlineStr">
        <is>
          <t>https://www.gastrozone.cz/pujadas-gastro-nadoba-gn-1-1-530x325-mm-polypropylen-v-65-mm.html</t>
        </is>
      </c>
      <c r="G77" s="4" t="n">
        <v>443</v>
      </c>
      <c r="H77" s="2" t="inlineStr">
        <is>
          <t>CZK</t>
        </is>
      </c>
      <c r="I77" s="2" t="inlineStr">
        <is>
          <t>incl.</t>
        </is>
      </c>
      <c r="J77" s="5" t="n">
        <v>0.21</v>
      </c>
      <c r="K77" s="2" t="n">
        <v>1</v>
      </c>
      <c r="L77" s="2" t="inlineStr">
        <is>
          <t>per piece</t>
        </is>
      </c>
      <c r="M77" s="4">
        <f>IF(OR(G77="",J77="",K77=""),"",ROUND(IF(I77="incl.",G77/(1+J77),G77)/IF(L77="per pack",K77,1),2))</f>
        <v/>
      </c>
      <c r="N77" s="2" t="inlineStr">
        <is>
          <t>EXACT</t>
        </is>
      </c>
      <c r="O77" s="2" t="inlineStr">
        <is>
          <t>366.12 CZK bez DPH; code 227705320; in stock (central warehouse)</t>
        </is>
      </c>
      <c r="P77" s="2" t="inlineStr">
        <is>
          <t>2026-09-30</t>
        </is>
      </c>
      <c r="Q77" s="2">
        <f>IFERROR(INDEX(Competitors!$N$2:$N$50,MATCH(C77,Competitors!$A$2:$A$50,0)),"no")</f>
        <v/>
      </c>
      <c r="R77" s="2">
        <f>IF(AND(Q77="yes",OR(N77="EXACT",N77="CLOSE"),ISNUMBER(M77)),"yes","no")</f>
        <v/>
      </c>
    </row>
    <row r="78">
      <c r="A78" s="2" t="n">
        <v>18</v>
      </c>
      <c r="B78" s="2" t="inlineStr">
        <is>
          <t>GN 1/1 container, PP, 65 mm</t>
        </is>
      </c>
      <c r="C78" s="2" t="inlineStr">
        <is>
          <t>TOMGAST</t>
        </is>
      </c>
      <c r="D78" s="2" t="inlineStr">
        <is>
          <t>Gastronádoba polypropylenová GN 1/1 65 mm</t>
        </is>
      </c>
      <c r="E78" s="2" t="inlineStr">
        <is>
          <t>Cambro</t>
        </is>
      </c>
      <c r="F78" s="3" t="inlineStr">
        <is>
          <t>https://www.tomgast.cz/gastronadoba-polypropylenova-gn-1-1-65-mm/</t>
        </is>
      </c>
      <c r="G78" s="4" t="n">
        <v>234</v>
      </c>
      <c r="H78" s="2" t="inlineStr">
        <is>
          <t>CZK</t>
        </is>
      </c>
      <c r="I78" s="2" t="inlineStr">
        <is>
          <t>incl.</t>
        </is>
      </c>
      <c r="J78" s="5" t="n">
        <v>0.21</v>
      </c>
      <c r="K78" s="2" t="n">
        <v>1</v>
      </c>
      <c r="L78" s="2" t="inlineStr">
        <is>
          <t>per piece</t>
        </is>
      </c>
      <c r="M78" s="4">
        <f>IF(OR(G78="",J78="",K78=""),"",ROUND(IF(I78="incl.",G78/(1+J78),G78)/IF(L78="per pack",K78,1),2))</f>
        <v/>
      </c>
      <c r="N78" s="2" t="inlineStr">
        <is>
          <t>EXACT</t>
        </is>
      </c>
      <c r="O78" s="2" t="inlineStr">
        <is>
          <t>Code R-MP11065; 193 CZK bez DPH; in stock</t>
        </is>
      </c>
      <c r="P78" s="2" t="inlineStr">
        <is>
          <t>2026-09-30</t>
        </is>
      </c>
      <c r="Q78" s="2">
        <f>IFERROR(INDEX(Competitors!$N$2:$N$50,MATCH(C78,Competitors!$A$2:$A$50,0)),"no")</f>
        <v/>
      </c>
      <c r="R78" s="2">
        <f>IF(AND(Q78="yes",OR(N78="EXACT",N78="CLOSE"),ISNUMBER(M78)),"yes","no")</f>
        <v/>
      </c>
    </row>
    <row r="79">
      <c r="A79" s="2" t="n">
        <v>19</v>
      </c>
      <c r="B79" s="2" t="inlineStr">
        <is>
          <t>GN 1/3 container, PC, 100 mm</t>
        </is>
      </c>
      <c r="C79" s="2" t="inlineStr">
        <is>
          <t>GGM Gastro (CZ storefront)</t>
        </is>
      </c>
      <c r="D79" s="2" t="inlineStr">
        <is>
          <t>(12 ks) Gastronádoba GN 1/3 - polykarbonát - čirá - Výška: 100 mm</t>
        </is>
      </c>
      <c r="E79" s="2" t="inlineStr">
        <is>
          <t>GGM</t>
        </is>
      </c>
      <c r="F79" s="3" t="inlineStr">
        <is>
          <t>https://www.ggmgastro.com/cs-cz-czk/12-ks-gastronadoba-gn-1-3-polykarbonat-cira-vyska-100-mm-gpcp13100s</t>
        </is>
      </c>
      <c r="G79" s="4" t="n">
        <v>1606.13</v>
      </c>
      <c r="H79" s="2" t="inlineStr">
        <is>
          <t>CZK</t>
        </is>
      </c>
      <c r="I79" s="2" t="inlineStr">
        <is>
          <t>excl.</t>
        </is>
      </c>
      <c r="J79" s="5" t="n">
        <v>0.19</v>
      </c>
      <c r="K79" s="2" t="n">
        <v>12</v>
      </c>
      <c r="L79" s="2" t="inlineStr">
        <is>
          <t>per pack</t>
        </is>
      </c>
      <c r="M79" s="4">
        <f>IF(OR(G79="",J79="",K79=""),"",ROUND(IF(I79="incl.",G79/(1+J79),G79)/IF(L79="per pack",K79,1),2))</f>
        <v/>
      </c>
      <c r="N79" s="2" t="inlineStr">
        <is>
          <t>EXACT</t>
        </is>
      </c>
      <c r="O79" s="2" t="inlineStr">
        <is>
          <t>SKU GPCP13100S; CZ title says 'čirá' (clear) while the same SKU is 'schwarz' on the German/Austrian storefronts</t>
        </is>
      </c>
      <c r="P79" s="2" t="inlineStr">
        <is>
          <t>2026-09-30</t>
        </is>
      </c>
      <c r="Q79" s="2">
        <f>IFERROR(INDEX(Competitors!$N$2:$N$50,MATCH(C79,Competitors!$A$2:$A$50,0)),"no")</f>
        <v/>
      </c>
      <c r="R79" s="2">
        <f>IF(AND(Q79="yes",OR(N79="EXACT",N79="CLOSE"),ISNUMBER(M79)),"yes","no")</f>
        <v/>
      </c>
    </row>
    <row r="80">
      <c r="A80" s="2" t="n">
        <v>19</v>
      </c>
      <c r="B80" s="2" t="inlineStr">
        <is>
          <t>GN 1/3 container, PC, 100 mm</t>
        </is>
      </c>
      <c r="C80" s="2" t="inlineStr">
        <is>
          <t>Gastro Novotný</t>
        </is>
      </c>
      <c r="D80" s="2" t="inlineStr">
        <is>
          <t>Gastronádoba PC 1/3 100</t>
        </is>
      </c>
      <c r="E80" s="2" t="n"/>
      <c r="F80" s="3" t="inlineStr">
        <is>
          <t>https://eshop.gastronovotny.cz/gastronadoba-pc-1-3-100--0835131/</t>
        </is>
      </c>
      <c r="G80" s="4" t="n">
        <v>159</v>
      </c>
      <c r="H80" s="2" t="inlineStr">
        <is>
          <t>CZK</t>
        </is>
      </c>
      <c r="I80" s="2" t="inlineStr">
        <is>
          <t>excl.</t>
        </is>
      </c>
      <c r="J80" s="5" t="n">
        <v>0.21</v>
      </c>
      <c r="K80" s="2" t="n">
        <v>1</v>
      </c>
      <c r="L80" s="2" t="inlineStr">
        <is>
          <t>per piece</t>
        </is>
      </c>
      <c r="M80" s="4">
        <f>IF(OR(G80="",J80="",K80=""),"",ROUND(IF(I80="incl.",G80/(1+J80),G80)/IF(L80="per pack",K80,1),2))</f>
        <v/>
      </c>
      <c r="N80" s="2" t="inlineStr">
        <is>
          <t>EXACT</t>
        </is>
      </c>
      <c r="O80" s="2" t="inlineStr">
        <is>
          <t>Code 0835131; 192.39 CZK incl. VAT</t>
        </is>
      </c>
      <c r="P80" s="2" t="inlineStr">
        <is>
          <t>2026-09-30</t>
        </is>
      </c>
      <c r="Q80" s="2">
        <f>IFERROR(INDEX(Competitors!$N$2:$N$50,MATCH(C80,Competitors!$A$2:$A$50,0)),"no")</f>
        <v/>
      </c>
      <c r="R80" s="2">
        <f>IF(AND(Q80="yes",OR(N80="EXACT",N80="CLOSE"),ISNUMBER(M80)),"yes","no")</f>
        <v/>
      </c>
    </row>
    <row r="81">
      <c r="A81" s="2" t="n">
        <v>19</v>
      </c>
      <c r="B81" s="2" t="inlineStr">
        <is>
          <t>GN 1/3 container, PC, 100 mm</t>
        </is>
      </c>
      <c r="C81" s="2" t="inlineStr">
        <is>
          <t>Gastromania</t>
        </is>
      </c>
      <c r="D81" s="2" t="inlineStr">
        <is>
          <t>Gastro nádoba GN 1/3 100 mm, polykarbonát | YATO, YG-00411</t>
        </is>
      </c>
      <c r="E81" s="2" t="inlineStr">
        <is>
          <t>Yato</t>
        </is>
      </c>
      <c r="F81" s="3" t="inlineStr">
        <is>
          <t>https://www.gastromania.cz/gastronadoby-polykarbonatove/gastro-nadoba-gn-1-3-100-mm-polykarbonat-yato-yg-00411</t>
        </is>
      </c>
      <c r="G81" s="4" t="n">
        <v>134</v>
      </c>
      <c r="H81" s="2" t="inlineStr">
        <is>
          <t>CZK</t>
        </is>
      </c>
      <c r="I81" s="2" t="inlineStr">
        <is>
          <t>incl.</t>
        </is>
      </c>
      <c r="J81" s="5" t="n">
        <v>0.21</v>
      </c>
      <c r="K81" s="2" t="n">
        <v>1</v>
      </c>
      <c r="L81" s="2" t="inlineStr">
        <is>
          <t>per piece</t>
        </is>
      </c>
      <c r="M81" s="4">
        <f>IF(OR(G81="",J81="",K81=""),"",ROUND(IF(I81="incl.",G81/(1+J81),G81)/IF(L81="per pack",K81,1),2))</f>
        <v/>
      </c>
      <c r="N81" s="2" t="inlineStr">
        <is>
          <t>EXACT</t>
        </is>
      </c>
      <c r="O81" s="2" t="inlineStr">
        <is>
          <t>Lowest PC GN 1/3 100; Stalgast Bufet PC 191, Cambro 229 CZK; price incl. 21% VAT as published in product data (current price, in stock)</t>
        </is>
      </c>
      <c r="P81" s="2" t="inlineStr">
        <is>
          <t>2026-09-30</t>
        </is>
      </c>
      <c r="Q81" s="2">
        <f>IFERROR(INDEX(Competitors!$N$2:$N$50,MATCH(C81,Competitors!$A$2:$A$50,0)),"no")</f>
        <v/>
      </c>
      <c r="R81" s="2">
        <f>IF(AND(Q81="yes",OR(N81="EXACT",N81="CLOSE"),ISNUMBER(M81)),"yes","no")</f>
        <v/>
      </c>
    </row>
    <row r="82">
      <c r="A82" s="2" t="n">
        <v>19</v>
      </c>
      <c r="B82" s="2" t="inlineStr">
        <is>
          <t>GN 1/3 container, PC, 100 mm</t>
        </is>
      </c>
      <c r="C82" s="2" t="inlineStr">
        <is>
          <t>Gastrozone</t>
        </is>
      </c>
      <c r="D82" s="2" t="inlineStr">
        <is>
          <t>ARAVEN Gastronádoba GN 1/3, polykarbonát, hloubka: 100 mm, objem: 3,7 L</t>
        </is>
      </c>
      <c r="E82" s="2" t="inlineStr">
        <is>
          <t>Araven</t>
        </is>
      </c>
      <c r="F82" s="3" t="inlineStr">
        <is>
          <t>https://www.gastrozone.cz/araven-gn-nadoba-1-3-polykarbonat-hloubka-100-mm-objem-3-7-l.html</t>
        </is>
      </c>
      <c r="G82" s="4" t="n">
        <v>283</v>
      </c>
      <c r="H82" s="2" t="inlineStr">
        <is>
          <t>CZK</t>
        </is>
      </c>
      <c r="I82" s="2" t="inlineStr">
        <is>
          <t>incl.</t>
        </is>
      </c>
      <c r="J82" s="5" t="n">
        <v>0.21</v>
      </c>
      <c r="K82" s="2" t="n">
        <v>1</v>
      </c>
      <c r="L82" s="2" t="inlineStr">
        <is>
          <t>per piece</t>
        </is>
      </c>
      <c r="M82" s="4">
        <f>IF(OR(G82="",J82="",K82=""),"",ROUND(IF(I82="incl.",G82/(1+J82),G82)/IF(L82="per pack",K82,1),2))</f>
        <v/>
      </c>
      <c r="N82" s="2" t="inlineStr">
        <is>
          <t>EXACT</t>
        </is>
      </c>
      <c r="O82" s="2" t="inlineStr">
        <is>
          <t>233.88 CZK bez DPH; lowest PC GN 1/3 100; alternatives APS 295, Pujadas 381 CZK</t>
        </is>
      </c>
      <c r="P82" s="2" t="inlineStr">
        <is>
          <t>2026-09-30</t>
        </is>
      </c>
      <c r="Q82" s="2">
        <f>IFERROR(INDEX(Competitors!$N$2:$N$50,MATCH(C82,Competitors!$A$2:$A$50,0)),"no")</f>
        <v/>
      </c>
      <c r="R82" s="2">
        <f>IF(AND(Q82="yes",OR(N82="EXACT",N82="CLOSE"),ISNUMBER(M82)),"yes","no")</f>
        <v/>
      </c>
    </row>
    <row r="83">
      <c r="A83" s="2" t="n">
        <v>19</v>
      </c>
      <c r="B83" s="2" t="inlineStr">
        <is>
          <t>GN 1/3 container, PC, 100 mm</t>
        </is>
      </c>
      <c r="C83" s="2" t="inlineStr">
        <is>
          <t>TOMGAST</t>
        </is>
      </c>
      <c r="D83" s="2" t="inlineStr">
        <is>
          <t>Gastronádoba polykarbonátová GN 1/3 100 mm</t>
        </is>
      </c>
      <c r="E83" s="2" t="inlineStr">
        <is>
          <t>Cambro</t>
        </is>
      </c>
      <c r="F83" s="3" t="inlineStr">
        <is>
          <t>https://www.tomgast.cz/gastronadoba-polykarbonatova-gn-1-3-100-mm-2/</t>
        </is>
      </c>
      <c r="G83" s="4" t="n">
        <v>229</v>
      </c>
      <c r="H83" s="2" t="inlineStr">
        <is>
          <t>CZK</t>
        </is>
      </c>
      <c r="I83" s="2" t="inlineStr">
        <is>
          <t>incl.</t>
        </is>
      </c>
      <c r="J83" s="5" t="n">
        <v>0.21</v>
      </c>
      <c r="K83" s="2" t="n">
        <v>1</v>
      </c>
      <c r="L83" s="2" t="inlineStr">
        <is>
          <t>per piece</t>
        </is>
      </c>
      <c r="M83" s="4">
        <f>IF(OR(G83="",J83="",K83=""),"",ROUND(IF(I83="incl.",G83/(1+J83),G83)/IF(L83="per pack",K83,1),2))</f>
        <v/>
      </c>
      <c r="N83" s="2" t="inlineStr">
        <is>
          <t>EXACT</t>
        </is>
      </c>
      <c r="O83" s="2" t="inlineStr">
        <is>
          <t>Code R-M213100; 189 CZK bez DPH</t>
        </is>
      </c>
      <c r="P83" s="2" t="inlineStr">
        <is>
          <t>2026-09-30</t>
        </is>
      </c>
      <c r="Q83" s="2">
        <f>IFERROR(INDEX(Competitors!$N$2:$N$50,MATCH(C83,Competitors!$A$2:$A$50,0)),"no")</f>
        <v/>
      </c>
      <c r="R83" s="2">
        <f>IF(AND(Q83="yes",OR(N83="EXACT",N83="CLOSE"),ISNUMBER(M83)),"yes","no")</f>
        <v/>
      </c>
    </row>
    <row r="84">
      <c r="A84" s="2" t="n">
        <v>20</v>
      </c>
      <c r="B84" s="2" t="inlineStr">
        <is>
          <t>GN 1/2 container, PP, 150 mm</t>
        </is>
      </c>
      <c r="C84" s="2" t="inlineStr">
        <is>
          <t>GGM Gastro (CZ storefront)</t>
        </is>
      </c>
      <c r="D84" s="2" t="inlineStr">
        <is>
          <t>(12 ks) Gastronádoba GN 1/2 - polypropylen - mléčná - Výška: 150 mm</t>
        </is>
      </c>
      <c r="E84" s="2" t="inlineStr">
        <is>
          <t>GGM</t>
        </is>
      </c>
      <c r="F84" s="3" t="inlineStr">
        <is>
          <t>https://www.ggmgastro.com/cs-cz-czk/12-ks-gastronadoba-gn-1-2-polypropylen-mlecna-vyska-150-mm-gpp12150</t>
        </is>
      </c>
      <c r="G84" s="4" t="n">
        <v>1216.71</v>
      </c>
      <c r="H84" s="2" t="inlineStr">
        <is>
          <t>CZK</t>
        </is>
      </c>
      <c r="I84" s="2" t="inlineStr">
        <is>
          <t>excl.</t>
        </is>
      </c>
      <c r="J84" s="5" t="n">
        <v>0.19</v>
      </c>
      <c r="K84" s="2" t="n">
        <v>12</v>
      </c>
      <c r="L84" s="2" t="inlineStr">
        <is>
          <t>per pack</t>
        </is>
      </c>
      <c r="M84" s="4">
        <f>IF(OR(G84="",J84="",K84=""),"",ROUND(IF(I84="incl.",G84/(1+J84),G84)/IF(L84="per pack",K84,1),2))</f>
        <v/>
      </c>
      <c r="N84" s="2" t="inlineStr">
        <is>
          <t>EXACT</t>
        </is>
      </c>
      <c r="O84" s="2" t="inlineStr">
        <is>
          <t>SKU GPP12150</t>
        </is>
      </c>
      <c r="P84" s="2" t="inlineStr">
        <is>
          <t>2026-09-30</t>
        </is>
      </c>
      <c r="Q84" s="2">
        <f>IFERROR(INDEX(Competitors!$N$2:$N$50,MATCH(C84,Competitors!$A$2:$A$50,0)),"no")</f>
        <v/>
      </c>
      <c r="R84" s="2">
        <f>IF(AND(Q84="yes",OR(N84="EXACT",N84="CLOSE"),ISNUMBER(M84)),"yes","no")</f>
        <v/>
      </c>
    </row>
    <row r="85">
      <c r="A85" s="2" t="n">
        <v>20</v>
      </c>
      <c r="B85" s="2" t="inlineStr">
        <is>
          <t>GN 1/2 container, PP, 150 mm</t>
        </is>
      </c>
      <c r="C85" s="2" t="inlineStr">
        <is>
          <t>Gastro Novotný</t>
        </is>
      </c>
      <c r="D85" s="2" t="inlineStr">
        <is>
          <t>Gastronádoba 1/2 150 polypropylen</t>
        </is>
      </c>
      <c r="E85" s="2" t="n"/>
      <c r="F85" s="3" t="inlineStr">
        <is>
          <t>https://eshop.gastronovotny.cz/gastronadoba-1-2-150-polypropylen--1814705-15/</t>
        </is>
      </c>
      <c r="G85" s="4" t="n">
        <v>140</v>
      </c>
      <c r="H85" s="2" t="inlineStr">
        <is>
          <t>CZK</t>
        </is>
      </c>
      <c r="I85" s="2" t="inlineStr">
        <is>
          <t>excl.</t>
        </is>
      </c>
      <c r="J85" s="5" t="n">
        <v>0.21</v>
      </c>
      <c r="K85" s="2" t="n">
        <v>1</v>
      </c>
      <c r="L85" s="2" t="inlineStr">
        <is>
          <t>per piece</t>
        </is>
      </c>
      <c r="M85" s="4">
        <f>IF(OR(G85="",J85="",K85=""),"",ROUND(IF(I85="incl.",G85/(1+J85),G85)/IF(L85="per pack",K85,1),2))</f>
        <v/>
      </c>
      <c r="N85" s="2" t="inlineStr">
        <is>
          <t>EXACT</t>
        </is>
      </c>
      <c r="O85" s="2" t="inlineStr">
        <is>
          <t>Code 1814705-15; 169.40 CZK incl. VAT</t>
        </is>
      </c>
      <c r="P85" s="2" t="inlineStr">
        <is>
          <t>2026-09-30</t>
        </is>
      </c>
      <c r="Q85" s="2">
        <f>IFERROR(INDEX(Competitors!$N$2:$N$50,MATCH(C85,Competitors!$A$2:$A$50,0)),"no")</f>
        <v/>
      </c>
      <c r="R85" s="2">
        <f>IF(AND(Q85="yes",OR(N85="EXACT",N85="CLOSE"),ISNUMBER(M85)),"yes","no")</f>
        <v/>
      </c>
    </row>
    <row r="86">
      <c r="A86" s="2" t="n">
        <v>20</v>
      </c>
      <c r="B86" s="2" t="inlineStr">
        <is>
          <t>GN 1/2 container, PP, 150 mm</t>
        </is>
      </c>
      <c r="C86" s="2" t="inlineStr">
        <is>
          <t>Gastromania</t>
        </is>
      </c>
      <c r="D86" s="2" t="inlineStr">
        <is>
          <t>Nádoba z polypropylenu, GN 1/2, 150 mm | STALGAST, Bufet</t>
        </is>
      </c>
      <c r="E86" s="2" t="inlineStr">
        <is>
          <t>Stalgast</t>
        </is>
      </c>
      <c r="F86" s="3" t="inlineStr">
        <is>
          <t>https://www.gastromania.cz/gastronadoby-polypropylenove/nadoba-z-polypropylenu-gn-1-2-150-mm-stalgast-bufet</t>
        </is>
      </c>
      <c r="G86" s="4" t="n">
        <v>162</v>
      </c>
      <c r="H86" s="2" t="inlineStr">
        <is>
          <t>CZK</t>
        </is>
      </c>
      <c r="I86" s="2" t="inlineStr">
        <is>
          <t>incl.</t>
        </is>
      </c>
      <c r="J86" s="5" t="n">
        <v>0.21</v>
      </c>
      <c r="K86" s="2" t="n">
        <v>1</v>
      </c>
      <c r="L86" s="2" t="inlineStr">
        <is>
          <t>per piece</t>
        </is>
      </c>
      <c r="M86" s="4">
        <f>IF(OR(G86="",J86="",K86=""),"",ROUND(IF(I86="incl.",G86/(1+J86),G86)/IF(L86="per pack",K86,1),2))</f>
        <v/>
      </c>
      <c r="N86" s="2" t="inlineStr">
        <is>
          <t>EXACT</t>
        </is>
      </c>
      <c r="O86" s="2" t="inlineStr">
        <is>
          <t>Cambro R-MP12150 227 CZK; price incl. 21% VAT as published in product data (current price, in stock)</t>
        </is>
      </c>
      <c r="P86" s="2" t="inlineStr">
        <is>
          <t>2026-09-30</t>
        </is>
      </c>
      <c r="Q86" s="2">
        <f>IFERROR(INDEX(Competitors!$N$2:$N$50,MATCH(C86,Competitors!$A$2:$A$50,0)),"no")</f>
        <v/>
      </c>
      <c r="R86" s="2">
        <f>IF(AND(Q86="yes",OR(N86="EXACT",N86="CLOSE"),ISNUMBER(M86)),"yes","no")</f>
        <v/>
      </c>
    </row>
    <row r="87">
      <c r="A87" s="2" t="n">
        <v>20</v>
      </c>
      <c r="B87" s="2" t="inlineStr">
        <is>
          <t>GN 1/2 container, PP, 150 mm</t>
        </is>
      </c>
      <c r="C87" s="2" t="inlineStr">
        <is>
          <t>Gastrozone</t>
        </is>
      </c>
      <c r="D87" s="2" t="inlineStr">
        <is>
          <t>gastro nádoba GN 1/2 polypropylen v=150 mm Pujadas</t>
        </is>
      </c>
      <c r="E87" s="2" t="inlineStr">
        <is>
          <t>Pujadas</t>
        </is>
      </c>
      <c r="F87" s="3" t="inlineStr">
        <is>
          <t>https://www.gastrozone.cz/gastro-nadoba-gn-1-2-polypropylen-v-150-mm-pujadas.html</t>
        </is>
      </c>
      <c r="G87" s="4" t="n">
        <v>334</v>
      </c>
      <c r="H87" s="2" t="inlineStr">
        <is>
          <t>CZK</t>
        </is>
      </c>
      <c r="I87" s="2" t="inlineStr">
        <is>
          <t>incl.</t>
        </is>
      </c>
      <c r="J87" s="5" t="n">
        <v>0.21</v>
      </c>
      <c r="K87" s="2" t="n">
        <v>1</v>
      </c>
      <c r="L87" s="2" t="inlineStr">
        <is>
          <t>per piece</t>
        </is>
      </c>
      <c r="M87" s="4">
        <f>IF(OR(G87="",J87="",K87=""),"",ROUND(IF(I87="incl.",G87/(1+J87),G87)/IF(L87="per pack",K87,1),2))</f>
        <v/>
      </c>
      <c r="N87" s="2" t="inlineStr">
        <is>
          <t>EXACT</t>
        </is>
      </c>
      <c r="O87" s="2" t="inlineStr">
        <is>
          <t>276.03 CZK bez DPH; in stock</t>
        </is>
      </c>
      <c r="P87" s="2" t="inlineStr">
        <is>
          <t>2026-09-30</t>
        </is>
      </c>
      <c r="Q87" s="2">
        <f>IFERROR(INDEX(Competitors!$N$2:$N$50,MATCH(C87,Competitors!$A$2:$A$50,0)),"no")</f>
        <v/>
      </c>
      <c r="R87" s="2">
        <f>IF(AND(Q87="yes",OR(N87="EXACT",N87="CLOSE"),ISNUMBER(M87)),"yes","no")</f>
        <v/>
      </c>
    </row>
    <row r="88">
      <c r="A88" s="2" t="n">
        <v>20</v>
      </c>
      <c r="B88" s="2" t="inlineStr">
        <is>
          <t>GN 1/2 container, PP, 150 mm</t>
        </is>
      </c>
      <c r="C88" s="2" t="inlineStr">
        <is>
          <t>TOMGAST</t>
        </is>
      </c>
      <c r="D88" s="2" t="inlineStr">
        <is>
          <t>Gastronádoba polypropylenová GN 1/2 150 mm</t>
        </is>
      </c>
      <c r="E88" s="2" t="inlineStr">
        <is>
          <t>Cambro</t>
        </is>
      </c>
      <c r="F88" s="3" t="inlineStr">
        <is>
          <t>https://www.tomgast.cz/gastronadoba-polypropylenova-gn-1-2-150-mm-2/</t>
        </is>
      </c>
      <c r="G88" s="4" t="n">
        <v>227</v>
      </c>
      <c r="H88" s="2" t="inlineStr">
        <is>
          <t>CZK</t>
        </is>
      </c>
      <c r="I88" s="2" t="inlineStr">
        <is>
          <t>incl.</t>
        </is>
      </c>
      <c r="J88" s="5" t="n">
        <v>0.21</v>
      </c>
      <c r="K88" s="2" t="n">
        <v>1</v>
      </c>
      <c r="L88" s="2" t="inlineStr">
        <is>
          <t>per piece</t>
        </is>
      </c>
      <c r="M88" s="4">
        <f>IF(OR(G88="",J88="",K88=""),"",ROUND(IF(I88="incl.",G88/(1+J88),G88)/IF(L88="per pack",K88,1),2))</f>
        <v/>
      </c>
      <c r="N88" s="2" t="inlineStr">
        <is>
          <t>EXACT</t>
        </is>
      </c>
      <c r="O88" s="2" t="inlineStr">
        <is>
          <t>Code R-MP12150; 188 CZK bez DPH</t>
        </is>
      </c>
      <c r="P88" s="2" t="inlineStr">
        <is>
          <t>2026-09-30</t>
        </is>
      </c>
      <c r="Q88" s="2">
        <f>IFERROR(INDEX(Competitors!$N$2:$N$50,MATCH(C88,Competitors!$A$2:$A$50,0)),"no")</f>
        <v/>
      </c>
      <c r="R88" s="2">
        <f>IF(AND(Q88="yes",OR(N88="EXACT",N88="CLOSE"),ISNUMBER(M88)),"yes","no")</f>
        <v/>
      </c>
    </row>
    <row r="89">
      <c r="A89" s="2" t="n">
        <v>21</v>
      </c>
      <c r="B89" s="2" t="inlineStr">
        <is>
          <t>GN 1/1 PC lid, standard</t>
        </is>
      </c>
      <c r="C89" s="2" t="inlineStr">
        <is>
          <t>GGM Gastro (CZ storefront)</t>
        </is>
      </c>
      <c r="D89" s="2" t="inlineStr">
        <is>
          <t>(6 ks) GN kryt GN 1/1 - Polykarbonát - Výška: 35 mm</t>
        </is>
      </c>
      <c r="E89" s="2" t="inlineStr">
        <is>
          <t>GGM</t>
        </is>
      </c>
      <c r="F89" s="3" t="inlineStr">
        <is>
          <t>https://www.ggmgastro.com/cs-cz-czk/6-ks-gn-kryt-gn-1-1-polykarbonat-vyska-35-mm-82001-6</t>
        </is>
      </c>
      <c r="G89" s="4" t="n">
        <v>1679.15</v>
      </c>
      <c r="H89" s="2" t="inlineStr">
        <is>
          <t>CZK</t>
        </is>
      </c>
      <c r="I89" s="2" t="inlineStr">
        <is>
          <t>excl.</t>
        </is>
      </c>
      <c r="J89" s="5" t="n">
        <v>0.19</v>
      </c>
      <c r="K89" s="2" t="n">
        <v>6</v>
      </c>
      <c r="L89" s="2" t="inlineStr">
        <is>
          <t>per pack</t>
        </is>
      </c>
      <c r="M89" s="4">
        <f>IF(OR(G89="",J89="",K89=""),"",ROUND(IF(I89="incl.",G89/(1+J89),G89)/IF(L89="per pack",K89,1),2))</f>
        <v/>
      </c>
      <c r="N89" s="2" t="inlineStr">
        <is>
          <t>CLOSE</t>
        </is>
      </c>
      <c r="O89" s="2" t="inlineStr">
        <is>
          <t>PC lid 35 mm high (raised rather than flat standard lid)</t>
        </is>
      </c>
      <c r="P89" s="2" t="inlineStr">
        <is>
          <t>2026-09-30</t>
        </is>
      </c>
      <c r="Q89" s="2">
        <f>IFERROR(INDEX(Competitors!$N$2:$N$50,MATCH(C89,Competitors!$A$2:$A$50,0)),"no")</f>
        <v/>
      </c>
      <c r="R89" s="2">
        <f>IF(AND(Q89="yes",OR(N89="EXACT",N89="CLOSE"),ISNUMBER(M89)),"yes","no")</f>
        <v/>
      </c>
    </row>
    <row r="90">
      <c r="A90" s="2" t="n">
        <v>21</v>
      </c>
      <c r="B90" s="2" t="inlineStr">
        <is>
          <t>GN 1/1 PC lid, standard</t>
        </is>
      </c>
      <c r="C90" s="2" t="inlineStr">
        <is>
          <t>Gastro Novotný</t>
        </is>
      </c>
      <c r="D90" s="2" t="inlineStr">
        <is>
          <t>Víko PC GN 1/1</t>
        </is>
      </c>
      <c r="E90" s="2" t="n"/>
      <c r="F90" s="3" t="inlineStr">
        <is>
          <t>https://eshop.gastronovotny.cz/viko-pc-gn-1-1--0835161/</t>
        </is>
      </c>
      <c r="G90" s="4" t="n">
        <v>249</v>
      </c>
      <c r="H90" s="2" t="inlineStr">
        <is>
          <t>CZK</t>
        </is>
      </c>
      <c r="I90" s="2" t="inlineStr">
        <is>
          <t>excl.</t>
        </is>
      </c>
      <c r="J90" s="5" t="n">
        <v>0.21</v>
      </c>
      <c r="K90" s="2" t="n">
        <v>1</v>
      </c>
      <c r="L90" s="2" t="inlineStr">
        <is>
          <t>per piece</t>
        </is>
      </c>
      <c r="M90" s="4">
        <f>IF(OR(G90="",J90="",K90=""),"",ROUND(IF(I90="incl.",G90/(1+J90),G90)/IF(L90="per pack",K90,1),2))</f>
        <v/>
      </c>
      <c r="N90" s="2" t="inlineStr">
        <is>
          <t>EXACT</t>
        </is>
      </c>
      <c r="O90" s="2" t="inlineStr">
        <is>
          <t>Code 0835161; polycarbonate plain lid; 301.29 CZK incl. VAT</t>
        </is>
      </c>
      <c r="P90" s="2" t="inlineStr">
        <is>
          <t>2026-09-30</t>
        </is>
      </c>
      <c r="Q90" s="2">
        <f>IFERROR(INDEX(Competitors!$N$2:$N$50,MATCH(C90,Competitors!$A$2:$A$50,0)),"no")</f>
        <v/>
      </c>
      <c r="R90" s="2">
        <f>IF(AND(Q90="yes",OR(N90="EXACT",N90="CLOSE"),ISNUMBER(M90)),"yes","no")</f>
        <v/>
      </c>
    </row>
    <row r="91">
      <c r="A91" s="2" t="n">
        <v>21</v>
      </c>
      <c r="B91" s="2" t="inlineStr">
        <is>
          <t>GN 1/1 PC lid, standard</t>
        </is>
      </c>
      <c r="C91" s="2" t="inlineStr">
        <is>
          <t>Gastromania</t>
        </is>
      </c>
      <c r="D91" s="2" t="inlineStr">
        <is>
          <t>Polykarbonátové víko, GN 1/1 | STALGAST, Bufet</t>
        </is>
      </c>
      <c r="E91" s="2" t="inlineStr">
        <is>
          <t>Stalgast</t>
        </is>
      </c>
      <c r="F91" s="3" t="inlineStr">
        <is>
          <t>https://www.gastromania.cz/vika-gn-polykarbonatove/polykarbonatove-viko-gn-1-1-stalgast-bufet</t>
        </is>
      </c>
      <c r="G91" s="4" t="n">
        <v>293</v>
      </c>
      <c r="H91" s="2" t="inlineStr">
        <is>
          <t>CZK</t>
        </is>
      </c>
      <c r="I91" s="2" t="inlineStr">
        <is>
          <t>incl.</t>
        </is>
      </c>
      <c r="J91" s="5" t="n">
        <v>0.21</v>
      </c>
      <c r="K91" s="2" t="n">
        <v>1</v>
      </c>
      <c r="L91" s="2" t="inlineStr">
        <is>
          <t>per piece</t>
        </is>
      </c>
      <c r="M91" s="4">
        <f>IF(OR(G91="",J91="",K91=""),"",ROUND(IF(I91="incl.",G91/(1+J91),G91)/IF(L91="per pack",K91,1),2))</f>
        <v/>
      </c>
      <c r="N91" s="2" t="inlineStr">
        <is>
          <t>EXACT</t>
        </is>
      </c>
      <c r="O91" s="2" t="inlineStr">
        <is>
          <t>Plain PC lid; Stalgast Premium clear lid 269 CZK (material not in name), Cambro R-M211001 357 CZK; price incl. 21% VAT as published in product data (current price, in stock)</t>
        </is>
      </c>
      <c r="P91" s="2" t="inlineStr">
        <is>
          <t>2026-09-30</t>
        </is>
      </c>
      <c r="Q91" s="2">
        <f>IFERROR(INDEX(Competitors!$N$2:$N$50,MATCH(C91,Competitors!$A$2:$A$50,0)),"no")</f>
        <v/>
      </c>
      <c r="R91" s="2">
        <f>IF(AND(Q91="yes",OR(N91="EXACT",N91="CLOSE"),ISNUMBER(M91)),"yes","no")</f>
        <v/>
      </c>
    </row>
    <row r="92">
      <c r="A92" s="2" t="n">
        <v>21</v>
      </c>
      <c r="B92" s="2" t="inlineStr">
        <is>
          <t>GN 1/1 PC lid, standard</t>
        </is>
      </c>
      <c r="C92" s="2" t="inlineStr">
        <is>
          <t>Gastrozone</t>
        </is>
      </c>
      <c r="D92" s="2" t="inlineStr">
        <is>
          <t>ARAVEN Víko na gastronádobu GN 1/1, polykarbonát, volné</t>
        </is>
      </c>
      <c r="E92" s="2" t="inlineStr">
        <is>
          <t>Araven</t>
        </is>
      </c>
      <c r="F92" s="3" t="inlineStr">
        <is>
          <t>https://www.gastrozone.cz/araven-gn-deckel-1-1-polykarbonat-volny.html</t>
        </is>
      </c>
      <c r="G92" s="4" t="n">
        <v>380</v>
      </c>
      <c r="H92" s="2" t="inlineStr">
        <is>
          <t>CZK</t>
        </is>
      </c>
      <c r="I92" s="2" t="inlineStr">
        <is>
          <t>incl.</t>
        </is>
      </c>
      <c r="J92" s="5" t="n">
        <v>0.21</v>
      </c>
      <c r="K92" s="2" t="n">
        <v>1</v>
      </c>
      <c r="L92" s="2" t="inlineStr">
        <is>
          <t>per piece</t>
        </is>
      </c>
      <c r="M92" s="4">
        <f>IF(OR(G92="",J92="",K92=""),"",ROUND(IF(I92="incl.",G92/(1+J92),G92)/IF(L92="per pack",K92,1),2))</f>
        <v/>
      </c>
      <c r="N92" s="2" t="inlineStr">
        <is>
          <t>EXACT</t>
        </is>
      </c>
      <c r="O92" s="2" t="inlineStr">
        <is>
          <t>314.05 CZK bez DPH; plain loose PC lid; APS PC lid 394 CZK</t>
        </is>
      </c>
      <c r="P92" s="2" t="inlineStr">
        <is>
          <t>2026-09-30</t>
        </is>
      </c>
      <c r="Q92" s="2">
        <f>IFERROR(INDEX(Competitors!$N$2:$N$50,MATCH(C92,Competitors!$A$2:$A$50,0)),"no")</f>
        <v/>
      </c>
      <c r="R92" s="2">
        <f>IF(AND(Q92="yes",OR(N92="EXACT",N92="CLOSE"),ISNUMBER(M92)),"yes","no")</f>
        <v/>
      </c>
    </row>
    <row r="93">
      <c r="A93" s="2" t="n">
        <v>21</v>
      </c>
      <c r="B93" s="2" t="inlineStr">
        <is>
          <t>GN 1/1 PC lid, standard</t>
        </is>
      </c>
      <c r="C93" s="2" t="inlineStr">
        <is>
          <t>TOMGAST</t>
        </is>
      </c>
      <c r="D93" s="2" t="inlineStr">
        <is>
          <t>Víko pro gastronádobu GN 1/1</t>
        </is>
      </c>
      <c r="E93" s="2" t="inlineStr">
        <is>
          <t>Cambro</t>
        </is>
      </c>
      <c r="F93" s="3" t="inlineStr">
        <is>
          <t>https://www.tomgast.cz/viko-pro-gastronadobu-gn-1-1/</t>
        </is>
      </c>
      <c r="G93" s="4" t="n">
        <v>357</v>
      </c>
      <c r="H93" s="2" t="inlineStr">
        <is>
          <t>CZK</t>
        </is>
      </c>
      <c r="I93" s="2" t="inlineStr">
        <is>
          <t>incl.</t>
        </is>
      </c>
      <c r="J93" s="5" t="n">
        <v>0.21</v>
      </c>
      <c r="K93" s="2" t="n">
        <v>1</v>
      </c>
      <c r="L93" s="2" t="inlineStr">
        <is>
          <t>per piece</t>
        </is>
      </c>
      <c r="M93" s="4">
        <f>IF(OR(G93="",J93="",K93=""),"",ROUND(IF(I93="incl.",G93/(1+J93),G93)/IF(L93="per pack",K93,1),2))</f>
        <v/>
      </c>
      <c r="N93" s="2" t="inlineStr">
        <is>
          <t>EXACT</t>
        </is>
      </c>
      <c r="O93" s="2" t="inlineStr">
        <is>
          <t>Code R-M211001; material polykarbonát, plain lid, price per 1 piece; 295 CZK bez DPH</t>
        </is>
      </c>
      <c r="P93" s="2" t="inlineStr">
        <is>
          <t>2026-09-30</t>
        </is>
      </c>
      <c r="Q93" s="2">
        <f>IFERROR(INDEX(Competitors!$N$2:$N$50,MATCH(C93,Competitors!$A$2:$A$50,0)),"no")</f>
        <v/>
      </c>
      <c r="R93" s="2">
        <f>IF(AND(Q93="yes",OR(N93="EXACT",N93="CLOSE"),ISNUMBER(M93)),"yes","no")</f>
        <v/>
      </c>
    </row>
    <row r="94">
      <c r="A94" s="2" t="n">
        <v>22</v>
      </c>
      <c r="B94" s="2" t="inlineStr">
        <is>
          <t>GN 1/6 container, PP, 100 mm</t>
        </is>
      </c>
      <c r="C94" s="2" t="inlineStr">
        <is>
          <t>GGM Gastro (CZ storefront)</t>
        </is>
      </c>
      <c r="D94" s="2" t="inlineStr">
        <is>
          <t>(12 ks) Polypropylenová nádoba GN 1/6 - Mléčná - Výška: 100 mm</t>
        </is>
      </c>
      <c r="E94" s="2" t="inlineStr">
        <is>
          <t>GGM</t>
        </is>
      </c>
      <c r="F94" s="3" t="inlineStr">
        <is>
          <t>https://www.ggmgastro.com/cs-cz-czk/12-ks-polypropylenova-nadoba-gn-1-6-mlecna-vyska-100-mm-gpp16100-12</t>
        </is>
      </c>
      <c r="G94" s="4" t="n">
        <v>1070.67</v>
      </c>
      <c r="H94" s="2" t="inlineStr">
        <is>
          <t>CZK</t>
        </is>
      </c>
      <c r="I94" s="2" t="inlineStr">
        <is>
          <t>excl.</t>
        </is>
      </c>
      <c r="J94" s="5" t="n">
        <v>0.19</v>
      </c>
      <c r="K94" s="2" t="n">
        <v>12</v>
      </c>
      <c r="L94" s="2" t="inlineStr">
        <is>
          <t>per pack</t>
        </is>
      </c>
      <c r="M94" s="4">
        <f>IF(OR(G94="",J94="",K94=""),"",ROUND(IF(I94="incl.",G94/(1+J94),G94)/IF(L94="per pack",K94,1),2))</f>
        <v/>
      </c>
      <c r="N94" s="2" t="inlineStr">
        <is>
          <t>EXACT</t>
        </is>
      </c>
      <c r="O94" s="2" t="inlineStr"/>
      <c r="P94" s="2" t="inlineStr">
        <is>
          <t>2026-09-30</t>
        </is>
      </c>
      <c r="Q94" s="2">
        <f>IFERROR(INDEX(Competitors!$N$2:$N$50,MATCH(C94,Competitors!$A$2:$A$50,0)),"no")</f>
        <v/>
      </c>
      <c r="R94" s="2">
        <f>IF(AND(Q94="yes",OR(N94="EXACT",N94="CLOSE"),ISNUMBER(M94)),"yes","no")</f>
        <v/>
      </c>
    </row>
    <row r="95">
      <c r="A95" s="2" t="n">
        <v>22</v>
      </c>
      <c r="B95" s="2" t="inlineStr">
        <is>
          <t>GN 1/6 container, PP, 100 mm</t>
        </is>
      </c>
      <c r="C95" s="2" t="inlineStr">
        <is>
          <t>Gastro Novotný</t>
        </is>
      </c>
      <c r="D95" s="2" t="inlineStr">
        <is>
          <t>Gastronádoba 1/6 100 polypropylen</t>
        </is>
      </c>
      <c r="E95" s="2" t="n"/>
      <c r="F95" s="3" t="inlineStr">
        <is>
          <t>https://eshop.gastronovotny.cz/gastronadoba-1-6-100-polypropylen/</t>
        </is>
      </c>
      <c r="G95" s="4" t="n">
        <v>75</v>
      </c>
      <c r="H95" s="2" t="inlineStr">
        <is>
          <t>CZK</t>
        </is>
      </c>
      <c r="I95" s="2" t="inlineStr">
        <is>
          <t>excl.</t>
        </is>
      </c>
      <c r="J95" s="5" t="n">
        <v>0.21</v>
      </c>
      <c r="K95" s="2" t="n">
        <v>1</v>
      </c>
      <c r="L95" s="2" t="inlineStr">
        <is>
          <t>per piece</t>
        </is>
      </c>
      <c r="M95" s="4">
        <f>IF(OR(G95="",J95="",K95=""),"",ROUND(IF(I95="incl.",G95/(1+J95),G95)/IF(L95="per pack",K95,1),2))</f>
        <v/>
      </c>
      <c r="N95" s="2" t="inlineStr">
        <is>
          <t>EXACT</t>
        </is>
      </c>
      <c r="O95" s="2" t="inlineStr">
        <is>
          <t>Code 1814709-10; 90.75 CZK incl. VAT</t>
        </is>
      </c>
      <c r="P95" s="2" t="inlineStr">
        <is>
          <t>2026-09-30</t>
        </is>
      </c>
      <c r="Q95" s="2">
        <f>IFERROR(INDEX(Competitors!$N$2:$N$50,MATCH(C95,Competitors!$A$2:$A$50,0)),"no")</f>
        <v/>
      </c>
      <c r="R95" s="2">
        <f>IF(AND(Q95="yes",OR(N95="EXACT",N95="CLOSE"),ISNUMBER(M95)),"yes","no")</f>
        <v/>
      </c>
    </row>
    <row r="96">
      <c r="A96" s="2" t="n">
        <v>22</v>
      </c>
      <c r="B96" s="2" t="inlineStr">
        <is>
          <t>GN 1/6 container, PP, 100 mm</t>
        </is>
      </c>
      <c r="C96" s="2" t="inlineStr">
        <is>
          <t>Gastromania</t>
        </is>
      </c>
      <c r="D96" s="2" t="inlineStr">
        <is>
          <t>Nádoba z polypropylenu, GN 1/6, 100 mm | STALGAST, Bufet</t>
        </is>
      </c>
      <c r="E96" s="2" t="inlineStr">
        <is>
          <t>Stalgast</t>
        </is>
      </c>
      <c r="F96" s="3" t="inlineStr">
        <is>
          <t>https://www.gastromania.cz/gastronadoby-polypropylenove/nadoba-z-polypropylenu-gn-1-6-100-mm-stalgast-bufet</t>
        </is>
      </c>
      <c r="G96" s="4" t="n">
        <v>57</v>
      </c>
      <c r="H96" s="2" t="inlineStr">
        <is>
          <t>CZK</t>
        </is>
      </c>
      <c r="I96" s="2" t="inlineStr">
        <is>
          <t>incl.</t>
        </is>
      </c>
      <c r="J96" s="5" t="n">
        <v>0.21</v>
      </c>
      <c r="K96" s="2" t="n">
        <v>1</v>
      </c>
      <c r="L96" s="2" t="inlineStr">
        <is>
          <t>per piece</t>
        </is>
      </c>
      <c r="M96" s="4">
        <f>IF(OR(G96="",J96="",K96=""),"",ROUND(IF(I96="incl.",G96/(1+J96),G96)/IF(L96="per pack",K96,1),2))</f>
        <v/>
      </c>
      <c r="N96" s="2" t="inlineStr">
        <is>
          <t>EXACT</t>
        </is>
      </c>
      <c r="O96" s="2" t="inlineStr">
        <is>
          <t>Cambro R-MP16100 94 CZK; price incl. 21% VAT as published in product data (current price, in stock)</t>
        </is>
      </c>
      <c r="P96" s="2" t="inlineStr">
        <is>
          <t>2026-09-30</t>
        </is>
      </c>
      <c r="Q96" s="2">
        <f>IFERROR(INDEX(Competitors!$N$2:$N$50,MATCH(C96,Competitors!$A$2:$A$50,0)),"no")</f>
        <v/>
      </c>
      <c r="R96" s="2">
        <f>IF(AND(Q96="yes",OR(N96="EXACT",N96="CLOSE"),ISNUMBER(M96)),"yes","no")</f>
        <v/>
      </c>
    </row>
    <row r="97">
      <c r="A97" s="2" t="n">
        <v>22</v>
      </c>
      <c r="B97" s="2" t="inlineStr">
        <is>
          <t>GN 1/6 container, PP, 100 mm</t>
        </is>
      </c>
      <c r="C97" s="2" t="inlineStr">
        <is>
          <t>Gastrozone</t>
        </is>
      </c>
      <c r="D97" s="2" t="inlineStr">
        <is>
          <t>Pujadas gastro nádoba GN 1/6 176x162 mm polypropylen v=100 mm</t>
        </is>
      </c>
      <c r="E97" s="2" t="inlineStr">
        <is>
          <t>Pujadas</t>
        </is>
      </c>
      <c r="F97" s="3" t="inlineStr">
        <is>
          <t>https://www.gastrozone.cz/pujadas-gastro-nadoba-gn-1-6-176x162-mm-polypropylen-v-100-mm.html</t>
        </is>
      </c>
      <c r="G97" s="4" t="n">
        <v>130</v>
      </c>
      <c r="H97" s="2" t="inlineStr">
        <is>
          <t>CZK</t>
        </is>
      </c>
      <c r="I97" s="2" t="inlineStr">
        <is>
          <t>incl.</t>
        </is>
      </c>
      <c r="J97" s="5" t="n">
        <v>0.21</v>
      </c>
      <c r="K97" s="2" t="n">
        <v>1</v>
      </c>
      <c r="L97" s="2" t="inlineStr">
        <is>
          <t>per piece</t>
        </is>
      </c>
      <c r="M97" s="4">
        <f>IF(OR(G97="",J97="",K97=""),"",ROUND(IF(I97="incl.",G97/(1+J97),G97)/IF(L97="per pack",K97,1),2))</f>
        <v/>
      </c>
      <c r="N97" s="2" t="inlineStr">
        <is>
          <t>EXACT</t>
        </is>
      </c>
      <c r="O97" s="2" t="inlineStr">
        <is>
          <t>107.44 CZK bez DPH; APS PP alternative 137 CZK</t>
        </is>
      </c>
      <c r="P97" s="2" t="inlineStr">
        <is>
          <t>2026-09-30</t>
        </is>
      </c>
      <c r="Q97" s="2">
        <f>IFERROR(INDEX(Competitors!$N$2:$N$50,MATCH(C97,Competitors!$A$2:$A$50,0)),"no")</f>
        <v/>
      </c>
      <c r="R97" s="2">
        <f>IF(AND(Q97="yes",OR(N97="EXACT",N97="CLOSE"),ISNUMBER(M97)),"yes","no")</f>
        <v/>
      </c>
    </row>
    <row r="98">
      <c r="A98" s="2" t="n">
        <v>22</v>
      </c>
      <c r="B98" s="2" t="inlineStr">
        <is>
          <t>GN 1/6 container, PP, 100 mm</t>
        </is>
      </c>
      <c r="C98" s="2" t="inlineStr">
        <is>
          <t>TOMGAST</t>
        </is>
      </c>
      <c r="D98" s="2" t="inlineStr">
        <is>
          <t>Gastronádoba polypropylenová GN 1/6 100 mm</t>
        </is>
      </c>
      <c r="E98" s="2" t="inlineStr">
        <is>
          <t>Cambro</t>
        </is>
      </c>
      <c r="F98" s="3" t="inlineStr">
        <is>
          <t>https://www.tomgast.cz/gastronadoba-polypropylenova-gn-1-6-100-mm-2/</t>
        </is>
      </c>
      <c r="G98" s="4" t="n">
        <v>94</v>
      </c>
      <c r="H98" s="2" t="inlineStr">
        <is>
          <t>CZK</t>
        </is>
      </c>
      <c r="I98" s="2" t="inlineStr">
        <is>
          <t>incl.</t>
        </is>
      </c>
      <c r="J98" s="5" t="n">
        <v>0.21</v>
      </c>
      <c r="K98" s="2" t="n">
        <v>1</v>
      </c>
      <c r="L98" s="2" t="inlineStr">
        <is>
          <t>per piece</t>
        </is>
      </c>
      <c r="M98" s="4">
        <f>IF(OR(G98="",J98="",K98=""),"",ROUND(IF(I98="incl.",G98/(1+J98),G98)/IF(L98="per pack",K98,1),2))</f>
        <v/>
      </c>
      <c r="N98" s="2" t="inlineStr">
        <is>
          <t>EXACT</t>
        </is>
      </c>
      <c r="O98" s="2" t="inlineStr">
        <is>
          <t>Code R-MP16100; 78 CZK bez DPH</t>
        </is>
      </c>
      <c r="P98" s="2" t="inlineStr">
        <is>
          <t>2026-09-30</t>
        </is>
      </c>
      <c r="Q98" s="2">
        <f>IFERROR(INDEX(Competitors!$N$2:$N$50,MATCH(C98,Competitors!$A$2:$A$50,0)),"no")</f>
        <v/>
      </c>
      <c r="R98" s="2">
        <f>IF(AND(Q98="yes",OR(N98="EXACT",N98="CLOSE"),ISNUMBER(M98)),"yes","no")</f>
        <v/>
      </c>
    </row>
    <row r="99">
      <c r="A99" s="2" t="n">
        <v>23</v>
      </c>
      <c r="B99" s="2" t="inlineStr">
        <is>
          <t>GN 1/9 container, PP, 100 mm</t>
        </is>
      </c>
      <c r="C99" s="2" t="inlineStr">
        <is>
          <t>GGM Gastro (CZ storefront)</t>
        </is>
      </c>
      <c r="D99" s="2" t="inlineStr">
        <is>
          <t>(12 ks) Polypropylenová nádoba GN 1/9 - Mléčná - Výška: 100 mm</t>
        </is>
      </c>
      <c r="E99" s="2" t="inlineStr">
        <is>
          <t>GGM</t>
        </is>
      </c>
      <c r="F99" s="3" t="inlineStr">
        <is>
          <t>https://www.ggmgastro.com/cs-cz-czk/12-ks-polypropylenova-nadoba-gn-1-9-mlecna-vyska-100-mm-gpp19100-12</t>
        </is>
      </c>
      <c r="G99" s="4" t="n">
        <v>997.66</v>
      </c>
      <c r="H99" s="2" t="inlineStr">
        <is>
          <t>CZK</t>
        </is>
      </c>
      <c r="I99" s="2" t="inlineStr">
        <is>
          <t>excl.</t>
        </is>
      </c>
      <c r="J99" s="5" t="n">
        <v>0.19</v>
      </c>
      <c r="K99" s="2" t="n">
        <v>12</v>
      </c>
      <c r="L99" s="2" t="inlineStr">
        <is>
          <t>per pack</t>
        </is>
      </c>
      <c r="M99" s="4">
        <f>IF(OR(G99="",J99="",K99=""),"",ROUND(IF(I99="incl.",G99/(1+J99),G99)/IF(L99="per pack",K99,1),2))</f>
        <v/>
      </c>
      <c r="N99" s="2" t="inlineStr">
        <is>
          <t>EXACT</t>
        </is>
      </c>
      <c r="O99" s="2" t="inlineStr"/>
      <c r="P99" s="2" t="inlineStr">
        <is>
          <t>2026-09-30</t>
        </is>
      </c>
      <c r="Q99" s="2">
        <f>IFERROR(INDEX(Competitors!$N$2:$N$50,MATCH(C99,Competitors!$A$2:$A$50,0)),"no")</f>
        <v/>
      </c>
      <c r="R99" s="2">
        <f>IF(AND(Q99="yes",OR(N99="EXACT",N99="CLOSE"),ISNUMBER(M99)),"yes","no")</f>
        <v/>
      </c>
    </row>
    <row r="100">
      <c r="A100" s="2" t="n">
        <v>23</v>
      </c>
      <c r="B100" s="2" t="inlineStr">
        <is>
          <t>GN 1/9 container, PP, 100 mm</t>
        </is>
      </c>
      <c r="C100" s="2" t="inlineStr">
        <is>
          <t>Gastromania</t>
        </is>
      </c>
      <c r="D100" s="2" t="inlineStr">
        <is>
          <t>Nádoba z polypropylénu GN 1/9, 100 mm | STALGAST, Bufet Safe</t>
        </is>
      </c>
      <c r="E100" s="2" t="inlineStr">
        <is>
          <t>Stalgast</t>
        </is>
      </c>
      <c r="F100" s="3" t="inlineStr">
        <is>
          <t>https://www.gastromania.cz/gastronadoby-polypropylenove/nadoba-z-polypropylenu-gn-1-9-100-mm-stalgast-bufet-safe</t>
        </is>
      </c>
      <c r="G100" s="4" t="n">
        <v>83</v>
      </c>
      <c r="H100" s="2" t="inlineStr">
        <is>
          <t>CZK</t>
        </is>
      </c>
      <c r="I100" s="2" t="inlineStr">
        <is>
          <t>incl.</t>
        </is>
      </c>
      <c r="J100" s="5" t="n">
        <v>0.21</v>
      </c>
      <c r="K100" s="2" t="n">
        <v>1</v>
      </c>
      <c r="L100" s="2" t="inlineStr">
        <is>
          <t>per piece</t>
        </is>
      </c>
      <c r="M100" s="4">
        <f>IF(OR(G100="",J100="",K100=""),"",ROUND(IF(I100="incl.",G100/(1+J100),G100)/IF(L100="per pack",K100,1),2))</f>
        <v/>
      </c>
      <c r="N100" s="2" t="inlineStr">
        <is>
          <t>EXACT</t>
        </is>
      </c>
      <c r="O100" s="2" t="inlineStr">
        <is>
          <t>HENDI Profi Line PP 95, Cambro 105 CZK; price incl. 21% VAT as published in product data (current price, in stock)</t>
        </is>
      </c>
      <c r="P100" s="2" t="inlineStr">
        <is>
          <t>2026-09-30</t>
        </is>
      </c>
      <c r="Q100" s="2">
        <f>IFERROR(INDEX(Competitors!$N$2:$N$50,MATCH(C100,Competitors!$A$2:$A$50,0)),"no")</f>
        <v/>
      </c>
      <c r="R100" s="2">
        <f>IF(AND(Q100="yes",OR(N100="EXACT",N100="CLOSE"),ISNUMBER(M100)),"yes","no")</f>
        <v/>
      </c>
    </row>
    <row r="101">
      <c r="A101" s="2" t="n">
        <v>23</v>
      </c>
      <c r="B101" s="2" t="inlineStr">
        <is>
          <t>GN 1/9 container, PP, 100 mm</t>
        </is>
      </c>
      <c r="C101" s="2" t="inlineStr">
        <is>
          <t>Gastrozone</t>
        </is>
      </c>
      <c r="D101" s="2" t="inlineStr">
        <is>
          <t>APS GN-nádoba Polypropylen, GN 1/9, objem: 1,00 litr, hloubka: 100 mm</t>
        </is>
      </c>
      <c r="E101" s="2" t="inlineStr">
        <is>
          <t>APS</t>
        </is>
      </c>
      <c r="F101" s="3" t="inlineStr">
        <is>
          <t>https://www.gastrozone.cz/aps-gn-nadoba-z-polypropylenu-gn-1-9-obsah-1-00-litru-hloubka-100-mm.html</t>
        </is>
      </c>
      <c r="G101" s="4" t="n">
        <v>124</v>
      </c>
      <c r="H101" s="2" t="inlineStr">
        <is>
          <t>CZK</t>
        </is>
      </c>
      <c r="I101" s="2" t="inlineStr">
        <is>
          <t>incl.</t>
        </is>
      </c>
      <c r="J101" s="5" t="n">
        <v>0.21</v>
      </c>
      <c r="K101" s="2" t="n">
        <v>1</v>
      </c>
      <c r="L101" s="2" t="inlineStr">
        <is>
          <t>per piece</t>
        </is>
      </c>
      <c r="M101" s="4">
        <f>IF(OR(G101="",J101="",K101=""),"",ROUND(IF(I101="incl.",G101/(1+J101),G101)/IF(L101="per pack",K101,1),2))</f>
        <v/>
      </c>
      <c r="N101" s="2" t="inlineStr">
        <is>
          <t>EXACT</t>
        </is>
      </c>
      <c r="O101" s="2" t="inlineStr">
        <is>
          <t>102.48 CZK bez DPH; availability not shown as in stock; Pujadas PP 1/9 100 in stock 159 CZK</t>
        </is>
      </c>
      <c r="P101" s="2" t="inlineStr">
        <is>
          <t>2026-09-30</t>
        </is>
      </c>
      <c r="Q101" s="2">
        <f>IFERROR(INDEX(Competitors!$N$2:$N$50,MATCH(C101,Competitors!$A$2:$A$50,0)),"no")</f>
        <v/>
      </c>
      <c r="R101" s="2">
        <f>IF(AND(Q101="yes",OR(N101="EXACT",N101="CLOSE"),ISNUMBER(M101)),"yes","no")</f>
        <v/>
      </c>
    </row>
    <row r="102">
      <c r="A102" s="2" t="n">
        <v>23</v>
      </c>
      <c r="B102" s="2" t="inlineStr">
        <is>
          <t>GN 1/9 container, PP, 100 mm</t>
        </is>
      </c>
      <c r="C102" s="2" t="inlineStr">
        <is>
          <t>TOMGAST</t>
        </is>
      </c>
      <c r="D102" s="2" t="inlineStr">
        <is>
          <t>Gastronádoba polypropylenová GN 1/9 100 mm</t>
        </is>
      </c>
      <c r="E102" s="2" t="inlineStr">
        <is>
          <t>Cambro</t>
        </is>
      </c>
      <c r="F102" s="3" t="inlineStr">
        <is>
          <t>https://www.tomgast.cz/gastronadoba-polypropylenova-gn-1-9-100-mm/</t>
        </is>
      </c>
      <c r="G102" s="4" t="n">
        <v>105</v>
      </c>
      <c r="H102" s="2" t="inlineStr">
        <is>
          <t>CZK</t>
        </is>
      </c>
      <c r="I102" s="2" t="inlineStr">
        <is>
          <t>incl.</t>
        </is>
      </c>
      <c r="J102" s="5" t="n">
        <v>0.21</v>
      </c>
      <c r="K102" s="2" t="n">
        <v>1</v>
      </c>
      <c r="L102" s="2" t="inlineStr">
        <is>
          <t>per piece</t>
        </is>
      </c>
      <c r="M102" s="4">
        <f>IF(OR(G102="",J102="",K102=""),"",ROUND(IF(I102="incl.",G102/(1+J102),G102)/IF(L102="per pack",K102,1),2))</f>
        <v/>
      </c>
      <c r="N102" s="2" t="inlineStr">
        <is>
          <t>EXACT</t>
        </is>
      </c>
      <c r="O102" s="2" t="inlineStr">
        <is>
          <t>Code R-MP19100; 87 CZK bez DPH. A clearance item MP-19100 (TOMGAST brand, "only until stock runs out") is 74 CZK incl.</t>
        </is>
      </c>
      <c r="P102" s="2" t="inlineStr">
        <is>
          <t>2026-09-30</t>
        </is>
      </c>
      <c r="Q102" s="2">
        <f>IFERROR(INDEX(Competitors!$N$2:$N$50,MATCH(C102,Competitors!$A$2:$A$50,0)),"no")</f>
        <v/>
      </c>
      <c r="R102" s="2">
        <f>IF(AND(Q102="yes",OR(N102="EXACT",N102="CLOSE"),ISNUMBER(M102)),"yes","no")</f>
        <v/>
      </c>
    </row>
    <row r="103">
      <c r="A103" s="2" t="n">
        <v>24</v>
      </c>
      <c r="B103" s="2" t="inlineStr">
        <is>
          <t>Squeeze bottle 250 ml, PP, single tip</t>
        </is>
      </c>
      <c r="C103" s="2" t="inlineStr">
        <is>
          <t>Gastro Novotný</t>
        </is>
      </c>
      <c r="D103" s="2" t="inlineStr">
        <is>
          <t>Láhev plastová dávkovací čirá 354ml</t>
        </is>
      </c>
      <c r="E103" s="2" t="n"/>
      <c r="F103" s="3" t="inlineStr">
        <is>
          <t>https://eshop.gastronovotny.cz/lahev-plastova-davkovaci-cira-354ml--255046026/</t>
        </is>
      </c>
      <c r="G103" s="4" t="n">
        <v>29</v>
      </c>
      <c r="H103" s="2" t="inlineStr">
        <is>
          <t>CZK</t>
        </is>
      </c>
      <c r="I103" s="2" t="inlineStr">
        <is>
          <t>excl.</t>
        </is>
      </c>
      <c r="J103" s="5" t="n">
        <v>0.21</v>
      </c>
      <c r="K103" s="2" t="n">
        <v>1</v>
      </c>
      <c r="L103" s="2" t="inlineStr">
        <is>
          <t>per piece</t>
        </is>
      </c>
      <c r="M103" s="4">
        <f>IF(OR(G103="",J103="",K103=""),"",ROUND(IF(I103="incl.",G103/(1+J103),G103)/IF(L103="per pack",K103,1),2))</f>
        <v/>
      </c>
      <c r="N103" s="2" t="inlineStr">
        <is>
          <t>APPROX</t>
        </is>
      </c>
      <c r="O103" s="2" t="inlineStr">
        <is>
          <t>354 ml instead of 250 ml; plastic type not stated. Smallest squeeze bottle listed; 35.09 CZK incl. VAT</t>
        </is>
      </c>
      <c r="P103" s="2" t="inlineStr">
        <is>
          <t>2026-09-30</t>
        </is>
      </c>
      <c r="Q103" s="2">
        <f>IFERROR(INDEX(Competitors!$N$2:$N$50,MATCH(C103,Competitors!$A$2:$A$50,0)),"no")</f>
        <v/>
      </c>
      <c r="R103" s="2">
        <f>IF(AND(Q103="yes",OR(N103="EXACT",N103="CLOSE"),ISNUMBER(M103)),"yes","no")</f>
        <v/>
      </c>
    </row>
    <row r="104">
      <c r="A104" s="2" t="n">
        <v>24</v>
      </c>
      <c r="B104" s="2" t="inlineStr">
        <is>
          <t>Squeeze bottle 250 ml, PP, single tip</t>
        </is>
      </c>
      <c r="C104" s="2" t="inlineStr">
        <is>
          <t>Gastromania</t>
        </is>
      </c>
      <c r="D104" s="2" t="inlineStr">
        <is>
          <t>Dávkovač na omáčky z polyethylenu 0,25 l průhledný | CONTACTO, 1460/251</t>
        </is>
      </c>
      <c r="E104" s="2" t="inlineStr">
        <is>
          <t>Contacto</t>
        </is>
      </c>
      <c r="F104" s="3" t="inlineStr">
        <is>
          <t>https://www.gastromania.cz/davkovace-omacek/davkovac-na-omacky-z-polyethylenu-0-25-l-pruhledny-contacto-1460-251</t>
        </is>
      </c>
      <c r="G104" s="4" t="n">
        <v>43</v>
      </c>
      <c r="H104" s="2" t="inlineStr">
        <is>
          <t>CZK</t>
        </is>
      </c>
      <c r="I104" s="2" t="inlineStr">
        <is>
          <t>incl.</t>
        </is>
      </c>
      <c r="J104" s="5" t="n">
        <v>0.21</v>
      </c>
      <c r="K104" s="2" t="n">
        <v>1</v>
      </c>
      <c r="L104" s="2" t="inlineStr">
        <is>
          <t>per piece</t>
        </is>
      </c>
      <c r="M104" s="4">
        <f>IF(OR(G104="",J104="",K104=""),"",ROUND(IF(I104="incl.",G104/(1+J104),G104)/IF(L104="per pack",K104,1),2))</f>
        <v/>
      </c>
      <c r="N104" s="2" t="inlineStr">
        <is>
          <t>CLOSE</t>
        </is>
      </c>
      <c r="O104" s="2" t="inlineStr">
        <is>
          <t>250 ml but polyethylene (not PP); 35 CZK bez DPH shown; price incl. 21% VAT as published in product data (current price, in stock)</t>
        </is>
      </c>
      <c r="P104" s="2" t="inlineStr">
        <is>
          <t>2026-09-30</t>
        </is>
      </c>
      <c r="Q104" s="2">
        <f>IFERROR(INDEX(Competitors!$N$2:$N$50,MATCH(C104,Competitors!$A$2:$A$50,0)),"no")</f>
        <v/>
      </c>
      <c r="R104" s="2">
        <f>IF(AND(Q104="yes",OR(N104="EXACT",N104="CLOSE"),ISNUMBER(M104)),"yes","no")</f>
        <v/>
      </c>
    </row>
    <row r="105">
      <c r="A105" s="2" t="n">
        <v>24</v>
      </c>
      <c r="B105" s="2" t="inlineStr">
        <is>
          <t>Squeeze bottle 250 ml, PP, single tip</t>
        </is>
      </c>
      <c r="C105" s="2" t="inlineStr">
        <is>
          <t>Gastrozone</t>
        </is>
      </c>
      <c r="D105" s="2" t="inlineStr">
        <is>
          <t>Araven Mini Dávkovací láhev na omáčky, obsah: 0,25 l</t>
        </is>
      </c>
      <c r="E105" s="2" t="inlineStr">
        <is>
          <t>Araven</t>
        </is>
      </c>
      <c r="F105" s="3" t="inlineStr">
        <is>
          <t>https://www.gastrozone.cz/araven-mini-davkovaci-lahvicka-obsah-0-25-l-vyska-167-mm-prumer-56-mm.html</t>
        </is>
      </c>
      <c r="G105" s="4" t="n">
        <v>99</v>
      </c>
      <c r="H105" s="2" t="inlineStr">
        <is>
          <t>CZK</t>
        </is>
      </c>
      <c r="I105" s="2" t="inlineStr">
        <is>
          <t>incl.</t>
        </is>
      </c>
      <c r="J105" s="5" t="n">
        <v>0.21</v>
      </c>
      <c r="K105" s="2" t="n">
        <v>1</v>
      </c>
      <c r="L105" s="2" t="inlineStr">
        <is>
          <t>per piece</t>
        </is>
      </c>
      <c r="M105" s="4">
        <f>IF(OR(G105="",J105="",K105=""),"",ROUND(IF(I105="incl.",G105/(1+J105),G105)/IF(L105="per pack",K105,1),2))</f>
        <v/>
      </c>
      <c r="N105" s="2" t="inlineStr">
        <is>
          <t>CLOSE</t>
        </is>
      </c>
      <c r="O105" s="2" t="inlineStr">
        <is>
          <t>81.82 CZK bez DPH; 250 ml but HDPE (not PP), screw cap. HENDI 0.2 l LDPE 67 CZK</t>
        </is>
      </c>
      <c r="P105" s="2" t="inlineStr">
        <is>
          <t>2026-09-30</t>
        </is>
      </c>
      <c r="Q105" s="2">
        <f>IFERROR(INDEX(Competitors!$N$2:$N$50,MATCH(C105,Competitors!$A$2:$A$50,0)),"no")</f>
        <v/>
      </c>
      <c r="R105" s="2">
        <f>IF(AND(Q105="yes",OR(N105="EXACT",N105="CLOSE"),ISNUMBER(M105)),"yes","no")</f>
        <v/>
      </c>
    </row>
    <row r="106">
      <c r="A106" s="2" t="n">
        <v>24</v>
      </c>
      <c r="B106" s="2" t="inlineStr">
        <is>
          <t>Squeeze bottle 250 ml, PP, single tip</t>
        </is>
      </c>
      <c r="C106" s="2" t="inlineStr">
        <is>
          <t>TOMGAST</t>
        </is>
      </c>
      <c r="D106" s="2" t="inlineStr">
        <is>
          <t>Dávkovač na omáčky  250 ml</t>
        </is>
      </c>
      <c r="E106" s="2" t="inlineStr">
        <is>
          <t>Laco</t>
        </is>
      </c>
      <c r="F106" s="3" t="inlineStr">
        <is>
          <t>https://www.tomgast.cz/davkovac-na-omacky--250-ml/</t>
        </is>
      </c>
      <c r="G106" s="4" t="n">
        <v>52</v>
      </c>
      <c r="H106" s="2" t="inlineStr">
        <is>
          <t>CZK</t>
        </is>
      </c>
      <c r="I106" s="2" t="inlineStr">
        <is>
          <t>incl.</t>
        </is>
      </c>
      <c r="J106" s="5" t="n">
        <v>0.21</v>
      </c>
      <c r="K106" s="2" t="n">
        <v>1</v>
      </c>
      <c r="L106" s="2" t="inlineStr">
        <is>
          <t>per piece</t>
        </is>
      </c>
      <c r="M106" s="4">
        <f>IF(OR(G106="",J106="",K106=""),"",ROUND(IF(I106="incl.",G106/(1+J106),G106)/IF(L106="per pack",K106,1),2))</f>
        <v/>
      </c>
      <c r="N106" s="2" t="inlineStr">
        <is>
          <t>CLOSE</t>
        </is>
      </c>
      <c r="O106" s="2" t="inlineStr">
        <is>
          <t>Code E-61925; 250 ml but polyethylene (not PP); 43 CZK bez DPH</t>
        </is>
      </c>
      <c r="P106" s="2" t="inlineStr">
        <is>
          <t>2026-09-30</t>
        </is>
      </c>
      <c r="Q106" s="2">
        <f>IFERROR(INDEX(Competitors!$N$2:$N$50,MATCH(C106,Competitors!$A$2:$A$50,0)),"no")</f>
        <v/>
      </c>
      <c r="R106" s="2">
        <f>IF(AND(Q106="yes",OR(N106="EXACT",N106="CLOSE"),ISNUMBER(M106)),"yes","no")</f>
        <v/>
      </c>
    </row>
    <row r="107">
      <c r="A107" s="2" t="n">
        <v>25</v>
      </c>
      <c r="B107" s="2" t="inlineStr">
        <is>
          <t>Squeeze bottle 750 ml, PP, single tip</t>
        </is>
      </c>
      <c r="C107" s="2" t="inlineStr">
        <is>
          <t>GGM Gastro (CZ storefront)</t>
        </is>
      </c>
      <c r="D107" s="2" t="inlineStr">
        <is>
          <t>(6 ks) Stlačovací lahev na omáčky se středovou membránou - 710 ml</t>
        </is>
      </c>
      <c r="E107" s="2" t="inlineStr">
        <is>
          <t>GGM</t>
        </is>
      </c>
      <c r="F107" s="3" t="inlineStr">
        <is>
          <t>https://www.ggmgastro.com/cs-cz-czk/6-ks-stlacovaci-lahev-na-omacky-se-stredovou-membranou-710-ml-se-sroubovacim-uzaverem-a-uzaviraci-cepickou-ffo-004</t>
        </is>
      </c>
      <c r="G107" s="4" t="n">
        <v>827.28</v>
      </c>
      <c r="H107" s="2" t="inlineStr">
        <is>
          <t>CZK</t>
        </is>
      </c>
      <c r="I107" s="2" t="inlineStr">
        <is>
          <t>excl.</t>
        </is>
      </c>
      <c r="J107" s="5" t="n">
        <v>0.19</v>
      </c>
      <c r="K107" s="2" t="n">
        <v>6</v>
      </c>
      <c r="L107" s="2" t="inlineStr">
        <is>
          <t>per pack</t>
        </is>
      </c>
      <c r="M107" s="4">
        <f>IF(OR(G107="",J107="",K107=""),"",ROUND(IF(I107="incl.",G107/(1+J107),G107)/IF(L107="per pack",K107,1),2))</f>
        <v/>
      </c>
      <c r="N107" s="2" t="inlineStr">
        <is>
          <t>CLOSE</t>
        </is>
      </c>
      <c r="O107" s="2" t="inlineStr">
        <is>
          <t>710 ml FIFO bottle with valve, screw cap and closing cap; material not stated</t>
        </is>
      </c>
      <c r="P107" s="2" t="inlineStr">
        <is>
          <t>2026-09-30</t>
        </is>
      </c>
      <c r="Q107" s="2">
        <f>IFERROR(INDEX(Competitors!$N$2:$N$50,MATCH(C107,Competitors!$A$2:$A$50,0)),"no")</f>
        <v/>
      </c>
      <c r="R107" s="2">
        <f>IF(AND(Q107="yes",OR(N107="EXACT",N107="CLOSE"),ISNUMBER(M107)),"yes","no")</f>
        <v/>
      </c>
    </row>
    <row r="108">
      <c r="A108" s="2" t="n">
        <v>25</v>
      </c>
      <c r="B108" s="2" t="inlineStr">
        <is>
          <t>Squeeze bottle 750 ml, PP, single tip</t>
        </is>
      </c>
      <c r="C108" s="2" t="inlineStr">
        <is>
          <t>Gastro Novotný</t>
        </is>
      </c>
      <c r="D108" s="2" t="inlineStr">
        <is>
          <t>Plastová láhev zdobící 708ml</t>
        </is>
      </c>
      <c r="E108" s="2" t="n"/>
      <c r="F108" s="3" t="inlineStr">
        <is>
          <t>https://eshop.gastronovotny.cz/plastova-lahev-zdobici-708ml--255047026/</t>
        </is>
      </c>
      <c r="G108" s="4" t="n">
        <v>39</v>
      </c>
      <c r="H108" s="2" t="inlineStr">
        <is>
          <t>CZK</t>
        </is>
      </c>
      <c r="I108" s="2" t="inlineStr">
        <is>
          <t>excl.</t>
        </is>
      </c>
      <c r="J108" s="5" t="n">
        <v>0.21</v>
      </c>
      <c r="K108" s="2" t="n">
        <v>1</v>
      </c>
      <c r="L108" s="2" t="inlineStr">
        <is>
          <t>per piece</t>
        </is>
      </c>
      <c r="M108" s="4">
        <f>IF(OR(G108="",J108="",K108=""),"",ROUND(IF(I108="incl.",G108/(1+J108),G108)/IF(L108="per pack",K108,1),2))</f>
        <v/>
      </c>
      <c r="N108" s="2" t="inlineStr">
        <is>
          <t>CLOSE</t>
        </is>
      </c>
      <c r="O108" s="2" t="inlineStr">
        <is>
          <t>Code 255047026; 708 ml decorating squeeze bottle, single tip; plastic type not stated (flagged); 47.19 CZK incl. VAT</t>
        </is>
      </c>
      <c r="P108" s="2" t="inlineStr">
        <is>
          <t>2026-09-30</t>
        </is>
      </c>
      <c r="Q108" s="2">
        <f>IFERROR(INDEX(Competitors!$N$2:$N$50,MATCH(C108,Competitors!$A$2:$A$50,0)),"no")</f>
        <v/>
      </c>
      <c r="R108" s="2">
        <f>IF(AND(Q108="yes",OR(N108="EXACT",N108="CLOSE"),ISNUMBER(M108)),"yes","no")</f>
        <v/>
      </c>
    </row>
    <row r="109">
      <c r="A109" s="2" t="n">
        <v>25</v>
      </c>
      <c r="B109" s="2" t="inlineStr">
        <is>
          <t>Squeeze bottle 750 ml, PP, single tip</t>
        </is>
      </c>
      <c r="C109" s="2" t="inlineStr">
        <is>
          <t>Gastromania</t>
        </is>
      </c>
      <c r="D109" s="2" t="inlineStr">
        <is>
          <t>Dávkovač na omáčky 720 ml, transparentní | TOM-GAST, MA-966</t>
        </is>
      </c>
      <c r="E109" s="2" t="inlineStr">
        <is>
          <t>TOMGAST</t>
        </is>
      </c>
      <c r="F109" s="3" t="inlineStr">
        <is>
          <t>https://www.gastromania.cz/davkovace-omacek/davkovac-na-omacky-720-ml-transparentni-tom-gast-ma-966</t>
        </is>
      </c>
      <c r="G109" s="4" t="n">
        <v>34</v>
      </c>
      <c r="H109" s="2" t="inlineStr">
        <is>
          <t>CZK</t>
        </is>
      </c>
      <c r="I109" s="2" t="inlineStr">
        <is>
          <t>incl.</t>
        </is>
      </c>
      <c r="J109" s="5" t="n">
        <v>0.21</v>
      </c>
      <c r="K109" s="2" t="n">
        <v>1</v>
      </c>
      <c r="L109" s="2" t="inlineStr">
        <is>
          <t>per piece</t>
        </is>
      </c>
      <c r="M109" s="4">
        <f>IF(OR(G109="",J109="",K109=""),"",ROUND(IF(I109="incl.",G109/(1+J109),G109)/IF(L109="per pack",K109,1),2))</f>
        <v/>
      </c>
      <c r="N109" s="2" t="inlineStr">
        <is>
          <t>CLOSE</t>
        </is>
      </c>
      <c r="O109" s="2" t="inlineStr">
        <is>
          <t>720 ml, polyethylene (not PP); Contacto PE 0.7 l 55 CZK, APS 0.76 l set of 6 361 CZK; price incl. 21% VAT as published in product data (current price, in stock)</t>
        </is>
      </c>
      <c r="P109" s="2" t="inlineStr">
        <is>
          <t>2026-09-30</t>
        </is>
      </c>
      <c r="Q109" s="2">
        <f>IFERROR(INDEX(Competitors!$N$2:$N$50,MATCH(C109,Competitors!$A$2:$A$50,0)),"no")</f>
        <v/>
      </c>
      <c r="R109" s="2">
        <f>IF(AND(Q109="yes",OR(N109="EXACT",N109="CLOSE"),ISNUMBER(M109)),"yes","no")</f>
        <v/>
      </c>
    </row>
    <row r="110">
      <c r="A110" s="2" t="n">
        <v>25</v>
      </c>
      <c r="B110" s="2" t="inlineStr">
        <is>
          <t>Squeeze bottle 750 ml, PP, single tip</t>
        </is>
      </c>
      <c r="C110" s="2" t="inlineStr">
        <is>
          <t>Gastrozone</t>
        </is>
      </c>
      <c r="D110" s="2" t="inlineStr">
        <is>
          <t>ARAVEN Mačkací láhev, LDPE, ø: 75 mm, výška: 273 mm, objem: 0,75 L, bílá</t>
        </is>
      </c>
      <c r="E110" s="2" t="inlineStr">
        <is>
          <t>Araven</t>
        </is>
      </c>
      <c r="F110" s="3" t="inlineStr">
        <is>
          <t>https://www.gastrozone.cz/araven-stlacovaci-lahev-ldpe-o-75-mm-vyska-273-mm-objem-0-75-l-bila.html</t>
        </is>
      </c>
      <c r="G110" s="4" t="n">
        <v>154</v>
      </c>
      <c r="H110" s="2" t="inlineStr">
        <is>
          <t>CZK</t>
        </is>
      </c>
      <c r="I110" s="2" t="inlineStr">
        <is>
          <t>incl.</t>
        </is>
      </c>
      <c r="J110" s="5" t="n">
        <v>0.21</v>
      </c>
      <c r="K110" s="2" t="n">
        <v>1</v>
      </c>
      <c r="L110" s="2" t="inlineStr">
        <is>
          <t>per piece</t>
        </is>
      </c>
      <c r="M110" s="4">
        <f>IF(OR(G110="",J110="",K110=""),"",ROUND(IF(I110="incl.",G110/(1+J110),G110)/IF(L110="per pack",K110,1),2))</f>
        <v/>
      </c>
      <c r="N110" s="2" t="inlineStr">
        <is>
          <t>CLOSE</t>
        </is>
      </c>
      <c r="O110" s="2" t="inlineStr">
        <is>
          <t>127.27 CZK bez DPH; 750 ml but LDPE (not PP). Cheaper: Contacto 700 ml PE 54 CZK, HENDI 0.7 l LDPE 74 CZK</t>
        </is>
      </c>
      <c r="P110" s="2" t="inlineStr">
        <is>
          <t>2026-09-30</t>
        </is>
      </c>
      <c r="Q110" s="2">
        <f>IFERROR(INDEX(Competitors!$N$2:$N$50,MATCH(C110,Competitors!$A$2:$A$50,0)),"no")</f>
        <v/>
      </c>
      <c r="R110" s="2">
        <f>IF(AND(Q110="yes",OR(N110="EXACT",N110="CLOSE"),ISNUMBER(M110)),"yes","no")</f>
        <v/>
      </c>
    </row>
    <row r="111">
      <c r="A111" s="2" t="n">
        <v>25</v>
      </c>
      <c r="B111" s="2" t="inlineStr">
        <is>
          <t>Squeeze bottle 750 ml, PP, single tip</t>
        </is>
      </c>
      <c r="C111" s="2" t="inlineStr">
        <is>
          <t>TOMGAST</t>
        </is>
      </c>
      <c r="D111" s="2" t="inlineStr">
        <is>
          <t>Dávkovač na omáčky 720 ml, transparentní</t>
        </is>
      </c>
      <c r="E111" s="2" t="inlineStr">
        <is>
          <t>TOMGAST</t>
        </is>
      </c>
      <c r="F111" s="3" t="inlineStr">
        <is>
          <t>https://www.tomgast.cz/davkovac-na-omacky-720-ml--transparentni/</t>
        </is>
      </c>
      <c r="G111" s="4" t="n">
        <v>34</v>
      </c>
      <c r="H111" s="2" t="inlineStr">
        <is>
          <t>CZK</t>
        </is>
      </c>
      <c r="I111" s="2" t="inlineStr">
        <is>
          <t>incl.</t>
        </is>
      </c>
      <c r="J111" s="5" t="n">
        <v>0.21</v>
      </c>
      <c r="K111" s="2" t="n">
        <v>1</v>
      </c>
      <c r="L111" s="2" t="inlineStr">
        <is>
          <t>per piece</t>
        </is>
      </c>
      <c r="M111" s="4">
        <f>IF(OR(G111="",J111="",K111=""),"",ROUND(IF(I111="incl.",G111/(1+J111),G111)/IF(L111="per pack",K111,1),2))</f>
        <v/>
      </c>
      <c r="N111" s="2" t="inlineStr">
        <is>
          <t>CLOSE</t>
        </is>
      </c>
      <c r="O111" s="2" t="inlineStr">
        <is>
          <t>Code MA-966; 720 ml, polyethylene (not PP); 28 CZK bez DPH. Laco 700 ml (E-61970) is 64 CZK incl.</t>
        </is>
      </c>
      <c r="P111" s="2" t="inlineStr">
        <is>
          <t>2026-09-30</t>
        </is>
      </c>
      <c r="Q111" s="2">
        <f>IFERROR(INDEX(Competitors!$N$2:$N$50,MATCH(C111,Competitors!$A$2:$A$50,0)),"no")</f>
        <v/>
      </c>
      <c r="R111" s="2">
        <f>IF(AND(Q111="yes",OR(N111="EXACT",N111="CLOSE"),ISNUMBER(M111)),"yes","no")</f>
        <v/>
      </c>
    </row>
    <row r="112">
      <c r="A112" s="2" t="n">
        <v>26</v>
      </c>
      <c r="B112" s="2" t="inlineStr">
        <is>
          <t>Cutting board 400x300x20 mm, red PE</t>
        </is>
      </c>
      <c r="C112" s="2" t="inlineStr">
        <is>
          <t>GGM Gastro (CZ storefront)</t>
        </is>
      </c>
      <c r="D112" s="2" t="inlineStr">
        <is>
          <t>Krájecí deska - EN 250x400 - Dle HACCP - Červená</t>
        </is>
      </c>
      <c r="E112" s="2" t="inlineStr">
        <is>
          <t>GGM</t>
        </is>
      </c>
      <c r="F112" s="3" t="inlineStr">
        <is>
          <t>https://www.ggmgastro.com/cs-cz-czk/krajeci-deska-en-250x400-dle-haccp-cervena-sbp25r</t>
        </is>
      </c>
      <c r="G112" s="4" t="n">
        <v>413.52</v>
      </c>
      <c r="H112" s="2" t="inlineStr">
        <is>
          <t>CZK</t>
        </is>
      </c>
      <c r="I112" s="2" t="inlineStr">
        <is>
          <t>excl.</t>
        </is>
      </c>
      <c r="J112" s="5" t="n">
        <v>0.19</v>
      </c>
      <c r="K112" s="2" t="n">
        <v>1</v>
      </c>
      <c r="L112" s="2" t="inlineStr">
        <is>
          <t>per piece</t>
        </is>
      </c>
      <c r="M112" s="4">
        <f>IF(OR(G112="",J112="",K112=""),"",ROUND(IF(I112="incl.",G112/(1+J112),G112)/IF(L112="per pack",K112,1),2))</f>
        <v/>
      </c>
      <c r="N112" s="2" t="inlineStr">
        <is>
          <t>APPROX</t>
        </is>
      </c>
      <c r="O112" s="2" t="inlineStr">
        <is>
          <t>Red HACCP board but 250x400 mm (vs 400x300)</t>
        </is>
      </c>
      <c r="P112" s="2" t="inlineStr">
        <is>
          <t>2026-09-30</t>
        </is>
      </c>
      <c r="Q112" s="2">
        <f>IFERROR(INDEX(Competitors!$N$2:$N$50,MATCH(C112,Competitors!$A$2:$A$50,0)),"no")</f>
        <v/>
      </c>
      <c r="R112" s="2">
        <f>IF(AND(Q112="yes",OR(N112="EXACT",N112="CLOSE"),ISNUMBER(M112)),"yes","no")</f>
        <v/>
      </c>
    </row>
    <row r="113">
      <c r="A113" s="2" t="n">
        <v>26</v>
      </c>
      <c r="B113" s="2" t="inlineStr">
        <is>
          <t>Cutting board 400x300x20 mm, red PE</t>
        </is>
      </c>
      <c r="C113" s="2" t="inlineStr">
        <is>
          <t>Gastromania</t>
        </is>
      </c>
      <c r="D113" s="2" t="inlineStr">
        <is>
          <t>Krájecí deska HACCP, červená, 450x300 mm | HENDI, 827017</t>
        </is>
      </c>
      <c r="E113" s="2" t="inlineStr">
        <is>
          <t>Hendi</t>
        </is>
      </c>
      <c r="F113" s="3" t="inlineStr">
        <is>
          <t>https://www.gastromania.cz/plastove-krajeci-desky-haccp/krajeci-deska-haccp-cervena-450x300-mm-hendi-827017</t>
        </is>
      </c>
      <c r="G113" s="4" t="n">
        <v>304</v>
      </c>
      <c r="H113" s="2" t="inlineStr">
        <is>
          <t>CZK</t>
        </is>
      </c>
      <c r="I113" s="2" t="inlineStr">
        <is>
          <t>incl.</t>
        </is>
      </c>
      <c r="J113" s="5" t="n">
        <v>0.21</v>
      </c>
      <c r="K113" s="2" t="n">
        <v>1</v>
      </c>
      <c r="L113" s="2" t="inlineStr">
        <is>
          <t>per piece</t>
        </is>
      </c>
      <c r="M113" s="4">
        <f>IF(OR(G113="",J113="",K113=""),"",ROUND(IF(I113="incl.",G113/(1+J113),G113)/IF(L113="per pack",K113,1),2))</f>
        <v/>
      </c>
      <c r="N113" s="2" t="inlineStr">
        <is>
          <t>APPROX</t>
        </is>
      </c>
      <c r="O113" s="2" t="inlineStr">
        <is>
          <t>Red PE but 450 x 300 mm (no 400 x 300 board listed); thickness not in title; 251 CZK bez DPH; price incl. 21% VAT as published in product data (current price, in stock)</t>
        </is>
      </c>
      <c r="P113" s="2" t="inlineStr">
        <is>
          <t>2026-09-30</t>
        </is>
      </c>
      <c r="Q113" s="2">
        <f>IFERROR(INDEX(Competitors!$N$2:$N$50,MATCH(C113,Competitors!$A$2:$A$50,0)),"no")</f>
        <v/>
      </c>
      <c r="R113" s="2">
        <f>IF(AND(Q113="yes",OR(N113="EXACT",N113="CLOSE"),ISNUMBER(M113)),"yes","no")</f>
        <v/>
      </c>
    </row>
    <row r="114">
      <c r="A114" s="2" t="n">
        <v>26</v>
      </c>
      <c r="B114" s="2" t="inlineStr">
        <is>
          <t>Cutting board 400x300x20 mm, red PE</t>
        </is>
      </c>
      <c r="C114" s="2" t="inlineStr">
        <is>
          <t>Gastrozone</t>
        </is>
      </c>
      <c r="D114" s="2" t="inlineStr">
        <is>
          <t>Gastro Prkénko krájecí plastové 40x30x2 cm, s drážkou, bílé</t>
        </is>
      </c>
      <c r="E114" s="2" t="inlineStr">
        <is>
          <t>Gastro</t>
        </is>
      </c>
      <c r="F114" s="3" t="inlineStr">
        <is>
          <t>https://www.gastrozone.cz/gastro-prkenko-krajeci-plastove-40x30x2-cm-s-drazkou-bile.html</t>
        </is>
      </c>
      <c r="G114" s="4" t="n">
        <v>1082</v>
      </c>
      <c r="H114" s="2" t="inlineStr">
        <is>
          <t>CZK</t>
        </is>
      </c>
      <c r="I114" s="2" t="inlineStr">
        <is>
          <t>incl.</t>
        </is>
      </c>
      <c r="J114" s="5" t="n">
        <v>0.21</v>
      </c>
      <c r="K114" s="2" t="n">
        <v>1</v>
      </c>
      <c r="L114" s="2" t="inlineStr">
        <is>
          <t>per piece</t>
        </is>
      </c>
      <c r="M114" s="4">
        <f>IF(OR(G114="",J114="",K114=""),"",ROUND(IF(I114="incl.",G114/(1+J114),G114)/IF(L114="per pack",K114,1),2))</f>
        <v/>
      </c>
      <c r="N114" s="2" t="inlineStr">
        <is>
          <t>CLOSE</t>
        </is>
      </c>
      <c r="O114" s="2" t="inlineStr">
        <is>
          <t>894.21 CZK bez DPH; 400 x 300 x 20 mm with groove, but white (red only in 10 mm: 619 CZK incl.); material stated only as "Plast" (PE not confirmed)</t>
        </is>
      </c>
      <c r="P114" s="2" t="inlineStr">
        <is>
          <t>2026-09-30</t>
        </is>
      </c>
      <c r="Q114" s="2">
        <f>IFERROR(INDEX(Competitors!$N$2:$N$50,MATCH(C114,Competitors!$A$2:$A$50,0)),"no")</f>
        <v/>
      </c>
      <c r="R114" s="2">
        <f>IF(AND(Q114="yes",OR(N114="EXACT",N114="CLOSE"),ISNUMBER(M114)),"yes","no")</f>
        <v/>
      </c>
    </row>
    <row r="115">
      <c r="A115" s="2" t="n">
        <v>26</v>
      </c>
      <c r="B115" s="2" t="inlineStr">
        <is>
          <t>Cutting board 400x300x20 mm, red PE</t>
        </is>
      </c>
      <c r="C115" s="2" t="inlineStr">
        <is>
          <t>TOMGAST</t>
        </is>
      </c>
      <c r="D115" s="2" t="inlineStr">
        <is>
          <t>Deska 450 × 300 × 13 mm, červená</t>
        </is>
      </c>
      <c r="E115" s="2" t="inlineStr">
        <is>
          <t>TOMGAST</t>
        </is>
      </c>
      <c r="F115" s="3" t="inlineStr">
        <is>
          <t>https://www.tomgast.cz/deska-450--300--13-mm--cervena/</t>
        </is>
      </c>
      <c r="G115" s="4" t="n">
        <v>353</v>
      </c>
      <c r="H115" s="2" t="inlineStr">
        <is>
          <t>CZK</t>
        </is>
      </c>
      <c r="I115" s="2" t="inlineStr">
        <is>
          <t>incl.</t>
        </is>
      </c>
      <c r="J115" s="5" t="n">
        <v>0.21</v>
      </c>
      <c r="K115" s="2" t="n">
        <v>1</v>
      </c>
      <c r="L115" s="2" t="inlineStr">
        <is>
          <t>per piece</t>
        </is>
      </c>
      <c r="M115" s="4">
        <f>IF(OR(G115="",J115="",K115=""),"",ROUND(IF(I115="incl.",G115/(1+J115),G115)/IF(L115="per pack",K115,1),2))</f>
        <v/>
      </c>
      <c r="N115" s="2" t="inlineStr">
        <is>
          <t>APPROX</t>
        </is>
      </c>
      <c r="O115" s="2" t="inlineStr">
        <is>
          <t>Code T-3045-R; red PE but 450 x 300 x 13 mm (no red 400 x 300 x 20 listed); 292 CZK bez DPH</t>
        </is>
      </c>
      <c r="P115" s="2" t="inlineStr">
        <is>
          <t>2026-09-30</t>
        </is>
      </c>
      <c r="Q115" s="2">
        <f>IFERROR(INDEX(Competitors!$N$2:$N$50,MATCH(C115,Competitors!$A$2:$A$50,0)),"no")</f>
        <v/>
      </c>
      <c r="R115" s="2">
        <f>IF(AND(Q115="yes",OR(N115="EXACT",N115="CLOSE"),ISNUMBER(M115)),"yes","no")</f>
        <v/>
      </c>
    </row>
    <row r="116">
      <c r="A116" s="2" t="n">
        <v>27</v>
      </c>
      <c r="B116" s="2" t="inlineStr">
        <is>
          <t>Dough box 600x400x75 mm, PP, without lid</t>
        </is>
      </c>
      <c r="C116" s="2" t="inlineStr">
        <is>
          <t>GGM Gastro (CZ storefront)</t>
        </is>
      </c>
      <c r="D116" s="2" t="inlineStr">
        <is>
          <t>(9 tlg) Přepravka na těsto-set - 8 nádob &amp; 1 víko - EN 600x400 - Výška: 75 mm - Polypropylen</t>
        </is>
      </c>
      <c r="E116" s="2" t="inlineStr">
        <is>
          <t>GGM</t>
        </is>
      </c>
      <c r="F116" s="3" t="inlineStr">
        <is>
          <t>https://www.ggmgastro.com/cs-cz-czk/9-tlg-prepravka-na-testo-set-8-nadob-und-1-viko-en-600x400-vyska-75-mm-polypropylen-bila-tbpp647</t>
        </is>
      </c>
      <c r="G116" s="4" t="n">
        <v>1752.16</v>
      </c>
      <c r="H116" s="2" t="inlineStr">
        <is>
          <t>CZK</t>
        </is>
      </c>
      <c r="I116" s="2" t="inlineStr">
        <is>
          <t>excl.</t>
        </is>
      </c>
      <c r="J116" s="5" t="n">
        <v>0.19</v>
      </c>
      <c r="K116" s="2" t="n">
        <v>8</v>
      </c>
      <c r="L116" s="2" t="inlineStr">
        <is>
          <t>per pack</t>
        </is>
      </c>
      <c r="M116" s="4">
        <f>IF(OR(G116="",J116="",K116=""),"",ROUND(IF(I116="incl.",G116/(1+J116),G116)/IF(L116="per pack",K116,1),2))</f>
        <v/>
      </c>
      <c r="N116" s="2" t="inlineStr">
        <is>
          <t>CLOSE</t>
        </is>
      </c>
      <c r="O116" s="2" t="inlineStr">
        <is>
          <t>Sold only as set of 8 PP boxes plus 1 lid; per-box price includes a share of the lid</t>
        </is>
      </c>
      <c r="P116" s="2" t="inlineStr">
        <is>
          <t>2026-09-30</t>
        </is>
      </c>
      <c r="Q116" s="2">
        <f>IFERROR(INDEX(Competitors!$N$2:$N$50,MATCH(C116,Competitors!$A$2:$A$50,0)),"no")</f>
        <v/>
      </c>
      <c r="R116" s="2">
        <f>IF(AND(Q116="yes",OR(N116="EXACT",N116="CLOSE"),ISNUMBER(M116)),"yes","no")</f>
        <v/>
      </c>
    </row>
    <row r="117">
      <c r="A117" s="2" t="n">
        <v>27</v>
      </c>
      <c r="B117" s="2" t="inlineStr">
        <is>
          <t>Dough box 600x400x75 mm, PP, without lid</t>
        </is>
      </c>
      <c r="C117" s="2" t="inlineStr">
        <is>
          <t>Gastro Novotný</t>
        </is>
      </c>
      <c r="D117" s="2" t="inlineStr">
        <is>
          <t>Přepravka na pizzu 60x40x9cm</t>
        </is>
      </c>
      <c r="E117" s="2" t="n"/>
      <c r="F117" s="3" t="inlineStr">
        <is>
          <t>https://eshop.gastronovotny.cz/prepravka-na-pizzu-60x40x9cm--1841762-09/</t>
        </is>
      </c>
      <c r="G117" s="4" t="n">
        <v>390</v>
      </c>
      <c r="H117" s="2" t="inlineStr">
        <is>
          <t>CZK</t>
        </is>
      </c>
      <c r="I117" s="2" t="inlineStr">
        <is>
          <t>excl.</t>
        </is>
      </c>
      <c r="J117" s="5" t="n">
        <v>0.21</v>
      </c>
      <c r="K117" s="2" t="n">
        <v>1</v>
      </c>
      <c r="L117" s="2" t="inlineStr">
        <is>
          <t>per piece</t>
        </is>
      </c>
      <c r="M117" s="4">
        <f>IF(OR(G117="",J117="",K117=""),"",ROUND(IF(I117="incl.",G117/(1+J117),G117)/IF(L117="per pack",K117,1),2))</f>
        <v/>
      </c>
      <c r="N117" s="2" t="inlineStr">
        <is>
          <t>APPROX</t>
        </is>
      </c>
      <c r="O117" s="2" t="inlineStr">
        <is>
          <t>600 x 400 x 90 mm (not 75 mm); material not stated on page. Availability "Na dotaz"; 471.90 CZK incl. VAT</t>
        </is>
      </c>
      <c r="P117" s="2" t="inlineStr">
        <is>
          <t>2026-09-30</t>
        </is>
      </c>
      <c r="Q117" s="2">
        <f>IFERROR(INDEX(Competitors!$N$2:$N$50,MATCH(C117,Competitors!$A$2:$A$50,0)),"no")</f>
        <v/>
      </c>
      <c r="R117" s="2">
        <f>IF(AND(Q117="yes",OR(N117="EXACT",N117="CLOSE"),ISNUMBER(M117)),"yes","no")</f>
        <v/>
      </c>
    </row>
    <row r="118">
      <c r="A118" s="2" t="n">
        <v>27</v>
      </c>
      <c r="B118" s="2" t="inlineStr">
        <is>
          <t>Dough box 600x400x75 mm, PP, without lid</t>
        </is>
      </c>
      <c r="C118" s="2" t="inlineStr">
        <is>
          <t>Gastromania</t>
        </is>
      </c>
      <c r="D118" s="2" t="inlineStr">
        <is>
          <t>Přepravka na pizzu 60x40x7,5 cm | TOM-GAST, ZT-6040</t>
        </is>
      </c>
      <c r="E118" s="2" t="inlineStr">
        <is>
          <t>TOMGAST</t>
        </is>
      </c>
      <c r="F118" s="3" t="inlineStr">
        <is>
          <t>https://www.gastromania.cz/kose-na-pizza-testo/prepravka-na-pizzu-60x40x7-5-cm-tom-gast-zt-6040</t>
        </is>
      </c>
      <c r="G118" s="4" t="n">
        <v>339</v>
      </c>
      <c r="H118" s="2" t="inlineStr">
        <is>
          <t>CZK</t>
        </is>
      </c>
      <c r="I118" s="2" t="inlineStr">
        <is>
          <t>incl.</t>
        </is>
      </c>
      <c r="J118" s="5" t="n">
        <v>0.21</v>
      </c>
      <c r="K118" s="2" t="n">
        <v>1</v>
      </c>
      <c r="L118" s="2" t="inlineStr">
        <is>
          <t>per piece</t>
        </is>
      </c>
      <c r="M118" s="4">
        <f>IF(OR(G118="",J118="",K118=""),"",ROUND(IF(I118="incl.",G118/(1+J118),G118)/IF(L118="per pack",K118,1),2))</f>
        <v/>
      </c>
      <c r="N118" s="2" t="inlineStr">
        <is>
          <t>EXACT</t>
        </is>
      </c>
      <c r="O118" s="2" t="inlineStr">
        <is>
          <t>PP 600 x 400 x 75 mm (same item as tomgast.cz); Hendi 880906 PET 75 mm 392, Contacto 2510/600 473 CZK; price incl. 21% VAT as published in product data (current price, in stock)</t>
        </is>
      </c>
      <c r="P118" s="2" t="inlineStr">
        <is>
          <t>2026-09-30</t>
        </is>
      </c>
      <c r="Q118" s="2">
        <f>IFERROR(INDEX(Competitors!$N$2:$N$50,MATCH(C118,Competitors!$A$2:$A$50,0)),"no")</f>
        <v/>
      </c>
      <c r="R118" s="2">
        <f>IF(AND(Q118="yes",OR(N118="EXACT",N118="CLOSE"),ISNUMBER(M118)),"yes","no")</f>
        <v/>
      </c>
    </row>
    <row r="119">
      <c r="A119" s="2" t="n">
        <v>27</v>
      </c>
      <c r="B119" s="2" t="inlineStr">
        <is>
          <t>Dough box 600x400x75 mm, PP, without lid</t>
        </is>
      </c>
      <c r="C119" s="2" t="inlineStr">
        <is>
          <t>Gastrozone</t>
        </is>
      </c>
      <c r="D119" s="2" t="inlineStr">
        <is>
          <t>Nádoba AmerBox Kitchen Line na pizza těsto, 600 × 400 mm, 14 l</t>
        </is>
      </c>
      <c r="E119" s="2" t="inlineStr">
        <is>
          <t>AmerBox (Hendi)</t>
        </is>
      </c>
      <c r="F119" s="3" t="inlineStr">
        <is>
          <t>https://www.gastrozone.cz/nadoba-na-pizza-testo-600x400-amerbox-kitchen-line-14l-600x400x-h-75mm.html</t>
        </is>
      </c>
      <c r="G119" s="4" t="n">
        <v>285</v>
      </c>
      <c r="H119" s="2" t="inlineStr">
        <is>
          <t>CZK</t>
        </is>
      </c>
      <c r="I119" s="2" t="inlineStr">
        <is>
          <t>incl.</t>
        </is>
      </c>
      <c r="J119" s="5" t="n">
        <v>0.21</v>
      </c>
      <c r="K119" s="2" t="n">
        <v>1</v>
      </c>
      <c r="L119" s="2" t="inlineStr">
        <is>
          <t>per piece</t>
        </is>
      </c>
      <c r="M119" s="4">
        <f>IF(OR(G119="",J119="",K119=""),"",ROUND(IF(I119="incl.",G119/(1+J119),G119)/IF(L119="per pack",K119,1),2))</f>
        <v/>
      </c>
      <c r="N119" s="2" t="inlineStr">
        <is>
          <t>CLOSE</t>
        </is>
      </c>
      <c r="O119" s="2" t="inlineStr">
        <is>
          <t>235.54 CZK bez DPH; code HEN-880906; 600 x 400 x 75 mm but PET (not PP); lid sold separately</t>
        </is>
      </c>
      <c r="P119" s="2" t="inlineStr">
        <is>
          <t>2026-09-30</t>
        </is>
      </c>
      <c r="Q119" s="2">
        <f>IFERROR(INDEX(Competitors!$N$2:$N$50,MATCH(C119,Competitors!$A$2:$A$50,0)),"no")</f>
        <v/>
      </c>
      <c r="R119" s="2">
        <f>IF(AND(Q119="yes",OR(N119="EXACT",N119="CLOSE"),ISNUMBER(M119)),"yes","no")</f>
        <v/>
      </c>
    </row>
    <row r="120">
      <c r="A120" s="2" t="n">
        <v>27</v>
      </c>
      <c r="B120" s="2" t="inlineStr">
        <is>
          <t>Dough box 600x400x75 mm, PP, without lid</t>
        </is>
      </c>
      <c r="C120" s="2" t="inlineStr">
        <is>
          <t>TOMGAST</t>
        </is>
      </c>
      <c r="D120" s="2" t="inlineStr">
        <is>
          <t>Přepravka na pizzu 60 × 40 × 7,5 cm</t>
        </is>
      </c>
      <c r="E120" s="2" t="inlineStr">
        <is>
          <t>TOMGAST</t>
        </is>
      </c>
      <c r="F120" s="3" t="inlineStr">
        <is>
          <t>https://www.tomgast.cz/prepravka-na-pizzu-60--40--7-5-cm/</t>
        </is>
      </c>
      <c r="G120" s="4" t="n">
        <v>339</v>
      </c>
      <c r="H120" s="2" t="inlineStr">
        <is>
          <t>CZK</t>
        </is>
      </c>
      <c r="I120" s="2" t="inlineStr">
        <is>
          <t>incl.</t>
        </is>
      </c>
      <c r="J120" s="5" t="n">
        <v>0.21</v>
      </c>
      <c r="K120" s="2" t="n">
        <v>1</v>
      </c>
      <c r="L120" s="2" t="inlineStr">
        <is>
          <t>per piece</t>
        </is>
      </c>
      <c r="M120" s="4">
        <f>IF(OR(G120="",J120="",K120=""),"",ROUND(IF(I120="incl.",G120/(1+J120),G120)/IF(L120="per pack",K120,1),2))</f>
        <v/>
      </c>
      <c r="N120" s="2" t="inlineStr">
        <is>
          <t>EXACT</t>
        </is>
      </c>
      <c r="O120" s="2" t="inlineStr">
        <is>
          <t>Code ZT-6040; PP, 600 x 400 x 75 mm, lid sold separately; 280 CZK bez DPH</t>
        </is>
      </c>
      <c r="P120" s="2" t="inlineStr">
        <is>
          <t>2026-09-30</t>
        </is>
      </c>
      <c r="Q120" s="2">
        <f>IFERROR(INDEX(Competitors!$N$2:$N$50,MATCH(C120,Competitors!$A$2:$A$50,0)),"no")</f>
        <v/>
      </c>
      <c r="R120" s="2">
        <f>IF(AND(Q120="yes",OR(N120="EXACT",N120="CLOSE"),ISNUMBER(M120)),"yes","no")</f>
        <v/>
      </c>
    </row>
    <row r="121">
      <c r="A121" s="2" t="n">
        <v>28</v>
      </c>
      <c r="B121" s="2" t="inlineStr">
        <is>
          <t>GN 1/1 container, PC, 100 mm</t>
        </is>
      </c>
      <c r="C121" s="2" t="inlineStr">
        <is>
          <t>GGM Gastro (CZ storefront)</t>
        </is>
      </c>
      <c r="D121" s="2" t="inlineStr">
        <is>
          <t>(6 ks) Gastronádoba GN GN 1/1 - polykarbonát - černá - výška: 100 mm</t>
        </is>
      </c>
      <c r="E121" s="2" t="inlineStr">
        <is>
          <t>GGM</t>
        </is>
      </c>
      <c r="F121" s="3" t="inlineStr">
        <is>
          <t>https://www.ggmgastro.com/cs-cz-czk/6-ks-gastronadoba-gn-gn-1-1-polykarbonat-cerna-vyska-100-mm-gpcp11100s</t>
        </is>
      </c>
      <c r="G121" s="4" t="n">
        <v>1314.06</v>
      </c>
      <c r="H121" s="2" t="inlineStr">
        <is>
          <t>CZK</t>
        </is>
      </c>
      <c r="I121" s="2" t="inlineStr">
        <is>
          <t>excl.</t>
        </is>
      </c>
      <c r="J121" s="5" t="n">
        <v>0.19</v>
      </c>
      <c r="K121" s="2" t="n">
        <v>6</v>
      </c>
      <c r="L121" s="2" t="inlineStr">
        <is>
          <t>per pack</t>
        </is>
      </c>
      <c r="M121" s="4">
        <f>IF(OR(G121="",J121="",K121=""),"",ROUND(IF(I121="incl.",G121/(1+J121),G121)/IF(L121="per pack",K121,1),2))</f>
        <v/>
      </c>
      <c r="N121" s="2" t="inlineStr">
        <is>
          <t>EXACT</t>
        </is>
      </c>
      <c r="O121" s="2" t="inlineStr">
        <is>
          <t>Black PC</t>
        </is>
      </c>
      <c r="P121" s="2" t="inlineStr">
        <is>
          <t>2026-09-30</t>
        </is>
      </c>
      <c r="Q121" s="2">
        <f>IFERROR(INDEX(Competitors!$N$2:$N$50,MATCH(C121,Competitors!$A$2:$A$50,0)),"no")</f>
        <v/>
      </c>
      <c r="R121" s="2">
        <f>IF(AND(Q121="yes",OR(N121="EXACT",N121="CLOSE"),ISNUMBER(M121)),"yes","no")</f>
        <v/>
      </c>
    </row>
    <row r="122">
      <c r="A122" s="2" t="n">
        <v>28</v>
      </c>
      <c r="B122" s="2" t="inlineStr">
        <is>
          <t>GN 1/1 container, PC, 100 mm</t>
        </is>
      </c>
      <c r="C122" s="2" t="inlineStr">
        <is>
          <t>Gastro Novotný</t>
        </is>
      </c>
      <c r="D122" s="2" t="inlineStr">
        <is>
          <t>Gastronádoba PC 1/1 100</t>
        </is>
      </c>
      <c r="E122" s="2" t="n"/>
      <c r="F122" s="3" t="inlineStr">
        <is>
          <t>https://eshop.gastronovotny.cz/gastronadoba-pc-1-1-100--0835126/</t>
        </is>
      </c>
      <c r="G122" s="4" t="n">
        <v>289</v>
      </c>
      <c r="H122" s="2" t="inlineStr">
        <is>
          <t>CZK</t>
        </is>
      </c>
      <c r="I122" s="2" t="inlineStr">
        <is>
          <t>excl.</t>
        </is>
      </c>
      <c r="J122" s="5" t="n">
        <v>0.21</v>
      </c>
      <c r="K122" s="2" t="n">
        <v>1</v>
      </c>
      <c r="L122" s="2" t="inlineStr">
        <is>
          <t>per piece</t>
        </is>
      </c>
      <c r="M122" s="4">
        <f>IF(OR(G122="",J122="",K122=""),"",ROUND(IF(I122="incl.",G122/(1+J122),G122)/IF(L122="per pack",K122,1),2))</f>
        <v/>
      </c>
      <c r="N122" s="2" t="inlineStr">
        <is>
          <t>EXACT</t>
        </is>
      </c>
      <c r="O122" s="2" t="inlineStr">
        <is>
          <t>Code 0835126; availability "Na dotaz"; 349.69 CZK incl. VAT</t>
        </is>
      </c>
      <c r="P122" s="2" t="inlineStr">
        <is>
          <t>2026-09-30</t>
        </is>
      </c>
      <c r="Q122" s="2">
        <f>IFERROR(INDEX(Competitors!$N$2:$N$50,MATCH(C122,Competitors!$A$2:$A$50,0)),"no")</f>
        <v/>
      </c>
      <c r="R122" s="2">
        <f>IF(AND(Q122="yes",OR(N122="EXACT",N122="CLOSE"),ISNUMBER(M122)),"yes","no")</f>
        <v/>
      </c>
    </row>
    <row r="123">
      <c r="A123" s="2" t="n">
        <v>28</v>
      </c>
      <c r="B123" s="2" t="inlineStr">
        <is>
          <t>GN 1/1 container, PC, 100 mm</t>
        </is>
      </c>
      <c r="C123" s="2" t="inlineStr">
        <is>
          <t>Gastromania</t>
        </is>
      </c>
      <c r="D123" s="2" t="inlineStr">
        <is>
          <t>Gastro nádoba GN 1/1 100 mm, polykarbonát | YATO, YG-00391</t>
        </is>
      </c>
      <c r="E123" s="2" t="inlineStr">
        <is>
          <t>Yato</t>
        </is>
      </c>
      <c r="F123" s="3" t="inlineStr">
        <is>
          <t>https://www.gastromania.cz/gastronadoby-polykarbonatove/gastro-nadoba-gn-1-1-100-mm-polykarbonat-yato-yg-00391</t>
        </is>
      </c>
      <c r="G123" s="4" t="n">
        <v>294</v>
      </c>
      <c r="H123" s="2" t="inlineStr">
        <is>
          <t>CZK</t>
        </is>
      </c>
      <c r="I123" s="2" t="inlineStr">
        <is>
          <t>incl.</t>
        </is>
      </c>
      <c r="J123" s="5" t="n">
        <v>0.21</v>
      </c>
      <c r="K123" s="2" t="n">
        <v>1</v>
      </c>
      <c r="L123" s="2" t="inlineStr">
        <is>
          <t>per piece</t>
        </is>
      </c>
      <c r="M123" s="4">
        <f>IF(OR(G123="",J123="",K123=""),"",ROUND(IF(I123="incl.",G123/(1+J123),G123)/IF(L123="per pack",K123,1),2))</f>
        <v/>
      </c>
      <c r="N123" s="2" t="inlineStr">
        <is>
          <t>EXACT</t>
        </is>
      </c>
      <c r="O123" s="2" t="inlineStr">
        <is>
          <t>Stalgast Bufet PC 482, Cambro 509 CZK; price incl. 21% VAT as published in product data (current price, in stock)</t>
        </is>
      </c>
      <c r="P123" s="2" t="inlineStr">
        <is>
          <t>2026-09-30</t>
        </is>
      </c>
      <c r="Q123" s="2">
        <f>IFERROR(INDEX(Competitors!$N$2:$N$50,MATCH(C123,Competitors!$A$2:$A$50,0)),"no")</f>
        <v/>
      </c>
      <c r="R123" s="2">
        <f>IF(AND(Q123="yes",OR(N123="EXACT",N123="CLOSE"),ISNUMBER(M123)),"yes","no")</f>
        <v/>
      </c>
    </row>
    <row r="124">
      <c r="A124" s="2" t="n">
        <v>28</v>
      </c>
      <c r="B124" s="2" t="inlineStr">
        <is>
          <t>GN 1/1 container, PC, 100 mm</t>
        </is>
      </c>
      <c r="C124" s="2" t="inlineStr">
        <is>
          <t>Gastrozone</t>
        </is>
      </c>
      <c r="D124" s="2" t="inlineStr">
        <is>
          <t>ARAVEN Gastronádoba GN 1/1, polykarbonát, hloubka: 100 mm, objem: 13,4 L</t>
        </is>
      </c>
      <c r="E124" s="2" t="inlineStr">
        <is>
          <t>Araven</t>
        </is>
      </c>
      <c r="F124" s="3" t="inlineStr">
        <is>
          <t>https://www.gastrozone.cz/araven-gn-nadoba-1-1-polykarbonat-hloubka-100-mm-objem-13-4-l.html</t>
        </is>
      </c>
      <c r="G124" s="4" t="n">
        <v>635</v>
      </c>
      <c r="H124" s="2" t="inlineStr">
        <is>
          <t>CZK</t>
        </is>
      </c>
      <c r="I124" s="2" t="inlineStr">
        <is>
          <t>incl.</t>
        </is>
      </c>
      <c r="J124" s="5" t="n">
        <v>0.21</v>
      </c>
      <c r="K124" s="2" t="n">
        <v>1</v>
      </c>
      <c r="L124" s="2" t="inlineStr">
        <is>
          <t>per piece</t>
        </is>
      </c>
      <c r="M124" s="4">
        <f>IF(OR(G124="",J124="",K124=""),"",ROUND(IF(I124="incl.",G124/(1+J124),G124)/IF(L124="per pack",K124,1),2))</f>
        <v/>
      </c>
      <c r="N124" s="2" t="inlineStr">
        <is>
          <t>EXACT</t>
        </is>
      </c>
      <c r="O124" s="2" t="inlineStr">
        <is>
          <t>524.79 CZK bez DPH; APS 683, Pujadas 815 CZK</t>
        </is>
      </c>
      <c r="P124" s="2" t="inlineStr">
        <is>
          <t>2026-09-30</t>
        </is>
      </c>
      <c r="Q124" s="2">
        <f>IFERROR(INDEX(Competitors!$N$2:$N$50,MATCH(C124,Competitors!$A$2:$A$50,0)),"no")</f>
        <v/>
      </c>
      <c r="R124" s="2">
        <f>IF(AND(Q124="yes",OR(N124="EXACT",N124="CLOSE"),ISNUMBER(M124)),"yes","no")</f>
        <v/>
      </c>
    </row>
    <row r="125">
      <c r="A125" s="2" t="n">
        <v>28</v>
      </c>
      <c r="B125" s="2" t="inlineStr">
        <is>
          <t>GN 1/1 container, PC, 100 mm</t>
        </is>
      </c>
      <c r="C125" s="2" t="inlineStr">
        <is>
          <t>TOMGAST</t>
        </is>
      </c>
      <c r="D125" s="2" t="inlineStr">
        <is>
          <t>Gastronádoba polykarbonátová GN 1/1 100 mm</t>
        </is>
      </c>
      <c r="E125" s="2" t="inlineStr">
        <is>
          <t>Cambro</t>
        </is>
      </c>
      <c r="F125" s="3" t="inlineStr">
        <is>
          <t>https://www.tomgast.cz/gastronadoba-polykarbonatova-gn-1-1-100-mm-2/</t>
        </is>
      </c>
      <c r="G125" s="4" t="n">
        <v>509</v>
      </c>
      <c r="H125" s="2" t="inlineStr">
        <is>
          <t>CZK</t>
        </is>
      </c>
      <c r="I125" s="2" t="inlineStr">
        <is>
          <t>incl.</t>
        </is>
      </c>
      <c r="J125" s="5" t="n">
        <v>0.21</v>
      </c>
      <c r="K125" s="2" t="n">
        <v>1</v>
      </c>
      <c r="L125" s="2" t="inlineStr">
        <is>
          <t>per piece</t>
        </is>
      </c>
      <c r="M125" s="4">
        <f>IF(OR(G125="",J125="",K125=""),"",ROUND(IF(I125="incl.",G125/(1+J125),G125)/IF(L125="per pack",K125,1),2))</f>
        <v/>
      </c>
      <c r="N125" s="2" t="inlineStr">
        <is>
          <t>EXACT</t>
        </is>
      </c>
      <c r="O125" s="2" t="inlineStr">
        <is>
          <t>Code R-M211100; 421 CZK bez DPH. Second PC line M2-11100 is 426 CZK incl.</t>
        </is>
      </c>
      <c r="P125" s="2" t="inlineStr">
        <is>
          <t>2026-09-30</t>
        </is>
      </c>
      <c r="Q125" s="2">
        <f>IFERROR(INDEX(Competitors!$N$2:$N$50,MATCH(C125,Competitors!$A$2:$A$50,0)),"no")</f>
        <v/>
      </c>
      <c r="R125" s="2">
        <f>IF(AND(Q125="yes",OR(N125="EXACT",N125="CLOSE"),ISNUMBER(M125)),"yes","no")</f>
        <v/>
      </c>
    </row>
    <row r="126">
      <c r="A126" s="2" t="n">
        <v>29</v>
      </c>
      <c r="B126" s="2" t="inlineStr">
        <is>
          <t>GN 1/6 container, PC, 100 mm</t>
        </is>
      </c>
      <c r="C126" s="2" t="inlineStr">
        <is>
          <t>GGM Gastro (CZ storefront)</t>
        </is>
      </c>
      <c r="D126" s="2" t="inlineStr">
        <is>
          <t>(12 ks) Gastronádoba polykarbonát GN 1/6 - Transparentní - Výška: 100 mm</t>
        </is>
      </c>
      <c r="E126" s="2" t="inlineStr">
        <is>
          <t>GGM</t>
        </is>
      </c>
      <c r="F126" s="3" t="inlineStr">
        <is>
          <t>https://www.ggmgastro.com/cs-cz-czk/12-ks-gastronadoba-polykarbonat-gn-1-6-transparentni-vyska-100-mm-gpcp16100</t>
        </is>
      </c>
      <c r="G126" s="4" t="n">
        <v>1143.69</v>
      </c>
      <c r="H126" s="2" t="inlineStr">
        <is>
          <t>CZK</t>
        </is>
      </c>
      <c r="I126" s="2" t="inlineStr">
        <is>
          <t>excl.</t>
        </is>
      </c>
      <c r="J126" s="5" t="n">
        <v>0.19</v>
      </c>
      <c r="K126" s="2" t="n">
        <v>12</v>
      </c>
      <c r="L126" s="2" t="inlineStr">
        <is>
          <t>per pack</t>
        </is>
      </c>
      <c r="M126" s="4">
        <f>IF(OR(G126="",J126="",K126=""),"",ROUND(IF(I126="incl.",G126/(1+J126),G126)/IF(L126="per pack",K126,1),2))</f>
        <v/>
      </c>
      <c r="N126" s="2" t="inlineStr">
        <is>
          <t>EXACT</t>
        </is>
      </c>
      <c r="O126" s="2" t="inlineStr"/>
      <c r="P126" s="2" t="inlineStr">
        <is>
          <t>2026-09-30</t>
        </is>
      </c>
      <c r="Q126" s="2">
        <f>IFERROR(INDEX(Competitors!$N$2:$N$50,MATCH(C126,Competitors!$A$2:$A$50,0)),"no")</f>
        <v/>
      </c>
      <c r="R126" s="2">
        <f>IF(AND(Q126="yes",OR(N126="EXACT",N126="CLOSE"),ISNUMBER(M126)),"yes","no")</f>
        <v/>
      </c>
    </row>
    <row r="127">
      <c r="A127" s="2" t="n">
        <v>29</v>
      </c>
      <c r="B127" s="2" t="inlineStr">
        <is>
          <t>GN 1/6 container, PC, 100 mm</t>
        </is>
      </c>
      <c r="C127" s="2" t="inlineStr">
        <is>
          <t>Gastromania</t>
        </is>
      </c>
      <c r="D127" s="2" t="inlineStr">
        <is>
          <t>Gastro nádoba GN 1/6 100 mm, polykarbonát | YATO, YG-00426</t>
        </is>
      </c>
      <c r="E127" s="2" t="inlineStr">
        <is>
          <t>Yato</t>
        </is>
      </c>
      <c r="F127" s="3" t="inlineStr">
        <is>
          <t>https://www.gastromania.cz/gastronadoby-polykarbonatove/gastro-nadoba-gn-1-6-100-mm-polykarbonat-yato-yg-00426</t>
        </is>
      </c>
      <c r="G127" s="4" t="n">
        <v>76</v>
      </c>
      <c r="H127" s="2" t="inlineStr">
        <is>
          <t>CZK</t>
        </is>
      </c>
      <c r="I127" s="2" t="inlineStr">
        <is>
          <t>incl.</t>
        </is>
      </c>
      <c r="J127" s="5" t="n">
        <v>0.21</v>
      </c>
      <c r="K127" s="2" t="n">
        <v>1</v>
      </c>
      <c r="L127" s="2" t="inlineStr">
        <is>
          <t>per piece</t>
        </is>
      </c>
      <c r="M127" s="4">
        <f>IF(OR(G127="",J127="",K127=""),"",ROUND(IF(I127="incl.",G127/(1+J127),G127)/IF(L127="per pack",K127,1),2))</f>
        <v/>
      </c>
      <c r="N127" s="2" t="inlineStr">
        <is>
          <t>EXACT</t>
        </is>
      </c>
      <c r="O127" s="2" t="inlineStr">
        <is>
          <t>HENDI Profi Line PC 85, Cambro 138 CZK; price incl. 21% VAT as published in product data (current price, in stock)</t>
        </is>
      </c>
      <c r="P127" s="2" t="inlineStr">
        <is>
          <t>2026-09-30</t>
        </is>
      </c>
      <c r="Q127" s="2">
        <f>IFERROR(INDEX(Competitors!$N$2:$N$50,MATCH(C127,Competitors!$A$2:$A$50,0)),"no")</f>
        <v/>
      </c>
      <c r="R127" s="2">
        <f>IF(AND(Q127="yes",OR(N127="EXACT",N127="CLOSE"),ISNUMBER(M127)),"yes","no")</f>
        <v/>
      </c>
    </row>
    <row r="128">
      <c r="A128" s="2" t="n">
        <v>29</v>
      </c>
      <c r="B128" s="2" t="inlineStr">
        <is>
          <t>GN 1/6 container, PC, 100 mm</t>
        </is>
      </c>
      <c r="C128" s="2" t="inlineStr">
        <is>
          <t>Gastrozone</t>
        </is>
      </c>
      <c r="D128" s="2" t="inlineStr">
        <is>
          <t>ARAVEN Gastronádoba GN 1/6, polykarbonát, hloubka: 100 mm, objem: 1,6 L</t>
        </is>
      </c>
      <c r="E128" s="2" t="inlineStr">
        <is>
          <t>Araven</t>
        </is>
      </c>
      <c r="F128" s="3" t="inlineStr">
        <is>
          <t>https://www.gastrozone.cz/araven-gn-nadoba-1-6-polykarbonat-hloubka-100-mm-objem-1-6-l.html</t>
        </is>
      </c>
      <c r="G128" s="4" t="n">
        <v>162</v>
      </c>
      <c r="H128" s="2" t="inlineStr">
        <is>
          <t>CZK</t>
        </is>
      </c>
      <c r="I128" s="2" t="inlineStr">
        <is>
          <t>incl.</t>
        </is>
      </c>
      <c r="J128" s="5" t="n">
        <v>0.21</v>
      </c>
      <c r="K128" s="2" t="n">
        <v>1</v>
      </c>
      <c r="L128" s="2" t="inlineStr">
        <is>
          <t>per piece</t>
        </is>
      </c>
      <c r="M128" s="4">
        <f>IF(OR(G128="",J128="",K128=""),"",ROUND(IF(I128="incl.",G128/(1+J128),G128)/IF(L128="per pack",K128,1),2))</f>
        <v/>
      </c>
      <c r="N128" s="2" t="inlineStr">
        <is>
          <t>EXACT</t>
        </is>
      </c>
      <c r="O128" s="2" t="inlineStr">
        <is>
          <t>133.88 CZK bez DPH; APS 177-178, Pujadas 215 CZK</t>
        </is>
      </c>
      <c r="P128" s="2" t="inlineStr">
        <is>
          <t>2026-09-30</t>
        </is>
      </c>
      <c r="Q128" s="2">
        <f>IFERROR(INDEX(Competitors!$N$2:$N$50,MATCH(C128,Competitors!$A$2:$A$50,0)),"no")</f>
        <v/>
      </c>
      <c r="R128" s="2">
        <f>IF(AND(Q128="yes",OR(N128="EXACT",N128="CLOSE"),ISNUMBER(M128)),"yes","no")</f>
        <v/>
      </c>
    </row>
    <row r="129">
      <c r="A129" s="2" t="n">
        <v>29</v>
      </c>
      <c r="B129" s="2" t="inlineStr">
        <is>
          <t>GN 1/6 container, PC, 100 mm</t>
        </is>
      </c>
      <c r="C129" s="2" t="inlineStr">
        <is>
          <t>TOMGAST</t>
        </is>
      </c>
      <c r="D129" s="2" t="inlineStr">
        <is>
          <t>Gastronádoba polykarbonátová GN 1/6 100 mm</t>
        </is>
      </c>
      <c r="E129" s="2" t="inlineStr">
        <is>
          <t>Cambro</t>
        </is>
      </c>
      <c r="F129" s="3" t="inlineStr">
        <is>
          <t>https://www.tomgast.cz/gastronadoba-polykarbonatova-gn-1-6-100-mm-2/</t>
        </is>
      </c>
      <c r="G129" s="4" t="n">
        <v>138</v>
      </c>
      <c r="H129" s="2" t="inlineStr">
        <is>
          <t>CZK</t>
        </is>
      </c>
      <c r="I129" s="2" t="inlineStr">
        <is>
          <t>incl.</t>
        </is>
      </c>
      <c r="J129" s="5" t="n">
        <v>0.21</v>
      </c>
      <c r="K129" s="2" t="n">
        <v>1</v>
      </c>
      <c r="L129" s="2" t="inlineStr">
        <is>
          <t>per piece</t>
        </is>
      </c>
      <c r="M129" s="4">
        <f>IF(OR(G129="",J129="",K129=""),"",ROUND(IF(I129="incl.",G129/(1+J129),G129)/IF(L129="per pack",K129,1),2))</f>
        <v/>
      </c>
      <c r="N129" s="2" t="inlineStr">
        <is>
          <t>EXACT</t>
        </is>
      </c>
      <c r="O129" s="2" t="inlineStr">
        <is>
          <t>Code R-M216100; 114 CZK bez DPH</t>
        </is>
      </c>
      <c r="P129" s="2" t="inlineStr">
        <is>
          <t>2026-09-30</t>
        </is>
      </c>
      <c r="Q129" s="2">
        <f>IFERROR(INDEX(Competitors!$N$2:$N$50,MATCH(C129,Competitors!$A$2:$A$50,0)),"no")</f>
        <v/>
      </c>
      <c r="R129" s="2">
        <f>IF(AND(Q129="yes",OR(N129="EXACT",N129="CLOSE"),ISNUMBER(M129)),"yes","no")</f>
        <v/>
      </c>
    </row>
    <row r="130">
      <c r="A130" s="2" t="n">
        <v>30</v>
      </c>
      <c r="B130" s="2" t="inlineStr">
        <is>
          <t>Cutting board 530x325x15 mm, red PE</t>
        </is>
      </c>
      <c r="C130" s="2" t="inlineStr">
        <is>
          <t>GGM Gastro (CZ storefront)</t>
        </is>
      </c>
      <c r="D130" s="2" t="inlineStr">
        <is>
          <t>Krájecí deska - 325x530 mm - Dle HACCP - Červená</t>
        </is>
      </c>
      <c r="E130" s="2" t="inlineStr">
        <is>
          <t>GGM</t>
        </is>
      </c>
      <c r="F130" s="3" t="inlineStr">
        <is>
          <t>https://www.ggmgastro.com/cs-cz-czk/krajeci-deska-325x530-mm-dle-haccp-cervena-sbp53r</t>
        </is>
      </c>
      <c r="G130" s="4" t="n">
        <v>632.5700000000001</v>
      </c>
      <c r="H130" s="2" t="inlineStr">
        <is>
          <t>CZK</t>
        </is>
      </c>
      <c r="I130" s="2" t="inlineStr">
        <is>
          <t>excl.</t>
        </is>
      </c>
      <c r="J130" s="5" t="n">
        <v>0.19</v>
      </c>
      <c r="K130" s="2" t="n">
        <v>1</v>
      </c>
      <c r="L130" s="2" t="inlineStr">
        <is>
          <t>per piece</t>
        </is>
      </c>
      <c r="M130" s="4">
        <f>IF(OR(G130="",J130="",K130=""),"",ROUND(IF(I130="incl.",G130/(1+J130),G130)/IF(L130="per pack",K130,1),2))</f>
        <v/>
      </c>
      <c r="N130" s="2" t="inlineStr">
        <is>
          <t>CLOSE</t>
        </is>
      </c>
      <c r="O130" s="2" t="inlineStr">
        <is>
          <t>Red PE; thickness not shown (white board of same series on the German site: 325x530x20 mm)</t>
        </is>
      </c>
      <c r="P130" s="2" t="inlineStr">
        <is>
          <t>2026-09-30</t>
        </is>
      </c>
      <c r="Q130" s="2">
        <f>IFERROR(INDEX(Competitors!$N$2:$N$50,MATCH(C130,Competitors!$A$2:$A$50,0)),"no")</f>
        <v/>
      </c>
      <c r="R130" s="2">
        <f>IF(AND(Q130="yes",OR(N130="EXACT",N130="CLOSE"),ISNUMBER(M130)),"yes","no")</f>
        <v/>
      </c>
    </row>
    <row r="131">
      <c r="A131" s="2" t="n">
        <v>30</v>
      </c>
      <c r="B131" s="2" t="inlineStr">
        <is>
          <t>Cutting board 530x325x15 mm, red PE</t>
        </is>
      </c>
      <c r="C131" s="2" t="inlineStr">
        <is>
          <t>Gastro Novotný</t>
        </is>
      </c>
      <c r="D131" s="2" t="inlineStr">
        <is>
          <t>Deska polyethylen GN 1/1 53x32,5x2cm nožičky, PE-HD červená</t>
        </is>
      </c>
      <c r="E131" s="2" t="n"/>
      <c r="F131" s="3" t="inlineStr">
        <is>
          <t>https://eshop.gastronovotny.cz/deska-polyethylen-gn-1-1--53x32-5x2cm--nozicky-pe-hd--cervena/</t>
        </is>
      </c>
      <c r="G131" s="4" t="n">
        <v>1090</v>
      </c>
      <c r="H131" s="2" t="inlineStr">
        <is>
          <t>CZK</t>
        </is>
      </c>
      <c r="I131" s="2" t="inlineStr">
        <is>
          <t>excl.</t>
        </is>
      </c>
      <c r="J131" s="5" t="n">
        <v>0.21</v>
      </c>
      <c r="K131" s="2" t="n">
        <v>1</v>
      </c>
      <c r="L131" s="2" t="inlineStr">
        <is>
          <t>per piece</t>
        </is>
      </c>
      <c r="M131" s="4">
        <f>IF(OR(G131="",J131="",K131=""),"",ROUND(IF(I131="incl.",G131/(1+J131),G131)/IF(L131="per pack",K131,1),2))</f>
        <v/>
      </c>
      <c r="N131" s="2" t="inlineStr">
        <is>
          <t>CLOSE</t>
        </is>
      </c>
      <c r="O131" s="2" t="inlineStr">
        <is>
          <t>Code 1842538-03; red HDPE 530 x 325 mm but 20 mm thick (not 15), with feet; 1318.90 CZK incl. VAT</t>
        </is>
      </c>
      <c r="P131" s="2" t="inlineStr">
        <is>
          <t>2026-09-30</t>
        </is>
      </c>
      <c r="Q131" s="2">
        <f>IFERROR(INDEX(Competitors!$N$2:$N$50,MATCH(C131,Competitors!$A$2:$A$50,0)),"no")</f>
        <v/>
      </c>
      <c r="R131" s="2">
        <f>IF(AND(Q131="yes",OR(N131="EXACT",N131="CLOSE"),ISNUMBER(M131)),"yes","no")</f>
        <v/>
      </c>
    </row>
    <row r="132">
      <c r="A132" s="2" t="n">
        <v>30</v>
      </c>
      <c r="B132" s="2" t="inlineStr">
        <is>
          <t>Cutting board 530x325x15 mm, red PE</t>
        </is>
      </c>
      <c r="C132" s="2" t="inlineStr">
        <is>
          <t>Gastromania</t>
        </is>
      </c>
      <c r="D132" s="2" t="inlineStr">
        <is>
          <t>Deska ke krájení s výřezem z červeného polypropylenu 53x32,5x1,5 cm | STALGAST, 341531</t>
        </is>
      </c>
      <c r="E132" s="2" t="inlineStr">
        <is>
          <t>Stalgast</t>
        </is>
      </c>
      <c r="F132" s="3" t="inlineStr">
        <is>
          <t>https://www.gastromania.cz/plastove-krajeci-desky-haccp/deska-ke-krajeni-s-vyrezem-z-cerveneho-polypropylenu-53x32-5x1-5-cm-stalgast-341531</t>
        </is>
      </c>
      <c r="G132" s="4" t="n">
        <v>653</v>
      </c>
      <c r="H132" s="2" t="inlineStr">
        <is>
          <t>CZK</t>
        </is>
      </c>
      <c r="I132" s="2" t="inlineStr">
        <is>
          <t>incl.</t>
        </is>
      </c>
      <c r="J132" s="5" t="n">
        <v>0.21</v>
      </c>
      <c r="K132" s="2" t="n">
        <v>1</v>
      </c>
      <c r="L132" s="2" t="inlineStr">
        <is>
          <t>per piece</t>
        </is>
      </c>
      <c r="M132" s="4">
        <f>IF(OR(G132="",J132="",K132=""),"",ROUND(IF(I132="incl.",G132/(1+J132),G132)/IF(L132="per pack",K132,1),2))</f>
        <v/>
      </c>
      <c r="N132" s="2" t="inlineStr">
        <is>
          <t>CLOSE</t>
        </is>
      </c>
      <c r="O132" s="2" t="inlineStr">
        <is>
          <t>Red 530 x 325 x 15 mm but polypropylene (not PE), with cut-out; 540 CZK bez DPH. HENDI red PE GN 1/1 530x325x10 mm 359 CZK; price incl. 21% VAT as published in product data (current price, in stock)</t>
        </is>
      </c>
      <c r="P132" s="2" t="inlineStr">
        <is>
          <t>2026-09-30</t>
        </is>
      </c>
      <c r="Q132" s="2">
        <f>IFERROR(INDEX(Competitors!$N$2:$N$50,MATCH(C132,Competitors!$A$2:$A$50,0)),"no")</f>
        <v/>
      </c>
      <c r="R132" s="2">
        <f>IF(AND(Q132="yes",OR(N132="EXACT",N132="CLOSE"),ISNUMBER(M132)),"yes","no")</f>
        <v/>
      </c>
    </row>
    <row r="133">
      <c r="A133" s="2" t="n">
        <v>30</v>
      </c>
      <c r="B133" s="2" t="inlineStr">
        <is>
          <t>Cutting board 530x325x15 mm, red PE</t>
        </is>
      </c>
      <c r="C133" s="2" t="inlineStr">
        <is>
          <t>Gastrozone</t>
        </is>
      </c>
      <c r="D133" s="2" t="inlineStr">
        <is>
          <t>Gastro Prkénko krájecí plastové 53x32,5x2 cm GN 1/1, s drážkou, červené</t>
        </is>
      </c>
      <c r="E133" s="2" t="inlineStr">
        <is>
          <t>Gastro</t>
        </is>
      </c>
      <c r="F133" s="3" t="inlineStr">
        <is>
          <t>https://www.gastrozone.cz/gastro-prkenko-krajeci-plastove-53x32-5x2-cm-gn-1-1-s-drazkou-cervene.html</t>
        </is>
      </c>
      <c r="G133" s="4" t="n">
        <v>1531</v>
      </c>
      <c r="H133" s="2" t="inlineStr">
        <is>
          <t>CZK</t>
        </is>
      </c>
      <c r="I133" s="2" t="inlineStr">
        <is>
          <t>incl.</t>
        </is>
      </c>
      <c r="J133" s="5" t="n">
        <v>0.21</v>
      </c>
      <c r="K133" s="2" t="n">
        <v>1</v>
      </c>
      <c r="L133" s="2" t="inlineStr">
        <is>
          <t>per piece</t>
        </is>
      </c>
      <c r="M133" s="4">
        <f>IF(OR(G133="",J133="",K133=""),"",ROUND(IF(I133="incl.",G133/(1+J133),G133)/IF(L133="per pack",K133,1),2))</f>
        <v/>
      </c>
      <c r="N133" s="2" t="inlineStr">
        <is>
          <t>CLOSE</t>
        </is>
      </c>
      <c r="O133" s="2" t="inlineStr">
        <is>
          <t>1265.29 CZK bez DPH; red 530 x 325 mm but 20 mm thick (not 15) and with groove; material stated only as "Plast" (PE not confirmed)</t>
        </is>
      </c>
      <c r="P133" s="2" t="inlineStr">
        <is>
          <t>2026-09-30</t>
        </is>
      </c>
      <c r="Q133" s="2">
        <f>IFERROR(INDEX(Competitors!$N$2:$N$50,MATCH(C133,Competitors!$A$2:$A$50,0)),"no")</f>
        <v/>
      </c>
      <c r="R133" s="2">
        <f>IF(AND(Q133="yes",OR(N133="EXACT",N133="CLOSE"),ISNUMBER(M133)),"yes","no")</f>
        <v/>
      </c>
    </row>
    <row r="134">
      <c r="A134" s="2" t="n">
        <v>30</v>
      </c>
      <c r="B134" s="2" t="inlineStr">
        <is>
          <t>Cutting board 530x325x15 mm, red PE</t>
        </is>
      </c>
      <c r="C134" s="2" t="inlineStr">
        <is>
          <t>TOMGAST</t>
        </is>
      </c>
      <c r="D134" s="2" t="inlineStr">
        <is>
          <t>Deska 500 × 325 × 20 mm, červená</t>
        </is>
      </c>
      <c r="E134" s="2" t="inlineStr">
        <is>
          <t>TOMGAST</t>
        </is>
      </c>
      <c r="F134" s="3" t="inlineStr">
        <is>
          <t>https://www.tomgast.cz/deska-500--325--20-mm--cervena/</t>
        </is>
      </c>
      <c r="G134" s="4" t="n">
        <v>1016</v>
      </c>
      <c r="H134" s="2" t="inlineStr">
        <is>
          <t>CZK</t>
        </is>
      </c>
      <c r="I134" s="2" t="inlineStr">
        <is>
          <t>incl.</t>
        </is>
      </c>
      <c r="J134" s="5" t="n">
        <v>0.21</v>
      </c>
      <c r="K134" s="2" t="n">
        <v>1</v>
      </c>
      <c r="L134" s="2" t="inlineStr">
        <is>
          <t>per piece</t>
        </is>
      </c>
      <c r="M134" s="4">
        <f>IF(OR(G134="",J134="",K134=""),"",ROUND(IF(I134="incl.",G134/(1+J134),G134)/IF(L134="per pack",K134,1),2))</f>
        <v/>
      </c>
      <c r="N134" s="2" t="inlineStr">
        <is>
          <t>APPROX</t>
        </is>
      </c>
      <c r="O134" s="2" t="inlineStr">
        <is>
          <t>Code 37-C; red PE but 500 x 325 x 20 mm, not 530 x 325 x 15; 840 CZK bez DPH. Red 500 x 300 x 15 with groove (38-C) is 835 CZK incl.</t>
        </is>
      </c>
      <c r="P134" s="2" t="inlineStr">
        <is>
          <t>2026-09-30</t>
        </is>
      </c>
      <c r="Q134" s="2">
        <f>IFERROR(INDEX(Competitors!$N$2:$N$50,MATCH(C134,Competitors!$A$2:$A$50,0)),"no")</f>
        <v/>
      </c>
      <c r="R134" s="2">
        <f>IF(AND(Q134="yes",OR(N134="EXACT",N134="CLOSE"),ISNUMBER(M134)),"yes","no")</f>
        <v/>
      </c>
    </row>
    <row r="135">
      <c r="A135" s="2" t="n">
        <v>31</v>
      </c>
      <c r="B135" s="2" t="inlineStr">
        <is>
          <t>GN 1/3 PP lid, standard</t>
        </is>
      </c>
      <c r="C135" s="2" t="inlineStr">
        <is>
          <t>GGM Gastro (CZ storefront)</t>
        </is>
      </c>
      <c r="D135" s="2" t="inlineStr">
        <is>
          <t>(6 kusů) CAMBRO CAMWEAR polypropylenový GN kryt 1/3 - vzduchotěsný - mléčný</t>
        </is>
      </c>
      <c r="E135" s="2" t="inlineStr">
        <is>
          <t>Cambro</t>
        </is>
      </c>
      <c r="F135" s="3" t="inlineStr">
        <is>
          <t>https://www.ggmgastro.com/cs-cz-czk/6-kusu-cambro-camwear-r-polypropylenovy-gn-kryt-1-3-vzduchotesny-mlecny-30ppcwsc190</t>
        </is>
      </c>
      <c r="G135" s="4" t="n">
        <v>437.86</v>
      </c>
      <c r="H135" s="2" t="inlineStr">
        <is>
          <t>CZK</t>
        </is>
      </c>
      <c r="I135" s="2" t="inlineStr">
        <is>
          <t>excl.</t>
        </is>
      </c>
      <c r="J135" s="5" t="n">
        <v>0.19</v>
      </c>
      <c r="K135" s="2" t="n">
        <v>6</v>
      </c>
      <c r="L135" s="2" t="inlineStr">
        <is>
          <t>per pack</t>
        </is>
      </c>
      <c r="M135" s="4">
        <f>IF(OR(G135="",J135="",K135=""),"",ROUND(IF(I135="incl.",G135/(1+J135),G135)/IF(L135="per pack",K135,1),2))</f>
        <v/>
      </c>
      <c r="N135" s="2" t="inlineStr">
        <is>
          <t>EXACT</t>
        </is>
      </c>
      <c r="O135" s="2" t="inlineStr">
        <is>
          <t>Airtight PP lid</t>
        </is>
      </c>
      <c r="P135" s="2" t="inlineStr">
        <is>
          <t>2026-09-30</t>
        </is>
      </c>
      <c r="Q135" s="2">
        <f>IFERROR(INDEX(Competitors!$N$2:$N$50,MATCH(C135,Competitors!$A$2:$A$50,0)),"no")</f>
        <v/>
      </c>
      <c r="R135" s="2">
        <f>IF(AND(Q135="yes",OR(N135="EXACT",N135="CLOSE"),ISNUMBER(M135)),"yes","no")</f>
        <v/>
      </c>
    </row>
    <row r="136">
      <c r="A136" s="2" t="n">
        <v>31</v>
      </c>
      <c r="B136" s="2" t="inlineStr">
        <is>
          <t>GN 1/3 PP lid, standard</t>
        </is>
      </c>
      <c r="C136" s="2" t="inlineStr">
        <is>
          <t>Gastro Novotný</t>
        </is>
      </c>
      <c r="D136" s="2" t="inlineStr">
        <is>
          <t>Víko GN polypropylen 1/3 čiré</t>
        </is>
      </c>
      <c r="E136" s="2" t="n"/>
      <c r="F136" s="3" t="inlineStr">
        <is>
          <t>https://eshop.gastronovotny.cz/viko-gn-polypropylen-1-3-cire/</t>
        </is>
      </c>
      <c r="G136" s="4" t="n">
        <v>60</v>
      </c>
      <c r="H136" s="2" t="inlineStr">
        <is>
          <t>CZK</t>
        </is>
      </c>
      <c r="I136" s="2" t="inlineStr">
        <is>
          <t>excl.</t>
        </is>
      </c>
      <c r="J136" s="5" t="n">
        <v>0.21</v>
      </c>
      <c r="K136" s="2" t="n">
        <v>1</v>
      </c>
      <c r="L136" s="2" t="inlineStr">
        <is>
          <t>per piece</t>
        </is>
      </c>
      <c r="M136" s="4">
        <f>IF(OR(G136="",J136="",K136=""),"",ROUND(IF(I136="incl.",G136/(1+J136),G136)/IF(L136="per pack",K136,1),2))</f>
        <v/>
      </c>
      <c r="N136" s="2" t="inlineStr">
        <is>
          <t>EXACT</t>
        </is>
      </c>
      <c r="O136" s="2" t="inlineStr">
        <is>
          <t>Code 1814727-99; PP lid, also in red/blue/green/yellow at the same price; 72.60 CZK incl. VAT</t>
        </is>
      </c>
      <c r="P136" s="2" t="inlineStr">
        <is>
          <t>2026-09-30</t>
        </is>
      </c>
      <c r="Q136" s="2">
        <f>IFERROR(INDEX(Competitors!$N$2:$N$50,MATCH(C136,Competitors!$A$2:$A$50,0)),"no")</f>
        <v/>
      </c>
      <c r="R136" s="2">
        <f>IF(AND(Q136="yes",OR(N136="EXACT",N136="CLOSE"),ISNUMBER(M136)),"yes","no")</f>
        <v/>
      </c>
    </row>
    <row r="137">
      <c r="A137" s="2" t="n">
        <v>31</v>
      </c>
      <c r="B137" s="2" t="inlineStr">
        <is>
          <t>GN 1/3 PP lid, standard</t>
        </is>
      </c>
      <c r="C137" s="2" t="inlineStr">
        <is>
          <t>Gastromania</t>
        </is>
      </c>
      <c r="D137" s="2" t="inlineStr">
        <is>
          <t>Víko z polypropylenu pro nádoby, GN 1/3 | STALGAST, Bufet</t>
        </is>
      </c>
      <c r="E137" s="2" t="inlineStr">
        <is>
          <t>Stalgast</t>
        </is>
      </c>
      <c r="F137" s="3" t="inlineStr">
        <is>
          <t>https://www.gastromania.cz/vika-gn-polypropylenove/viko-z-polypropylenu-pro-nadoby-gn-1-3-stalgast-bufet</t>
        </is>
      </c>
      <c r="G137" s="4" t="n">
        <v>57</v>
      </c>
      <c r="H137" s="2" t="inlineStr">
        <is>
          <t>CZK</t>
        </is>
      </c>
      <c r="I137" s="2" t="inlineStr">
        <is>
          <t>incl.</t>
        </is>
      </c>
      <c r="J137" s="5" t="n">
        <v>0.21</v>
      </c>
      <c r="K137" s="2" t="n">
        <v>1</v>
      </c>
      <c r="L137" s="2" t="inlineStr">
        <is>
          <t>per piece</t>
        </is>
      </c>
      <c r="M137" s="4">
        <f>IF(OR(G137="",J137="",K137=""),"",ROUND(IF(I137="incl.",G137/(1+J137),G137)/IF(L137="per pack",K137,1),2))</f>
        <v/>
      </c>
      <c r="N137" s="2" t="inlineStr">
        <is>
          <t>EXACT</t>
        </is>
      </c>
      <c r="O137" s="2" t="inlineStr">
        <is>
          <t>APS 61, Redfox 71 CZK; price incl. 21% VAT as published in product data (current price, in stock)</t>
        </is>
      </c>
      <c r="P137" s="2" t="inlineStr">
        <is>
          <t>2026-09-30</t>
        </is>
      </c>
      <c r="Q137" s="2">
        <f>IFERROR(INDEX(Competitors!$N$2:$N$50,MATCH(C137,Competitors!$A$2:$A$50,0)),"no")</f>
        <v/>
      </c>
      <c r="R137" s="2">
        <f>IF(AND(Q137="yes",OR(N137="EXACT",N137="CLOSE"),ISNUMBER(M137)),"yes","no")</f>
        <v/>
      </c>
    </row>
    <row r="138">
      <c r="A138" s="2" t="n">
        <v>31</v>
      </c>
      <c r="B138" s="2" t="inlineStr">
        <is>
          <t>GN 1/3 PP lid, standard</t>
        </is>
      </c>
      <c r="C138" s="2" t="inlineStr">
        <is>
          <t>Gastrozone</t>
        </is>
      </c>
      <c r="D138" s="2" t="inlineStr">
        <is>
          <t>víko na gastro nádobu GN 1/3 polypropylen Pujadas</t>
        </is>
      </c>
      <c r="E138" s="2" t="inlineStr">
        <is>
          <t>Pujadas</t>
        </is>
      </c>
      <c r="F138" s="3" t="inlineStr">
        <is>
          <t>https://www.gastrozone.cz/viko-na-gastro-nadobu-gn-1-3-polypropylen-pujadas.html</t>
        </is>
      </c>
      <c r="G138" s="4" t="n">
        <v>181</v>
      </c>
      <c r="H138" s="2" t="inlineStr">
        <is>
          <t>CZK</t>
        </is>
      </c>
      <c r="I138" s="2" t="inlineStr">
        <is>
          <t>incl.</t>
        </is>
      </c>
      <c r="J138" s="5" t="n">
        <v>0.21</v>
      </c>
      <c r="K138" s="2" t="n">
        <v>1</v>
      </c>
      <c r="L138" s="2" t="inlineStr">
        <is>
          <t>per piece</t>
        </is>
      </c>
      <c r="M138" s="4">
        <f>IF(OR(G138="",J138="",K138=""),"",ROUND(IF(I138="incl.",G138/(1+J138),G138)/IF(L138="per pack",K138,1),2))</f>
        <v/>
      </c>
      <c r="N138" s="2" t="inlineStr">
        <is>
          <t>EXACT</t>
        </is>
      </c>
      <c r="O138" s="2" t="inlineStr">
        <is>
          <t>149.59 CZK bez DPH; plain PP lid; Araven hermetic PP lid 216 CZK</t>
        </is>
      </c>
      <c r="P138" s="2" t="inlineStr">
        <is>
          <t>2026-09-30</t>
        </is>
      </c>
      <c r="Q138" s="2">
        <f>IFERROR(INDEX(Competitors!$N$2:$N$50,MATCH(C138,Competitors!$A$2:$A$50,0)),"no")</f>
        <v/>
      </c>
      <c r="R138" s="2">
        <f>IF(AND(Q138="yes",OR(N138="EXACT",N138="CLOSE"),ISNUMBER(M138)),"yes","no")</f>
        <v/>
      </c>
    </row>
    <row r="139">
      <c r="A139" s="2" t="n">
        <v>31</v>
      </c>
      <c r="B139" s="2" t="inlineStr">
        <is>
          <t>GN 1/3 PP lid, standard</t>
        </is>
      </c>
      <c r="C139" s="2" t="inlineStr">
        <is>
          <t>TOMGAST</t>
        </is>
      </c>
      <c r="D139" s="2" t="inlineStr">
        <is>
          <t>Víko těsnicí ke gastronádobě 1/3 325 × 176 mm</t>
        </is>
      </c>
      <c r="E139" s="2" t="inlineStr">
        <is>
          <t>Cambro</t>
        </is>
      </c>
      <c r="F139" s="3" t="inlineStr">
        <is>
          <t>https://www.tomgast.cz/viko-tesnici-ke-gastronadobe-1-3-325--176-mm/</t>
        </is>
      </c>
      <c r="G139" s="4" t="n">
        <v>97</v>
      </c>
      <c r="H139" s="2" t="inlineStr">
        <is>
          <t>CZK</t>
        </is>
      </c>
      <c r="I139" s="2" t="inlineStr">
        <is>
          <t>incl.</t>
        </is>
      </c>
      <c r="J139" s="5" t="n">
        <v>0.21</v>
      </c>
      <c r="K139" s="2" t="n">
        <v>1</v>
      </c>
      <c r="L139" s="2" t="inlineStr">
        <is>
          <t>per piece</t>
        </is>
      </c>
      <c r="M139" s="4">
        <f>IF(OR(G139="",J139="",K139=""),"",ROUND(IF(I139="incl.",G139/(1+J139),G139)/IF(L139="per pack",K139,1),2))</f>
        <v/>
      </c>
      <c r="N139" s="2" t="inlineStr">
        <is>
          <t>CLOSE</t>
        </is>
      </c>
      <c r="O139" s="2" t="inlineStr">
        <is>
          <t>Code R-MP13001; material polypropylen, but a seal cover rather than a standard flat lid; 80 CZK bez DPH</t>
        </is>
      </c>
      <c r="P139" s="2" t="inlineStr">
        <is>
          <t>2026-09-30</t>
        </is>
      </c>
      <c r="Q139" s="2">
        <f>IFERROR(INDEX(Competitors!$N$2:$N$50,MATCH(C139,Competitors!$A$2:$A$50,0)),"no")</f>
        <v/>
      </c>
      <c r="R139" s="2">
        <f>IF(AND(Q139="yes",OR(N139="EXACT",N139="CLOSE"),ISNUMBER(M139)),"yes","no")</f>
        <v/>
      </c>
    </row>
    <row r="140">
      <c r="A140" s="2" t="n">
        <v>32</v>
      </c>
      <c r="B140" s="2" t="inlineStr">
        <is>
          <t>Squeeze bottle 750 ml, PP/PE, wide covered tip</t>
        </is>
      </c>
      <c r="C140" s="2" t="inlineStr">
        <is>
          <t>Gastrozone</t>
        </is>
      </c>
      <c r="D140" s="2" t="inlineStr">
        <is>
          <t>APS Láhev mačkací, Obsah: 0,70 litru, s uzavírací krytkou</t>
        </is>
      </c>
      <c r="E140" s="2" t="inlineStr">
        <is>
          <t>APS</t>
        </is>
      </c>
      <c r="F140" s="3" t="inlineStr">
        <is>
          <t>https://www.gastrozone.cz/aps-kompresni-lahev-obsah-0-70-litru-vyska-240-mm-prumer-70-mm.html</t>
        </is>
      </c>
      <c r="G140" s="4" t="n">
        <v>98</v>
      </c>
      <c r="H140" s="2" t="inlineStr">
        <is>
          <t>CZK</t>
        </is>
      </c>
      <c r="I140" s="2" t="inlineStr">
        <is>
          <t>incl.</t>
        </is>
      </c>
      <c r="J140" s="5" t="n">
        <v>0.21</v>
      </c>
      <c r="K140" s="2" t="n">
        <v>1</v>
      </c>
      <c r="L140" s="2" t="inlineStr">
        <is>
          <t>per piece</t>
        </is>
      </c>
      <c r="M140" s="4">
        <f>IF(OR(G140="",J140="",K140=""),"",ROUND(IF(I140="incl.",G140/(1+J140),G140)/IF(L140="per pack",K140,1),2))</f>
        <v/>
      </c>
      <c r="N140" s="2" t="inlineStr">
        <is>
          <t>CLOSE</t>
        </is>
      </c>
      <c r="O140" s="2" t="inlineStr">
        <is>
          <t>80.99 CZK bez DPH; 700 ml PE squeeze bottle with closing cap over the tip (interpreted as covered tip); not 750 ml</t>
        </is>
      </c>
      <c r="P140" s="2" t="inlineStr">
        <is>
          <t>2026-09-30</t>
        </is>
      </c>
      <c r="Q140" s="2">
        <f>IFERROR(INDEX(Competitors!$N$2:$N$50,MATCH(C140,Competitors!$A$2:$A$50,0)),"no")</f>
        <v/>
      </c>
      <c r="R140" s="2">
        <f>IF(AND(Q140="yes",OR(N140="EXACT",N140="CLOSE"),ISNUMBER(M140)),"yes","no")</f>
        <v/>
      </c>
    </row>
    <row r="141">
      <c r="A141" s="2" t="n">
        <v>33</v>
      </c>
      <c r="B141" s="2" t="inlineStr">
        <is>
          <t>Cutting board 300x200x20 mm, red PE</t>
        </is>
      </c>
      <c r="C141" s="2" t="inlineStr">
        <is>
          <t>TOMGAST</t>
        </is>
      </c>
      <c r="D141" s="2" t="inlineStr">
        <is>
          <t>Deska krájecí 20 × 30 × 1,2 cm</t>
        </is>
      </c>
      <c r="E141" s="2" t="inlineStr">
        <is>
          <t>TOMGAST</t>
        </is>
      </c>
      <c r="F141" s="3" t="inlineStr">
        <is>
          <t>https://www.tomgast.cz/deska-krajeci-20--30--1-2-cm/</t>
        </is>
      </c>
      <c r="G141" s="4" t="n">
        <v>115</v>
      </c>
      <c r="H141" s="2" t="inlineStr">
        <is>
          <t>CZK</t>
        </is>
      </c>
      <c r="I141" s="2" t="inlineStr">
        <is>
          <t>incl.</t>
        </is>
      </c>
      <c r="J141" s="5" t="n">
        <v>0.21</v>
      </c>
      <c r="K141" s="2" t="n">
        <v>1</v>
      </c>
      <c r="L141" s="2" t="inlineStr">
        <is>
          <t>per piece</t>
        </is>
      </c>
      <c r="M141" s="4">
        <f>IF(OR(G141="",J141="",K141=""),"",ROUND(IF(I141="incl.",G141/(1+J141),G141)/IF(L141="per pack",K141,1),2))</f>
        <v/>
      </c>
      <c r="N141" s="2" t="inlineStr">
        <is>
          <t>APPROX</t>
        </is>
      </c>
      <c r="O141" s="2" t="inlineStr">
        <is>
          <t>PE 300 x 200 mm but 12 mm thick and white only (no red 300 x 200 x 20 listed); 95 CZK bez DPH</t>
        </is>
      </c>
      <c r="P141" s="2" t="inlineStr">
        <is>
          <t>2026-09-30</t>
        </is>
      </c>
      <c r="Q141" s="2">
        <f>IFERROR(INDEX(Competitors!$N$2:$N$50,MATCH(C141,Competitors!$A$2:$A$50,0)),"no")</f>
        <v/>
      </c>
      <c r="R141" s="2">
        <f>IF(AND(Q141="yes",OR(N141="EXACT",N141="CLOSE"),ISNUMBER(M141)),"yes","no")</f>
        <v/>
      </c>
    </row>
    <row r="142">
      <c r="A142" s="2" t="n">
        <v>34</v>
      </c>
      <c r="B142" s="2" t="inlineStr">
        <is>
          <t>Dough box 400x300x100 mm, PP, without lid</t>
        </is>
      </c>
      <c r="C142" s="2" t="inlineStr">
        <is>
          <t>Gastromania</t>
        </is>
      </c>
      <c r="D142" s="2" t="inlineStr">
        <is>
          <t>Nádoba na pizza těsto 400x300x100 mm | STALGAST, 563411</t>
        </is>
      </c>
      <c r="E142" s="2" t="inlineStr">
        <is>
          <t>Stalgast</t>
        </is>
      </c>
      <c r="F142" s="3" t="inlineStr">
        <is>
          <t>https://www.gastromania.cz/kose-na-pizza-testo/nadoba-na-pizza-testo-400x300x100-mm-stalgast-563411</t>
        </is>
      </c>
      <c r="G142" s="4" t="n">
        <v>336</v>
      </c>
      <c r="H142" s="2" t="inlineStr">
        <is>
          <t>CZK</t>
        </is>
      </c>
      <c r="I142" s="2" t="inlineStr">
        <is>
          <t>incl.</t>
        </is>
      </c>
      <c r="J142" s="5" t="n">
        <v>0.21</v>
      </c>
      <c r="K142" s="2" t="n">
        <v>1</v>
      </c>
      <c r="L142" s="2" t="inlineStr">
        <is>
          <t>per piece</t>
        </is>
      </c>
      <c r="M142" s="4">
        <f>IF(OR(G142="",J142="",K142=""),"",ROUND(IF(I142="incl.",G142/(1+J142),G142)/IF(L142="per pack",K142,1),2))</f>
        <v/>
      </c>
      <c r="N142" s="2" t="inlineStr">
        <is>
          <t>CLOSE</t>
        </is>
      </c>
      <c r="O142" s="2" t="inlineStr">
        <is>
          <t>400 x 300 x 100 mm but polyethylene (not PP); 278 CZK bez DPH; price incl. 21% VAT as published in product data (current price, in stock)</t>
        </is>
      </c>
      <c r="P142" s="2" t="inlineStr">
        <is>
          <t>2026-09-30</t>
        </is>
      </c>
      <c r="Q142" s="2">
        <f>IFERROR(INDEX(Competitors!$N$2:$N$50,MATCH(C142,Competitors!$A$2:$A$50,0)),"no")</f>
        <v/>
      </c>
      <c r="R142" s="2">
        <f>IF(AND(Q142="yes",OR(N142="EXACT",N142="CLOSE"),ISNUMBER(M142)),"yes","no")</f>
        <v/>
      </c>
    </row>
  </sheetData>
  <autoFilter ref="A1:R7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2" customWidth="1" min="4" max="4"/>
    <col width="12" customWidth="1" min="5" max="5"/>
    <col width="12" customWidth="1" min="6" max="6"/>
    <col width="50" customWidth="1" min="7" max="7"/>
    <col width="14" customWidth="1" min="8" max="8"/>
    <col width="14" customWidth="1" min="9" max="9"/>
  </cols>
  <sheetData>
    <row r="1" ht="45" customHeight="1">
      <c r="A1" s="1" t="inlineStr">
        <is>
          <t>Basket item no.</t>
        </is>
      </c>
      <c r="B1" s="1" t="inlineStr">
        <is>
          <t>Item description</t>
        </is>
      </c>
      <c r="C1" s="1" t="inlineStr">
        <is>
          <t>Qualifying prices (EXACT+CLOSE, counted competitors)</t>
        </is>
      </c>
      <c r="D1" s="1" t="inlineStr">
        <is>
          <t>Min net/pc CZK</t>
        </is>
      </c>
      <c r="E1" s="1" t="inlineStr">
        <is>
          <t>Median net/pc CZK</t>
        </is>
      </c>
      <c r="F1" s="1" t="inlineStr">
        <is>
          <t>Max net/pc CZK</t>
        </is>
      </c>
      <c r="G1" s="1" t="inlineStr">
        <is>
          <t>Competitors in statistics</t>
        </is>
      </c>
      <c r="H1" s="1" t="inlineStr">
        <is>
          <t>APPROX observations (not in stats)</t>
        </is>
      </c>
      <c r="I1" s="1" t="inlineStr">
        <is>
          <t>All observations (any competitor)</t>
        </is>
      </c>
    </row>
    <row r="2">
      <c r="A2" s="2" t="n">
        <v>1</v>
      </c>
      <c r="B2" s="2" t="inlineStr">
        <is>
          <t>GN 1/1 polycarbonate container, 65 mm deep</t>
        </is>
      </c>
      <c r="C2" s="2">
        <f>COUNTIFS(Prices!$A$2:$A$600,A2,Prices!$R$2:$R$600,"yes")</f>
        <v/>
      </c>
      <c r="D2" s="4">
        <f t="array" ref="D2">IF(C2=0,"",MIN(IF((Prices!$A$2:$A$600=A2)*(Prices!$R$2:$R$600="yes"),Prices!$M$2:$M$600)))</f>
        <v/>
      </c>
      <c r="E2" s="4">
        <f t="array" ref="E2">IF(C2=0,"",MEDIAN(IF((Prices!$A$2:$A$600=A2)*(Prices!$R$2:$R$600="yes"),Prices!$M$2:$M$600)))</f>
        <v/>
      </c>
      <c r="F2" s="4">
        <f t="array" ref="F2">IF(C2=0,"",MAX(IF((Prices!$A$2:$A$600=A2)*(Prices!$R$2:$R$600="yes"),Prices!$M$2:$M$600)))</f>
        <v/>
      </c>
      <c r="G2" s="2">
        <f t="array" ref="G2">IF(C2=0,"",_xlfn.TEXTJOIN(", ",TRUE,IF((Prices!$A$2:$A$600=A2)*(Prices!$R$2:$R$600="yes"),Prices!$C$2:$C$600,"")))</f>
        <v/>
      </c>
      <c r="H2" s="2">
        <f>COUNTIFS(Prices!$A$2:$A$600,A2,Prices!$N$2:$N$600,"APPROX")</f>
        <v/>
      </c>
      <c r="I2" s="2">
        <f>COUNTIFS(Prices!$A$2:$A$600,A2)</f>
        <v/>
      </c>
    </row>
    <row r="3">
      <c r="A3" s="2" t="n">
        <v>2</v>
      </c>
      <c r="B3" s="2" t="inlineStr">
        <is>
          <t>GN 1/2 polycarbonate container, 150 mm deep</t>
        </is>
      </c>
      <c r="C3" s="2">
        <f>COUNTIFS(Prices!$A$2:$A$600,A3,Prices!$R$2:$R$600,"yes")</f>
        <v/>
      </c>
      <c r="D3" s="4">
        <f t="array" ref="D3">IF(C3=0,"",MIN(IF((Prices!$A$2:$A$600=A3)*(Prices!$R$2:$R$600="yes"),Prices!$M$2:$M$600)))</f>
        <v/>
      </c>
      <c r="E3" s="4">
        <f t="array" ref="E3">IF(C3=0,"",MEDIAN(IF((Prices!$A$2:$A$600=A3)*(Prices!$R$2:$R$600="yes"),Prices!$M$2:$M$600)))</f>
        <v/>
      </c>
      <c r="F3" s="4">
        <f t="array" ref="F3">IF(C3=0,"",MAX(IF((Prices!$A$2:$A$600=A3)*(Prices!$R$2:$R$600="yes"),Prices!$M$2:$M$600)))</f>
        <v/>
      </c>
      <c r="G3" s="2">
        <f t="array" ref="G3">IF(C3=0,"",_xlfn.TEXTJOIN(", ",TRUE,IF((Prices!$A$2:$A$600=A3)*(Prices!$R$2:$R$600="yes"),Prices!$C$2:$C$600,"")))</f>
        <v/>
      </c>
      <c r="H3" s="2">
        <f>COUNTIFS(Prices!$A$2:$A$600,A3,Prices!$N$2:$N$600,"APPROX")</f>
        <v/>
      </c>
      <c r="I3" s="2">
        <f>COUNTIFS(Prices!$A$2:$A$600,A3)</f>
        <v/>
      </c>
    </row>
    <row r="4">
      <c r="A4" s="2" t="n">
        <v>3</v>
      </c>
      <c r="B4" s="2" t="inlineStr">
        <is>
          <t>GN 1/3 polypropylene container, 100 mm deep</t>
        </is>
      </c>
      <c r="C4" s="2">
        <f>COUNTIFS(Prices!$A$2:$A$600,A4,Prices!$R$2:$R$600,"yes")</f>
        <v/>
      </c>
      <c r="D4" s="4">
        <f t="array" ref="D4">IF(C4=0,"",MIN(IF((Prices!$A$2:$A$600=A4)*(Prices!$R$2:$R$600="yes"),Prices!$M$2:$M$600)))</f>
        <v/>
      </c>
      <c r="E4" s="4">
        <f t="array" ref="E4">IF(C4=0,"",MEDIAN(IF((Prices!$A$2:$A$600=A4)*(Prices!$R$2:$R$600="yes"),Prices!$M$2:$M$600)))</f>
        <v/>
      </c>
      <c r="F4" s="4">
        <f t="array" ref="F4">IF(C4=0,"",MAX(IF((Prices!$A$2:$A$600=A4)*(Prices!$R$2:$R$600="yes"),Prices!$M$2:$M$600)))</f>
        <v/>
      </c>
      <c r="G4" s="2">
        <f t="array" ref="G4">IF(C4=0,"",_xlfn.TEXTJOIN(", ",TRUE,IF((Prices!$A$2:$A$600=A4)*(Prices!$R$2:$R$600="yes"),Prices!$C$2:$C$600,"")))</f>
        <v/>
      </c>
      <c r="H4" s="2">
        <f>COUNTIFS(Prices!$A$2:$A$600,A4,Prices!$N$2:$N$600,"APPROX")</f>
        <v/>
      </c>
      <c r="I4" s="2">
        <f>COUNTIFS(Prices!$A$2:$A$600,A4)</f>
        <v/>
      </c>
    </row>
    <row r="5">
      <c r="A5" s="2" t="n">
        <v>4</v>
      </c>
      <c r="B5" s="2" t="inlineStr">
        <is>
          <t>GN 1/1 polypropylene lid</t>
        </is>
      </c>
      <c r="C5" s="2">
        <f>COUNTIFS(Prices!$A$2:$A$600,A5,Prices!$R$2:$R$600,"yes")</f>
        <v/>
      </c>
      <c r="D5" s="4">
        <f t="array" ref="D5">IF(C5=0,"",MIN(IF((Prices!$A$2:$A$600=A5)*(Prices!$R$2:$R$600="yes"),Prices!$M$2:$M$600)))</f>
        <v/>
      </c>
      <c r="E5" s="4">
        <f t="array" ref="E5">IF(C5=0,"",MEDIAN(IF((Prices!$A$2:$A$600=A5)*(Prices!$R$2:$R$600="yes"),Prices!$M$2:$M$600)))</f>
        <v/>
      </c>
      <c r="F5" s="4">
        <f t="array" ref="F5">IF(C5=0,"",MAX(IF((Prices!$A$2:$A$600=A5)*(Prices!$R$2:$R$600="yes"),Prices!$M$2:$M$600)))</f>
        <v/>
      </c>
      <c r="G5" s="2">
        <f t="array" ref="G5">IF(C5=0,"",_xlfn.TEXTJOIN(", ",TRUE,IF((Prices!$A$2:$A$600=A5)*(Prices!$R$2:$R$600="yes"),Prices!$C$2:$C$600,"")))</f>
        <v/>
      </c>
      <c r="H5" s="2">
        <f>COUNTIFS(Prices!$A$2:$A$600,A5,Prices!$N$2:$N$600,"APPROX")</f>
        <v/>
      </c>
      <c r="I5" s="2">
        <f>COUNTIFS(Prices!$A$2:$A$600,A5)</f>
        <v/>
      </c>
    </row>
    <row r="6">
      <c r="A6" s="2" t="n">
        <v>5</v>
      </c>
      <c r="B6" s="2" t="inlineStr">
        <is>
          <t>Squeeze bottle 500 ml, polypropylene, single tip</t>
        </is>
      </c>
      <c r="C6" s="2">
        <f>COUNTIFS(Prices!$A$2:$A$600,A6,Prices!$R$2:$R$600,"yes")</f>
        <v/>
      </c>
      <c r="D6" s="4">
        <f t="array" ref="D6">IF(C6=0,"",MIN(IF((Prices!$A$2:$A$600=A6)*(Prices!$R$2:$R$600="yes"),Prices!$M$2:$M$600)))</f>
        <v/>
      </c>
      <c r="E6" s="4">
        <f t="array" ref="E6">IF(C6=0,"",MEDIAN(IF((Prices!$A$2:$A$600=A6)*(Prices!$R$2:$R$600="yes"),Prices!$M$2:$M$600)))</f>
        <v/>
      </c>
      <c r="F6" s="4">
        <f t="array" ref="F6">IF(C6=0,"",MAX(IF((Prices!$A$2:$A$600=A6)*(Prices!$R$2:$R$600="yes"),Prices!$M$2:$M$600)))</f>
        <v/>
      </c>
      <c r="G6" s="2">
        <f t="array" ref="G6">IF(C6=0,"",_xlfn.TEXTJOIN(", ",TRUE,IF((Prices!$A$2:$A$600=A6)*(Prices!$R$2:$R$600="yes"),Prices!$C$2:$C$600,"")))</f>
        <v/>
      </c>
      <c r="H6" s="2">
        <f>COUNTIFS(Prices!$A$2:$A$600,A6,Prices!$N$2:$N$600,"APPROX")</f>
        <v/>
      </c>
      <c r="I6" s="2">
        <f>COUNTIFS(Prices!$A$2:$A$600,A6)</f>
        <v/>
      </c>
    </row>
    <row r="7">
      <c r="A7" s="2" t="n">
        <v>6</v>
      </c>
      <c r="B7" s="2" t="inlineStr">
        <is>
          <t>Squeeze bottle 1000 ml, polypropylene, single tip</t>
        </is>
      </c>
      <c r="C7" s="2">
        <f>COUNTIFS(Prices!$A$2:$A$600,A7,Prices!$R$2:$R$600,"yes")</f>
        <v/>
      </c>
      <c r="D7" s="4">
        <f t="array" ref="D7">IF(C7=0,"",MIN(IF((Prices!$A$2:$A$600=A7)*(Prices!$R$2:$R$600="yes"),Prices!$M$2:$M$600)))</f>
        <v/>
      </c>
      <c r="E7" s="4">
        <f t="array" ref="E7">IF(C7=0,"",MEDIAN(IF((Prices!$A$2:$A$600=A7)*(Prices!$R$2:$R$600="yes"),Prices!$M$2:$M$600)))</f>
        <v/>
      </c>
      <c r="F7" s="4">
        <f t="array" ref="F7">IF(C7=0,"",MAX(IF((Prices!$A$2:$A$600=A7)*(Prices!$R$2:$R$600="yes"),Prices!$M$2:$M$600)))</f>
        <v/>
      </c>
      <c r="G7" s="2">
        <f t="array" ref="G7">IF(C7=0,"",_xlfn.TEXTJOIN(", ",TRUE,IF((Prices!$A$2:$A$600=A7)*(Prices!$R$2:$R$600="yes"),Prices!$C$2:$C$600,"")))</f>
        <v/>
      </c>
      <c r="H7" s="2">
        <f>COUNTIFS(Prices!$A$2:$A$600,A7,Prices!$N$2:$N$600,"APPROX")</f>
        <v/>
      </c>
      <c r="I7" s="2">
        <f>COUNTIFS(Prices!$A$2:$A$600,A7)</f>
        <v/>
      </c>
    </row>
    <row r="8">
      <c r="A8" s="2" t="n">
        <v>7</v>
      </c>
      <c r="B8" s="2" t="inlineStr">
        <is>
          <t>Squeeze bottle 500 ml with triple tip</t>
        </is>
      </c>
      <c r="C8" s="2">
        <f>COUNTIFS(Prices!$A$2:$A$600,A8,Prices!$R$2:$R$600,"yes")</f>
        <v/>
      </c>
      <c r="D8" s="4">
        <f t="array" ref="D8">IF(C8=0,"",MIN(IF((Prices!$A$2:$A$600=A8)*(Prices!$R$2:$R$600="yes"),Prices!$M$2:$M$600)))</f>
        <v/>
      </c>
      <c r="E8" s="4">
        <f t="array" ref="E8">IF(C8=0,"",MEDIAN(IF((Prices!$A$2:$A$600=A8)*(Prices!$R$2:$R$600="yes"),Prices!$M$2:$M$600)))</f>
        <v/>
      </c>
      <c r="F8" s="4">
        <f t="array" ref="F8">IF(C8=0,"",MAX(IF((Prices!$A$2:$A$600=A8)*(Prices!$R$2:$R$600="yes"),Prices!$M$2:$M$600)))</f>
        <v/>
      </c>
      <c r="G8" s="2">
        <f t="array" ref="G8">IF(C8=0,"",_xlfn.TEXTJOIN(", ",TRUE,IF((Prices!$A$2:$A$600=A8)*(Prices!$R$2:$R$600="yes"),Prices!$C$2:$C$600,"")))</f>
        <v/>
      </c>
      <c r="H8" s="2">
        <f>COUNTIFS(Prices!$A$2:$A$600,A8,Prices!$N$2:$N$600,"APPROX")</f>
        <v/>
      </c>
      <c r="I8" s="2">
        <f>COUNTIFS(Prices!$A$2:$A$600,A8)</f>
        <v/>
      </c>
    </row>
    <row r="9">
      <c r="A9" s="2" t="n">
        <v>8</v>
      </c>
      <c r="B9" s="2" t="inlineStr">
        <is>
          <t>Ketchup/sauce pump dispenser with stand</t>
        </is>
      </c>
      <c r="C9" s="2">
        <f>COUNTIFS(Prices!$A$2:$A$600,A9,Prices!$R$2:$R$600,"yes")</f>
        <v/>
      </c>
      <c r="D9" s="4">
        <f t="array" ref="D9">IF(C9=0,"",MIN(IF((Prices!$A$2:$A$600=A9)*(Prices!$R$2:$R$600="yes"),Prices!$M$2:$M$600)))</f>
        <v/>
      </c>
      <c r="E9" s="4">
        <f t="array" ref="E9">IF(C9=0,"",MEDIAN(IF((Prices!$A$2:$A$600=A9)*(Prices!$R$2:$R$600="yes"),Prices!$M$2:$M$600)))</f>
        <v/>
      </c>
      <c r="F9" s="4">
        <f t="array" ref="F9">IF(C9=0,"",MAX(IF((Prices!$A$2:$A$600=A9)*(Prices!$R$2:$R$600="yes"),Prices!$M$2:$M$600)))</f>
        <v/>
      </c>
      <c r="G9" s="2">
        <f t="array" ref="G9">IF(C9=0,"",_xlfn.TEXTJOIN(", ",TRUE,IF((Prices!$A$2:$A$600=A9)*(Prices!$R$2:$R$600="yes"),Prices!$C$2:$C$600,"")))</f>
        <v/>
      </c>
      <c r="H9" s="2">
        <f>COUNTIFS(Prices!$A$2:$A$600,A9,Prices!$N$2:$N$600,"APPROX")</f>
        <v/>
      </c>
      <c r="I9" s="2">
        <f>COUNTIFS(Prices!$A$2:$A$600,A9)</f>
        <v/>
      </c>
    </row>
    <row r="10">
      <c r="A10" s="2" t="n">
        <v>9</v>
      </c>
      <c r="B10" s="2" t="inlineStr">
        <is>
          <t>HACCP PE cutting board 530 x 325 x 20 mm (GN 1/1)</t>
        </is>
      </c>
      <c r="C10" s="2">
        <f>COUNTIFS(Prices!$A$2:$A$600,A10,Prices!$R$2:$R$600,"yes")</f>
        <v/>
      </c>
      <c r="D10" s="4">
        <f t="array" ref="D10">IF(C10=0,"",MIN(IF((Prices!$A$2:$A$600=A10)*(Prices!$R$2:$R$600="yes"),Prices!$M$2:$M$600)))</f>
        <v/>
      </c>
      <c r="E10" s="4">
        <f t="array" ref="E10">IF(C10=0,"",MEDIAN(IF((Prices!$A$2:$A$600=A10)*(Prices!$R$2:$R$600="yes"),Prices!$M$2:$M$600)))</f>
        <v/>
      </c>
      <c r="F10" s="4">
        <f t="array" ref="F10">IF(C10=0,"",MAX(IF((Prices!$A$2:$A$600=A10)*(Prices!$R$2:$R$600="yes"),Prices!$M$2:$M$600)))</f>
        <v/>
      </c>
      <c r="G10" s="2">
        <f t="array" ref="G10">IF(C10=0,"",_xlfn.TEXTJOIN(", ",TRUE,IF((Prices!$A$2:$A$600=A10)*(Prices!$R$2:$R$600="yes"),Prices!$C$2:$C$600,"")))</f>
        <v/>
      </c>
      <c r="H10" s="2">
        <f>COUNTIFS(Prices!$A$2:$A$600,A10,Prices!$N$2:$N$600,"APPROX")</f>
        <v/>
      </c>
      <c r="I10" s="2">
        <f>COUNTIFS(Prices!$A$2:$A$600,A10)</f>
        <v/>
      </c>
    </row>
    <row r="11">
      <c r="A11" s="2" t="n">
        <v>10</v>
      </c>
      <c r="B11" s="2" t="inlineStr">
        <is>
          <t>HACCP PE cutting board 600 x 400 x 20 mm</t>
        </is>
      </c>
      <c r="C11" s="2">
        <f>COUNTIFS(Prices!$A$2:$A$600,A11,Prices!$R$2:$R$600,"yes")</f>
        <v/>
      </c>
      <c r="D11" s="4">
        <f t="array" ref="D11">IF(C11=0,"",MIN(IF((Prices!$A$2:$A$600=A11)*(Prices!$R$2:$R$600="yes"),Prices!$M$2:$M$600)))</f>
        <v/>
      </c>
      <c r="E11" s="4">
        <f t="array" ref="E11">IF(C11=0,"",MEDIAN(IF((Prices!$A$2:$A$600=A11)*(Prices!$R$2:$R$600="yes"),Prices!$M$2:$M$600)))</f>
        <v/>
      </c>
      <c r="F11" s="4">
        <f t="array" ref="F11">IF(C11=0,"",MAX(IF((Prices!$A$2:$A$600=A11)*(Prices!$R$2:$R$600="yes"),Prices!$M$2:$M$600)))</f>
        <v/>
      </c>
      <c r="G11" s="2">
        <f t="array" ref="G11">IF(C11=0,"",_xlfn.TEXTJOIN(", ",TRUE,IF((Prices!$A$2:$A$600=A11)*(Prices!$R$2:$R$600="yes"),Prices!$C$2:$C$600,"")))</f>
        <v/>
      </c>
      <c r="H11" s="2">
        <f>COUNTIFS(Prices!$A$2:$A$600,A11,Prices!$N$2:$N$600,"APPROX")</f>
        <v/>
      </c>
      <c r="I11" s="2">
        <f>COUNTIFS(Prices!$A$2:$A$600,A11)</f>
        <v/>
      </c>
    </row>
    <row r="12">
      <c r="A12" s="2" t="n">
        <v>11</v>
      </c>
      <c r="B12" s="2" t="inlineStr">
        <is>
          <t>HACCP PE cutting board 300 x 200 x 10 mm</t>
        </is>
      </c>
      <c r="C12" s="2">
        <f>COUNTIFS(Prices!$A$2:$A$600,A12,Prices!$R$2:$R$600,"yes")</f>
        <v/>
      </c>
      <c r="D12" s="4">
        <f t="array" ref="D12">IF(C12=0,"",MIN(IF((Prices!$A$2:$A$600=A12)*(Prices!$R$2:$R$600="yes"),Prices!$M$2:$M$600)))</f>
        <v/>
      </c>
      <c r="E12" s="4">
        <f t="array" ref="E12">IF(C12=0,"",MEDIAN(IF((Prices!$A$2:$A$600=A12)*(Prices!$R$2:$R$600="yes"),Prices!$M$2:$M$600)))</f>
        <v/>
      </c>
      <c r="F12" s="4">
        <f t="array" ref="F12">IF(C12=0,"",MAX(IF((Prices!$A$2:$A$600=A12)*(Prices!$R$2:$R$600="yes"),Prices!$M$2:$M$600)))</f>
        <v/>
      </c>
      <c r="G12" s="2">
        <f t="array" ref="G12">IF(C12=0,"",_xlfn.TEXTJOIN(", ",TRUE,IF((Prices!$A$2:$A$600=A12)*(Prices!$R$2:$R$600="yes"),Prices!$C$2:$C$600,"")))</f>
        <v/>
      </c>
      <c r="H12" s="2">
        <f>COUNTIFS(Prices!$A$2:$A$600,A12,Prices!$N$2:$N$600,"APPROX")</f>
        <v/>
      </c>
      <c r="I12" s="2">
        <f>COUNTIFS(Prices!$A$2:$A$600,A12)</f>
        <v/>
      </c>
    </row>
    <row r="13">
      <c r="A13" s="2" t="n">
        <v>12</v>
      </c>
      <c r="B13" s="2" t="inlineStr">
        <is>
          <t>Pizza dough proofing box 600 x 400 x 100 mm, polypropylene</t>
        </is>
      </c>
      <c r="C13" s="2">
        <f>COUNTIFS(Prices!$A$2:$A$600,A13,Prices!$R$2:$R$600,"yes")</f>
        <v/>
      </c>
      <c r="D13" s="4">
        <f t="array" ref="D13">IF(C13=0,"",MIN(IF((Prices!$A$2:$A$600=A13)*(Prices!$R$2:$R$600="yes"),Prices!$M$2:$M$600)))</f>
        <v/>
      </c>
      <c r="E13" s="4">
        <f t="array" ref="E13">IF(C13=0,"",MEDIAN(IF((Prices!$A$2:$A$600=A13)*(Prices!$R$2:$R$600="yes"),Prices!$M$2:$M$600)))</f>
        <v/>
      </c>
      <c r="F13" s="4">
        <f t="array" ref="F13">IF(C13=0,"",MAX(IF((Prices!$A$2:$A$600=A13)*(Prices!$R$2:$R$600="yes"),Prices!$M$2:$M$600)))</f>
        <v/>
      </c>
      <c r="G13" s="2">
        <f t="array" ref="G13">IF(C13=0,"",_xlfn.TEXTJOIN(", ",TRUE,IF((Prices!$A$2:$A$600=A13)*(Prices!$R$2:$R$600="yes"),Prices!$C$2:$C$600,"")))</f>
        <v/>
      </c>
      <c r="H13" s="2">
        <f>COUNTIFS(Prices!$A$2:$A$600,A13,Prices!$N$2:$N$600,"APPROX")</f>
        <v/>
      </c>
      <c r="I13" s="2">
        <f>COUNTIFS(Prices!$A$2:$A$600,A13)</f>
        <v/>
      </c>
    </row>
    <row r="14">
      <c r="A14" s="2" t="n">
        <v>13</v>
      </c>
      <c r="B14" s="2" t="inlineStr">
        <is>
          <t>Lid for 600 x 400 mm dough box</t>
        </is>
      </c>
      <c r="C14" s="2">
        <f>COUNTIFS(Prices!$A$2:$A$600,A14,Prices!$R$2:$R$600,"yes")</f>
        <v/>
      </c>
      <c r="D14" s="4">
        <f t="array" ref="D14">IF(C14=0,"",MIN(IF((Prices!$A$2:$A$600=A14)*(Prices!$R$2:$R$600="yes"),Prices!$M$2:$M$600)))</f>
        <v/>
      </c>
      <c r="E14" s="4">
        <f t="array" ref="E14">IF(C14=0,"",MEDIAN(IF((Prices!$A$2:$A$600=A14)*(Prices!$R$2:$R$600="yes"),Prices!$M$2:$M$600)))</f>
        <v/>
      </c>
      <c r="F14" s="4">
        <f t="array" ref="F14">IF(C14=0,"",MAX(IF((Prices!$A$2:$A$600=A14)*(Prices!$R$2:$R$600="yes"),Prices!$M$2:$M$600)))</f>
        <v/>
      </c>
      <c r="G14" s="2">
        <f t="array" ref="G14">IF(C14=0,"",_xlfn.TEXTJOIN(", ",TRUE,IF((Prices!$A$2:$A$600=A14)*(Prices!$R$2:$R$600="yes"),Prices!$C$2:$C$600,"")))</f>
        <v/>
      </c>
      <c r="H14" s="2">
        <f>COUNTIFS(Prices!$A$2:$A$600,A14,Prices!$N$2:$N$600,"APPROX")</f>
        <v/>
      </c>
      <c r="I14" s="2">
        <f>COUNTIFS(Prices!$A$2:$A$600,A14)</f>
        <v/>
      </c>
    </row>
    <row r="15">
      <c r="A15" s="2" t="n">
        <v>14</v>
      </c>
      <c r="B15" s="2" t="inlineStr">
        <is>
          <t>Pizza dough proofing box 600 x 400 x 75 mm, polyethylene</t>
        </is>
      </c>
      <c r="C15" s="2">
        <f>COUNTIFS(Prices!$A$2:$A$600,A15,Prices!$R$2:$R$600,"yes")</f>
        <v/>
      </c>
      <c r="D15" s="4">
        <f t="array" ref="D15">IF(C15=0,"",MIN(IF((Prices!$A$2:$A$600=A15)*(Prices!$R$2:$R$600="yes"),Prices!$M$2:$M$600)))</f>
        <v/>
      </c>
      <c r="E15" s="4">
        <f t="array" ref="E15">IF(C15=0,"",MEDIAN(IF((Prices!$A$2:$A$600=A15)*(Prices!$R$2:$R$600="yes"),Prices!$M$2:$M$600)))</f>
        <v/>
      </c>
      <c r="F15" s="4">
        <f t="array" ref="F15">IF(C15=0,"",MAX(IF((Prices!$A$2:$A$600=A15)*(Prices!$R$2:$R$600="yes"),Prices!$M$2:$M$600)))</f>
        <v/>
      </c>
      <c r="G15" s="2">
        <f t="array" ref="G15">IF(C15=0,"",_xlfn.TEXTJOIN(", ",TRUE,IF((Prices!$A$2:$A$600=A15)*(Prices!$R$2:$R$600="yes"),Prices!$C$2:$C$600,"")))</f>
        <v/>
      </c>
      <c r="H15" s="2">
        <f>COUNTIFS(Prices!$A$2:$A$600,A15,Prices!$N$2:$N$600,"APPROX")</f>
        <v/>
      </c>
      <c r="I15" s="2">
        <f>COUNTIFS(Prices!$A$2:$A$600,A15)</f>
        <v/>
      </c>
    </row>
    <row r="16">
      <c r="A16" s="2" t="n">
        <v>15</v>
      </c>
      <c r="B16" s="2" t="inlineStr">
        <is>
          <t>Front-loading insulated thermobox for GN 1/1, approx. 80-90 l</t>
        </is>
      </c>
      <c r="C16" s="2">
        <f>COUNTIFS(Prices!$A$2:$A$600,A16,Prices!$R$2:$R$600,"yes")</f>
        <v/>
      </c>
      <c r="D16" s="4">
        <f t="array" ref="D16">IF(C16=0,"",MIN(IF((Prices!$A$2:$A$600=A16)*(Prices!$R$2:$R$600="yes"),Prices!$M$2:$M$600)))</f>
        <v/>
      </c>
      <c r="E16" s="4">
        <f t="array" ref="E16">IF(C16=0,"",MEDIAN(IF((Prices!$A$2:$A$600=A16)*(Prices!$R$2:$R$600="yes"),Prices!$M$2:$M$600)))</f>
        <v/>
      </c>
      <c r="F16" s="4">
        <f t="array" ref="F16">IF(C16=0,"",MAX(IF((Prices!$A$2:$A$600=A16)*(Prices!$R$2:$R$600="yes"),Prices!$M$2:$M$600)))</f>
        <v/>
      </c>
      <c r="G16" s="2">
        <f t="array" ref="G16">IF(C16=0,"",_xlfn.TEXTJOIN(", ",TRUE,IF((Prices!$A$2:$A$600=A16)*(Prices!$R$2:$R$600="yes"),Prices!$C$2:$C$600,"")))</f>
        <v/>
      </c>
      <c r="H16" s="2">
        <f>COUNTIFS(Prices!$A$2:$A$600,A16,Prices!$N$2:$N$600,"APPROX")</f>
        <v/>
      </c>
      <c r="I16" s="2">
        <f>COUNTIFS(Prices!$A$2:$A$600,A16)</f>
        <v/>
      </c>
    </row>
    <row r="17">
      <c r="A17" s="2" t="n">
        <v>16</v>
      </c>
      <c r="B17" s="2" t="inlineStr">
        <is>
          <t>Service tray approx. 370 x 530 mm, ABS/polypropylene</t>
        </is>
      </c>
      <c r="C17" s="2">
        <f>COUNTIFS(Prices!$A$2:$A$600,A17,Prices!$R$2:$R$600,"yes")</f>
        <v/>
      </c>
      <c r="D17" s="4">
        <f t="array" ref="D17">IF(C17=0,"",MIN(IF((Prices!$A$2:$A$600=A17)*(Prices!$R$2:$R$600="yes"),Prices!$M$2:$M$600)))</f>
        <v/>
      </c>
      <c r="E17" s="4">
        <f t="array" ref="E17">IF(C17=0,"",MEDIAN(IF((Prices!$A$2:$A$600=A17)*(Prices!$R$2:$R$600="yes"),Prices!$M$2:$M$600)))</f>
        <v/>
      </c>
      <c r="F17" s="4">
        <f t="array" ref="F17">IF(C17=0,"",MAX(IF((Prices!$A$2:$A$600=A17)*(Prices!$R$2:$R$600="yes"),Prices!$M$2:$M$600)))</f>
        <v/>
      </c>
      <c r="G17" s="2">
        <f t="array" ref="G17">IF(C17=0,"",_xlfn.TEXTJOIN(", ",TRUE,IF((Prices!$A$2:$A$600=A17)*(Prices!$R$2:$R$600="yes"),Prices!$C$2:$C$600,"")))</f>
        <v/>
      </c>
      <c r="H17" s="2">
        <f>COUNTIFS(Prices!$A$2:$A$600,A17,Prices!$N$2:$N$600,"APPROX")</f>
        <v/>
      </c>
      <c r="I17" s="2">
        <f>COUNTIFS(Prices!$A$2:$A$600,A17)</f>
        <v/>
      </c>
    </row>
    <row r="18">
      <c r="A18" s="2" t="n">
        <v>17</v>
      </c>
      <c r="B18" s="2" t="inlineStr">
        <is>
          <t>Insulated thermo tray with lid, 5-6 compartments</t>
        </is>
      </c>
      <c r="C18" s="2">
        <f>COUNTIFS(Prices!$A$2:$A$600,A18,Prices!$R$2:$R$600,"yes")</f>
        <v/>
      </c>
      <c r="D18" s="4">
        <f t="array" ref="D18">IF(C18=0,"",MIN(IF((Prices!$A$2:$A$600=A18)*(Prices!$R$2:$R$600="yes"),Prices!$M$2:$M$600)))</f>
        <v/>
      </c>
      <c r="E18" s="4">
        <f t="array" ref="E18">IF(C18=0,"",MEDIAN(IF((Prices!$A$2:$A$600=A18)*(Prices!$R$2:$R$600="yes"),Prices!$M$2:$M$600)))</f>
        <v/>
      </c>
      <c r="F18" s="4">
        <f t="array" ref="F18">IF(C18=0,"",MAX(IF((Prices!$A$2:$A$600=A18)*(Prices!$R$2:$R$600="yes"),Prices!$M$2:$M$600)))</f>
        <v/>
      </c>
      <c r="G18" s="2">
        <f t="array" ref="G18">IF(C18=0,"",_xlfn.TEXTJOIN(", ",TRUE,IF((Prices!$A$2:$A$600=A18)*(Prices!$R$2:$R$600="yes"),Prices!$C$2:$C$600,"")))</f>
        <v/>
      </c>
      <c r="H18" s="2">
        <f>COUNTIFS(Prices!$A$2:$A$600,A18,Prices!$N$2:$N$600,"APPROX")</f>
        <v/>
      </c>
      <c r="I18" s="2">
        <f>COUNTIFS(Prices!$A$2:$A$600,A18)</f>
        <v/>
      </c>
    </row>
    <row r="19">
      <c r="A19" s="2" t="n">
        <v>18</v>
      </c>
      <c r="B19" s="2" t="inlineStr">
        <is>
          <t>GN 1/1 container, PP, 65 mm</t>
        </is>
      </c>
      <c r="C19" s="2">
        <f>COUNTIFS(Prices!$A$2:$A$600,A19,Prices!$R$2:$R$600,"yes")</f>
        <v/>
      </c>
      <c r="D19" s="4">
        <f t="array" ref="D19">IF(C19=0,"",MIN(IF((Prices!$A$2:$A$600=A19)*(Prices!$R$2:$R$600="yes"),Prices!$M$2:$M$600)))</f>
        <v/>
      </c>
      <c r="E19" s="4">
        <f t="array" ref="E19">IF(C19=0,"",MEDIAN(IF((Prices!$A$2:$A$600=A19)*(Prices!$R$2:$R$600="yes"),Prices!$M$2:$M$600)))</f>
        <v/>
      </c>
      <c r="F19" s="4">
        <f t="array" ref="F19">IF(C19=0,"",MAX(IF((Prices!$A$2:$A$600=A19)*(Prices!$R$2:$R$600="yes"),Prices!$M$2:$M$600)))</f>
        <v/>
      </c>
      <c r="G19" s="2">
        <f t="array" ref="G19">IF(C19=0,"",_xlfn.TEXTJOIN(", ",TRUE,IF((Prices!$A$2:$A$600=A19)*(Prices!$R$2:$R$600="yes"),Prices!$C$2:$C$600,"")))</f>
        <v/>
      </c>
      <c r="H19" s="2">
        <f>COUNTIFS(Prices!$A$2:$A$600,A19,Prices!$N$2:$N$600,"APPROX")</f>
        <v/>
      </c>
      <c r="I19" s="2">
        <f>COUNTIFS(Prices!$A$2:$A$600,A19)</f>
        <v/>
      </c>
    </row>
    <row r="20">
      <c r="A20" s="2" t="n">
        <v>19</v>
      </c>
      <c r="B20" s="2" t="inlineStr">
        <is>
          <t>GN 1/3 container, PC, 100 mm</t>
        </is>
      </c>
      <c r="C20" s="2">
        <f>COUNTIFS(Prices!$A$2:$A$600,A20,Prices!$R$2:$R$600,"yes")</f>
        <v/>
      </c>
      <c r="D20" s="4">
        <f t="array" ref="D20">IF(C20=0,"",MIN(IF((Prices!$A$2:$A$600=A20)*(Prices!$R$2:$R$600="yes"),Prices!$M$2:$M$600)))</f>
        <v/>
      </c>
      <c r="E20" s="4">
        <f t="array" ref="E20">IF(C20=0,"",MEDIAN(IF((Prices!$A$2:$A$600=A20)*(Prices!$R$2:$R$600="yes"),Prices!$M$2:$M$600)))</f>
        <v/>
      </c>
      <c r="F20" s="4">
        <f t="array" ref="F20">IF(C20=0,"",MAX(IF((Prices!$A$2:$A$600=A20)*(Prices!$R$2:$R$600="yes"),Prices!$M$2:$M$600)))</f>
        <v/>
      </c>
      <c r="G20" s="2">
        <f t="array" ref="G20">IF(C20=0,"",_xlfn.TEXTJOIN(", ",TRUE,IF((Prices!$A$2:$A$600=A20)*(Prices!$R$2:$R$600="yes"),Prices!$C$2:$C$600,"")))</f>
        <v/>
      </c>
      <c r="H20" s="2">
        <f>COUNTIFS(Prices!$A$2:$A$600,A20,Prices!$N$2:$N$600,"APPROX")</f>
        <v/>
      </c>
      <c r="I20" s="2">
        <f>COUNTIFS(Prices!$A$2:$A$600,A20)</f>
        <v/>
      </c>
    </row>
    <row r="21">
      <c r="A21" s="2" t="n">
        <v>20</v>
      </c>
      <c r="B21" s="2" t="inlineStr">
        <is>
          <t>GN 1/2 container, PP, 150 mm</t>
        </is>
      </c>
      <c r="C21" s="2">
        <f>COUNTIFS(Prices!$A$2:$A$600,A21,Prices!$R$2:$R$600,"yes")</f>
        <v/>
      </c>
      <c r="D21" s="4">
        <f t="array" ref="D21">IF(C21=0,"",MIN(IF((Prices!$A$2:$A$600=A21)*(Prices!$R$2:$R$600="yes"),Prices!$M$2:$M$600)))</f>
        <v/>
      </c>
      <c r="E21" s="4">
        <f t="array" ref="E21">IF(C21=0,"",MEDIAN(IF((Prices!$A$2:$A$600=A21)*(Prices!$R$2:$R$600="yes"),Prices!$M$2:$M$600)))</f>
        <v/>
      </c>
      <c r="F21" s="4">
        <f t="array" ref="F21">IF(C21=0,"",MAX(IF((Prices!$A$2:$A$600=A21)*(Prices!$R$2:$R$600="yes"),Prices!$M$2:$M$600)))</f>
        <v/>
      </c>
      <c r="G21" s="2">
        <f t="array" ref="G21">IF(C21=0,"",_xlfn.TEXTJOIN(", ",TRUE,IF((Prices!$A$2:$A$600=A21)*(Prices!$R$2:$R$600="yes"),Prices!$C$2:$C$600,"")))</f>
        <v/>
      </c>
      <c r="H21" s="2">
        <f>COUNTIFS(Prices!$A$2:$A$600,A21,Prices!$N$2:$N$600,"APPROX")</f>
        <v/>
      </c>
      <c r="I21" s="2">
        <f>COUNTIFS(Prices!$A$2:$A$600,A21)</f>
        <v/>
      </c>
    </row>
    <row r="22">
      <c r="A22" s="2" t="n">
        <v>21</v>
      </c>
      <c r="B22" s="2" t="inlineStr">
        <is>
          <t>GN 1/1 PC lid, standard</t>
        </is>
      </c>
      <c r="C22" s="2">
        <f>COUNTIFS(Prices!$A$2:$A$600,A22,Prices!$R$2:$R$600,"yes")</f>
        <v/>
      </c>
      <c r="D22" s="4">
        <f t="array" ref="D22">IF(C22=0,"",MIN(IF((Prices!$A$2:$A$600=A22)*(Prices!$R$2:$R$600="yes"),Prices!$M$2:$M$600)))</f>
        <v/>
      </c>
      <c r="E22" s="4">
        <f t="array" ref="E22">IF(C22=0,"",MEDIAN(IF((Prices!$A$2:$A$600=A22)*(Prices!$R$2:$R$600="yes"),Prices!$M$2:$M$600)))</f>
        <v/>
      </c>
      <c r="F22" s="4">
        <f t="array" ref="F22">IF(C22=0,"",MAX(IF((Prices!$A$2:$A$600=A22)*(Prices!$R$2:$R$600="yes"),Prices!$M$2:$M$600)))</f>
        <v/>
      </c>
      <c r="G22" s="2">
        <f t="array" ref="G22">IF(C22=0,"",_xlfn.TEXTJOIN(", ",TRUE,IF((Prices!$A$2:$A$600=A22)*(Prices!$R$2:$R$600="yes"),Prices!$C$2:$C$600,"")))</f>
        <v/>
      </c>
      <c r="H22" s="2">
        <f>COUNTIFS(Prices!$A$2:$A$600,A22,Prices!$N$2:$N$600,"APPROX")</f>
        <v/>
      </c>
      <c r="I22" s="2">
        <f>COUNTIFS(Prices!$A$2:$A$600,A22)</f>
        <v/>
      </c>
    </row>
    <row r="23">
      <c r="A23" s="2" t="n">
        <v>22</v>
      </c>
      <c r="B23" s="2" t="inlineStr">
        <is>
          <t>GN 1/6 container, PP, 100 mm</t>
        </is>
      </c>
      <c r="C23" s="2">
        <f>COUNTIFS(Prices!$A$2:$A$600,A23,Prices!$R$2:$R$600,"yes")</f>
        <v/>
      </c>
      <c r="D23" s="4">
        <f t="array" ref="D23">IF(C23=0,"",MIN(IF((Prices!$A$2:$A$600=A23)*(Prices!$R$2:$R$600="yes"),Prices!$M$2:$M$600)))</f>
        <v/>
      </c>
      <c r="E23" s="4">
        <f t="array" ref="E23">IF(C23=0,"",MEDIAN(IF((Prices!$A$2:$A$600=A23)*(Prices!$R$2:$R$600="yes"),Prices!$M$2:$M$600)))</f>
        <v/>
      </c>
      <c r="F23" s="4">
        <f t="array" ref="F23">IF(C23=0,"",MAX(IF((Prices!$A$2:$A$600=A23)*(Prices!$R$2:$R$600="yes"),Prices!$M$2:$M$600)))</f>
        <v/>
      </c>
      <c r="G23" s="2">
        <f t="array" ref="G23">IF(C23=0,"",_xlfn.TEXTJOIN(", ",TRUE,IF((Prices!$A$2:$A$600=A23)*(Prices!$R$2:$R$600="yes"),Prices!$C$2:$C$600,"")))</f>
        <v/>
      </c>
      <c r="H23" s="2">
        <f>COUNTIFS(Prices!$A$2:$A$600,A23,Prices!$N$2:$N$600,"APPROX")</f>
        <v/>
      </c>
      <c r="I23" s="2">
        <f>COUNTIFS(Prices!$A$2:$A$600,A23)</f>
        <v/>
      </c>
    </row>
    <row r="24">
      <c r="A24" s="2" t="n">
        <v>23</v>
      </c>
      <c r="B24" s="2" t="inlineStr">
        <is>
          <t>GN 1/9 container, PP, 100 mm</t>
        </is>
      </c>
      <c r="C24" s="2">
        <f>COUNTIFS(Prices!$A$2:$A$600,A24,Prices!$R$2:$R$600,"yes")</f>
        <v/>
      </c>
      <c r="D24" s="4">
        <f t="array" ref="D24">IF(C24=0,"",MIN(IF((Prices!$A$2:$A$600=A24)*(Prices!$R$2:$R$600="yes"),Prices!$M$2:$M$600)))</f>
        <v/>
      </c>
      <c r="E24" s="4">
        <f t="array" ref="E24">IF(C24=0,"",MEDIAN(IF((Prices!$A$2:$A$600=A24)*(Prices!$R$2:$R$600="yes"),Prices!$M$2:$M$600)))</f>
        <v/>
      </c>
      <c r="F24" s="4">
        <f t="array" ref="F24">IF(C24=0,"",MAX(IF((Prices!$A$2:$A$600=A24)*(Prices!$R$2:$R$600="yes"),Prices!$M$2:$M$600)))</f>
        <v/>
      </c>
      <c r="G24" s="2">
        <f t="array" ref="G24">IF(C24=0,"",_xlfn.TEXTJOIN(", ",TRUE,IF((Prices!$A$2:$A$600=A24)*(Prices!$R$2:$R$600="yes"),Prices!$C$2:$C$600,"")))</f>
        <v/>
      </c>
      <c r="H24" s="2">
        <f>COUNTIFS(Prices!$A$2:$A$600,A24,Prices!$N$2:$N$600,"APPROX")</f>
        <v/>
      </c>
      <c r="I24" s="2">
        <f>COUNTIFS(Prices!$A$2:$A$600,A24)</f>
        <v/>
      </c>
    </row>
    <row r="25">
      <c r="A25" s="2" t="n">
        <v>24</v>
      </c>
      <c r="B25" s="2" t="inlineStr">
        <is>
          <t>Squeeze bottle 250 ml, PP, single tip</t>
        </is>
      </c>
      <c r="C25" s="2">
        <f>COUNTIFS(Prices!$A$2:$A$600,A25,Prices!$R$2:$R$600,"yes")</f>
        <v/>
      </c>
      <c r="D25" s="4">
        <f t="array" ref="D25">IF(C25=0,"",MIN(IF((Prices!$A$2:$A$600=A25)*(Prices!$R$2:$R$600="yes"),Prices!$M$2:$M$600)))</f>
        <v/>
      </c>
      <c r="E25" s="4">
        <f t="array" ref="E25">IF(C25=0,"",MEDIAN(IF((Prices!$A$2:$A$600=A25)*(Prices!$R$2:$R$600="yes"),Prices!$M$2:$M$600)))</f>
        <v/>
      </c>
      <c r="F25" s="4">
        <f t="array" ref="F25">IF(C25=0,"",MAX(IF((Prices!$A$2:$A$600=A25)*(Prices!$R$2:$R$600="yes"),Prices!$M$2:$M$600)))</f>
        <v/>
      </c>
      <c r="G25" s="2">
        <f t="array" ref="G25">IF(C25=0,"",_xlfn.TEXTJOIN(", ",TRUE,IF((Prices!$A$2:$A$600=A25)*(Prices!$R$2:$R$600="yes"),Prices!$C$2:$C$600,"")))</f>
        <v/>
      </c>
      <c r="H25" s="2">
        <f>COUNTIFS(Prices!$A$2:$A$600,A25,Prices!$N$2:$N$600,"APPROX")</f>
        <v/>
      </c>
      <c r="I25" s="2">
        <f>COUNTIFS(Prices!$A$2:$A$600,A25)</f>
        <v/>
      </c>
    </row>
    <row r="26">
      <c r="A26" s="2" t="n">
        <v>25</v>
      </c>
      <c r="B26" s="2" t="inlineStr">
        <is>
          <t>Squeeze bottle 750 ml, PP, single tip</t>
        </is>
      </c>
      <c r="C26" s="2">
        <f>COUNTIFS(Prices!$A$2:$A$600,A26,Prices!$R$2:$R$600,"yes")</f>
        <v/>
      </c>
      <c r="D26" s="4">
        <f t="array" ref="D26">IF(C26=0,"",MIN(IF((Prices!$A$2:$A$600=A26)*(Prices!$R$2:$R$600="yes"),Prices!$M$2:$M$600)))</f>
        <v/>
      </c>
      <c r="E26" s="4">
        <f t="array" ref="E26">IF(C26=0,"",MEDIAN(IF((Prices!$A$2:$A$600=A26)*(Prices!$R$2:$R$600="yes"),Prices!$M$2:$M$600)))</f>
        <v/>
      </c>
      <c r="F26" s="4">
        <f t="array" ref="F26">IF(C26=0,"",MAX(IF((Prices!$A$2:$A$600=A26)*(Prices!$R$2:$R$600="yes"),Prices!$M$2:$M$600)))</f>
        <v/>
      </c>
      <c r="G26" s="2">
        <f t="array" ref="G26">IF(C26=0,"",_xlfn.TEXTJOIN(", ",TRUE,IF((Prices!$A$2:$A$600=A26)*(Prices!$R$2:$R$600="yes"),Prices!$C$2:$C$600,"")))</f>
        <v/>
      </c>
      <c r="H26" s="2">
        <f>COUNTIFS(Prices!$A$2:$A$600,A26,Prices!$N$2:$N$600,"APPROX")</f>
        <v/>
      </c>
      <c r="I26" s="2">
        <f>COUNTIFS(Prices!$A$2:$A$600,A26)</f>
        <v/>
      </c>
    </row>
    <row r="27">
      <c r="A27" s="2" t="n">
        <v>26</v>
      </c>
      <c r="B27" s="2" t="inlineStr">
        <is>
          <t>Cutting board 400x300x20 mm, red PE</t>
        </is>
      </c>
      <c r="C27" s="2">
        <f>COUNTIFS(Prices!$A$2:$A$600,A27,Prices!$R$2:$R$600,"yes")</f>
        <v/>
      </c>
      <c r="D27" s="4">
        <f t="array" ref="D27">IF(C27=0,"",MIN(IF((Prices!$A$2:$A$600=A27)*(Prices!$R$2:$R$600="yes"),Prices!$M$2:$M$600)))</f>
        <v/>
      </c>
      <c r="E27" s="4">
        <f t="array" ref="E27">IF(C27=0,"",MEDIAN(IF((Prices!$A$2:$A$600=A27)*(Prices!$R$2:$R$600="yes"),Prices!$M$2:$M$600)))</f>
        <v/>
      </c>
      <c r="F27" s="4">
        <f t="array" ref="F27">IF(C27=0,"",MAX(IF((Prices!$A$2:$A$600=A27)*(Prices!$R$2:$R$600="yes"),Prices!$M$2:$M$600)))</f>
        <v/>
      </c>
      <c r="G27" s="2">
        <f t="array" ref="G27">IF(C27=0,"",_xlfn.TEXTJOIN(", ",TRUE,IF((Prices!$A$2:$A$600=A27)*(Prices!$R$2:$R$600="yes"),Prices!$C$2:$C$600,"")))</f>
        <v/>
      </c>
      <c r="H27" s="2">
        <f>COUNTIFS(Prices!$A$2:$A$600,A27,Prices!$N$2:$N$600,"APPROX")</f>
        <v/>
      </c>
      <c r="I27" s="2">
        <f>COUNTIFS(Prices!$A$2:$A$600,A27)</f>
        <v/>
      </c>
    </row>
    <row r="28">
      <c r="A28" s="2" t="n">
        <v>27</v>
      </c>
      <c r="B28" s="2" t="inlineStr">
        <is>
          <t>Dough box 600x400x75 mm, PP, without lid</t>
        </is>
      </c>
      <c r="C28" s="2">
        <f>COUNTIFS(Prices!$A$2:$A$600,A28,Prices!$R$2:$R$600,"yes")</f>
        <v/>
      </c>
      <c r="D28" s="4">
        <f t="array" ref="D28">IF(C28=0,"",MIN(IF((Prices!$A$2:$A$600=A28)*(Prices!$R$2:$R$600="yes"),Prices!$M$2:$M$600)))</f>
        <v/>
      </c>
      <c r="E28" s="4">
        <f t="array" ref="E28">IF(C28=0,"",MEDIAN(IF((Prices!$A$2:$A$600=A28)*(Prices!$R$2:$R$600="yes"),Prices!$M$2:$M$600)))</f>
        <v/>
      </c>
      <c r="F28" s="4">
        <f t="array" ref="F28">IF(C28=0,"",MAX(IF((Prices!$A$2:$A$600=A28)*(Prices!$R$2:$R$600="yes"),Prices!$M$2:$M$600)))</f>
        <v/>
      </c>
      <c r="G28" s="2">
        <f t="array" ref="G28">IF(C28=0,"",_xlfn.TEXTJOIN(", ",TRUE,IF((Prices!$A$2:$A$600=A28)*(Prices!$R$2:$R$600="yes"),Prices!$C$2:$C$600,"")))</f>
        <v/>
      </c>
      <c r="H28" s="2">
        <f>COUNTIFS(Prices!$A$2:$A$600,A28,Prices!$N$2:$N$600,"APPROX")</f>
        <v/>
      </c>
      <c r="I28" s="2">
        <f>COUNTIFS(Prices!$A$2:$A$600,A28)</f>
        <v/>
      </c>
    </row>
    <row r="29">
      <c r="A29" s="2" t="n">
        <v>28</v>
      </c>
      <c r="B29" s="2" t="inlineStr">
        <is>
          <t>GN 1/1 container, PC, 100 mm</t>
        </is>
      </c>
      <c r="C29" s="2">
        <f>COUNTIFS(Prices!$A$2:$A$600,A29,Prices!$R$2:$R$600,"yes")</f>
        <v/>
      </c>
      <c r="D29" s="4">
        <f t="array" ref="D29">IF(C29=0,"",MIN(IF((Prices!$A$2:$A$600=A29)*(Prices!$R$2:$R$600="yes"),Prices!$M$2:$M$600)))</f>
        <v/>
      </c>
      <c r="E29" s="4">
        <f t="array" ref="E29">IF(C29=0,"",MEDIAN(IF((Prices!$A$2:$A$600=A29)*(Prices!$R$2:$R$600="yes"),Prices!$M$2:$M$600)))</f>
        <v/>
      </c>
      <c r="F29" s="4">
        <f t="array" ref="F29">IF(C29=0,"",MAX(IF((Prices!$A$2:$A$600=A29)*(Prices!$R$2:$R$600="yes"),Prices!$M$2:$M$600)))</f>
        <v/>
      </c>
      <c r="G29" s="2">
        <f t="array" ref="G29">IF(C29=0,"",_xlfn.TEXTJOIN(", ",TRUE,IF((Prices!$A$2:$A$600=A29)*(Prices!$R$2:$R$600="yes"),Prices!$C$2:$C$600,"")))</f>
        <v/>
      </c>
      <c r="H29" s="2">
        <f>COUNTIFS(Prices!$A$2:$A$600,A29,Prices!$N$2:$N$600,"APPROX")</f>
        <v/>
      </c>
      <c r="I29" s="2">
        <f>COUNTIFS(Prices!$A$2:$A$600,A29)</f>
        <v/>
      </c>
    </row>
    <row r="30">
      <c r="A30" s="2" t="n">
        <v>29</v>
      </c>
      <c r="B30" s="2" t="inlineStr">
        <is>
          <t>GN 1/6 container, PC, 100 mm</t>
        </is>
      </c>
      <c r="C30" s="2">
        <f>COUNTIFS(Prices!$A$2:$A$600,A30,Prices!$R$2:$R$600,"yes")</f>
        <v/>
      </c>
      <c r="D30" s="4">
        <f t="array" ref="D30">IF(C30=0,"",MIN(IF((Prices!$A$2:$A$600=A30)*(Prices!$R$2:$R$600="yes"),Prices!$M$2:$M$600)))</f>
        <v/>
      </c>
      <c r="E30" s="4">
        <f t="array" ref="E30">IF(C30=0,"",MEDIAN(IF((Prices!$A$2:$A$600=A30)*(Prices!$R$2:$R$600="yes"),Prices!$M$2:$M$600)))</f>
        <v/>
      </c>
      <c r="F30" s="4">
        <f t="array" ref="F30">IF(C30=0,"",MAX(IF((Prices!$A$2:$A$600=A30)*(Prices!$R$2:$R$600="yes"),Prices!$M$2:$M$600)))</f>
        <v/>
      </c>
      <c r="G30" s="2">
        <f t="array" ref="G30">IF(C30=0,"",_xlfn.TEXTJOIN(", ",TRUE,IF((Prices!$A$2:$A$600=A30)*(Prices!$R$2:$R$600="yes"),Prices!$C$2:$C$600,"")))</f>
        <v/>
      </c>
      <c r="H30" s="2">
        <f>COUNTIFS(Prices!$A$2:$A$600,A30,Prices!$N$2:$N$600,"APPROX")</f>
        <v/>
      </c>
      <c r="I30" s="2">
        <f>COUNTIFS(Prices!$A$2:$A$600,A30)</f>
        <v/>
      </c>
    </row>
    <row r="31">
      <c r="A31" s="2" t="n">
        <v>30</v>
      </c>
      <c r="B31" s="2" t="inlineStr">
        <is>
          <t>Cutting board 530x325x15 mm, red PE</t>
        </is>
      </c>
      <c r="C31" s="2">
        <f>COUNTIFS(Prices!$A$2:$A$600,A31,Prices!$R$2:$R$600,"yes")</f>
        <v/>
      </c>
      <c r="D31" s="4">
        <f t="array" ref="D31">IF(C31=0,"",MIN(IF((Prices!$A$2:$A$600=A31)*(Prices!$R$2:$R$600="yes"),Prices!$M$2:$M$600)))</f>
        <v/>
      </c>
      <c r="E31" s="4">
        <f t="array" ref="E31">IF(C31=0,"",MEDIAN(IF((Prices!$A$2:$A$600=A31)*(Prices!$R$2:$R$600="yes"),Prices!$M$2:$M$600)))</f>
        <v/>
      </c>
      <c r="F31" s="4">
        <f t="array" ref="F31">IF(C31=0,"",MAX(IF((Prices!$A$2:$A$600=A31)*(Prices!$R$2:$R$600="yes"),Prices!$M$2:$M$600)))</f>
        <v/>
      </c>
      <c r="G31" s="2">
        <f t="array" ref="G31">IF(C31=0,"",_xlfn.TEXTJOIN(", ",TRUE,IF((Prices!$A$2:$A$600=A31)*(Prices!$R$2:$R$600="yes"),Prices!$C$2:$C$600,"")))</f>
        <v/>
      </c>
      <c r="H31" s="2">
        <f>COUNTIFS(Prices!$A$2:$A$600,A31,Prices!$N$2:$N$600,"APPROX")</f>
        <v/>
      </c>
      <c r="I31" s="2">
        <f>COUNTIFS(Prices!$A$2:$A$600,A31)</f>
        <v/>
      </c>
    </row>
    <row r="32">
      <c r="A32" s="2" t="n">
        <v>31</v>
      </c>
      <c r="B32" s="2" t="inlineStr">
        <is>
          <t>GN 1/3 PP lid, standard</t>
        </is>
      </c>
      <c r="C32" s="2">
        <f>COUNTIFS(Prices!$A$2:$A$600,A32,Prices!$R$2:$R$600,"yes")</f>
        <v/>
      </c>
      <c r="D32" s="4">
        <f t="array" ref="D32">IF(C32=0,"",MIN(IF((Prices!$A$2:$A$600=A32)*(Prices!$R$2:$R$600="yes"),Prices!$M$2:$M$600)))</f>
        <v/>
      </c>
      <c r="E32" s="4">
        <f t="array" ref="E32">IF(C32=0,"",MEDIAN(IF((Prices!$A$2:$A$600=A32)*(Prices!$R$2:$R$600="yes"),Prices!$M$2:$M$600)))</f>
        <v/>
      </c>
      <c r="F32" s="4">
        <f t="array" ref="F32">IF(C32=0,"",MAX(IF((Prices!$A$2:$A$600=A32)*(Prices!$R$2:$R$600="yes"),Prices!$M$2:$M$600)))</f>
        <v/>
      </c>
      <c r="G32" s="2">
        <f t="array" ref="G32">IF(C32=0,"",_xlfn.TEXTJOIN(", ",TRUE,IF((Prices!$A$2:$A$600=A32)*(Prices!$R$2:$R$600="yes"),Prices!$C$2:$C$600,"")))</f>
        <v/>
      </c>
      <c r="H32" s="2">
        <f>COUNTIFS(Prices!$A$2:$A$600,A32,Prices!$N$2:$N$600,"APPROX")</f>
        <v/>
      </c>
      <c r="I32" s="2">
        <f>COUNTIFS(Prices!$A$2:$A$600,A32)</f>
        <v/>
      </c>
    </row>
    <row r="33">
      <c r="A33" s="2" t="n">
        <v>32</v>
      </c>
      <c r="B33" s="2" t="inlineStr">
        <is>
          <t>Squeeze bottle 750 ml, PP/PE, wide covered tip</t>
        </is>
      </c>
      <c r="C33" s="2">
        <f>COUNTIFS(Prices!$A$2:$A$600,A33,Prices!$R$2:$R$600,"yes")</f>
        <v/>
      </c>
      <c r="D33" s="4">
        <f t="array" ref="D33">IF(C33=0,"",MIN(IF((Prices!$A$2:$A$600=A33)*(Prices!$R$2:$R$600="yes"),Prices!$M$2:$M$600)))</f>
        <v/>
      </c>
      <c r="E33" s="4">
        <f t="array" ref="E33">IF(C33=0,"",MEDIAN(IF((Prices!$A$2:$A$600=A33)*(Prices!$R$2:$R$600="yes"),Prices!$M$2:$M$600)))</f>
        <v/>
      </c>
      <c r="F33" s="4">
        <f t="array" ref="F33">IF(C33=0,"",MAX(IF((Prices!$A$2:$A$600=A33)*(Prices!$R$2:$R$600="yes"),Prices!$M$2:$M$600)))</f>
        <v/>
      </c>
      <c r="G33" s="2">
        <f t="array" ref="G33">IF(C33=0,"",_xlfn.TEXTJOIN(", ",TRUE,IF((Prices!$A$2:$A$600=A33)*(Prices!$R$2:$R$600="yes"),Prices!$C$2:$C$600,"")))</f>
        <v/>
      </c>
      <c r="H33" s="2">
        <f>COUNTIFS(Prices!$A$2:$A$600,A33,Prices!$N$2:$N$600,"APPROX")</f>
        <v/>
      </c>
      <c r="I33" s="2">
        <f>COUNTIFS(Prices!$A$2:$A$600,A33)</f>
        <v/>
      </c>
    </row>
    <row r="34">
      <c r="A34" s="2" t="n">
        <v>33</v>
      </c>
      <c r="B34" s="2" t="inlineStr">
        <is>
          <t>Cutting board 300x200x20 mm, red PE</t>
        </is>
      </c>
      <c r="C34" s="2">
        <f>COUNTIFS(Prices!$A$2:$A$600,A34,Prices!$R$2:$R$600,"yes")</f>
        <v/>
      </c>
      <c r="D34" s="4">
        <f t="array" ref="D34">IF(C34=0,"",MIN(IF((Prices!$A$2:$A$600=A34)*(Prices!$R$2:$R$600="yes"),Prices!$M$2:$M$600)))</f>
        <v/>
      </c>
      <c r="E34" s="4">
        <f t="array" ref="E34">IF(C34=0,"",MEDIAN(IF((Prices!$A$2:$A$600=A34)*(Prices!$R$2:$R$600="yes"),Prices!$M$2:$M$600)))</f>
        <v/>
      </c>
      <c r="F34" s="4">
        <f t="array" ref="F34">IF(C34=0,"",MAX(IF((Prices!$A$2:$A$600=A34)*(Prices!$R$2:$R$600="yes"),Prices!$M$2:$M$600)))</f>
        <v/>
      </c>
      <c r="G34" s="2">
        <f t="array" ref="G34">IF(C34=0,"",_xlfn.TEXTJOIN(", ",TRUE,IF((Prices!$A$2:$A$600=A34)*(Prices!$R$2:$R$600="yes"),Prices!$C$2:$C$600,"")))</f>
        <v/>
      </c>
      <c r="H34" s="2">
        <f>COUNTIFS(Prices!$A$2:$A$600,A34,Prices!$N$2:$N$600,"APPROX")</f>
        <v/>
      </c>
      <c r="I34" s="2">
        <f>COUNTIFS(Prices!$A$2:$A$600,A34)</f>
        <v/>
      </c>
    </row>
    <row r="35">
      <c r="A35" s="2" t="n">
        <v>34</v>
      </c>
      <c r="B35" s="2" t="inlineStr">
        <is>
          <t>Dough box 400x300x100 mm, PP, without lid</t>
        </is>
      </c>
      <c r="C35" s="2">
        <f>COUNTIFS(Prices!$A$2:$A$600,A35,Prices!$R$2:$R$600,"yes")</f>
        <v/>
      </c>
      <c r="D35" s="4">
        <f t="array" ref="D35">IF(C35=0,"",MIN(IF((Prices!$A$2:$A$600=A35)*(Prices!$R$2:$R$600="yes"),Prices!$M$2:$M$600)))</f>
        <v/>
      </c>
      <c r="E35" s="4">
        <f t="array" ref="E35">IF(C35=0,"",MEDIAN(IF((Prices!$A$2:$A$600=A35)*(Prices!$R$2:$R$600="yes"),Prices!$M$2:$M$600)))</f>
        <v/>
      </c>
      <c r="F35" s="4">
        <f t="array" ref="F35">IF(C35=0,"",MAX(IF((Prices!$A$2:$A$600=A35)*(Prices!$R$2:$R$600="yes"),Prices!$M$2:$M$600)))</f>
        <v/>
      </c>
      <c r="G35" s="2">
        <f t="array" ref="G35">IF(C35=0,"",_xlfn.TEXTJOIN(", ",TRUE,IF((Prices!$A$2:$A$600=A35)*(Prices!$R$2:$R$600="yes"),Prices!$C$2:$C$600,"")))</f>
        <v/>
      </c>
      <c r="H35" s="2">
        <f>COUNTIFS(Prices!$A$2:$A$600,A35,Prices!$N$2:$N$600,"APPROX")</f>
        <v/>
      </c>
      <c r="I35" s="2">
        <f>COUNTIFS(Prices!$A$2:$A$600,A35)</f>
        <v/>
      </c>
    </row>
    <row r="36"/>
    <row r="37">
      <c r="A37" s="6" t="inlineStr">
        <is>
          <t>Notes:</t>
        </is>
      </c>
    </row>
    <row r="38">
      <c r="A38" t="inlineStr">
        <is>
          <t>Statistics use only primary observations with match quality EXACT or CLOSE from competitors marked Counted = yes on the Competitors sheet (max one observation per competitor per item).</t>
        </is>
      </c>
    </row>
    <row r="39">
      <c r="A39" t="inlineStr">
        <is>
          <t>Net price per piece = listed price / (1 + VAT rate) when the listed price includes VAT, divided by pack size when the price is per pack. Czech VAT 21%.</t>
        </is>
      </c>
    </row>
    <row r="40">
      <c r="A40" t="inlineStr">
        <is>
          <t>Blank statistics = no qualifying observation. APPROX matches are listed on the Prices sheet but excluded from statistics.</t>
        </is>
      </c>
    </row>
    <row r="41">
      <c r="A41" t="inlineStr">
        <is>
          <t>Where several products matched equally well, the lowest current 1-unit price was taken as primary; alternatives, promotions and pack sizes are in the Prices notes.</t>
        </is>
      </c>
    </row>
    <row r="42">
      <c r="A42" t="inlineStr">
        <is>
          <t>GGM Gastro prices are shown net on its CZ storefront (gross uses German 19% VAT, recorded in the VAT-rate column); net per piece is taken directly from the displayed net price. All other shops use Czech 21% VAT.</t>
        </is>
      </c>
    </row>
    <row r="43">
      <c r="A43" t="inlineStr">
        <is>
          <t>Prices checked 2026-09-30. All prices in CZK from Czech storefronts. MAKRO (login-only prices) and A GASTRO (site blocked) are not counted - see Not accessible.</t>
        </is>
      </c>
    </row>
    <row r="44">
      <c r="A44" t="inlineStr">
        <is>
          <t>Items 18-34 (additional variants) added 2026-09-30 for the same competitors; same rules (EXACT/CLOSE only in statistics, net = gross/1.21 for Czech VAT, GGM uses its own net CZK).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60" customWidth="1" min="3" max="3"/>
    <col width="12" customWidth="1" min="4" max="4"/>
    <col width="70" customWidth="1" min="5" max="5"/>
  </cols>
  <sheetData>
    <row r="1" ht="45" customHeight="1">
      <c r="A1" s="1" t="inlineStr">
        <is>
          <t>Competitor</t>
        </is>
      </c>
      <c r="B1" s="1" t="inlineStr">
        <is>
          <t>URL</t>
        </is>
      </c>
      <c r="C1" s="1" t="inlineStr">
        <is>
          <t>Reason</t>
        </is>
      </c>
      <c r="D1" s="1" t="inlineStr">
        <is>
          <t>Date checked</t>
        </is>
      </c>
      <c r="E1" s="1" t="inlineStr">
        <is>
          <t>Notes</t>
        </is>
      </c>
    </row>
    <row r="2">
      <c r="A2" s="2" t="inlineStr">
        <is>
          <t>MAKRO Czechia</t>
        </is>
      </c>
      <c r="B2" s="3" t="inlineStr">
        <is>
          <t>https://sortiment.makro.cz/shop/search?q=gastron%C3%A1doba%20polykarbon%C3%A1t</t>
        </is>
      </c>
      <c r="C2" s="2" t="inlineStr">
        <is>
          <t>Login required: every product tile shows "Pro zobrazení cen se prosím přihlaste" (please log in to view prices). Checked GN containers (METRO PROFESSIONAL, APS, Hendi).</t>
        </is>
      </c>
      <c r="D2" s="2" t="inlineStr">
        <is>
          <t>2026-09-30</t>
        </is>
      </c>
      <c r="E2" s="2" t="inlineStr">
        <is>
          <t>Competitor not counted. Homepage www.makro.cz returns HTTP 403 to non-browser clients.</t>
        </is>
      </c>
    </row>
    <row r="3">
      <c r="A3" s="2" t="inlineStr">
        <is>
          <t>MAKRO Czechia</t>
        </is>
      </c>
      <c r="B3" s="3" t="inlineStr">
        <is>
          <t>https://www.makro.cz/metro/services/idamstream/login?returnUrl=/</t>
        </is>
      </c>
      <c r="C3" s="2" t="inlineStr">
        <is>
          <t>Price display link on homepage product teasers ("Přihlaste se pro zobrazení ceny") leads to login.</t>
        </is>
      </c>
      <c r="D3" s="2" t="inlineStr">
        <is>
          <t>2026-09-30</t>
        </is>
      </c>
      <c r="E3" s="2" t="inlineStr"/>
    </row>
    <row r="4">
      <c r="A4" s="2" t="inlineStr">
        <is>
          <t>A GASTRO</t>
        </is>
      </c>
      <c r="B4" s="3" t="inlineStr">
        <is>
          <t>https://agastro.cz/</t>
        </is>
      </c>
      <c r="C4" s="2" t="inlineStr">
        <is>
          <t>Access error: Cloudflare bot challenge / HTTP 403 on all pages (home, robots.txt, sitemap.xml, category pages), in scripts, a full browser and the web-fetch tool.</t>
        </is>
      </c>
      <c r="D4" s="2" t="inlineStr">
        <is>
          <t>2026-09-30</t>
        </is>
      </c>
      <c r="E4" s="2" t="inlineStr">
        <is>
          <t>Competitor not counted. Search snippets only (e.g. https://agastro.cz/gastronadoby-vacbox/, https://agastro.cz/detail/21689/) - not used as price evidence.</t>
        </is>
      </c>
    </row>
    <row r="5">
      <c r="A5" s="2" t="inlineStr">
        <is>
          <t>A GASTRO</t>
        </is>
      </c>
      <c r="B5" s="3" t="inlineStr">
        <is>
          <t>https://agastro.cz/gastronadoby-vacbox/</t>
        </is>
      </c>
      <c r="C5" s="2" t="inlineStr">
        <is>
          <t>HTTP 403 (Cloudflare) - category page found via search engine could not be opened.</t>
        </is>
      </c>
      <c r="D5" s="2" t="inlineStr">
        <is>
          <t>2026-09-30</t>
        </is>
      </c>
      <c r="E5" s="2" t="inlineStr"/>
    </row>
    <row r="6">
      <c r="A6" s="2" t="inlineStr">
        <is>
          <t>GGM Gastro (CZ storefront)</t>
        </is>
      </c>
      <c r="B6" s="3" t="inlineStr">
        <is>
          <t>https://www.ggmgastro.com/cs-cz-czk/search?q=polykarbon%C3%A1t</t>
        </is>
      </c>
      <c r="C6" s="2" t="inlineStr">
        <is>
          <t>Search results are JavaScript-loaded and the site returns "403 FORBIDDEN - This request was blocked" to headless browsers.</t>
        </is>
      </c>
      <c r="D6" s="2" t="inlineStr">
        <is>
          <t>2026-09-30</t>
        </is>
      </c>
      <c r="E6" s="2" t="inlineStr">
        <is>
          <t>Worked around: products located via the public product sitemap and read in a full (non-headless) browser; prices recorded from product pages.</t>
        </is>
      </c>
    </row>
    <row r="7">
      <c r="A7" s="2" t="inlineStr">
        <is>
          <t>GGM Gastro (CZ storefront)</t>
        </is>
      </c>
      <c r="B7" s="3" t="inlineStr">
        <is>
          <t>https://www.ggmgastro.com/cs-cz-czk/6-ks-stlacovaci-lahev-na-omacky-1-020-ml-o-80-mm-se-sroubovacim-uzaverem-a-uzaviraci-cepickou-transparentni-93259-6</t>
        </is>
      </c>
      <c r="C7" s="2" t="inlineStr">
        <is>
          <t>Product shows "Není k dispozici pro vybranou zemi dodání" (not available for the selected delivery country).</t>
        </is>
      </c>
      <c r="D7" s="2" t="inlineStr">
        <is>
          <t>2026-09-30</t>
        </is>
      </c>
      <c r="E7" s="2" t="inlineStr">
        <is>
          <t>Not used as primary observation for item 6.</t>
        </is>
      </c>
    </row>
    <row r="8">
      <c r="A8" s="2" t="inlineStr">
        <is>
          <t>Gastromania</t>
        </is>
      </c>
      <c r="B8" s="3" t="inlineStr">
        <is>
          <t>https://www.gastromania.cz/products/search/language:cze?q=polykarbon%C3%A1t+GN+1%2F1</t>
        </is>
      </c>
      <c r="C8" s="2" t="inlineStr">
        <is>
          <t>Prices are injected by JavaScript (empty in raw HTML).</t>
        </is>
      </c>
      <c r="D8" s="2" t="inlineStr">
        <is>
          <t>2026-09-30</t>
        </is>
      </c>
      <c r="E8" s="2" t="inlineStr">
        <is>
          <t>Worked around: read with a rendering browser; all recorded prices verified on rendered product pages/listings.</t>
        </is>
      </c>
    </row>
  </sheetData>
  <autoFilter ref="A1:E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2026-09-30T18:44:07Z</dcterms:created>
  <dcterms:modified xsi:type="dcterms:W3CDTF">2026-09-30T19:59:08Z</dcterms:modified>
</cp:coreProperties>
</file>