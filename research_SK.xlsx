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s" sheetId="1" state="visible" r:id="rId3"/>
    <sheet name="Prices" sheetId="2" state="visible" r:id="rId4"/>
    <sheet name="Summary" sheetId="3" state="visible" r:id="rId5"/>
    <sheet name="Not accessible" sheetId="4" state="visible" r:id="rId6"/>
  </sheets>
  <definedNames>
    <definedName function="false" hidden="true" localSheetId="0" name="_xlnm._FilterDatabase" vbProcedure="false">Competitors!$A$1:$O$5</definedName>
    <definedName function="false" hidden="true" localSheetId="3" name="_xlnm._FilterDatabase" vbProcedure="false">'Not accessible'!$A$1:$E$4</definedName>
    <definedName function="false" hidden="true" localSheetId="1" name="_xlnm._FilterDatabase" vbProcedure="false">Prices!$A$1:$P$35</definedName>
    <definedName function="false" hidden="true" localSheetId="2" name="_xlnm._FilterDatabase" vbProcedure="false">Summary!$A$1:$F$18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Counted when prices were publicly readable for at least 6 distinct basket items (any match quality).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Formula: listed price, divided by (1 + VAT rate) when the listed price includes VAT, then divided by pack size when the price basis is per pack.</t>
        </r>
      </text>
    </comment>
    <comment ref="P1" authorId="0">
      <text>
        <r>
          <rPr>
            <sz val="10"/>
            <rFont val="Arial"/>
            <family val="2"/>
          </rPr>
          <t xml:space="preserve">Helper for the Summary sheet: net price per piece only when match is EXACT/CLOSE and the competitor is counted (Competitors!M = yes).</t>
        </r>
      </text>
    </comment>
  </commentList>
</comments>
</file>

<file path=xl/sharedStrings.xml><?xml version="1.0" encoding="utf-8"?>
<sst xmlns="http://schemas.openxmlformats.org/spreadsheetml/2006/main" count="465" uniqueCount="219">
  <si>
    <t xml:space="preserve">Name</t>
  </si>
  <si>
    <t xml:space="preserve">URL</t>
  </si>
  <si>
    <t xml:space="preserve">Type (local / pan-EU / marketplace)</t>
  </si>
  <si>
    <t xml:space="preserve">B2B or B2C focus</t>
  </si>
  <si>
    <t xml:space="preserve">Prices shown incl./excl. VAT</t>
  </si>
  <si>
    <t xml:space="preserve">Shipping to Slovakia</t>
  </si>
  <si>
    <t xml:space="preserve">Shipping to Austria</t>
  </si>
  <si>
    <t xml:space="preserve">Shipping VAT treatment</t>
  </si>
  <si>
    <t xml:space="preserve">Free-shipping threshold</t>
  </si>
  <si>
    <t xml:space="preserve">Minimum order value</t>
  </si>
  <si>
    <t xml:space="preserve">Shipping/terms source URL</t>
  </si>
  <si>
    <t xml:space="preserve">Distinct basket items found (with price)</t>
  </si>
  <si>
    <t xml:space="preserve">Counted (yes/no)</t>
  </si>
  <si>
    <t xml:space="preserve">Notes</t>
  </si>
  <si>
    <t xml:space="preserve">of which EXACT/CLOSE</t>
  </si>
  <si>
    <t xml:space="preserve">METRO Slovakia</t>
  </si>
  <si>
    <t xml:space="preserve">https://www.metro.sk/</t>
  </si>
  <si>
    <t xml:space="preserve">local</t>
  </si>
  <si>
    <t xml:space="preserve">B2B (cash &amp; carry, registered business customers)</t>
  </si>
  <si>
    <t xml:space="preserve">Not readable (site blocked)</t>
  </si>
  <si>
    <t xml:space="preserve">Not readable</t>
  </si>
  <si>
    <t xml:space="preserve">Every www.metro.sk URL (home page, robots.txt) returned HTTP 403 from a METRO-branded block page to scripts and to the web-fetch tool; shop.metro.sk / produkty.metro.sk did not resolve through the proxy. No prices recorded. Needs a manual check in a normal browser (METRO online shop typically needs a customer card login).</t>
  </si>
  <si>
    <t xml:space="preserve">Gastromania.sk (GASTROMANIA CZ s.r.o., CZ)</t>
  </si>
  <si>
    <t xml:space="preserve">https://gastromania.sk/</t>
  </si>
  <si>
    <t xml:space="preserve">pan-EU</t>
  </si>
  <si>
    <t xml:space="preserve">B2B + B2C (HORECA specialist; B2B contract customers)</t>
  </si>
  <si>
    <t xml:space="preserve">Both shown on product pages: 'Cena bez DPH' (shown first) and 'Cena s DPH' (23%). T&amp;Cs state prices include VAT.</t>
  </si>
  <si>
    <t xml:space="preserve">SPS courier 8 EUR (bank transfer / online payment) or 9 EUR (cash on delivery), parcels max 31.5 kg and 60x60x120 cm; oversized parcels and pallet freight priced individually at order confirmation.</t>
  </si>
  <si>
    <t xml:space="preserve">Not offered publicly: T&amp;Cs state published delivery costs apply only within the Slovak Republic; no Austria option or price shown.</t>
  </si>
  <si>
    <t xml:space="preserve">Not explicitly stated for shipping; T&amp;Cs say listed prices include VAT</t>
  </si>
  <si>
    <t xml:space="preserve">Free delivery from 300 EUR (incl./excl. VAT not stated)</t>
  </si>
  <si>
    <t xml:space="preserve">None stated</t>
  </si>
  <si>
    <t xml:space="preserve">https://gastromania.sk/sposoby-dorucenia.html ; https://gastromania.sk/obchodne-podmienky.html ; https://gastromania.sk/b2b.html</t>
  </si>
  <si>
    <t xml:space="preserve">Czech company (Český Těšín, IČ 28654684) with a Slovak storefront; large HORECA range (Contacto, HENDI, Stalgast, Bartscher, Cambro, APS). B2B customers sign a contract and get individual offers after login (not recorded). Many items show promotional prices with a crossed-out base price and 'lowest price in last 30 days'; the current (first-shown) price is recorded. Scripted access was repeatedly rate-limited (CAPTCHA), so product pages were read through the web-fetch tool on the same date.</t>
  </si>
  <si>
    <t xml:space="preserve">GastroMarket.sk</t>
  </si>
  <si>
    <t xml:space="preserve">https://www.gastromarket.sk/</t>
  </si>
  <si>
    <t xml:space="preserve">Not determined (site not readable)</t>
  </si>
  <si>
    <t xml:space="preserve">Not readable (Cloudflare challenge)</t>
  </si>
  <si>
    <t xml:space="preserve">All URLs (home, robots.txt, sitemap.xml, search) return HTTP 403 with a Cloudflare 'Len chvíľu...' JavaScript challenge, both to scripts and to the web-fetch tool. No prices recorded. Web-search results associate GastroMarket with Linorex s.r.o. (Bratislava) through public-procurement contract PDFs on crz.gov.sk; those tender prices were NOT used (not current webshop prices). Needs a manual check in a normal browser.</t>
  </si>
  <si>
    <t xml:space="preserve">Gastrozone.sk (GASTROZONE, spol. s r.o., CZ)</t>
  </si>
  <si>
    <t xml:space="preserve">https://www.gastrozone.sk/</t>
  </si>
  <si>
    <t xml:space="preserve">B2C (B2B account available)</t>
  </si>
  <si>
    <t xml:space="preserve">incl. VAT (23% SK DPH) shown first; net 'bez DPH' also shown on product pages</t>
  </si>
  <si>
    <t xml:space="preserve">Home delivery (courier) 4.90 EUR; pick-up points (Packeta, GLS ParcelShop) 3.90 EUR; DPD Pickup / Express One 4.20 EUR. Cash on delivery +1.80 EUR.</t>
  </si>
  <si>
    <t xml:space="preserve">Not offered publicly: the shop's T&amp;Cs state published delivery costs apply only to delivery within the Slovak Republic; no Austria option shown (storefronts only SK/CZ/HU).</t>
  </si>
  <si>
    <t xml:space="preserve">Shipping prices shown incl. VAT with net in brackets (e.g. 4.90 EUR = 3.98 EUR bez DPH)</t>
  </si>
  <si>
    <t xml:space="preserve">Free delivery and pick-up for orders over 120 EUR incl. VAT (SK)</t>
  </si>
  <si>
    <t xml:space="preserve">https://www.gastrozone.sk/informacie/doprava-a-platba/ ; https://www.gastrozone.sk/informacie/obchodne-podmienky/</t>
  </si>
  <si>
    <t xml:space="preserve">Czech company (Tábor/Hajany, VAT ID CZ29181747) running a Slovak-language storefront; general gastro + household range (Araven, Pujadas, HENDI, APS, Cambro, Schneider). Public prices are retail; registered B2B customers see wholesale prices after login (not recorded). Slovak T&amp;Cs apply to consumers only. Several items shown 'Na objednávku (3-5 týždňov)' (to order, 3-5 weeks).</t>
  </si>
  <si>
    <t xml:space="preserve">Basket item no.</t>
  </si>
  <si>
    <t xml:space="preserve">Competitor</t>
  </si>
  <si>
    <t xml:space="preserve">Product name</t>
  </si>
  <si>
    <t xml:space="preserve">Brand</t>
  </si>
  <si>
    <t xml:space="preserve">Product URL</t>
  </si>
  <si>
    <t xml:space="preserve">Listed price</t>
  </si>
  <si>
    <t xml:space="preserve">Currency</t>
  </si>
  <si>
    <t xml:space="preserve">Incl./excl. VAT</t>
  </si>
  <si>
    <t xml:space="preserve">VAT rate used</t>
  </si>
  <si>
    <t xml:space="preserve">Pack size</t>
  </si>
  <si>
    <t xml:space="preserve">Price basis (per pack / per piece)</t>
  </si>
  <si>
    <t xml:space="preserve">Net price per piece EUR</t>
  </si>
  <si>
    <t xml:space="preserve">Match quality</t>
  </si>
  <si>
    <t xml:space="preserve">Date checked</t>
  </si>
  <si>
    <t xml:space="preserve">Summary value (EXACT/CLOSE from counted competitor)</t>
  </si>
  <si>
    <t xml:space="preserve">Polykarbonátová gastronádoba GN1/1 65 mm | CONTACTO, 8211/065</t>
  </si>
  <si>
    <t xml:space="preserve">Contacto</t>
  </si>
  <si>
    <t xml:space="preserve">https://gastromania.sk/gastronadoby-polykarbonatove/polykarbonatova-gastronadoba-gn1-1-65-mm-contacto-8211-065</t>
  </si>
  <si>
    <t xml:space="preserve">EUR</t>
  </si>
  <si>
    <t xml:space="preserve">excl.</t>
  </si>
  <si>
    <t xml:space="preserve">n/a</t>
  </si>
  <si>
    <t xml:space="preserve">per piece</t>
  </si>
  <si>
    <t xml:space="preserve">EXACT</t>
  </si>
  <si>
    <t xml:space="preserve">Listed 'Cena bez DPH' 20.48 EUR / 'Cena s DPH' 25.19 EUR. PC, GN 1/1, 65 mm, 8,5 l. Promo price; base 22,75 bez DPH / 27,98 s DPH. Availability 30 days.</t>
  </si>
  <si>
    <t xml:space="preserve">2026-09-30</t>
  </si>
  <si>
    <t xml:space="preserve">ARAVEN Gastronádoba GN 1/1, polykarbonát, Hĺbka: 65 mm, Objem: 8,6 L</t>
  </si>
  <si>
    <t xml:space="preserve">Araven</t>
  </si>
  <si>
    <t xml:space="preserve">https://www.gastrozone.sk/araven-gn-box-1-1-polykarbonat-hloubka-65-mm-objem-8-6-l.html</t>
  </si>
  <si>
    <t xml:space="preserve">incl.</t>
  </si>
  <si>
    <t xml:space="preserve">Page shows 20,24 EUR / 16,46 EUR bez DPH. Availability: to order (3-5 weeks).</t>
  </si>
  <si>
    <t xml:space="preserve">Polykarbonátová gastronádoba GN1/2 150 mm | CONTACTO, 8212/150</t>
  </si>
  <si>
    <t xml:space="preserve">https://gastromania.sk/gastronadoby-polykarbonatove/polykarbonatova-gastronadoba-gn1-2-150-mm-contacto-8212-150</t>
  </si>
  <si>
    <t xml:space="preserve">Listed 'Cena bez DPH' 16.15 EUR / 'Cena s DPH' 19.86 EUR. PC, GN 1/2, 150 mm, 9 l. Promo price; base 17,94 / 22,07. Availability 30 days.</t>
  </si>
  <si>
    <t xml:space="preserve">ARAVEN Gastronádoba GN 1/2, polykarbonát, hĺbka: 150 mm, objem: 8 L</t>
  </si>
  <si>
    <t xml:space="preserve">https://www.gastrozone.sk/araven-gn-nadoba-1-2-polykarbonat-hloubka-150-mm-objem-8-l.html</t>
  </si>
  <si>
    <t xml:space="preserve">Page shows 18,73 EUR / 15,23 EUR bez DPH. Availability: to order (3-5 weeks).</t>
  </si>
  <si>
    <t xml:space="preserve">Gastronádoba z polypropylénu GN 1/3, 100 mm | CONTACTO, 5013/100</t>
  </si>
  <si>
    <t xml:space="preserve">https://gastromania.sk/gastronadoby-polypropylenove/gastronadoba-z-polypropylenu-gn-1-3-100-mm-contacto-5013-100</t>
  </si>
  <si>
    <t xml:space="preserve">CLOSE</t>
  </si>
  <si>
    <t xml:space="preserve">Listed 'Cena bez DPH' 17.61 EUR / 'Cena s DPH' 21.66 EUR. PP, GN 1/3, 100 mm, 4 l, but sold WITH lid and colour clips (container-only price not shown). Promo; base 19,57 / 24,07. Stock 1-2 pcs.</t>
  </si>
  <si>
    <t xml:space="preserve">Gastro nádoba GN 1/3 176x325 mm, polypropylén, výška 100 mm</t>
  </si>
  <si>
    <t xml:space="preserve">Vollrath Pujadas</t>
  </si>
  <si>
    <t xml:space="preserve">https://www.gastrozone.sk/pujadas-gastro-nadoba-gn-1-3-polyprepylen-v-100-mm-176x325-mm.html</t>
  </si>
  <si>
    <t xml:space="preserve">White PP, 100 mm high per description. Page shows 7,84 EUR / 6,37 EUR bez DPH. In stock.</t>
  </si>
  <si>
    <t xml:space="preserve">Veko z polypropylénu pre GN1/1 5511 | CONTACTO, 5511/532</t>
  </si>
  <si>
    <t xml:space="preserve">https://gastromania.sk/veka-gn-polypropylenove/veko-z-polypropylenu-pre-gn1-1-5511-contacto-5511-532</t>
  </si>
  <si>
    <t xml:space="preserve">Listed 'Cena bez DPH' 8.46 EUR / 'Cena s DPH' 10.41 EUR. PP lid GN 1/1, no seal/cut-outs. Promo; base 9,10 / 11,19. In stock 5-9 pcs.</t>
  </si>
  <si>
    <t xml:space="preserve">Veko ku gastronádobe 1/1 polypropylén</t>
  </si>
  <si>
    <t xml:space="preserve">https://www.gastrozone.sk/pujadas-veko-ku-gastronadobe-1-1-polyprepylen.html</t>
  </si>
  <si>
    <t xml:space="preserve">PP lid for GN 1/1. Page shows 14,06 EUR / 11,43 EUR bez DPH. In stock.</t>
  </si>
  <si>
    <t xml:space="preserve">Fľaša na omáčky, 0,475 ml | NEUMARKER, FIFO</t>
  </si>
  <si>
    <t xml:space="preserve">Neumarker</t>
  </si>
  <si>
    <t xml:space="preserve">https://gastromania.sk/davkovace-omacok/flasa-na-omacky-0-475-ml-neumarker-fifo</t>
  </si>
  <si>
    <t xml:space="preserve">APPROX</t>
  </si>
  <si>
    <t xml:space="preserve">Listed 'Cena bez DPH' 13.68 EUR / 'Cena s DPH' 16.83 EUR. 475 ml FIFO squeeze bottle (refilled from the bottom); MATERIAL AND TIP TYPE NOT STATED. No 500 ml PP single-tip bottle found (HENDI/Stalgast bottles are 0,35/0,7 l). Promo; base 14,40 / 17,71. Availability 40 days.</t>
  </si>
  <si>
    <t xml:space="preserve">Dávkovacia mačkacia fľaša Schneider 500 ml</t>
  </si>
  <si>
    <t xml:space="preserve">Schneider</t>
  </si>
  <si>
    <t xml:space="preserve">https://www.gastrozone.sk/fasa-mackacie-s-uzatvaranim-0-5-l-odolna-od-40c-do-95c-transparentne-pre-styk-s-potravinama-schneider-10313.html</t>
  </si>
  <si>
    <t xml:space="preserve">Material polyethylene (not PP); single nozzle with cap. No PP 500 ml squeeze bottle found. Page shows 13,16 / 10,70 bez DPH.</t>
  </si>
  <si>
    <t xml:space="preserve">Dávkovač omáčok 1025 ml, žltý | TOM-GAST, MA-957</t>
  </si>
  <si>
    <t xml:space="preserve">Tom-Gast</t>
  </si>
  <si>
    <t xml:space="preserve">https://gastromania.sk/davkovace-omacok/davkovac-omacok-1025-ml-zlty-tom-gast-ma-957</t>
  </si>
  <si>
    <t xml:space="preserve">Listed 'Cena bez DPH' 1.28 EUR / 'Cena s DPH' 1.57 EUR. Squeeze bottle 1025 ml, 275 x ø80 mm; MATERIAL NOT STATED (only 'plast'). Alternative: Contacto 1465/104 PE bottle 1 l (price not checked). In stock 25-99 pcs.</t>
  </si>
  <si>
    <t xml:space="preserve">Dávkovacia mačkacia fľaša Schneider 1000 ml, transparentná</t>
  </si>
  <si>
    <t xml:space="preserve">https://www.gastrozone.sk/schneider-davkovaci-mackaci-lahev-1000-ml-transparentni.html</t>
  </si>
  <si>
    <t xml:space="preserve">Material polyethylene (not PP). Cheaper alternative: APS 1,025 l squeeze bottle 4,50 EUR (material not stated, to order). Page shows 18,72 / 15,22 bez DPH.</t>
  </si>
  <si>
    <t xml:space="preserve">Not found</t>
  </si>
  <si>
    <t xml:space="preserve">https://gastromania.sk/products/search/language:slo?q=d%C3%A1vkova%C4%8D+om%C3%A1%C4%8Dok+3+otvory</t>
  </si>
  <si>
    <t xml:space="preserve">No triple-tip squeeze bottle found (searches 'dávkovač omáčok 3 trysky', '3 otvory' returned no products).</t>
  </si>
  <si>
    <t xml:space="preserve">ARAVEN Stláčacia fľaša, LDPE, ø 80 mm, výška 253 mm, objem 0,75 L, 3 trysky</t>
  </si>
  <si>
    <t xml:space="preserve">https://www.gastrozone.sk/araven-lahvicka-na-stlaceni-ldpe-o-80-mm-vyska-253-mm-objem-0-75-l-3-trysky.html</t>
  </si>
  <si>
    <t xml:space="preserve">Triple tip, but 750 ml instead of 500 ml; LDPE. No 500 ml triple-tip bottle found. Page shows 6,54 / 5,32 bez DPH.</t>
  </si>
  <si>
    <t xml:space="preserve">Polyproplylénový dávkovač omáčok, 1,5 l, 130x90x290 mm | CONTACTO, 1324/150</t>
  </si>
  <si>
    <t xml:space="preserve">https://gastromania.sk/davkovace-omacok/polyproplylenovy-davkovac-omacok-1-5-l-130x90x290-mm-contacto-1324-150</t>
  </si>
  <si>
    <t xml:space="preserve">Listed 'Cena bez DPH' 19.42 EUR / 'Cena s DPH' 23.89 EUR. PP pump sauce dispenser 1,5 l; no stand mentioned. (HENDI 557983 'Držiak na dávkovač omáčok 3x 0,7 l' is a stand for bottles, sold separately, not priced here.) Stock 1-2 pcs.</t>
  </si>
  <si>
    <t xml:space="preserve">ARAVEN Dávkovač omáčok GN 1/6, polypropylén, objem 2,6 L</t>
  </si>
  <si>
    <t xml:space="preserve">https://www.gastrozone.sk/araven-gn-davkovac-omacek-1-6-polypropylen-obsah-2-6-l.html</t>
  </si>
  <si>
    <t xml:space="preserve">PP pump dispenser in a GN 1/6 container (2,6 l); no stand. Page shows 26,69 / 21,70 bez DPH. Alternative: Contacto 3 l free-standing PE portion dispenser for ketchup/mustard, 75,35 EUR.</t>
  </si>
  <si>
    <t xml:space="preserve">Doska na krájanie HACCP GN 1/1 fialová | HENDI, 826065</t>
  </si>
  <si>
    <t xml:space="preserve">Hendi</t>
  </si>
  <si>
    <t xml:space="preserve">https://gastromania.sk/plastove-krajacie-dosky-haccp/doska-na-krajanie-haccp-gn-1-1-fialova-hendi-826065</t>
  </si>
  <si>
    <t xml:space="preserve">Listed 'Cena bez DPH' 20.35 EUR / 'Cena s DPH' 25.03 EUR. HDPE 500, 530x325 mm, HACCP (purple/allergen); thickness 15 mm per parameters (18 mm per description) instead of 20 mm; not dishwasher-safe. Alternative: Contacto 1515/530 HDPE 530x325x25 mm (price not checked).</t>
  </si>
  <si>
    <t xml:space="preserve">Doštička na krájanie plastová 53x32,5x2 cm GN 1/1, s drážkou, biela</t>
  </si>
  <si>
    <t xml:space="preserve">Gastro</t>
  </si>
  <si>
    <t xml:space="preserve">https://www.gastrozone.sk/gastro-dosticka-na-krajanie-plastova-53x32-5x2-cm-gn-1-1-s-drazkou-biela.html</t>
  </si>
  <si>
    <t xml:space="preserve">Size and thickness match; HACCP, sold in HACCP colours (white/yellow/red/blue/green/brown). MATERIAL NOT STATED (only 'plast') - PE not confirmed. Has juice groove and rubber feet. Board without groove/feet: 82,21 EUR.</t>
  </si>
  <si>
    <t xml:space="preserve">Doska na krájanie 600x400x20 mm, červená | BARTSCHER, 60x40 R</t>
  </si>
  <si>
    <t xml:space="preserve">Bartscher</t>
  </si>
  <si>
    <t xml:space="preserve">https://gastromania.sk/plastove-krajacie-dosky-haccp/doska-na-krajanie-600x400x20-mm-cervena-bartscher-60x40-r</t>
  </si>
  <si>
    <t xml:space="preserve">Listed 'Cena bez DPH' 32.85 EUR / 'Cena s DPH' 40.41 EUR. PE, 600x400x20 mm, HACCP colour range (red/yellow/green/blue/brown/purple/white). Promo; base 36,50 / 44,90; lowest price in 30 days 41,03 s DPH. Availability 14 days.</t>
  </si>
  <si>
    <t xml:space="preserve">Doštička na krájanie plastová 60x40x3 cm, s drážkou, biela</t>
  </si>
  <si>
    <t xml:space="preserve">https://www.gastrozone.sk/gastrodosticka-na-krajanie-plastova-60x40x3-cm-s-drazkou-biela.html</t>
  </si>
  <si>
    <t xml:space="preserve">30 mm thick instead of 20 mm AND material not stated (only 'plast'); HACCP colours available. No 600x400x20 board found.</t>
  </si>
  <si>
    <t xml:space="preserve">Doska na krájanie s držadlom 300x200x10 mm, biela | HENDI, 826355</t>
  </si>
  <si>
    <t xml:space="preserve">https://gastromania.sk/plastove-krajacie-dosky-biele/doska-na-krajanie-s-drzadlom-300x200x10-mm-biela-hendi-826355</t>
  </si>
  <si>
    <t xml:space="preserve">Listed 'Cena bez DPH' 6.18 EUR / 'Cena s DPH' 7.60 EUR. HDPE 300x200x10 mm with integrated handle; white only (not a HACCP colour set); not dishwasher-safe. In stock 100+.</t>
  </si>
  <si>
    <t xml:space="preserve">Doska na krájanie HENDI s rukoväťou, 300 × 200 mm, biela</t>
  </si>
  <si>
    <t xml:space="preserve">https://www.gastrozone.sk/viceucelove-krajeci-prkenko-s-rukojeti-hendi-bila-300x200mm-obdelnikove.html</t>
  </si>
  <si>
    <t xml:space="preserve">HDPE, 300x200x10 mm; integrated handle and only white/black offered (not a full HACCP colour set); not dishwasher-safe per spec. Page shows 8,61 / 7,00 bez DPH.</t>
  </si>
  <si>
    <t xml:space="preserve">Nádoba na cesto na pizzu, 600x400x95 mm | HENDI, 880913</t>
  </si>
  <si>
    <t xml:space="preserve">https://gastromania.sk/nadoby-na-pizza-cesto/nadoba-na-cesto-na-pizzu-600x400x95-mm-hendi-880913</t>
  </si>
  <si>
    <t xml:space="preserve">Listed 'Cena bez DPH' 12.65 EUR / 'Cena s DPH' 15.56 EUR. Stated PP, 600x400 mm, 95 mm high (5 mm lower), 18 l. NOTE: Gastrozone lists the same 18 l HENDI/AmerBox box as PET - material conflict between sites. Alternative: Stalgast 563410 600x400x100 mm 18,04 bez DPH (title says polyethylene, parameters say PP).</t>
  </si>
  <si>
    <t xml:space="preserve">Araven Pizzabox na cesto PP, polypropylén, výška 100 mm, 600 x 400 mm</t>
  </si>
  <si>
    <t xml:space="preserve">https://www.gastrozone.sk/araven-pizzabox-pp-vyska-100-mm-delka-600-mm-sirka-400-mm.html</t>
  </si>
  <si>
    <t xml:space="preserve">PP, 600x400x100 mm. Page shows 22,96 / 18,67 bez DPH. In stock.</t>
  </si>
  <si>
    <t xml:space="preserve">Veko na nádobu 2510/600 | CONTACTO, 2510/601</t>
  </si>
  <si>
    <t xml:space="preserve">https://gastromania.sk/veka-na-nadoby-na-cesto/veko-na-nadobu-2510-600-contacto-2510-601</t>
  </si>
  <si>
    <t xml:space="preserve">Listed 'Cena bez DPH' 11.70 EUR / 'Cena s DPH' 14.39 EUR. PE lid for Contacto 600x400 dough box. Promo; base 13,00 / 15,99. Availability 30 days.</t>
  </si>
  <si>
    <t xml:space="preserve">Araven Veko na pizzabox na cesto PP, 600 x 400 mm</t>
  </si>
  <si>
    <t xml:space="preserve">https://www.gastrozone.sk/araven-viko-k-pizzove-krabici-z-pp-delka-600-mm-sirka-400-mm.html</t>
  </si>
  <si>
    <t xml:space="preserve">PP lid for 600x400 dough box. Page shows 13,61 / 11,07 bez DPH. AmerBox PET-box lid 11,50 EUR also listed.</t>
  </si>
  <si>
    <t xml:space="preserve">Nádoba na pizza cesto 600x400x75 mm | CONTACTO, 2510/600</t>
  </si>
  <si>
    <t xml:space="preserve">https://gastromania.sk/nadoby-na-pizza-cesto/nadoba-na-pizza-cesto-600x400x75-mm-contacto-2510-600</t>
  </si>
  <si>
    <t xml:space="preserve">Listed 'Cena bez DPH' 15.21 EUR / 'Cena s DPH' 18.71 EUR. White polyethylene, 600x400x75 mm. Promo; base 16,90 / 20,79. Availability 30 days.</t>
  </si>
  <si>
    <t xml:space="preserve">Nádoba AmerBox Kitchen Line na cesto na pizzu, 600 × 400 mm, 14 l (výška 75 mm)</t>
  </si>
  <si>
    <t xml:space="preserve">AmerBox (HENDI)</t>
  </si>
  <si>
    <t xml:space="preserve">https://www.gastrozone.sk/nadoba-na-pizza-testo-600x400-amerbox-kitchen-line-14l-600x400x-h-75mm.html</t>
  </si>
  <si>
    <t xml:space="preserve">600x400x75 mm but PET (polyethylene terephthalate), not PE. Page shows 12,30 / 10,00 bez DPH.</t>
  </si>
  <si>
    <t xml:space="preserve">Termobox s predným plnením pre GN | CAMBRO, R-EPP400</t>
  </si>
  <si>
    <t xml:space="preserve">Cambro</t>
  </si>
  <si>
    <t xml:space="preserve">https://gastromania.sk/termoizolacne/termobox-s-prednym-plnenim-pre-gn-cambro-r-epp400</t>
  </si>
  <si>
    <t xml:space="preserve">Listed 'Cena bez DPH' 228.24 EUR / 'Cena s DPH' 280.74 EUR. Front-loading, GN 1/1, 86 l, expanded polypropylene. In stock 5-9 pcs.</t>
  </si>
  <si>
    <t xml:space="preserve">Termoizolačný box Cambro Cam GoBox, GN 1/1, 86 l, čierny</t>
  </si>
  <si>
    <t xml:space="preserve">https://www.gastrozone.sk/cambro-termoport-86-l-bocni-plneni.html</t>
  </si>
  <si>
    <t xml:space="preserve">86 l GN 1/1, EPP. Listing inconsistent: title says 's horným plnením' (top-loading) but URL and description say front loading with 270° door. Page shows 228,78 / 186,00 bez DPH. Cambro Ultra Pan Carrier front-loader (PE) 271,83 EUR, volume not stated.</t>
  </si>
  <si>
    <t xml:space="preserve">Tácka z polypropylénu Fast Food 350x450 mm šedá | HENDI, 878804</t>
  </si>
  <si>
    <t xml:space="preserve">https://gastromania.sk/obdlznikove-jedalne-podnosy/tacka-z-polypropylenu-fast-food-350x450-mm-seda-hendi-878804</t>
  </si>
  <si>
    <t xml:space="preserve">Listed 'Cena bez DPH' 4.88 EUR / 'Cena s DPH' 6.00 EUR. PP, but 350x450 mm instead of approx. 370x530 mm. 530x370 trays found are polyester/laminate/laminated wood (e.g. Contacto 4411 polyester EN 1/1, HENDI 507117 laminated wood 18,70 bez DPH).</t>
  </si>
  <si>
    <t xml:space="preserve">APS Fast Food podnos, GN 1/1, hnedý, 530 x 325 x 20 mm</t>
  </si>
  <si>
    <t xml:space="preserve">APS</t>
  </si>
  <si>
    <t xml:space="preserve">https://www.gastrozone.sk/aps-fast-food-tablett-gn-1-1-hnede-vyska-20-mm-delka-530-mm-sirka-325-mm.html</t>
  </si>
  <si>
    <t xml:space="preserve">PP, but 530x325 mm (GN 1/1) instead of approx. 530x370 mm. 530x370 trays found are other plastics: Roltex PYE (polyethylene) 40,32 EUR, Cambro fibreglass 35,31 EUR. To order (3-5 weeks).</t>
  </si>
  <si>
    <t xml:space="preserve">https://gastromania.sk/products/search/language:slo?q=termoizola%C4%8Dn%C3%BD+podnos</t>
  </si>
  <si>
    <t xml:space="preserve">No insulated compartment tray found; search 'termoizolačný podnos' returns only trolleys/racks for thermo trays (DORA METAL), 'podnos s priehradkami' only wooden boxes.</t>
  </si>
  <si>
    <t xml:space="preserve">https://www.gastrozone.sk/vyhladavanie/?text=termoizola%C4%8Dn%C3%BD+podnos</t>
  </si>
  <si>
    <t xml:space="preserve">No insulated compartment tray with lid found (searched 'termoizolačný podnos', 'termo tácka priehradky', 'podnos s priehradkami veko', 'menu box termo').</t>
  </si>
  <si>
    <t xml:space="preserve">Item description</t>
  </si>
  <si>
    <t xml:space="preserve">Qualifying prices found</t>
  </si>
  <si>
    <t xml:space="preserve">Min net price per piece EUR</t>
  </si>
  <si>
    <t xml:space="preserve">Median net price per piece EUR</t>
  </si>
  <si>
    <t xml:space="preserve">Max net price per piece EUR</t>
  </si>
  <si>
    <t xml:space="preserve">GN 1/1 polycarbonate container, 65 mm deep</t>
  </si>
  <si>
    <t xml:space="preserve">GN 1/2 polycarbonate container, 150 mm deep</t>
  </si>
  <si>
    <t xml:space="preserve">GN 1/3 polypropylene container, 100 mm deep</t>
  </si>
  <si>
    <t xml:space="preserve">GN 1/1 polypropylene lid</t>
  </si>
  <si>
    <t xml:space="preserve">Squeeze bottle 500 ml, polypropylene, single tip</t>
  </si>
  <si>
    <t xml:space="preserve">Squeeze bottle 1000 ml, polypropylene, single tip</t>
  </si>
  <si>
    <t xml:space="preserve">Squeeze bottle 500 ml with triple tip</t>
  </si>
  <si>
    <t xml:space="preserve">Ketchup/sauce pump dispenser with stand</t>
  </si>
  <si>
    <t xml:space="preserve">HACCP colour-coded PE cutting board 530 x 325 x 20 mm (GN 1/1)</t>
  </si>
  <si>
    <t xml:space="preserve">HACCP colour-coded PE cutting board 600 x 400 x 20 mm</t>
  </si>
  <si>
    <t xml:space="preserve">HACCP colour-coded PE cutting board 300 x 200 x 10 mm</t>
  </si>
  <si>
    <t xml:space="preserve">Pizza dough proofing box 600 x 400 x 100 mm, polypropylene</t>
  </si>
  <si>
    <t xml:space="preserve">Lid for 600 x 400 mm dough box</t>
  </si>
  <si>
    <t xml:space="preserve">Pizza dough proofing box 600 x 400 x 75 mm, polyethylene</t>
  </si>
  <si>
    <t xml:space="preserve">Front-loading insulated thermobox for GN 1/1, approx. 80-90 l</t>
  </si>
  <si>
    <t xml:space="preserve">Service tray approx. 370 x 530 mm, ABS/polypropylene</t>
  </si>
  <si>
    <t xml:space="preserve">Insulated thermo tray with lid, 5-6 compartments</t>
  </si>
  <si>
    <t xml:space="preserve">Statistics use only EXACT and CLOSE primary observations from counted competitors (Prices column P), one per competitor per item.</t>
  </si>
  <si>
    <t xml:space="preserve">Net price per piece = listed price / 1.23 when the listed price includes Slovak VAT (23%), divided by pack size when priced per pack.</t>
  </si>
  <si>
    <t xml:space="preserve">Blank statistics = no qualifying observation. APPROX matches are listed on the Prices sheet but excluded here.</t>
  </si>
  <si>
    <t xml:space="preserve">Competitor / page</t>
  </si>
  <si>
    <t xml:space="preserve">Reason</t>
  </si>
  <si>
    <t xml:space="preserve">Access error: HTTP 403 block page on all www.metro.sk URLs (scripts and web-fetch tool); shop.metro.sk and produkty.metro.sk unreachable. METRO online prices are normally shown only to registered customers.</t>
  </si>
  <si>
    <t xml:space="preserve">Not counted. No price evidence gathered; no search-snippet prices used.</t>
  </si>
  <si>
    <t xml:space="preserve">Access error: Cloudflare JavaScript bot challenge (HTTP 403 'Len chvíľu...') on every URL incl. robots.txt, sitemap and search.</t>
  </si>
  <si>
    <t xml:space="preserve">Not counted. No prices could be read; web search found only public-procurement PDFs (crz.gov.sk), not used as price evidence.</t>
  </si>
  <si>
    <t xml:space="preserve">Gastromania.sk (scripted access only)</t>
  </si>
  <si>
    <t xml:space="preserve">Partial access issue: after about 20 scripted requests the site returned a 'Security check' CAPTCHA page (IP rate limit). Listing pages load prices by JavaScript; product pages show prices in HTML.</t>
  </si>
  <si>
    <t xml:space="preserve">Competitor IS counted: prices were read from the live product pages via the web-fetch tool on the same date. Listed here only to document the access limitation.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</si>
</sst>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metro.sk/" TargetMode="External"/><Relationship Id="rId3" Type="http://schemas.openxmlformats.org/officeDocument/2006/relationships/hyperlink" Target="https://www.metro.sk/" TargetMode="External"/><Relationship Id="rId4" Type="http://schemas.openxmlformats.org/officeDocument/2006/relationships/hyperlink" Target="https://gastromania.sk/" TargetMode="External"/><Relationship Id="rId5" Type="http://schemas.openxmlformats.org/officeDocument/2006/relationships/hyperlink" Target="https://gastromania.sk/sposoby-dorucenia.html" TargetMode="External"/><Relationship Id="rId6" Type="http://schemas.openxmlformats.org/officeDocument/2006/relationships/hyperlink" Target="https://www.gastromarket.sk/" TargetMode="External"/><Relationship Id="rId7" Type="http://schemas.openxmlformats.org/officeDocument/2006/relationships/hyperlink" Target="https://www.gastromarket.sk/" TargetMode="External"/><Relationship Id="rId8" Type="http://schemas.openxmlformats.org/officeDocument/2006/relationships/hyperlink" Target="https://www.gastrozone.sk/" TargetMode="External"/><Relationship Id="rId9" Type="http://schemas.openxmlformats.org/officeDocument/2006/relationships/hyperlink" Target="https://www.gastrozone.sk/informacie/doprava-a-platba/" TargetMode="External"/><Relationship Id="rId10" Type="http://schemas.openxmlformats.org/officeDocument/2006/relationships/drawing" Target="../drawings/drawing1.xml"/><Relationship Id="rId11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gastromania.sk/gastronadoby-polykarbonatove/polykarbonatova-gastronadoba-gn1-1-65-mm-contacto-8211-065" TargetMode="External"/><Relationship Id="rId3" Type="http://schemas.openxmlformats.org/officeDocument/2006/relationships/hyperlink" Target="https://www.gastrozone.sk/araven-gn-box-1-1-polykarbonat-hloubka-65-mm-objem-8-6-l.html" TargetMode="External"/><Relationship Id="rId4" Type="http://schemas.openxmlformats.org/officeDocument/2006/relationships/hyperlink" Target="https://gastromania.sk/gastronadoby-polykarbonatove/polykarbonatova-gastronadoba-gn1-2-150-mm-contacto-8212-150" TargetMode="External"/><Relationship Id="rId5" Type="http://schemas.openxmlformats.org/officeDocument/2006/relationships/hyperlink" Target="https://www.gastrozone.sk/araven-gn-nadoba-1-2-polykarbonat-hloubka-150-mm-objem-8-l.html" TargetMode="External"/><Relationship Id="rId6" Type="http://schemas.openxmlformats.org/officeDocument/2006/relationships/hyperlink" Target="https://gastromania.sk/gastronadoby-polypropylenove/gastronadoba-z-polypropylenu-gn-1-3-100-mm-contacto-5013-100" TargetMode="External"/><Relationship Id="rId7" Type="http://schemas.openxmlformats.org/officeDocument/2006/relationships/hyperlink" Target="https://www.gastrozone.sk/pujadas-gastro-nadoba-gn-1-3-polyprepylen-v-100-mm-176x325-mm.html" TargetMode="External"/><Relationship Id="rId8" Type="http://schemas.openxmlformats.org/officeDocument/2006/relationships/hyperlink" Target="https://gastromania.sk/veka-gn-polypropylenove/veko-z-polypropylenu-pre-gn1-1-5511-contacto-5511-532" TargetMode="External"/><Relationship Id="rId9" Type="http://schemas.openxmlformats.org/officeDocument/2006/relationships/hyperlink" Target="https://www.gastrozone.sk/pujadas-veko-ku-gastronadobe-1-1-polyprepylen.html" TargetMode="External"/><Relationship Id="rId10" Type="http://schemas.openxmlformats.org/officeDocument/2006/relationships/hyperlink" Target="https://gastromania.sk/davkovace-omacok/flasa-na-omacky-0-475-ml-neumarker-fifo" TargetMode="External"/><Relationship Id="rId11" Type="http://schemas.openxmlformats.org/officeDocument/2006/relationships/hyperlink" Target="https://www.gastrozone.sk/fasa-mackacie-s-uzatvaranim-0-5-l-odolna-od-40c-do-95c-transparentne-pre-styk-s-potravinama-schneider-10313.html" TargetMode="External"/><Relationship Id="rId12" Type="http://schemas.openxmlformats.org/officeDocument/2006/relationships/hyperlink" Target="https://gastromania.sk/davkovace-omacok/davkovac-omacok-1025-ml-zlty-tom-gast-ma-957" TargetMode="External"/><Relationship Id="rId13" Type="http://schemas.openxmlformats.org/officeDocument/2006/relationships/hyperlink" Target="https://www.gastrozone.sk/schneider-davkovaci-mackaci-lahev-1000-ml-transparentni.html" TargetMode="External"/><Relationship Id="rId14" Type="http://schemas.openxmlformats.org/officeDocument/2006/relationships/hyperlink" Target="https://gastromania.sk/products/search/language:slo?q=d&#225;vkova&#269;+om&#225;&#269;ok+3+otvory" TargetMode="External"/><Relationship Id="rId15" Type="http://schemas.openxmlformats.org/officeDocument/2006/relationships/hyperlink" Target="https://www.gastrozone.sk/araven-lahvicka-na-stlaceni-ldpe-o-80-mm-vyska-253-mm-objem-0-75-l-3-trysky.html" TargetMode="External"/><Relationship Id="rId16" Type="http://schemas.openxmlformats.org/officeDocument/2006/relationships/hyperlink" Target="https://gastromania.sk/davkovace-omacok/polyproplylenovy-davkovac-omacok-1-5-l-130x90x290-mm-contacto-1324-150" TargetMode="External"/><Relationship Id="rId17" Type="http://schemas.openxmlformats.org/officeDocument/2006/relationships/hyperlink" Target="https://www.gastrozone.sk/araven-gn-davkovac-omacek-1-6-polypropylen-obsah-2-6-l.html" TargetMode="External"/><Relationship Id="rId18" Type="http://schemas.openxmlformats.org/officeDocument/2006/relationships/hyperlink" Target="https://gastromania.sk/plastove-krajacie-dosky-haccp/doska-na-krajanie-haccp-gn-1-1-fialova-hendi-826065" TargetMode="External"/><Relationship Id="rId19" Type="http://schemas.openxmlformats.org/officeDocument/2006/relationships/hyperlink" Target="https://www.gastrozone.sk/gastro-dosticka-na-krajanie-plastova-53x32-5x2-cm-gn-1-1-s-drazkou-biela.html" TargetMode="External"/><Relationship Id="rId20" Type="http://schemas.openxmlformats.org/officeDocument/2006/relationships/hyperlink" Target="https://gastromania.sk/plastove-krajacie-dosky-haccp/doska-na-krajanie-600x400x20-mm-cervena-bartscher-60x40-r" TargetMode="External"/><Relationship Id="rId21" Type="http://schemas.openxmlformats.org/officeDocument/2006/relationships/hyperlink" Target="https://www.gastrozone.sk/gastrodosticka-na-krajanie-plastova-60x40x3-cm-s-drazkou-biela.html" TargetMode="External"/><Relationship Id="rId22" Type="http://schemas.openxmlformats.org/officeDocument/2006/relationships/hyperlink" Target="https://gastromania.sk/plastove-krajacie-dosky-biele/doska-na-krajanie-s-drzadlom-300x200x10-mm-biela-hendi-826355" TargetMode="External"/><Relationship Id="rId23" Type="http://schemas.openxmlformats.org/officeDocument/2006/relationships/hyperlink" Target="https://www.gastrozone.sk/viceucelove-krajeci-prkenko-s-rukojeti-hendi-bila-300x200mm-obdelnikove.html" TargetMode="External"/><Relationship Id="rId24" Type="http://schemas.openxmlformats.org/officeDocument/2006/relationships/hyperlink" Target="https://gastromania.sk/nadoby-na-pizza-cesto/nadoba-na-cesto-na-pizzu-600x400x95-mm-hendi-880913" TargetMode="External"/><Relationship Id="rId25" Type="http://schemas.openxmlformats.org/officeDocument/2006/relationships/hyperlink" Target="https://www.gastrozone.sk/araven-pizzabox-pp-vyska-100-mm-delka-600-mm-sirka-400-mm.html" TargetMode="External"/><Relationship Id="rId26" Type="http://schemas.openxmlformats.org/officeDocument/2006/relationships/hyperlink" Target="https://gastromania.sk/veka-na-nadoby-na-cesto/veko-na-nadobu-2510-600-contacto-2510-601" TargetMode="External"/><Relationship Id="rId27" Type="http://schemas.openxmlformats.org/officeDocument/2006/relationships/hyperlink" Target="https://www.gastrozone.sk/araven-viko-k-pizzove-krabici-z-pp-delka-600-mm-sirka-400-mm.html" TargetMode="External"/><Relationship Id="rId28" Type="http://schemas.openxmlformats.org/officeDocument/2006/relationships/hyperlink" Target="https://gastromania.sk/nadoby-na-pizza-cesto/nadoba-na-pizza-cesto-600x400x75-mm-contacto-2510-600" TargetMode="External"/><Relationship Id="rId29" Type="http://schemas.openxmlformats.org/officeDocument/2006/relationships/hyperlink" Target="https://www.gastrozone.sk/nadoba-na-pizza-testo-600x400-amerbox-kitchen-line-14l-600x400x-h-75mm.html" TargetMode="External"/><Relationship Id="rId30" Type="http://schemas.openxmlformats.org/officeDocument/2006/relationships/hyperlink" Target="https://gastromania.sk/termoizolacne/termobox-s-prednym-plnenim-pre-gn-cambro-r-epp400" TargetMode="External"/><Relationship Id="rId31" Type="http://schemas.openxmlformats.org/officeDocument/2006/relationships/hyperlink" Target="https://www.gastrozone.sk/cambro-termoport-86-l-bocni-plneni.html" TargetMode="External"/><Relationship Id="rId32" Type="http://schemas.openxmlformats.org/officeDocument/2006/relationships/hyperlink" Target="https://gastromania.sk/obdlznikove-jedalne-podnosy/tacka-z-polypropylenu-fast-food-350x450-mm-seda-hendi-878804" TargetMode="External"/><Relationship Id="rId33" Type="http://schemas.openxmlformats.org/officeDocument/2006/relationships/hyperlink" Target="https://www.gastrozone.sk/aps-fast-food-tablett-gn-1-1-hnede-vyska-20-mm-delka-530-mm-sirka-325-mm.html" TargetMode="External"/><Relationship Id="rId34" Type="http://schemas.openxmlformats.org/officeDocument/2006/relationships/hyperlink" Target="https://gastromania.sk/products/search/language:slo?q=termoizola&#269;n&#253;+podnos" TargetMode="External"/><Relationship Id="rId35" Type="http://schemas.openxmlformats.org/officeDocument/2006/relationships/hyperlink" Target="https://www.gastrozone.sk/vyhladavanie/?text=termoizola&#269;n&#253;+podnos" TargetMode="External"/><Relationship Id="rId36" Type="http://schemas.openxmlformats.org/officeDocument/2006/relationships/drawing" Target="../drawings/drawing2.xml"/><Relationship Id="rId37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etro.sk/" TargetMode="External"/><Relationship Id="rId2" Type="http://schemas.openxmlformats.org/officeDocument/2006/relationships/hyperlink" Target="https://www.gastromarket.sk/" TargetMode="External"/><Relationship Id="rId3" Type="http://schemas.openxmlformats.org/officeDocument/2006/relationships/hyperlink" Target="https://gastromania.sk/" TargetMode="External"/><Relationship Id="rId4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7" min="6" style="0" width="36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36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60"/>
    <col collapsed="false" customWidth="true" hidden="false" outlineLevel="0" max="15" min="15" style="0" width="11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46.25" hidden="false" customHeight="false" outlineLevel="0" collapsed="false">
      <c r="A2" s="2" t="s">
        <v>15</v>
      </c>
      <c r="B2" s="3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20</v>
      </c>
      <c r="K2" s="3" t="s">
        <v>16</v>
      </c>
      <c r="L2" s="2" t="n">
        <f aca="false">SUMPRODUCT(--(COUNTIFS(Prices!$B$2:$B$35,A2,Prices!$A$2:$A$35,ROW($1:$17),Prices!$F$2:$F$35,"&gt;0")&gt;0))</f>
        <v>0</v>
      </c>
      <c r="M2" s="2" t="str">
        <f aca="false">IF(L2&gt;=6,"yes","no")</f>
        <v>no</v>
      </c>
      <c r="N2" s="2" t="s">
        <v>21</v>
      </c>
      <c r="O2" s="2" t="n">
        <f aca="false">SUMPRODUCT(--(COUNTIFS(Prices!$B$2:$B$35,A2,Prices!$A$2:$A$35,ROW($1:$17),Prices!$M$2:$M$35,"EXACT")+COUNTIFS(Prices!$B$2:$B$35,A2,Prices!$A$2:$A$35,ROW($1:$17),Prices!$M$2:$M$35,"CLOSE")&gt;0))</f>
        <v>0</v>
      </c>
    </row>
    <row r="3" customFormat="false" ht="68.65" hidden="false" customHeight="false" outlineLevel="0" collapsed="false">
      <c r="A3" s="2" t="s">
        <v>22</v>
      </c>
      <c r="B3" s="3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3" t="s">
        <v>32</v>
      </c>
      <c r="L3" s="2" t="n">
        <f aca="false">SUMPRODUCT(--(COUNTIFS(Prices!$B$2:$B$35,A3,Prices!$A$2:$A$35,ROW($1:$17),Prices!$F$2:$F$35,"&gt;0")&gt;0))</f>
        <v>15</v>
      </c>
      <c r="M3" s="2" t="str">
        <f aca="false">IF(L3&gt;=6,"yes","no")</f>
        <v>yes</v>
      </c>
      <c r="N3" s="2" t="s">
        <v>33</v>
      </c>
      <c r="O3" s="2" t="n">
        <f aca="false">SUMPRODUCT(--(COUNTIFS(Prices!$B$2:$B$35,A3,Prices!$A$2:$A$35,ROW($1:$17),Prices!$M$2:$M$35,"EXACT")+COUNTIFS(Prices!$B$2:$B$35,A3,Prices!$A$2:$A$35,ROW($1:$17),Prices!$M$2:$M$35,"CLOSE")&gt;0))</f>
        <v>12</v>
      </c>
    </row>
    <row r="4" customFormat="false" ht="57.45" hidden="false" customHeight="false" outlineLevel="0" collapsed="false">
      <c r="A4" s="2" t="s">
        <v>34</v>
      </c>
      <c r="B4" s="3" t="s">
        <v>35</v>
      </c>
      <c r="C4" s="2" t="s">
        <v>17</v>
      </c>
      <c r="D4" s="2" t="s">
        <v>36</v>
      </c>
      <c r="E4" s="2" t="s">
        <v>37</v>
      </c>
      <c r="F4" s="2" t="s">
        <v>20</v>
      </c>
      <c r="G4" s="2" t="s">
        <v>20</v>
      </c>
      <c r="H4" s="2" t="s">
        <v>20</v>
      </c>
      <c r="I4" s="2" t="s">
        <v>20</v>
      </c>
      <c r="J4" s="2" t="s">
        <v>20</v>
      </c>
      <c r="K4" s="3" t="s">
        <v>35</v>
      </c>
      <c r="L4" s="2" t="n">
        <f aca="false">SUMPRODUCT(--(COUNTIFS(Prices!$B$2:$B$35,A4,Prices!$A$2:$A$35,ROW($1:$17),Prices!$F$2:$F$35,"&gt;0")&gt;0))</f>
        <v>0</v>
      </c>
      <c r="M4" s="2" t="str">
        <f aca="false">IF(L4&gt;=6,"yes","no")</f>
        <v>no</v>
      </c>
      <c r="N4" s="2" t="s">
        <v>38</v>
      </c>
      <c r="O4" s="2" t="n">
        <f aca="false">SUMPRODUCT(--(COUNTIFS(Prices!$B$2:$B$35,A4,Prices!$A$2:$A$35,ROW($1:$17),Prices!$M$2:$M$35,"EXACT")+COUNTIFS(Prices!$B$2:$B$35,A4,Prices!$A$2:$A$35,ROW($1:$17),Prices!$M$2:$M$35,"CLOSE")&gt;0))</f>
        <v>0</v>
      </c>
    </row>
    <row r="5" customFormat="false" ht="57.45" hidden="false" customHeight="false" outlineLevel="0" collapsed="false">
      <c r="A5" s="2" t="s">
        <v>39</v>
      </c>
      <c r="B5" s="3" t="s">
        <v>40</v>
      </c>
      <c r="C5" s="2" t="s">
        <v>24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31</v>
      </c>
      <c r="K5" s="3" t="s">
        <v>47</v>
      </c>
      <c r="L5" s="2" t="n">
        <f aca="false">SUMPRODUCT(--(COUNTIFS(Prices!$B$2:$B$35,A5,Prices!$A$2:$A$35,ROW($1:$17),Prices!$F$2:$F$35,"&gt;0")&gt;0))</f>
        <v>16</v>
      </c>
      <c r="M5" s="2" t="str">
        <f aca="false">IF(L5&gt;=6,"yes","no")</f>
        <v>yes</v>
      </c>
      <c r="N5" s="2" t="s">
        <v>48</v>
      </c>
      <c r="O5" s="2" t="n">
        <f aca="false">SUMPRODUCT(--(COUNTIFS(Prices!$B$2:$B$35,A5,Prices!$A$2:$A$35,ROW($1:$17),Prices!$M$2:$M$35,"EXACT")+COUNTIFS(Prices!$B$2:$B$35,A5,Prices!$A$2:$A$35,ROW($1:$17),Prices!$M$2:$M$35,"CLOSE")&gt;0))</f>
        <v>9</v>
      </c>
    </row>
  </sheetData>
  <autoFilter ref="A1:O5"/>
  <hyperlinks>
    <hyperlink ref="B2" r:id="rId2" display="https://www.metro.sk/"/>
    <hyperlink ref="K2" r:id="rId3" display="https://www.metro.sk/"/>
    <hyperlink ref="B3" r:id="rId4" display="https://gastromania.sk/"/>
    <hyperlink ref="K3" r:id="rId5" display="https://gastromania.sk/sposoby-dorucenia.html ; https://gastromania.sk/obchodne-podmienky.html ; https://gastromania.sk/b2b.html"/>
    <hyperlink ref="B4" r:id="rId6" display="https://www.gastromarket.sk/"/>
    <hyperlink ref="K4" r:id="rId7" display="https://www.gastromarket.sk/"/>
    <hyperlink ref="B5" r:id="rId8" display="https://www.gastrozone.sk/"/>
    <hyperlink ref="K5" r:id="rId9" display="https://www.gastrozone.sk/informacie/doprava-a-platba/ ; https://www.gastrozone.sk/informacie/obchodne-podmienky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2" min="11" style="0" width="13"/>
    <col collapsed="false" customWidth="true" hidden="false" outlineLevel="0" max="13" min="13" style="0" width="11"/>
    <col collapsed="false" customWidth="true" hidden="false" outlineLevel="0" max="14" min="14" style="0" width="60"/>
    <col collapsed="false" customWidth="true" hidden="false" outlineLevel="0" max="15" min="15" style="0" width="12"/>
    <col collapsed="false" customWidth="true" hidden="false" outlineLevel="0" max="16" min="16" style="0" width="16"/>
  </cols>
  <sheetData>
    <row r="1" customFormat="false" ht="42" hidden="false" customHeight="tru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13</v>
      </c>
      <c r="O1" s="1" t="s">
        <v>62</v>
      </c>
      <c r="P1" s="1" t="s">
        <v>63</v>
      </c>
    </row>
    <row r="2" customFormat="false" ht="41.75" hidden="false" customHeight="false" outlineLevel="0" collapsed="false">
      <c r="A2" s="4" t="n">
        <v>1</v>
      </c>
      <c r="B2" s="4" t="s">
        <v>22</v>
      </c>
      <c r="C2" s="4" t="s">
        <v>64</v>
      </c>
      <c r="D2" s="4" t="s">
        <v>65</v>
      </c>
      <c r="E2" s="3" t="s">
        <v>66</v>
      </c>
      <c r="F2" s="5" t="n">
        <v>20.48</v>
      </c>
      <c r="G2" s="4" t="s">
        <v>67</v>
      </c>
      <c r="H2" s="4" t="s">
        <v>68</v>
      </c>
      <c r="I2" s="6" t="s">
        <v>69</v>
      </c>
      <c r="J2" s="7" t="n">
        <v>1</v>
      </c>
      <c r="K2" s="4" t="s">
        <v>70</v>
      </c>
      <c r="L2" s="8" t="n">
        <f aca="false">IF(ISNUMBER(F2),IF(H2="incl.",F2/(1+I2),F2)/IF(K2="per pack",J2,1),"")</f>
        <v>20.48</v>
      </c>
      <c r="M2" s="9" t="s">
        <v>71</v>
      </c>
      <c r="N2" s="4" t="s">
        <v>72</v>
      </c>
      <c r="O2" s="4" t="s">
        <v>73</v>
      </c>
      <c r="P2" s="8" t="n">
        <f aca="false">IF(AND(OR(M2="EXACT",M2="CLOSE"),ISNUMBER(L2),IFERROR(INDEX(Competitors!$M:$M,MATCH(B2,Competitors!$A:$A,0)),"no")="yes"),L2,"")</f>
        <v>20.48</v>
      </c>
    </row>
    <row r="3" customFormat="false" ht="28.35" hidden="false" customHeight="false" outlineLevel="0" collapsed="false">
      <c r="A3" s="4" t="n">
        <v>1</v>
      </c>
      <c r="B3" s="4" t="s">
        <v>39</v>
      </c>
      <c r="C3" s="4" t="s">
        <v>74</v>
      </c>
      <c r="D3" s="4" t="s">
        <v>75</v>
      </c>
      <c r="E3" s="3" t="s">
        <v>76</v>
      </c>
      <c r="F3" s="5" t="n">
        <v>20.24</v>
      </c>
      <c r="G3" s="4" t="s">
        <v>67</v>
      </c>
      <c r="H3" s="4" t="s">
        <v>77</v>
      </c>
      <c r="I3" s="6" t="n">
        <v>0.23</v>
      </c>
      <c r="J3" s="7" t="n">
        <v>1</v>
      </c>
      <c r="K3" s="4" t="s">
        <v>70</v>
      </c>
      <c r="L3" s="8" t="n">
        <f aca="false">IF(ISNUMBER(F3),IF(H3="incl.",F3/(1+I3),F3)/IF(K3="per pack",J3,1),"")</f>
        <v>16.4552845528455</v>
      </c>
      <c r="M3" s="9" t="s">
        <v>71</v>
      </c>
      <c r="N3" s="4" t="s">
        <v>78</v>
      </c>
      <c r="O3" s="4" t="s">
        <v>73</v>
      </c>
      <c r="P3" s="8" t="n">
        <f aca="false">IF(AND(OR(M3="EXACT",M3="CLOSE"),ISNUMBER(L3),IFERROR(INDEX(Competitors!$M:$M,MATCH(B3,Competitors!$A:$A,0)),"no")="yes"),L3,"")</f>
        <v>16.4552845528455</v>
      </c>
    </row>
    <row r="4" customFormat="false" ht="28.35" hidden="false" customHeight="false" outlineLevel="0" collapsed="false">
      <c r="A4" s="4" t="n">
        <v>2</v>
      </c>
      <c r="B4" s="4" t="s">
        <v>22</v>
      </c>
      <c r="C4" s="4" t="s">
        <v>79</v>
      </c>
      <c r="D4" s="4" t="s">
        <v>65</v>
      </c>
      <c r="E4" s="3" t="s">
        <v>80</v>
      </c>
      <c r="F4" s="5" t="n">
        <v>16.15</v>
      </c>
      <c r="G4" s="4" t="s">
        <v>67</v>
      </c>
      <c r="H4" s="4" t="s">
        <v>68</v>
      </c>
      <c r="I4" s="6" t="s">
        <v>69</v>
      </c>
      <c r="J4" s="7" t="n">
        <v>1</v>
      </c>
      <c r="K4" s="4" t="s">
        <v>70</v>
      </c>
      <c r="L4" s="8" t="n">
        <f aca="false">IF(ISNUMBER(F4),IF(H4="incl.",F4/(1+I4),F4)/IF(K4="per pack",J4,1),"")</f>
        <v>16.15</v>
      </c>
      <c r="M4" s="9" t="s">
        <v>71</v>
      </c>
      <c r="N4" s="4" t="s">
        <v>81</v>
      </c>
      <c r="O4" s="4" t="s">
        <v>73</v>
      </c>
      <c r="P4" s="8" t="n">
        <f aca="false">IF(AND(OR(M4="EXACT",M4="CLOSE"),ISNUMBER(L4),IFERROR(INDEX(Competitors!$M:$M,MATCH(B4,Competitors!$A:$A,0)),"no")="yes"),L4,"")</f>
        <v>16.15</v>
      </c>
    </row>
    <row r="5" customFormat="false" ht="28.35" hidden="false" customHeight="false" outlineLevel="0" collapsed="false">
      <c r="A5" s="4" t="n">
        <v>2</v>
      </c>
      <c r="B5" s="4" t="s">
        <v>39</v>
      </c>
      <c r="C5" s="4" t="s">
        <v>82</v>
      </c>
      <c r="D5" s="4" t="s">
        <v>75</v>
      </c>
      <c r="E5" s="3" t="s">
        <v>83</v>
      </c>
      <c r="F5" s="5" t="n">
        <v>18.73</v>
      </c>
      <c r="G5" s="4" t="s">
        <v>67</v>
      </c>
      <c r="H5" s="4" t="s">
        <v>77</v>
      </c>
      <c r="I5" s="6" t="n">
        <v>0.23</v>
      </c>
      <c r="J5" s="7" t="n">
        <v>1</v>
      </c>
      <c r="K5" s="4" t="s">
        <v>70</v>
      </c>
      <c r="L5" s="8" t="n">
        <f aca="false">IF(ISNUMBER(F5),IF(H5="incl.",F5/(1+I5),F5)/IF(K5="per pack",J5,1),"")</f>
        <v>15.2276422764228</v>
      </c>
      <c r="M5" s="9" t="s">
        <v>71</v>
      </c>
      <c r="N5" s="4" t="s">
        <v>84</v>
      </c>
      <c r="O5" s="4" t="s">
        <v>73</v>
      </c>
      <c r="P5" s="8" t="n">
        <f aca="false">IF(AND(OR(M5="EXACT",M5="CLOSE"),ISNUMBER(L5),IFERROR(INDEX(Competitors!$M:$M,MATCH(B5,Competitors!$A:$A,0)),"no")="yes"),L5,"")</f>
        <v>15.2276422764228</v>
      </c>
    </row>
    <row r="6" customFormat="false" ht="41.75" hidden="false" customHeight="false" outlineLevel="0" collapsed="false">
      <c r="A6" s="4" t="n">
        <v>3</v>
      </c>
      <c r="B6" s="4" t="s">
        <v>22</v>
      </c>
      <c r="C6" s="4" t="s">
        <v>85</v>
      </c>
      <c r="D6" s="4" t="s">
        <v>65</v>
      </c>
      <c r="E6" s="3" t="s">
        <v>86</v>
      </c>
      <c r="F6" s="5" t="n">
        <v>17.61</v>
      </c>
      <c r="G6" s="4" t="s">
        <v>67</v>
      </c>
      <c r="H6" s="4" t="s">
        <v>68</v>
      </c>
      <c r="I6" s="6" t="s">
        <v>69</v>
      </c>
      <c r="J6" s="7" t="n">
        <v>1</v>
      </c>
      <c r="K6" s="4" t="s">
        <v>70</v>
      </c>
      <c r="L6" s="8" t="n">
        <f aca="false">IF(ISNUMBER(F6),IF(H6="incl.",F6/(1+I6),F6)/IF(K6="per pack",J6,1),"")</f>
        <v>17.61</v>
      </c>
      <c r="M6" s="10" t="s">
        <v>87</v>
      </c>
      <c r="N6" s="4" t="s">
        <v>88</v>
      </c>
      <c r="O6" s="4" t="s">
        <v>73</v>
      </c>
      <c r="P6" s="8" t="n">
        <f aca="false">IF(AND(OR(M6="EXACT",M6="CLOSE"),ISNUMBER(L6),IFERROR(INDEX(Competitors!$M:$M,MATCH(B6,Competitors!$A:$A,0)),"no")="yes"),L6,"")</f>
        <v>17.61</v>
      </c>
    </row>
    <row r="7" customFormat="false" ht="28.35" hidden="false" customHeight="false" outlineLevel="0" collapsed="false">
      <c r="A7" s="4" t="n">
        <v>3</v>
      </c>
      <c r="B7" s="4" t="s">
        <v>39</v>
      </c>
      <c r="C7" s="4" t="s">
        <v>89</v>
      </c>
      <c r="D7" s="4" t="s">
        <v>90</v>
      </c>
      <c r="E7" s="3" t="s">
        <v>91</v>
      </c>
      <c r="F7" s="5" t="n">
        <v>7.84</v>
      </c>
      <c r="G7" s="4" t="s">
        <v>67</v>
      </c>
      <c r="H7" s="4" t="s">
        <v>77</v>
      </c>
      <c r="I7" s="6" t="n">
        <v>0.23</v>
      </c>
      <c r="J7" s="7" t="n">
        <v>1</v>
      </c>
      <c r="K7" s="4" t="s">
        <v>70</v>
      </c>
      <c r="L7" s="8" t="n">
        <f aca="false">IF(ISNUMBER(F7),IF(H7="incl.",F7/(1+I7),F7)/IF(K7="per pack",J7,1),"")</f>
        <v>6.3739837398374</v>
      </c>
      <c r="M7" s="9" t="s">
        <v>71</v>
      </c>
      <c r="N7" s="4" t="s">
        <v>92</v>
      </c>
      <c r="O7" s="4" t="s">
        <v>73</v>
      </c>
      <c r="P7" s="8" t="n">
        <f aca="false">IF(AND(OR(M7="EXACT",M7="CLOSE"),ISNUMBER(L7),IFERROR(INDEX(Competitors!$M:$M,MATCH(B7,Competitors!$A:$A,0)),"no")="yes"),L7,"")</f>
        <v>6.3739837398374</v>
      </c>
    </row>
    <row r="8" customFormat="false" ht="28.35" hidden="false" customHeight="false" outlineLevel="0" collapsed="false">
      <c r="A8" s="4" t="n">
        <v>4</v>
      </c>
      <c r="B8" s="4" t="s">
        <v>22</v>
      </c>
      <c r="C8" s="4" t="s">
        <v>93</v>
      </c>
      <c r="D8" s="4" t="s">
        <v>65</v>
      </c>
      <c r="E8" s="3" t="s">
        <v>94</v>
      </c>
      <c r="F8" s="5" t="n">
        <v>8.46</v>
      </c>
      <c r="G8" s="4" t="s">
        <v>67</v>
      </c>
      <c r="H8" s="4" t="s">
        <v>68</v>
      </c>
      <c r="I8" s="6" t="s">
        <v>69</v>
      </c>
      <c r="J8" s="7" t="n">
        <v>1</v>
      </c>
      <c r="K8" s="4" t="s">
        <v>70</v>
      </c>
      <c r="L8" s="8" t="n">
        <f aca="false">IF(ISNUMBER(F8),IF(H8="incl.",F8/(1+I8),F8)/IF(K8="per pack",J8,1),"")</f>
        <v>8.46</v>
      </c>
      <c r="M8" s="9" t="s">
        <v>71</v>
      </c>
      <c r="N8" s="4" t="s">
        <v>95</v>
      </c>
      <c r="O8" s="4" t="s">
        <v>73</v>
      </c>
      <c r="P8" s="8" t="n">
        <f aca="false">IF(AND(OR(M8="EXACT",M8="CLOSE"),ISNUMBER(L8),IFERROR(INDEX(Competitors!$M:$M,MATCH(B8,Competitors!$A:$A,0)),"no")="yes"),L8,"")</f>
        <v>8.46</v>
      </c>
    </row>
    <row r="9" customFormat="false" ht="28.35" hidden="false" customHeight="false" outlineLevel="0" collapsed="false">
      <c r="A9" s="4" t="n">
        <v>4</v>
      </c>
      <c r="B9" s="4" t="s">
        <v>39</v>
      </c>
      <c r="C9" s="4" t="s">
        <v>96</v>
      </c>
      <c r="D9" s="4" t="s">
        <v>90</v>
      </c>
      <c r="E9" s="3" t="s">
        <v>97</v>
      </c>
      <c r="F9" s="5" t="n">
        <v>14.06</v>
      </c>
      <c r="G9" s="4" t="s">
        <v>67</v>
      </c>
      <c r="H9" s="4" t="s">
        <v>77</v>
      </c>
      <c r="I9" s="6" t="n">
        <v>0.23</v>
      </c>
      <c r="J9" s="7" t="n">
        <v>1</v>
      </c>
      <c r="K9" s="4" t="s">
        <v>70</v>
      </c>
      <c r="L9" s="8" t="n">
        <f aca="false">IF(ISNUMBER(F9),IF(H9="incl.",F9/(1+I9),F9)/IF(K9="per pack",J9,1),"")</f>
        <v>11.4308943089431</v>
      </c>
      <c r="M9" s="9" t="s">
        <v>71</v>
      </c>
      <c r="N9" s="4" t="s">
        <v>98</v>
      </c>
      <c r="O9" s="4" t="s">
        <v>73</v>
      </c>
      <c r="P9" s="8" t="n">
        <f aca="false">IF(AND(OR(M9="EXACT",M9="CLOSE"),ISNUMBER(L9),IFERROR(INDEX(Competitors!$M:$M,MATCH(B9,Competitors!$A:$A,0)),"no")="yes"),L9,"")</f>
        <v>11.4308943089431</v>
      </c>
    </row>
    <row r="10" customFormat="false" ht="55.2" hidden="false" customHeight="false" outlineLevel="0" collapsed="false">
      <c r="A10" s="4" t="n">
        <v>5</v>
      </c>
      <c r="B10" s="4" t="s">
        <v>22</v>
      </c>
      <c r="C10" s="4" t="s">
        <v>99</v>
      </c>
      <c r="D10" s="4" t="s">
        <v>100</v>
      </c>
      <c r="E10" s="3" t="s">
        <v>101</v>
      </c>
      <c r="F10" s="5" t="n">
        <v>13.68</v>
      </c>
      <c r="G10" s="4" t="s">
        <v>67</v>
      </c>
      <c r="H10" s="4" t="s">
        <v>68</v>
      </c>
      <c r="I10" s="6" t="s">
        <v>69</v>
      </c>
      <c r="J10" s="7" t="n">
        <v>1</v>
      </c>
      <c r="K10" s="4" t="s">
        <v>70</v>
      </c>
      <c r="L10" s="8" t="n">
        <f aca="false">IF(ISNUMBER(F10),IF(H10="incl.",F10/(1+I10),F10)/IF(K10="per pack",J10,1),"")</f>
        <v>13.68</v>
      </c>
      <c r="M10" s="11" t="s">
        <v>102</v>
      </c>
      <c r="N10" s="4" t="s">
        <v>103</v>
      </c>
      <c r="O10" s="4" t="s">
        <v>73</v>
      </c>
      <c r="P10" s="8" t="str">
        <f aca="false">IF(AND(OR(M10="EXACT",M10="CLOSE"),ISNUMBER(L10),IFERROR(INDEX(Competitors!$M:$M,MATCH(B10,Competitors!$A:$A,0)),"no")="yes"),L10,"")</f>
        <v/>
      </c>
    </row>
    <row r="11" customFormat="false" ht="28.35" hidden="false" customHeight="false" outlineLevel="0" collapsed="false">
      <c r="A11" s="4" t="n">
        <v>5</v>
      </c>
      <c r="B11" s="4" t="s">
        <v>39</v>
      </c>
      <c r="C11" s="4" t="s">
        <v>104</v>
      </c>
      <c r="D11" s="4" t="s">
        <v>105</v>
      </c>
      <c r="E11" s="3" t="s">
        <v>106</v>
      </c>
      <c r="F11" s="5" t="n">
        <v>13.16</v>
      </c>
      <c r="G11" s="4" t="s">
        <v>67</v>
      </c>
      <c r="H11" s="4" t="s">
        <v>77</v>
      </c>
      <c r="I11" s="6" t="n">
        <v>0.23</v>
      </c>
      <c r="J11" s="7" t="n">
        <v>1</v>
      </c>
      <c r="K11" s="4" t="s">
        <v>70</v>
      </c>
      <c r="L11" s="8" t="n">
        <f aca="false">IF(ISNUMBER(F11),IF(H11="incl.",F11/(1+I11),F11)/IF(K11="per pack",J11,1),"")</f>
        <v>10.6991869918699</v>
      </c>
      <c r="M11" s="11" t="s">
        <v>102</v>
      </c>
      <c r="N11" s="4" t="s">
        <v>107</v>
      </c>
      <c r="O11" s="4" t="s">
        <v>73</v>
      </c>
      <c r="P11" s="8" t="str">
        <f aca="false">IF(AND(OR(M11="EXACT",M11="CLOSE"),ISNUMBER(L11),IFERROR(INDEX(Competitors!$M:$M,MATCH(B11,Competitors!$A:$A,0)),"no")="yes"),L11,"")</f>
        <v/>
      </c>
    </row>
    <row r="12" customFormat="false" ht="55.2" hidden="false" customHeight="false" outlineLevel="0" collapsed="false">
      <c r="A12" s="4" t="n">
        <v>6</v>
      </c>
      <c r="B12" s="4" t="s">
        <v>22</v>
      </c>
      <c r="C12" s="4" t="s">
        <v>108</v>
      </c>
      <c r="D12" s="4" t="s">
        <v>109</v>
      </c>
      <c r="E12" s="3" t="s">
        <v>110</v>
      </c>
      <c r="F12" s="5" t="n">
        <v>1.28</v>
      </c>
      <c r="G12" s="4" t="s">
        <v>67</v>
      </c>
      <c r="H12" s="4" t="s">
        <v>68</v>
      </c>
      <c r="I12" s="6" t="s">
        <v>69</v>
      </c>
      <c r="J12" s="7" t="n">
        <v>1</v>
      </c>
      <c r="K12" s="4" t="s">
        <v>70</v>
      </c>
      <c r="L12" s="8" t="n">
        <f aca="false">IF(ISNUMBER(F12),IF(H12="incl.",F12/(1+I12),F12)/IF(K12="per pack",J12,1),"")</f>
        <v>1.28</v>
      </c>
      <c r="M12" s="10" t="s">
        <v>87</v>
      </c>
      <c r="N12" s="4" t="s">
        <v>111</v>
      </c>
      <c r="O12" s="4" t="s">
        <v>73</v>
      </c>
      <c r="P12" s="8" t="n">
        <f aca="false">IF(AND(OR(M12="EXACT",M12="CLOSE"),ISNUMBER(L12),IFERROR(INDEX(Competitors!$M:$M,MATCH(B12,Competitors!$A:$A,0)),"no")="yes"),L12,"")</f>
        <v>1.28</v>
      </c>
    </row>
    <row r="13" customFormat="false" ht="41.75" hidden="false" customHeight="false" outlineLevel="0" collapsed="false">
      <c r="A13" s="4" t="n">
        <v>6</v>
      </c>
      <c r="B13" s="4" t="s">
        <v>39</v>
      </c>
      <c r="C13" s="4" t="s">
        <v>112</v>
      </c>
      <c r="D13" s="4" t="s">
        <v>105</v>
      </c>
      <c r="E13" s="3" t="s">
        <v>113</v>
      </c>
      <c r="F13" s="5" t="n">
        <v>18.72</v>
      </c>
      <c r="G13" s="4" t="s">
        <v>67</v>
      </c>
      <c r="H13" s="4" t="s">
        <v>77</v>
      </c>
      <c r="I13" s="6" t="n">
        <v>0.23</v>
      </c>
      <c r="J13" s="7" t="n">
        <v>1</v>
      </c>
      <c r="K13" s="4" t="s">
        <v>70</v>
      </c>
      <c r="L13" s="8" t="n">
        <f aca="false">IF(ISNUMBER(F13),IF(H13="incl.",F13/(1+I13),F13)/IF(K13="per pack",J13,1),"")</f>
        <v>15.219512195122</v>
      </c>
      <c r="M13" s="11" t="s">
        <v>102</v>
      </c>
      <c r="N13" s="4" t="s">
        <v>114</v>
      </c>
      <c r="O13" s="4" t="s">
        <v>73</v>
      </c>
      <c r="P13" s="8" t="str">
        <f aca="false">IF(AND(OR(M13="EXACT",M13="CLOSE"),ISNUMBER(L13),IFERROR(INDEX(Competitors!$M:$M,MATCH(B13,Competitors!$A:$A,0)),"no")="yes"),L13,"")</f>
        <v/>
      </c>
    </row>
    <row r="14" customFormat="false" ht="28.35" hidden="false" customHeight="false" outlineLevel="0" collapsed="false">
      <c r="A14" s="4" t="n">
        <v>7</v>
      </c>
      <c r="B14" s="4" t="s">
        <v>22</v>
      </c>
      <c r="C14" s="4" t="s">
        <v>115</v>
      </c>
      <c r="D14" s="4"/>
      <c r="E14" s="3" t="s">
        <v>116</v>
      </c>
      <c r="F14" s="5"/>
      <c r="G14" s="4"/>
      <c r="H14" s="4"/>
      <c r="I14" s="6"/>
      <c r="J14" s="7"/>
      <c r="K14" s="4"/>
      <c r="L14" s="8" t="str">
        <f aca="false">IF(ISNUMBER(F14),IF(H14="incl.",F14/(1+I14),F14)/IF(K14="per pack",J14,1),"")</f>
        <v/>
      </c>
      <c r="M14" s="4"/>
      <c r="N14" s="4" t="s">
        <v>117</v>
      </c>
      <c r="O14" s="4" t="s">
        <v>73</v>
      </c>
      <c r="P14" s="8" t="str">
        <f aca="false">IF(AND(OR(M14="EXACT",M14="CLOSE"),ISNUMBER(L14),IFERROR(INDEX(Competitors!$M:$M,MATCH(B14,Competitors!$A:$A,0)),"no")="yes"),L14,"")</f>
        <v/>
      </c>
    </row>
    <row r="15" customFormat="false" ht="28.35" hidden="false" customHeight="false" outlineLevel="0" collapsed="false">
      <c r="A15" s="4" t="n">
        <v>7</v>
      </c>
      <c r="B15" s="4" t="s">
        <v>39</v>
      </c>
      <c r="C15" s="4" t="s">
        <v>118</v>
      </c>
      <c r="D15" s="4" t="s">
        <v>75</v>
      </c>
      <c r="E15" s="3" t="s">
        <v>119</v>
      </c>
      <c r="F15" s="5" t="n">
        <v>6.54</v>
      </c>
      <c r="G15" s="4" t="s">
        <v>67</v>
      </c>
      <c r="H15" s="4" t="s">
        <v>77</v>
      </c>
      <c r="I15" s="6" t="n">
        <v>0.23</v>
      </c>
      <c r="J15" s="7" t="n">
        <v>1</v>
      </c>
      <c r="K15" s="4" t="s">
        <v>70</v>
      </c>
      <c r="L15" s="8" t="n">
        <f aca="false">IF(ISNUMBER(F15),IF(H15="incl.",F15/(1+I15),F15)/IF(K15="per pack",J15,1),"")</f>
        <v>5.31707317073171</v>
      </c>
      <c r="M15" s="11" t="s">
        <v>102</v>
      </c>
      <c r="N15" s="4" t="s">
        <v>120</v>
      </c>
      <c r="O15" s="4" t="s">
        <v>73</v>
      </c>
      <c r="P15" s="8" t="str">
        <f aca="false">IF(AND(OR(M15="EXACT",M15="CLOSE"),ISNUMBER(L15),IFERROR(INDEX(Competitors!$M:$M,MATCH(B15,Competitors!$A:$A,0)),"no")="yes"),L15,"")</f>
        <v/>
      </c>
    </row>
    <row r="16" customFormat="false" ht="55.2" hidden="false" customHeight="false" outlineLevel="0" collapsed="false">
      <c r="A16" s="4" t="n">
        <v>8</v>
      </c>
      <c r="B16" s="4" t="s">
        <v>22</v>
      </c>
      <c r="C16" s="4" t="s">
        <v>121</v>
      </c>
      <c r="D16" s="4" t="s">
        <v>65</v>
      </c>
      <c r="E16" s="3" t="s">
        <v>122</v>
      </c>
      <c r="F16" s="5" t="n">
        <v>19.42</v>
      </c>
      <c r="G16" s="4" t="s">
        <v>67</v>
      </c>
      <c r="H16" s="4" t="s">
        <v>68</v>
      </c>
      <c r="I16" s="6" t="s">
        <v>69</v>
      </c>
      <c r="J16" s="7" t="n">
        <v>1</v>
      </c>
      <c r="K16" s="4" t="s">
        <v>70</v>
      </c>
      <c r="L16" s="8" t="n">
        <f aca="false">IF(ISNUMBER(F16),IF(H16="incl.",F16/(1+I16),F16)/IF(K16="per pack",J16,1),"")</f>
        <v>19.42</v>
      </c>
      <c r="M16" s="11" t="s">
        <v>102</v>
      </c>
      <c r="N16" s="4" t="s">
        <v>123</v>
      </c>
      <c r="O16" s="4" t="s">
        <v>73</v>
      </c>
      <c r="P16" s="8" t="str">
        <f aca="false">IF(AND(OR(M16="EXACT",M16="CLOSE"),ISNUMBER(L16),IFERROR(INDEX(Competitors!$M:$M,MATCH(B16,Competitors!$A:$A,0)),"no")="yes"),L16,"")</f>
        <v/>
      </c>
    </row>
    <row r="17" customFormat="false" ht="41.75" hidden="false" customHeight="false" outlineLevel="0" collapsed="false">
      <c r="A17" s="4" t="n">
        <v>8</v>
      </c>
      <c r="B17" s="4" t="s">
        <v>39</v>
      </c>
      <c r="C17" s="4" t="s">
        <v>124</v>
      </c>
      <c r="D17" s="4" t="s">
        <v>75</v>
      </c>
      <c r="E17" s="3" t="s">
        <v>125</v>
      </c>
      <c r="F17" s="5" t="n">
        <v>26.69</v>
      </c>
      <c r="G17" s="4" t="s">
        <v>67</v>
      </c>
      <c r="H17" s="4" t="s">
        <v>77</v>
      </c>
      <c r="I17" s="6" t="n">
        <v>0.23</v>
      </c>
      <c r="J17" s="7" t="n">
        <v>1</v>
      </c>
      <c r="K17" s="4" t="s">
        <v>70</v>
      </c>
      <c r="L17" s="8" t="n">
        <f aca="false">IF(ISNUMBER(F17),IF(H17="incl.",F17/(1+I17),F17)/IF(K17="per pack",J17,1),"")</f>
        <v>21.6991869918699</v>
      </c>
      <c r="M17" s="11" t="s">
        <v>102</v>
      </c>
      <c r="N17" s="4" t="s">
        <v>126</v>
      </c>
      <c r="O17" s="4" t="s">
        <v>73</v>
      </c>
      <c r="P17" s="8" t="str">
        <f aca="false">IF(AND(OR(M17="EXACT",M17="CLOSE"),ISNUMBER(L17),IFERROR(INDEX(Competitors!$M:$M,MATCH(B17,Competitors!$A:$A,0)),"no")="yes"),L17,"")</f>
        <v/>
      </c>
    </row>
    <row r="18" customFormat="false" ht="68.65" hidden="false" customHeight="false" outlineLevel="0" collapsed="false">
      <c r="A18" s="4" t="n">
        <v>9</v>
      </c>
      <c r="B18" s="4" t="s">
        <v>22</v>
      </c>
      <c r="C18" s="4" t="s">
        <v>127</v>
      </c>
      <c r="D18" s="4" t="s">
        <v>128</v>
      </c>
      <c r="E18" s="3" t="s">
        <v>129</v>
      </c>
      <c r="F18" s="5" t="n">
        <v>20.35</v>
      </c>
      <c r="G18" s="4" t="s">
        <v>67</v>
      </c>
      <c r="H18" s="4" t="s">
        <v>68</v>
      </c>
      <c r="I18" s="6" t="s">
        <v>69</v>
      </c>
      <c r="J18" s="7" t="n">
        <v>1</v>
      </c>
      <c r="K18" s="4" t="s">
        <v>70</v>
      </c>
      <c r="L18" s="8" t="n">
        <f aca="false">IF(ISNUMBER(F18),IF(H18="incl.",F18/(1+I18),F18)/IF(K18="per pack",J18,1),"")</f>
        <v>20.35</v>
      </c>
      <c r="M18" s="10" t="s">
        <v>87</v>
      </c>
      <c r="N18" s="4" t="s">
        <v>130</v>
      </c>
      <c r="O18" s="4" t="s">
        <v>73</v>
      </c>
      <c r="P18" s="8" t="n">
        <f aca="false">IF(AND(OR(M18="EXACT",M18="CLOSE"),ISNUMBER(L18),IFERROR(INDEX(Competitors!$M:$M,MATCH(B18,Competitors!$A:$A,0)),"no")="yes"),L18,"")</f>
        <v>20.35</v>
      </c>
    </row>
    <row r="19" customFormat="false" ht="55.2" hidden="false" customHeight="false" outlineLevel="0" collapsed="false">
      <c r="A19" s="4" t="n">
        <v>9</v>
      </c>
      <c r="B19" s="4" t="s">
        <v>39</v>
      </c>
      <c r="C19" s="4" t="s">
        <v>131</v>
      </c>
      <c r="D19" s="4" t="s">
        <v>132</v>
      </c>
      <c r="E19" s="3" t="s">
        <v>133</v>
      </c>
      <c r="F19" s="5" t="n">
        <v>63.91</v>
      </c>
      <c r="G19" s="4" t="s">
        <v>67</v>
      </c>
      <c r="H19" s="4" t="s">
        <v>77</v>
      </c>
      <c r="I19" s="6" t="n">
        <v>0.23</v>
      </c>
      <c r="J19" s="7" t="n">
        <v>1</v>
      </c>
      <c r="K19" s="4" t="s">
        <v>70</v>
      </c>
      <c r="L19" s="8" t="n">
        <f aca="false">IF(ISNUMBER(F19),IF(H19="incl.",F19/(1+I19),F19)/IF(K19="per pack",J19,1),"")</f>
        <v>51.9593495934959</v>
      </c>
      <c r="M19" s="10" t="s">
        <v>87</v>
      </c>
      <c r="N19" s="4" t="s">
        <v>134</v>
      </c>
      <c r="O19" s="4" t="s">
        <v>73</v>
      </c>
      <c r="P19" s="8" t="n">
        <f aca="false">IF(AND(OR(M19="EXACT",M19="CLOSE"),ISNUMBER(L19),IFERROR(INDEX(Competitors!$M:$M,MATCH(B19,Competitors!$A:$A,0)),"no")="yes"),L19,"")</f>
        <v>51.9593495934959</v>
      </c>
    </row>
    <row r="20" customFormat="false" ht="55.2" hidden="false" customHeight="false" outlineLevel="0" collapsed="false">
      <c r="A20" s="4" t="n">
        <v>10</v>
      </c>
      <c r="B20" s="4" t="s">
        <v>22</v>
      </c>
      <c r="C20" s="4" t="s">
        <v>135</v>
      </c>
      <c r="D20" s="4" t="s">
        <v>136</v>
      </c>
      <c r="E20" s="3" t="s">
        <v>137</v>
      </c>
      <c r="F20" s="5" t="n">
        <v>32.85</v>
      </c>
      <c r="G20" s="4" t="s">
        <v>67</v>
      </c>
      <c r="H20" s="4" t="s">
        <v>68</v>
      </c>
      <c r="I20" s="6" t="s">
        <v>69</v>
      </c>
      <c r="J20" s="7" t="n">
        <v>1</v>
      </c>
      <c r="K20" s="4" t="s">
        <v>70</v>
      </c>
      <c r="L20" s="8" t="n">
        <f aca="false">IF(ISNUMBER(F20),IF(H20="incl.",F20/(1+I20),F20)/IF(K20="per pack",J20,1),"")</f>
        <v>32.85</v>
      </c>
      <c r="M20" s="9" t="s">
        <v>71</v>
      </c>
      <c r="N20" s="4" t="s">
        <v>138</v>
      </c>
      <c r="O20" s="4" t="s">
        <v>73</v>
      </c>
      <c r="P20" s="8" t="n">
        <f aca="false">IF(AND(OR(M20="EXACT",M20="CLOSE"),ISNUMBER(L20),IFERROR(INDEX(Competitors!$M:$M,MATCH(B20,Competitors!$A:$A,0)),"no")="yes"),L20,"")</f>
        <v>32.85</v>
      </c>
    </row>
    <row r="21" customFormat="false" ht="28.35" hidden="false" customHeight="false" outlineLevel="0" collapsed="false">
      <c r="A21" s="4" t="n">
        <v>10</v>
      </c>
      <c r="B21" s="4" t="s">
        <v>39</v>
      </c>
      <c r="C21" s="4" t="s">
        <v>139</v>
      </c>
      <c r="D21" s="4" t="s">
        <v>132</v>
      </c>
      <c r="E21" s="3" t="s">
        <v>140</v>
      </c>
      <c r="F21" s="5" t="n">
        <v>93.51</v>
      </c>
      <c r="G21" s="4" t="s">
        <v>67</v>
      </c>
      <c r="H21" s="4" t="s">
        <v>77</v>
      </c>
      <c r="I21" s="6" t="n">
        <v>0.23</v>
      </c>
      <c r="J21" s="7" t="n">
        <v>1</v>
      </c>
      <c r="K21" s="4" t="s">
        <v>70</v>
      </c>
      <c r="L21" s="8" t="n">
        <f aca="false">IF(ISNUMBER(F21),IF(H21="incl.",F21/(1+I21),F21)/IF(K21="per pack",J21,1),"")</f>
        <v>76.0243902439025</v>
      </c>
      <c r="M21" s="11" t="s">
        <v>102</v>
      </c>
      <c r="N21" s="4" t="s">
        <v>141</v>
      </c>
      <c r="O21" s="4" t="s">
        <v>73</v>
      </c>
      <c r="P21" s="8" t="str">
        <f aca="false">IF(AND(OR(M21="EXACT",M21="CLOSE"),ISNUMBER(L21),IFERROR(INDEX(Competitors!$M:$M,MATCH(B21,Competitors!$A:$A,0)),"no")="yes"),L21,"")</f>
        <v/>
      </c>
    </row>
    <row r="22" customFormat="false" ht="41.75" hidden="false" customHeight="false" outlineLevel="0" collapsed="false">
      <c r="A22" s="4" t="n">
        <v>11</v>
      </c>
      <c r="B22" s="4" t="s">
        <v>22</v>
      </c>
      <c r="C22" s="4" t="s">
        <v>142</v>
      </c>
      <c r="D22" s="4" t="s">
        <v>128</v>
      </c>
      <c r="E22" s="3" t="s">
        <v>143</v>
      </c>
      <c r="F22" s="5" t="n">
        <v>6.18</v>
      </c>
      <c r="G22" s="4" t="s">
        <v>67</v>
      </c>
      <c r="H22" s="4" t="s">
        <v>68</v>
      </c>
      <c r="I22" s="6" t="s">
        <v>69</v>
      </c>
      <c r="J22" s="7" t="n">
        <v>1</v>
      </c>
      <c r="K22" s="4" t="s">
        <v>70</v>
      </c>
      <c r="L22" s="8" t="n">
        <f aca="false">IF(ISNUMBER(F22),IF(H22="incl.",F22/(1+I22),F22)/IF(K22="per pack",J22,1),"")</f>
        <v>6.18</v>
      </c>
      <c r="M22" s="10" t="s">
        <v>87</v>
      </c>
      <c r="N22" s="4" t="s">
        <v>144</v>
      </c>
      <c r="O22" s="4" t="s">
        <v>73</v>
      </c>
      <c r="P22" s="8" t="n">
        <f aca="false">IF(AND(OR(M22="EXACT",M22="CLOSE"),ISNUMBER(L22),IFERROR(INDEX(Competitors!$M:$M,MATCH(B22,Competitors!$A:$A,0)),"no")="yes"),L22,"")</f>
        <v>6.18</v>
      </c>
    </row>
    <row r="23" customFormat="false" ht="41.75" hidden="false" customHeight="false" outlineLevel="0" collapsed="false">
      <c r="A23" s="4" t="n">
        <v>11</v>
      </c>
      <c r="B23" s="4" t="s">
        <v>39</v>
      </c>
      <c r="C23" s="4" t="s">
        <v>145</v>
      </c>
      <c r="D23" s="4" t="s">
        <v>128</v>
      </c>
      <c r="E23" s="3" t="s">
        <v>146</v>
      </c>
      <c r="F23" s="5" t="n">
        <v>8.61</v>
      </c>
      <c r="G23" s="4" t="s">
        <v>67</v>
      </c>
      <c r="H23" s="4" t="s">
        <v>77</v>
      </c>
      <c r="I23" s="6" t="n">
        <v>0.23</v>
      </c>
      <c r="J23" s="7" t="n">
        <v>1</v>
      </c>
      <c r="K23" s="4" t="s">
        <v>70</v>
      </c>
      <c r="L23" s="8" t="n">
        <f aca="false">IF(ISNUMBER(F23),IF(H23="incl.",F23/(1+I23),F23)/IF(K23="per pack",J23,1),"")</f>
        <v>7</v>
      </c>
      <c r="M23" s="10" t="s">
        <v>87</v>
      </c>
      <c r="N23" s="4" t="s">
        <v>147</v>
      </c>
      <c r="O23" s="4" t="s">
        <v>73</v>
      </c>
      <c r="P23" s="8" t="n">
        <f aca="false">IF(AND(OR(M23="EXACT",M23="CLOSE"),ISNUMBER(L23),IFERROR(INDEX(Competitors!$M:$M,MATCH(B23,Competitors!$A:$A,0)),"no")="yes"),L23,"")</f>
        <v>7</v>
      </c>
    </row>
    <row r="24" customFormat="false" ht="68.65" hidden="false" customHeight="false" outlineLevel="0" collapsed="false">
      <c r="A24" s="4" t="n">
        <v>12</v>
      </c>
      <c r="B24" s="4" t="s">
        <v>22</v>
      </c>
      <c r="C24" s="4" t="s">
        <v>148</v>
      </c>
      <c r="D24" s="4" t="s">
        <v>128</v>
      </c>
      <c r="E24" s="3" t="s">
        <v>149</v>
      </c>
      <c r="F24" s="5" t="n">
        <v>12.65</v>
      </c>
      <c r="G24" s="4" t="s">
        <v>67</v>
      </c>
      <c r="H24" s="4" t="s">
        <v>68</v>
      </c>
      <c r="I24" s="6" t="s">
        <v>69</v>
      </c>
      <c r="J24" s="7" t="n">
        <v>1</v>
      </c>
      <c r="K24" s="4" t="s">
        <v>70</v>
      </c>
      <c r="L24" s="8" t="n">
        <f aca="false">IF(ISNUMBER(F24),IF(H24="incl.",F24/(1+I24),F24)/IF(K24="per pack",J24,1),"")</f>
        <v>12.65</v>
      </c>
      <c r="M24" s="10" t="s">
        <v>87</v>
      </c>
      <c r="N24" s="4" t="s">
        <v>150</v>
      </c>
      <c r="O24" s="4" t="s">
        <v>73</v>
      </c>
      <c r="P24" s="8" t="n">
        <f aca="false">IF(AND(OR(M24="EXACT",M24="CLOSE"),ISNUMBER(L24),IFERROR(INDEX(Competitors!$M:$M,MATCH(B24,Competitors!$A:$A,0)),"no")="yes"),L24,"")</f>
        <v>12.65</v>
      </c>
    </row>
    <row r="25" customFormat="false" ht="28.35" hidden="false" customHeight="false" outlineLevel="0" collapsed="false">
      <c r="A25" s="4" t="n">
        <v>12</v>
      </c>
      <c r="B25" s="4" t="s">
        <v>39</v>
      </c>
      <c r="C25" s="4" t="s">
        <v>151</v>
      </c>
      <c r="D25" s="4" t="s">
        <v>75</v>
      </c>
      <c r="E25" s="3" t="s">
        <v>152</v>
      </c>
      <c r="F25" s="5" t="n">
        <v>22.96</v>
      </c>
      <c r="G25" s="4" t="s">
        <v>67</v>
      </c>
      <c r="H25" s="4" t="s">
        <v>77</v>
      </c>
      <c r="I25" s="6" t="n">
        <v>0.23</v>
      </c>
      <c r="J25" s="7" t="n">
        <v>1</v>
      </c>
      <c r="K25" s="4" t="s">
        <v>70</v>
      </c>
      <c r="L25" s="8" t="n">
        <f aca="false">IF(ISNUMBER(F25),IF(H25="incl.",F25/(1+I25),F25)/IF(K25="per pack",J25,1),"")</f>
        <v>18.6666666666667</v>
      </c>
      <c r="M25" s="9" t="s">
        <v>71</v>
      </c>
      <c r="N25" s="4" t="s">
        <v>153</v>
      </c>
      <c r="O25" s="4" t="s">
        <v>73</v>
      </c>
      <c r="P25" s="8" t="n">
        <f aca="false">IF(AND(OR(M25="EXACT",M25="CLOSE"),ISNUMBER(L25),IFERROR(INDEX(Competitors!$M:$M,MATCH(B25,Competitors!$A:$A,0)),"no")="yes"),L25,"")</f>
        <v>18.6666666666667</v>
      </c>
    </row>
    <row r="26" customFormat="false" ht="41.75" hidden="false" customHeight="false" outlineLevel="0" collapsed="false">
      <c r="A26" s="4" t="n">
        <v>13</v>
      </c>
      <c r="B26" s="4" t="s">
        <v>22</v>
      </c>
      <c r="C26" s="4" t="s">
        <v>154</v>
      </c>
      <c r="D26" s="4" t="s">
        <v>65</v>
      </c>
      <c r="E26" s="3" t="s">
        <v>155</v>
      </c>
      <c r="F26" s="5" t="n">
        <v>11.7</v>
      </c>
      <c r="G26" s="4" t="s">
        <v>67</v>
      </c>
      <c r="H26" s="4" t="s">
        <v>68</v>
      </c>
      <c r="I26" s="6" t="s">
        <v>69</v>
      </c>
      <c r="J26" s="7" t="n">
        <v>1</v>
      </c>
      <c r="K26" s="4" t="s">
        <v>70</v>
      </c>
      <c r="L26" s="8" t="n">
        <f aca="false">IF(ISNUMBER(F26),IF(H26="incl.",F26/(1+I26),F26)/IF(K26="per pack",J26,1),"")</f>
        <v>11.7</v>
      </c>
      <c r="M26" s="9" t="s">
        <v>71</v>
      </c>
      <c r="N26" s="4" t="s">
        <v>156</v>
      </c>
      <c r="O26" s="4" t="s">
        <v>73</v>
      </c>
      <c r="P26" s="8" t="n">
        <f aca="false">IF(AND(OR(M26="EXACT",M26="CLOSE"),ISNUMBER(L26),IFERROR(INDEX(Competitors!$M:$M,MATCH(B26,Competitors!$A:$A,0)),"no")="yes"),L26,"")</f>
        <v>11.7</v>
      </c>
    </row>
    <row r="27" customFormat="false" ht="28.35" hidden="false" customHeight="false" outlineLevel="0" collapsed="false">
      <c r="A27" s="4" t="n">
        <v>13</v>
      </c>
      <c r="B27" s="4" t="s">
        <v>39</v>
      </c>
      <c r="C27" s="4" t="s">
        <v>157</v>
      </c>
      <c r="D27" s="4" t="s">
        <v>75</v>
      </c>
      <c r="E27" s="3" t="s">
        <v>158</v>
      </c>
      <c r="F27" s="5" t="n">
        <v>13.61</v>
      </c>
      <c r="G27" s="4" t="s">
        <v>67</v>
      </c>
      <c r="H27" s="4" t="s">
        <v>77</v>
      </c>
      <c r="I27" s="6" t="n">
        <v>0.23</v>
      </c>
      <c r="J27" s="7" t="n">
        <v>1</v>
      </c>
      <c r="K27" s="4" t="s">
        <v>70</v>
      </c>
      <c r="L27" s="8" t="n">
        <f aca="false">IF(ISNUMBER(F27),IF(H27="incl.",F27/(1+I27),F27)/IF(K27="per pack",J27,1),"")</f>
        <v>11.0650406504065</v>
      </c>
      <c r="M27" s="9" t="s">
        <v>71</v>
      </c>
      <c r="N27" s="4" t="s">
        <v>159</v>
      </c>
      <c r="O27" s="4" t="s">
        <v>73</v>
      </c>
      <c r="P27" s="8" t="n">
        <f aca="false">IF(AND(OR(M27="EXACT",M27="CLOSE"),ISNUMBER(L27),IFERROR(INDEX(Competitors!$M:$M,MATCH(B27,Competitors!$A:$A,0)),"no")="yes"),L27,"")</f>
        <v>11.0650406504065</v>
      </c>
    </row>
    <row r="28" customFormat="false" ht="41.75" hidden="false" customHeight="false" outlineLevel="0" collapsed="false">
      <c r="A28" s="4" t="n">
        <v>14</v>
      </c>
      <c r="B28" s="4" t="s">
        <v>22</v>
      </c>
      <c r="C28" s="4" t="s">
        <v>160</v>
      </c>
      <c r="D28" s="4" t="s">
        <v>65</v>
      </c>
      <c r="E28" s="3" t="s">
        <v>161</v>
      </c>
      <c r="F28" s="5" t="n">
        <v>15.21</v>
      </c>
      <c r="G28" s="4" t="s">
        <v>67</v>
      </c>
      <c r="H28" s="4" t="s">
        <v>68</v>
      </c>
      <c r="I28" s="6" t="s">
        <v>69</v>
      </c>
      <c r="J28" s="7" t="n">
        <v>1</v>
      </c>
      <c r="K28" s="4" t="s">
        <v>70</v>
      </c>
      <c r="L28" s="8" t="n">
        <f aca="false">IF(ISNUMBER(F28),IF(H28="incl.",F28/(1+I28),F28)/IF(K28="per pack",J28,1),"")</f>
        <v>15.21</v>
      </c>
      <c r="M28" s="9" t="s">
        <v>71</v>
      </c>
      <c r="N28" s="4" t="s">
        <v>162</v>
      </c>
      <c r="O28" s="4" t="s">
        <v>73</v>
      </c>
      <c r="P28" s="8" t="n">
        <f aca="false">IF(AND(OR(M28="EXACT",M28="CLOSE"),ISNUMBER(L28),IFERROR(INDEX(Competitors!$M:$M,MATCH(B28,Competitors!$A:$A,0)),"no")="yes"),L28,"")</f>
        <v>15.21</v>
      </c>
    </row>
    <row r="29" customFormat="false" ht="28.35" hidden="false" customHeight="false" outlineLevel="0" collapsed="false">
      <c r="A29" s="4" t="n">
        <v>14</v>
      </c>
      <c r="B29" s="4" t="s">
        <v>39</v>
      </c>
      <c r="C29" s="4" t="s">
        <v>163</v>
      </c>
      <c r="D29" s="4" t="s">
        <v>164</v>
      </c>
      <c r="E29" s="3" t="s">
        <v>165</v>
      </c>
      <c r="F29" s="5" t="n">
        <v>12.3</v>
      </c>
      <c r="G29" s="4" t="s">
        <v>67</v>
      </c>
      <c r="H29" s="4" t="s">
        <v>77</v>
      </c>
      <c r="I29" s="6" t="n">
        <v>0.23</v>
      </c>
      <c r="J29" s="7" t="n">
        <v>1</v>
      </c>
      <c r="K29" s="4" t="s">
        <v>70</v>
      </c>
      <c r="L29" s="8" t="n">
        <f aca="false">IF(ISNUMBER(F29),IF(H29="incl.",F29/(1+I29),F29)/IF(K29="per pack",J29,1),"")</f>
        <v>10</v>
      </c>
      <c r="M29" s="11" t="s">
        <v>102</v>
      </c>
      <c r="N29" s="4" t="s">
        <v>166</v>
      </c>
      <c r="O29" s="4" t="s">
        <v>73</v>
      </c>
      <c r="P29" s="8" t="str">
        <f aca="false">IF(AND(OR(M29="EXACT",M29="CLOSE"),ISNUMBER(L29),IFERROR(INDEX(Competitors!$M:$M,MATCH(B29,Competitors!$A:$A,0)),"no")="yes"),L29,"")</f>
        <v/>
      </c>
    </row>
    <row r="30" customFormat="false" ht="28.35" hidden="false" customHeight="false" outlineLevel="0" collapsed="false">
      <c r="A30" s="4" t="n">
        <v>15</v>
      </c>
      <c r="B30" s="4" t="s">
        <v>22</v>
      </c>
      <c r="C30" s="4" t="s">
        <v>167</v>
      </c>
      <c r="D30" s="4" t="s">
        <v>168</v>
      </c>
      <c r="E30" s="3" t="s">
        <v>169</v>
      </c>
      <c r="F30" s="5" t="n">
        <v>228.24</v>
      </c>
      <c r="G30" s="4" t="s">
        <v>67</v>
      </c>
      <c r="H30" s="4" t="s">
        <v>68</v>
      </c>
      <c r="I30" s="6" t="s">
        <v>69</v>
      </c>
      <c r="J30" s="7" t="n">
        <v>1</v>
      </c>
      <c r="K30" s="4" t="s">
        <v>70</v>
      </c>
      <c r="L30" s="8" t="n">
        <f aca="false">IF(ISNUMBER(F30),IF(H30="incl.",F30/(1+I30),F30)/IF(K30="per pack",J30,1),"")</f>
        <v>228.24</v>
      </c>
      <c r="M30" s="9" t="s">
        <v>71</v>
      </c>
      <c r="N30" s="4" t="s">
        <v>170</v>
      </c>
      <c r="O30" s="4" t="s">
        <v>73</v>
      </c>
      <c r="P30" s="8" t="n">
        <f aca="false">IF(AND(OR(M30="EXACT",M30="CLOSE"),ISNUMBER(L30),IFERROR(INDEX(Competitors!$M:$M,MATCH(B30,Competitors!$A:$A,0)),"no")="yes"),L30,"")</f>
        <v>228.24</v>
      </c>
    </row>
    <row r="31" customFormat="false" ht="55.2" hidden="false" customHeight="false" outlineLevel="0" collapsed="false">
      <c r="A31" s="4" t="n">
        <v>15</v>
      </c>
      <c r="B31" s="4" t="s">
        <v>39</v>
      </c>
      <c r="C31" s="4" t="s">
        <v>171</v>
      </c>
      <c r="D31" s="4" t="s">
        <v>168</v>
      </c>
      <c r="E31" s="3" t="s">
        <v>172</v>
      </c>
      <c r="F31" s="5" t="n">
        <v>228.78</v>
      </c>
      <c r="G31" s="4" t="s">
        <v>67</v>
      </c>
      <c r="H31" s="4" t="s">
        <v>77</v>
      </c>
      <c r="I31" s="6" t="n">
        <v>0.23</v>
      </c>
      <c r="J31" s="7" t="n">
        <v>1</v>
      </c>
      <c r="K31" s="4" t="s">
        <v>70</v>
      </c>
      <c r="L31" s="8" t="n">
        <f aca="false">IF(ISNUMBER(F31),IF(H31="incl.",F31/(1+I31),F31)/IF(K31="per pack",J31,1),"")</f>
        <v>186</v>
      </c>
      <c r="M31" s="10" t="s">
        <v>87</v>
      </c>
      <c r="N31" s="4" t="s">
        <v>173</v>
      </c>
      <c r="O31" s="4" t="s">
        <v>73</v>
      </c>
      <c r="P31" s="8" t="n">
        <f aca="false">IF(AND(OR(M31="EXACT",M31="CLOSE"),ISNUMBER(L31),IFERROR(INDEX(Competitors!$M:$M,MATCH(B31,Competitors!$A:$A,0)),"no")="yes"),L31,"")</f>
        <v>186</v>
      </c>
    </row>
    <row r="32" customFormat="false" ht="55.2" hidden="false" customHeight="false" outlineLevel="0" collapsed="false">
      <c r="A32" s="4" t="n">
        <v>16</v>
      </c>
      <c r="B32" s="4" t="s">
        <v>22</v>
      </c>
      <c r="C32" s="4" t="s">
        <v>174</v>
      </c>
      <c r="D32" s="4" t="s">
        <v>128</v>
      </c>
      <c r="E32" s="3" t="s">
        <v>175</v>
      </c>
      <c r="F32" s="5" t="n">
        <v>4.88</v>
      </c>
      <c r="G32" s="4" t="s">
        <v>67</v>
      </c>
      <c r="H32" s="4" t="s">
        <v>68</v>
      </c>
      <c r="I32" s="6" t="s">
        <v>69</v>
      </c>
      <c r="J32" s="7" t="n">
        <v>1</v>
      </c>
      <c r="K32" s="4" t="s">
        <v>70</v>
      </c>
      <c r="L32" s="8" t="n">
        <f aca="false">IF(ISNUMBER(F32),IF(H32="incl.",F32/(1+I32),F32)/IF(K32="per pack",J32,1),"")</f>
        <v>4.88</v>
      </c>
      <c r="M32" s="11" t="s">
        <v>102</v>
      </c>
      <c r="N32" s="4" t="s">
        <v>176</v>
      </c>
      <c r="O32" s="4" t="s">
        <v>73</v>
      </c>
      <c r="P32" s="8" t="str">
        <f aca="false">IF(AND(OR(M32="EXACT",M32="CLOSE"),ISNUMBER(L32),IFERROR(INDEX(Competitors!$M:$M,MATCH(B32,Competitors!$A:$A,0)),"no")="yes"),L32,"")</f>
        <v/>
      </c>
    </row>
    <row r="33" customFormat="false" ht="41.75" hidden="false" customHeight="false" outlineLevel="0" collapsed="false">
      <c r="A33" s="4" t="n">
        <v>16</v>
      </c>
      <c r="B33" s="4" t="s">
        <v>39</v>
      </c>
      <c r="C33" s="4" t="s">
        <v>177</v>
      </c>
      <c r="D33" s="4" t="s">
        <v>178</v>
      </c>
      <c r="E33" s="3" t="s">
        <v>179</v>
      </c>
      <c r="F33" s="5" t="n">
        <v>11.47</v>
      </c>
      <c r="G33" s="4" t="s">
        <v>67</v>
      </c>
      <c r="H33" s="4" t="s">
        <v>77</v>
      </c>
      <c r="I33" s="6" t="n">
        <v>0.23</v>
      </c>
      <c r="J33" s="7" t="n">
        <v>1</v>
      </c>
      <c r="K33" s="4" t="s">
        <v>70</v>
      </c>
      <c r="L33" s="8" t="n">
        <f aca="false">IF(ISNUMBER(F33),IF(H33="incl.",F33/(1+I33),F33)/IF(K33="per pack",J33,1),"")</f>
        <v>9.32520325203252</v>
      </c>
      <c r="M33" s="11" t="s">
        <v>102</v>
      </c>
      <c r="N33" s="4" t="s">
        <v>180</v>
      </c>
      <c r="O33" s="4" t="s">
        <v>73</v>
      </c>
      <c r="P33" s="8" t="str">
        <f aca="false">IF(AND(OR(M33="EXACT",M33="CLOSE"),ISNUMBER(L33),IFERROR(INDEX(Competitors!$M:$M,MATCH(B33,Competitors!$A:$A,0)),"no")="yes"),L33,"")</f>
        <v/>
      </c>
    </row>
    <row r="34" customFormat="false" ht="41.75" hidden="false" customHeight="false" outlineLevel="0" collapsed="false">
      <c r="A34" s="4" t="n">
        <v>17</v>
      </c>
      <c r="B34" s="4" t="s">
        <v>22</v>
      </c>
      <c r="C34" s="4" t="s">
        <v>115</v>
      </c>
      <c r="D34" s="4"/>
      <c r="E34" s="3" t="s">
        <v>181</v>
      </c>
      <c r="F34" s="5"/>
      <c r="G34" s="4"/>
      <c r="H34" s="4"/>
      <c r="I34" s="6"/>
      <c r="J34" s="7"/>
      <c r="K34" s="4"/>
      <c r="L34" s="8" t="str">
        <f aca="false">IF(ISNUMBER(F34),IF(H34="incl.",F34/(1+I34),F34)/IF(K34="per pack",J34,1),"")</f>
        <v/>
      </c>
      <c r="M34" s="4"/>
      <c r="N34" s="4" t="s">
        <v>182</v>
      </c>
      <c r="O34" s="4" t="s">
        <v>73</v>
      </c>
      <c r="P34" s="8" t="str">
        <f aca="false">IF(AND(OR(M34="EXACT",M34="CLOSE"),ISNUMBER(L34),IFERROR(INDEX(Competitors!$M:$M,MATCH(B34,Competitors!$A:$A,0)),"no")="yes"),L34,"")</f>
        <v/>
      </c>
    </row>
    <row r="35" customFormat="false" ht="41.75" hidden="false" customHeight="false" outlineLevel="0" collapsed="false">
      <c r="A35" s="4" t="n">
        <v>17</v>
      </c>
      <c r="B35" s="4" t="s">
        <v>39</v>
      </c>
      <c r="C35" s="4" t="s">
        <v>115</v>
      </c>
      <c r="D35" s="4"/>
      <c r="E35" s="3" t="s">
        <v>183</v>
      </c>
      <c r="F35" s="5"/>
      <c r="G35" s="4"/>
      <c r="H35" s="4"/>
      <c r="I35" s="6"/>
      <c r="J35" s="7"/>
      <c r="K35" s="4"/>
      <c r="L35" s="8" t="str">
        <f aca="false">IF(ISNUMBER(F35),IF(H35="incl.",F35/(1+I35),F35)/IF(K35="per pack",J35,1),"")</f>
        <v/>
      </c>
      <c r="M35" s="4"/>
      <c r="N35" s="4" t="s">
        <v>184</v>
      </c>
      <c r="O35" s="4" t="s">
        <v>73</v>
      </c>
      <c r="P35" s="8" t="str">
        <f aca="false">IF(AND(OR(M35="EXACT",M35="CLOSE"),ISNUMBER(L35),IFERROR(INDEX(Competitors!$M:$M,MATCH(B35,Competitors!$A:$A,0)),"no")="yes"),L35,"")</f>
        <v/>
      </c>
    </row>
  </sheetData>
  <autoFilter ref="A1:P35"/>
  <hyperlinks>
    <hyperlink ref="E2" r:id="rId2" display="https://gastromania.sk/gastronadoby-polykarbonatove/polykarbonatova-gastronadoba-gn1-1-65-mm-contacto-8211-065"/>
    <hyperlink ref="E3" r:id="rId3" display="https://www.gastrozone.sk/araven-gn-box-1-1-polykarbonat-hloubka-65-mm-objem-8-6-l.html"/>
    <hyperlink ref="E4" r:id="rId4" display="https://gastromania.sk/gastronadoby-polykarbonatove/polykarbonatova-gastronadoba-gn1-2-150-mm-contacto-8212-150"/>
    <hyperlink ref="E5" r:id="rId5" display="https://www.gastrozone.sk/araven-gn-nadoba-1-2-polykarbonat-hloubka-150-mm-objem-8-l.html"/>
    <hyperlink ref="E6" r:id="rId6" display="https://gastromania.sk/gastronadoby-polypropylenove/gastronadoba-z-polypropylenu-gn-1-3-100-mm-contacto-5013-100"/>
    <hyperlink ref="E7" r:id="rId7" display="https://www.gastrozone.sk/pujadas-gastro-nadoba-gn-1-3-polyprepylen-v-100-mm-176x325-mm.html"/>
    <hyperlink ref="E8" r:id="rId8" display="https://gastromania.sk/veka-gn-polypropylenove/veko-z-polypropylenu-pre-gn1-1-5511-contacto-5511-532"/>
    <hyperlink ref="E9" r:id="rId9" display="https://www.gastrozone.sk/pujadas-veko-ku-gastronadobe-1-1-polyprepylen.html"/>
    <hyperlink ref="E10" r:id="rId10" display="https://gastromania.sk/davkovace-omacok/flasa-na-omacky-0-475-ml-neumarker-fifo"/>
    <hyperlink ref="E11" r:id="rId11" display="https://www.gastrozone.sk/fasa-mackacie-s-uzatvaranim-0-5-l-odolna-od-40c-do-95c-transparentne-pre-styk-s-potravinama-schneider-10313.html"/>
    <hyperlink ref="E12" r:id="rId12" display="https://gastromania.sk/davkovace-omacok/davkovac-omacok-1025-ml-zlty-tom-gast-ma-957"/>
    <hyperlink ref="E13" r:id="rId13" display="https://www.gastrozone.sk/schneider-davkovaci-mackaci-lahev-1000-ml-transparentni.html"/>
    <hyperlink ref="E14" r:id="rId14" display="https://gastromania.sk/products/search/language:slo?q=d%C3%A1vkova%C4%8D+om%C3%A1%C4%8Dok+3+otvory"/>
    <hyperlink ref="E15" r:id="rId15" display="https://www.gastrozone.sk/araven-lahvicka-na-stlaceni-ldpe-o-80-mm-vyska-253-mm-objem-0-75-l-3-trysky.html"/>
    <hyperlink ref="E16" r:id="rId16" display="https://gastromania.sk/davkovace-omacok/polyproplylenovy-davkovac-omacok-1-5-l-130x90x290-mm-contacto-1324-150"/>
    <hyperlink ref="E17" r:id="rId17" display="https://www.gastrozone.sk/araven-gn-davkovac-omacek-1-6-polypropylen-obsah-2-6-l.html"/>
    <hyperlink ref="E18" r:id="rId18" display="https://gastromania.sk/plastove-krajacie-dosky-haccp/doska-na-krajanie-haccp-gn-1-1-fialova-hendi-826065"/>
    <hyperlink ref="E19" r:id="rId19" display="https://www.gastrozone.sk/gastro-dosticka-na-krajanie-plastova-53x32-5x2-cm-gn-1-1-s-drazkou-biela.html"/>
    <hyperlink ref="E20" r:id="rId20" display="https://gastromania.sk/plastove-krajacie-dosky-haccp/doska-na-krajanie-600x400x20-mm-cervena-bartscher-60x40-r"/>
    <hyperlink ref="E21" r:id="rId21" display="https://www.gastrozone.sk/gastrodosticka-na-krajanie-plastova-60x40x3-cm-s-drazkou-biela.html"/>
    <hyperlink ref="E22" r:id="rId22" display="https://gastromania.sk/plastove-krajacie-dosky-biele/doska-na-krajanie-s-drzadlom-300x200x10-mm-biela-hendi-826355"/>
    <hyperlink ref="E23" r:id="rId23" display="https://www.gastrozone.sk/viceucelove-krajeci-prkenko-s-rukojeti-hendi-bila-300x200mm-obdelnikove.html"/>
    <hyperlink ref="E24" r:id="rId24" display="https://gastromania.sk/nadoby-na-pizza-cesto/nadoba-na-cesto-na-pizzu-600x400x95-mm-hendi-880913"/>
    <hyperlink ref="E25" r:id="rId25" display="https://www.gastrozone.sk/araven-pizzabox-pp-vyska-100-mm-delka-600-mm-sirka-400-mm.html"/>
    <hyperlink ref="E26" r:id="rId26" display="https://gastromania.sk/veka-na-nadoby-na-cesto/veko-na-nadobu-2510-600-contacto-2510-601"/>
    <hyperlink ref="E27" r:id="rId27" display="https://www.gastrozone.sk/araven-viko-k-pizzove-krabici-z-pp-delka-600-mm-sirka-400-mm.html"/>
    <hyperlink ref="E28" r:id="rId28" display="https://gastromania.sk/nadoby-na-pizza-cesto/nadoba-na-pizza-cesto-600x400x75-mm-contacto-2510-600"/>
    <hyperlink ref="E29" r:id="rId29" display="https://www.gastrozone.sk/nadoba-na-pizza-testo-600x400-amerbox-kitchen-line-14l-600x400x-h-75mm.html"/>
    <hyperlink ref="E30" r:id="rId30" display="https://gastromania.sk/termoizolacne/termobox-s-prednym-plnenim-pre-gn-cambro-r-epp400"/>
    <hyperlink ref="E31" r:id="rId31" display="https://www.gastrozone.sk/cambro-termoport-86-l-bocni-plneni.html"/>
    <hyperlink ref="E32" r:id="rId32" display="https://gastromania.sk/obdlznikove-jedalne-podnosy/tacka-z-polypropylenu-fast-food-350x450-mm-seda-hendi-878804"/>
    <hyperlink ref="E33" r:id="rId33" display="https://www.gastrozone.sk/aps-fast-food-tablett-gn-1-1-hnede-vyska-20-mm-delka-530-mm-sirka-325-mm.html"/>
    <hyperlink ref="E34" r:id="rId34" display="https://gastromania.sk/products/search/language:slo?q=termoizola%C4%8Dn%C3%BD+podnos"/>
    <hyperlink ref="E35" r:id="rId35" display="https://www.gastrozone.sk/vyhladavanie/?text=termoizola%C4%8Dn%C3%BD+podn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"/>
  <legacyDrawing r:id="rId3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6" min="4" style="0" width="14"/>
  </cols>
  <sheetData>
    <row r="1" customFormat="false" ht="42" hidden="false" customHeight="true" outlineLevel="0" collapsed="false">
      <c r="A1" s="1" t="s">
        <v>49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</row>
    <row r="2" customFormat="false" ht="15" hidden="false" customHeight="false" outlineLevel="0" collapsed="false">
      <c r="A2" s="2" t="n">
        <v>1</v>
      </c>
      <c r="B2" s="2" t="s">
        <v>190</v>
      </c>
      <c r="C2" s="2" t="n">
        <f aca="false">COUNTIFS(Prices!$A$2:$A$35,A2,Prices!$P$2:$P$35,"&gt;0")</f>
        <v>2</v>
      </c>
      <c r="D2" s="12" t="n">
        <f aca="false">IF(C2=0,"",_xlfn.MINIFS(Prices!$P$2:$P$35,Prices!$A$2:$A$35,A2))</f>
        <v>16.4552845528455</v>
      </c>
      <c r="E2" s="12" t="n">
        <f aca="false" t="array" ref="E2:E2">IF(C2=0,"",MEDIAN(IF((Prices!$A$2:$A$35=A2)*ISNUMBER(Prices!$P$2:$P$35),Prices!$P$2:$P$35)))</f>
        <v>18.4676422764228</v>
      </c>
      <c r="F2" s="12" t="n">
        <f aca="false">IF(C2=0,"",_xlfn.MAXIFS(Prices!$P$2:$P$35,Prices!$A$2:$A$35,A2))</f>
        <v>20.48</v>
      </c>
    </row>
    <row r="3" customFormat="false" ht="15" hidden="false" customHeight="false" outlineLevel="0" collapsed="false">
      <c r="A3" s="2" t="n">
        <v>2</v>
      </c>
      <c r="B3" s="2" t="s">
        <v>191</v>
      </c>
      <c r="C3" s="2" t="n">
        <f aca="false">COUNTIFS(Prices!$A$2:$A$35,A3,Prices!$P$2:$P$35,"&gt;0")</f>
        <v>2</v>
      </c>
      <c r="D3" s="12" t="n">
        <f aca="false">IF(C3=0,"",_xlfn.MINIFS(Prices!$P$2:$P$35,Prices!$A$2:$A$35,A3))</f>
        <v>15.2276422764228</v>
      </c>
      <c r="E3" s="12" t="n">
        <f aca="false" t="array" ref="E3:E3">IF(C3=0,"",MEDIAN(IF((Prices!$A$2:$A$35=A3)*ISNUMBER(Prices!$P$2:$P$35),Prices!$P$2:$P$35)))</f>
        <v>15.6888211382114</v>
      </c>
      <c r="F3" s="12" t="n">
        <f aca="false">IF(C3=0,"",_xlfn.MAXIFS(Prices!$P$2:$P$35,Prices!$A$2:$A$35,A3))</f>
        <v>16.15</v>
      </c>
    </row>
    <row r="4" customFormat="false" ht="15" hidden="false" customHeight="false" outlineLevel="0" collapsed="false">
      <c r="A4" s="2" t="n">
        <v>3</v>
      </c>
      <c r="B4" s="2" t="s">
        <v>192</v>
      </c>
      <c r="C4" s="2" t="n">
        <f aca="false">COUNTIFS(Prices!$A$2:$A$35,A4,Prices!$P$2:$P$35,"&gt;0")</f>
        <v>2</v>
      </c>
      <c r="D4" s="12" t="n">
        <f aca="false">IF(C4=0,"",_xlfn.MINIFS(Prices!$P$2:$P$35,Prices!$A$2:$A$35,A4))</f>
        <v>6.3739837398374</v>
      </c>
      <c r="E4" s="12" t="n">
        <f aca="false" t="array" ref="E4:E4">IF(C4=0,"",MEDIAN(IF((Prices!$A$2:$A$35=A4)*ISNUMBER(Prices!$P$2:$P$35),Prices!$P$2:$P$35)))</f>
        <v>11.9919918699187</v>
      </c>
      <c r="F4" s="12" t="n">
        <f aca="false">IF(C4=0,"",_xlfn.MAXIFS(Prices!$P$2:$P$35,Prices!$A$2:$A$35,A4))</f>
        <v>17.61</v>
      </c>
    </row>
    <row r="5" customFormat="false" ht="15" hidden="false" customHeight="false" outlineLevel="0" collapsed="false">
      <c r="A5" s="2" t="n">
        <v>4</v>
      </c>
      <c r="B5" s="2" t="s">
        <v>193</v>
      </c>
      <c r="C5" s="2" t="n">
        <f aca="false">COUNTIFS(Prices!$A$2:$A$35,A5,Prices!$P$2:$P$35,"&gt;0")</f>
        <v>2</v>
      </c>
      <c r="D5" s="12" t="n">
        <f aca="false">IF(C5=0,"",_xlfn.MINIFS(Prices!$P$2:$P$35,Prices!$A$2:$A$35,A5))</f>
        <v>8.46</v>
      </c>
      <c r="E5" s="12" t="n">
        <f aca="false" t="array" ref="E5:E5">IF(C5=0,"",MEDIAN(IF((Prices!$A$2:$A$35=A5)*ISNUMBER(Prices!$P$2:$P$35),Prices!$P$2:$P$35)))</f>
        <v>9.94544715447155</v>
      </c>
      <c r="F5" s="12" t="n">
        <f aca="false">IF(C5=0,"",_xlfn.MAXIFS(Prices!$P$2:$P$35,Prices!$A$2:$A$35,A5))</f>
        <v>11.4308943089431</v>
      </c>
    </row>
    <row r="6" customFormat="false" ht="15" hidden="false" customHeight="false" outlineLevel="0" collapsed="false">
      <c r="A6" s="2" t="n">
        <v>5</v>
      </c>
      <c r="B6" s="2" t="s">
        <v>194</v>
      </c>
      <c r="C6" s="2" t="n">
        <f aca="false">COUNTIFS(Prices!$A$2:$A$35,A6,Prices!$P$2:$P$35,"&gt;0")</f>
        <v>0</v>
      </c>
      <c r="D6" s="12" t="str">
        <f aca="false">IF(C6=0,"",_xlfn.MINIFS(Prices!$P$2:$P$35,Prices!$A$2:$A$35,A6))</f>
        <v/>
      </c>
      <c r="E6" s="12" t="str">
        <f aca="false" t="array" ref="E6:E6">IF(C6=0,"",MEDIAN(IF((Prices!$A$2:$A$35=A6)*ISNUMBER(Prices!$P$2:$P$35),Prices!$P$2:$P$35)))</f>
        <v/>
      </c>
      <c r="F6" s="12" t="str">
        <f aca="false">IF(C6=0,"",_xlfn.MAXIFS(Prices!$P$2:$P$35,Prices!$A$2:$A$35,A6))</f>
        <v/>
      </c>
    </row>
    <row r="7" customFormat="false" ht="15" hidden="false" customHeight="false" outlineLevel="0" collapsed="false">
      <c r="A7" s="2" t="n">
        <v>6</v>
      </c>
      <c r="B7" s="2" t="s">
        <v>195</v>
      </c>
      <c r="C7" s="2" t="n">
        <f aca="false">COUNTIFS(Prices!$A$2:$A$35,A7,Prices!$P$2:$P$35,"&gt;0")</f>
        <v>1</v>
      </c>
      <c r="D7" s="12" t="n">
        <f aca="false">IF(C7=0,"",_xlfn.MINIFS(Prices!$P$2:$P$35,Prices!$A$2:$A$35,A7))</f>
        <v>1.28</v>
      </c>
      <c r="E7" s="12" t="n">
        <f aca="false" t="array" ref="E7:E7">IF(C7=0,"",MEDIAN(IF((Prices!$A$2:$A$35=A7)*ISNUMBER(Prices!$P$2:$P$35),Prices!$P$2:$P$35)))</f>
        <v>1.28</v>
      </c>
      <c r="F7" s="12" t="n">
        <f aca="false">IF(C7=0,"",_xlfn.MAXIFS(Prices!$P$2:$P$35,Prices!$A$2:$A$35,A7))</f>
        <v>1.28</v>
      </c>
    </row>
    <row r="8" customFormat="false" ht="15" hidden="false" customHeight="false" outlineLevel="0" collapsed="false">
      <c r="A8" s="2" t="n">
        <v>7</v>
      </c>
      <c r="B8" s="2" t="s">
        <v>196</v>
      </c>
      <c r="C8" s="2" t="n">
        <f aca="false">COUNTIFS(Prices!$A$2:$A$35,A8,Prices!$P$2:$P$35,"&gt;0")</f>
        <v>0</v>
      </c>
      <c r="D8" s="12" t="str">
        <f aca="false">IF(C8=0,"",_xlfn.MINIFS(Prices!$P$2:$P$35,Prices!$A$2:$A$35,A8))</f>
        <v/>
      </c>
      <c r="E8" s="12" t="str">
        <f aca="false" t="array" ref="E8:E8">IF(C8=0,"",MEDIAN(IF((Prices!$A$2:$A$35=A8)*ISNUMBER(Prices!$P$2:$P$35),Prices!$P$2:$P$35)))</f>
        <v/>
      </c>
      <c r="F8" s="12" t="str">
        <f aca="false">IF(C8=0,"",_xlfn.MAXIFS(Prices!$P$2:$P$35,Prices!$A$2:$A$35,A8))</f>
        <v/>
      </c>
    </row>
    <row r="9" customFormat="false" ht="15" hidden="false" customHeight="false" outlineLevel="0" collapsed="false">
      <c r="A9" s="2" t="n">
        <v>8</v>
      </c>
      <c r="B9" s="2" t="s">
        <v>197</v>
      </c>
      <c r="C9" s="2" t="n">
        <f aca="false">COUNTIFS(Prices!$A$2:$A$35,A9,Prices!$P$2:$P$35,"&gt;0")</f>
        <v>0</v>
      </c>
      <c r="D9" s="12" t="str">
        <f aca="false">IF(C9=0,"",_xlfn.MINIFS(Prices!$P$2:$P$35,Prices!$A$2:$A$35,A9))</f>
        <v/>
      </c>
      <c r="E9" s="12" t="str">
        <f aca="false" t="array" ref="E9:E9">IF(C9=0,"",MEDIAN(IF((Prices!$A$2:$A$35=A9)*ISNUMBER(Prices!$P$2:$P$35),Prices!$P$2:$P$35)))</f>
        <v/>
      </c>
      <c r="F9" s="12" t="str">
        <f aca="false">IF(C9=0,"",_xlfn.MAXIFS(Prices!$P$2:$P$35,Prices!$A$2:$A$35,A9))</f>
        <v/>
      </c>
    </row>
    <row r="10" customFormat="false" ht="15" hidden="false" customHeight="false" outlineLevel="0" collapsed="false">
      <c r="A10" s="2" t="n">
        <v>9</v>
      </c>
      <c r="B10" s="2" t="s">
        <v>198</v>
      </c>
      <c r="C10" s="2" t="n">
        <f aca="false">COUNTIFS(Prices!$A$2:$A$35,A10,Prices!$P$2:$P$35,"&gt;0")</f>
        <v>2</v>
      </c>
      <c r="D10" s="12" t="n">
        <f aca="false">IF(C10=0,"",_xlfn.MINIFS(Prices!$P$2:$P$35,Prices!$A$2:$A$35,A10))</f>
        <v>20.35</v>
      </c>
      <c r="E10" s="12" t="n">
        <f aca="false" t="array" ref="E10:E10">IF(C10=0,"",MEDIAN(IF((Prices!$A$2:$A$35=A10)*ISNUMBER(Prices!$P$2:$P$35),Prices!$P$2:$P$35)))</f>
        <v>36.154674796748</v>
      </c>
      <c r="F10" s="12" t="n">
        <f aca="false">IF(C10=0,"",_xlfn.MAXIFS(Prices!$P$2:$P$35,Prices!$A$2:$A$35,A10))</f>
        <v>51.9593495934959</v>
      </c>
    </row>
    <row r="11" customFormat="false" ht="15" hidden="false" customHeight="false" outlineLevel="0" collapsed="false">
      <c r="A11" s="2" t="n">
        <v>10</v>
      </c>
      <c r="B11" s="2" t="s">
        <v>199</v>
      </c>
      <c r="C11" s="2" t="n">
        <f aca="false">COUNTIFS(Prices!$A$2:$A$35,A11,Prices!$P$2:$P$35,"&gt;0")</f>
        <v>1</v>
      </c>
      <c r="D11" s="12" t="n">
        <f aca="false">IF(C11=0,"",_xlfn.MINIFS(Prices!$P$2:$P$35,Prices!$A$2:$A$35,A11))</f>
        <v>32.85</v>
      </c>
      <c r="E11" s="12" t="n">
        <f aca="false" t="array" ref="E11:E11">IF(C11=0,"",MEDIAN(IF((Prices!$A$2:$A$35=A11)*ISNUMBER(Prices!$P$2:$P$35),Prices!$P$2:$P$35)))</f>
        <v>32.85</v>
      </c>
      <c r="F11" s="12" t="n">
        <f aca="false">IF(C11=0,"",_xlfn.MAXIFS(Prices!$P$2:$P$35,Prices!$A$2:$A$35,A11))</f>
        <v>32.85</v>
      </c>
    </row>
    <row r="12" customFormat="false" ht="15" hidden="false" customHeight="false" outlineLevel="0" collapsed="false">
      <c r="A12" s="2" t="n">
        <v>11</v>
      </c>
      <c r="B12" s="2" t="s">
        <v>200</v>
      </c>
      <c r="C12" s="2" t="n">
        <f aca="false">COUNTIFS(Prices!$A$2:$A$35,A12,Prices!$P$2:$P$35,"&gt;0")</f>
        <v>2</v>
      </c>
      <c r="D12" s="12" t="n">
        <f aca="false">IF(C12=0,"",_xlfn.MINIFS(Prices!$P$2:$P$35,Prices!$A$2:$A$35,A12))</f>
        <v>6.18</v>
      </c>
      <c r="E12" s="12" t="n">
        <f aca="false" t="array" ref="E12:E12">IF(C12=0,"",MEDIAN(IF((Prices!$A$2:$A$35=A12)*ISNUMBER(Prices!$P$2:$P$35),Prices!$P$2:$P$35)))</f>
        <v>6.59</v>
      </c>
      <c r="F12" s="12" t="n">
        <f aca="false">IF(C12=0,"",_xlfn.MAXIFS(Prices!$P$2:$P$35,Prices!$A$2:$A$35,A12))</f>
        <v>7</v>
      </c>
    </row>
    <row r="13" customFormat="false" ht="15" hidden="false" customHeight="false" outlineLevel="0" collapsed="false">
      <c r="A13" s="2" t="n">
        <v>12</v>
      </c>
      <c r="B13" s="2" t="s">
        <v>201</v>
      </c>
      <c r="C13" s="2" t="n">
        <f aca="false">COUNTIFS(Prices!$A$2:$A$35,A13,Prices!$P$2:$P$35,"&gt;0")</f>
        <v>2</v>
      </c>
      <c r="D13" s="12" t="n">
        <f aca="false">IF(C13=0,"",_xlfn.MINIFS(Prices!$P$2:$P$35,Prices!$A$2:$A$35,A13))</f>
        <v>12.65</v>
      </c>
      <c r="E13" s="12" t="n">
        <f aca="false" t="array" ref="E13:E13">IF(C13=0,"",MEDIAN(IF((Prices!$A$2:$A$35=A13)*ISNUMBER(Prices!$P$2:$P$35),Prices!$P$2:$P$35)))</f>
        <v>15.6583333333333</v>
      </c>
      <c r="F13" s="12" t="n">
        <f aca="false">IF(C13=0,"",_xlfn.MAXIFS(Prices!$P$2:$P$35,Prices!$A$2:$A$35,A13))</f>
        <v>18.6666666666667</v>
      </c>
    </row>
    <row r="14" customFormat="false" ht="15" hidden="false" customHeight="false" outlineLevel="0" collapsed="false">
      <c r="A14" s="2" t="n">
        <v>13</v>
      </c>
      <c r="B14" s="2" t="s">
        <v>202</v>
      </c>
      <c r="C14" s="2" t="n">
        <f aca="false">COUNTIFS(Prices!$A$2:$A$35,A14,Prices!$P$2:$P$35,"&gt;0")</f>
        <v>2</v>
      </c>
      <c r="D14" s="12" t="n">
        <f aca="false">IF(C14=0,"",_xlfn.MINIFS(Prices!$P$2:$P$35,Prices!$A$2:$A$35,A14))</f>
        <v>11.0650406504065</v>
      </c>
      <c r="E14" s="12" t="n">
        <f aca="false" t="array" ref="E14:E14">IF(C14=0,"",MEDIAN(IF((Prices!$A$2:$A$35=A14)*ISNUMBER(Prices!$P$2:$P$35),Prices!$P$2:$P$35)))</f>
        <v>11.3825203252033</v>
      </c>
      <c r="F14" s="12" t="n">
        <f aca="false">IF(C14=0,"",_xlfn.MAXIFS(Prices!$P$2:$P$35,Prices!$A$2:$A$35,A14))</f>
        <v>11.7</v>
      </c>
    </row>
    <row r="15" customFormat="false" ht="15" hidden="false" customHeight="false" outlineLevel="0" collapsed="false">
      <c r="A15" s="2" t="n">
        <v>14</v>
      </c>
      <c r="B15" s="2" t="s">
        <v>203</v>
      </c>
      <c r="C15" s="2" t="n">
        <f aca="false">COUNTIFS(Prices!$A$2:$A$35,A15,Prices!$P$2:$P$35,"&gt;0")</f>
        <v>1</v>
      </c>
      <c r="D15" s="12" t="n">
        <f aca="false">IF(C15=0,"",_xlfn.MINIFS(Prices!$P$2:$P$35,Prices!$A$2:$A$35,A15))</f>
        <v>15.21</v>
      </c>
      <c r="E15" s="12" t="n">
        <f aca="false" t="array" ref="E15:E15">IF(C15=0,"",MEDIAN(IF((Prices!$A$2:$A$35=A15)*ISNUMBER(Prices!$P$2:$P$35),Prices!$P$2:$P$35)))</f>
        <v>15.21</v>
      </c>
      <c r="F15" s="12" t="n">
        <f aca="false">IF(C15=0,"",_xlfn.MAXIFS(Prices!$P$2:$P$35,Prices!$A$2:$A$35,A15))</f>
        <v>15.21</v>
      </c>
    </row>
    <row r="16" customFormat="false" ht="15" hidden="false" customHeight="false" outlineLevel="0" collapsed="false">
      <c r="A16" s="2" t="n">
        <v>15</v>
      </c>
      <c r="B16" s="2" t="s">
        <v>204</v>
      </c>
      <c r="C16" s="2" t="n">
        <f aca="false">COUNTIFS(Prices!$A$2:$A$35,A16,Prices!$P$2:$P$35,"&gt;0")</f>
        <v>2</v>
      </c>
      <c r="D16" s="12" t="n">
        <f aca="false">IF(C16=0,"",_xlfn.MINIFS(Prices!$P$2:$P$35,Prices!$A$2:$A$35,A16))</f>
        <v>186</v>
      </c>
      <c r="E16" s="12" t="n">
        <f aca="false" t="array" ref="E16:E16">IF(C16=0,"",MEDIAN(IF((Prices!$A$2:$A$35=A16)*ISNUMBER(Prices!$P$2:$P$35),Prices!$P$2:$P$35)))</f>
        <v>207.12</v>
      </c>
      <c r="F16" s="12" t="n">
        <f aca="false">IF(C16=0,"",_xlfn.MAXIFS(Prices!$P$2:$P$35,Prices!$A$2:$A$35,A16))</f>
        <v>228.24</v>
      </c>
    </row>
    <row r="17" customFormat="false" ht="15" hidden="false" customHeight="false" outlineLevel="0" collapsed="false">
      <c r="A17" s="2" t="n">
        <v>16</v>
      </c>
      <c r="B17" s="2" t="s">
        <v>205</v>
      </c>
      <c r="C17" s="2" t="n">
        <f aca="false">COUNTIFS(Prices!$A$2:$A$35,A17,Prices!$P$2:$P$35,"&gt;0")</f>
        <v>0</v>
      </c>
      <c r="D17" s="12" t="str">
        <f aca="false">IF(C17=0,"",_xlfn.MINIFS(Prices!$P$2:$P$35,Prices!$A$2:$A$35,A17))</f>
        <v/>
      </c>
      <c r="E17" s="12" t="str">
        <f aca="false" t="array" ref="E17:E17">IF(C17=0,"",MEDIAN(IF((Prices!$A$2:$A$35=A17)*ISNUMBER(Prices!$P$2:$P$35),Prices!$P$2:$P$35)))</f>
        <v/>
      </c>
      <c r="F17" s="12" t="str">
        <f aca="false">IF(C17=0,"",_xlfn.MAXIFS(Prices!$P$2:$P$35,Prices!$A$2:$A$35,A17))</f>
        <v/>
      </c>
    </row>
    <row r="18" customFormat="false" ht="15" hidden="false" customHeight="false" outlineLevel="0" collapsed="false">
      <c r="A18" s="2" t="n">
        <v>17</v>
      </c>
      <c r="B18" s="2" t="s">
        <v>206</v>
      </c>
      <c r="C18" s="2" t="n">
        <f aca="false">COUNTIFS(Prices!$A$2:$A$35,A18,Prices!$P$2:$P$35,"&gt;0")</f>
        <v>0</v>
      </c>
      <c r="D18" s="12" t="str">
        <f aca="false">IF(C18=0,"",_xlfn.MINIFS(Prices!$P$2:$P$35,Prices!$A$2:$A$35,A18))</f>
        <v/>
      </c>
      <c r="E18" s="12" t="str">
        <f aca="false" t="array" ref="E18:E18">IF(C18=0,"",MEDIAN(IF((Prices!$A$2:$A$35=A18)*ISNUMBER(Prices!$P$2:$P$35),Prices!$P$2:$P$35)))</f>
        <v/>
      </c>
      <c r="F18" s="12" t="str">
        <f aca="false">IF(C18=0,"",_xlfn.MAXIFS(Prices!$P$2:$P$35,Prices!$A$2:$A$35,A18))</f>
        <v/>
      </c>
    </row>
    <row r="20" customFormat="false" ht="15" hidden="false" customHeight="false" outlineLevel="0" collapsed="false">
      <c r="A20" s="13" t="s">
        <v>207</v>
      </c>
    </row>
    <row r="21" customFormat="false" ht="15" hidden="false" customHeight="false" outlineLevel="0" collapsed="false">
      <c r="A21" s="13" t="s">
        <v>208</v>
      </c>
    </row>
    <row r="22" customFormat="false" ht="15" hidden="false" customHeight="false" outlineLevel="0" collapsed="false">
      <c r="A22" s="13" t="s">
        <v>209</v>
      </c>
    </row>
  </sheetData>
  <autoFilter ref="A1:F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42" hidden="false" customHeight="true" outlineLevel="0" collapsed="false">
      <c r="A1" s="1" t="s">
        <v>210</v>
      </c>
      <c r="B1" s="1" t="s">
        <v>1</v>
      </c>
      <c r="C1" s="1" t="s">
        <v>211</v>
      </c>
      <c r="D1" s="1" t="s">
        <v>62</v>
      </c>
      <c r="E1" s="1" t="s">
        <v>13</v>
      </c>
    </row>
    <row r="2" customFormat="false" ht="23.85" hidden="false" customHeight="false" outlineLevel="0" collapsed="false">
      <c r="A2" s="2" t="s">
        <v>15</v>
      </c>
      <c r="B2" s="3" t="s">
        <v>16</v>
      </c>
      <c r="C2" s="2" t="s">
        <v>212</v>
      </c>
      <c r="D2" s="2" t="s">
        <v>73</v>
      </c>
      <c r="E2" s="2" t="s">
        <v>213</v>
      </c>
    </row>
    <row r="3" customFormat="false" ht="23.85" hidden="false" customHeight="false" outlineLevel="0" collapsed="false">
      <c r="A3" s="2" t="s">
        <v>34</v>
      </c>
      <c r="B3" s="3" t="s">
        <v>35</v>
      </c>
      <c r="C3" s="2" t="s">
        <v>214</v>
      </c>
      <c r="D3" s="2" t="s">
        <v>73</v>
      </c>
      <c r="E3" s="2" t="s">
        <v>215</v>
      </c>
    </row>
    <row r="4" customFormat="false" ht="35.05" hidden="false" customHeight="false" outlineLevel="0" collapsed="false">
      <c r="A4" s="2" t="s">
        <v>216</v>
      </c>
      <c r="B4" s="3" t="s">
        <v>23</v>
      </c>
      <c r="C4" s="2" t="s">
        <v>217</v>
      </c>
      <c r="D4" s="2" t="s">
        <v>73</v>
      </c>
      <c r="E4" s="2" t="s">
        <v>218</v>
      </c>
    </row>
  </sheetData>
  <autoFilter ref="A1:E4"/>
  <hyperlinks>
    <hyperlink ref="B2" r:id="rId1" display="https://www.metro.sk/"/>
    <hyperlink ref="B3" r:id="rId2" display="https://www.gastromarket.sk/"/>
    <hyperlink ref="B4" r:id="rId3" display="https://gastromania.sk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2026-09-30T18:24:14Z</dcterms:created>
  <dc:creator>openpyxl</dc:creator>
  <dc:description/>
  <dc:language>en-US</dc:language>
  <cp:lastModifiedBy/>
  <dcterms:modified xsi:type="dcterms:W3CDTF">2026-09-30T18:24:14Z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